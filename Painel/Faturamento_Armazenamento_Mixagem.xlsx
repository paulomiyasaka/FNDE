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1363826\Documents\FNDE MIXAGEM\FATURAMENTO\"/>
    </mc:Choice>
  </mc:AlternateContent>
  <bookViews>
    <workbookView xWindow="0" yWindow="0" windowWidth="21570" windowHeight="7545" activeTab="2"/>
  </bookViews>
  <sheets>
    <sheet name="Agendamento" sheetId="1" r:id="rId1"/>
    <sheet name="Obras e Acervos" sheetId="3" r:id="rId2"/>
    <sheet name="Analise" sheetId="2" r:id="rId3"/>
    <sheet name="Notas_sem_indexar" sheetId="4" state="hidden" r:id="rId4"/>
  </sheets>
  <definedNames>
    <definedName name="_xlnm._FilterDatabase" localSheetId="0" hidden="1">Agendamento!$A$1:$O$808</definedName>
    <definedName name="_xlnm._FilterDatabase" localSheetId="2" hidden="1">Analise!$A$1:$Z$810</definedName>
    <definedName name="_xlnm._FilterDatabase" localSheetId="3" hidden="1">Notas_sem_indexar!$A$1:$G$814</definedName>
    <definedName name="_xlnm._FilterDatabase" localSheetId="1" hidden="1">'Obras e Acervos'!$A$1:$Y$806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2" i="2"/>
  <c r="R747" i="2" l="1"/>
  <c r="R748" i="2"/>
  <c r="R757" i="2"/>
  <c r="R778" i="2"/>
  <c r="O747" i="2"/>
  <c r="O748" i="2"/>
  <c r="O757" i="2"/>
  <c r="O778" i="2"/>
  <c r="T747" i="2" l="1"/>
  <c r="T778" i="2"/>
  <c r="T757" i="2"/>
  <c r="T748" i="2"/>
  <c r="Z2" i="2"/>
  <c r="P747" i="2"/>
  <c r="AD1" i="2"/>
  <c r="N3" i="2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O124" i="2" s="1"/>
  <c r="N125" i="2"/>
  <c r="O125" i="2" s="1"/>
  <c r="N126" i="2"/>
  <c r="O126" i="2" s="1"/>
  <c r="N127" i="2"/>
  <c r="O127" i="2" s="1"/>
  <c r="N128" i="2"/>
  <c r="O128" i="2" s="1"/>
  <c r="N129" i="2"/>
  <c r="O129" i="2" s="1"/>
  <c r="N130" i="2"/>
  <c r="O130" i="2" s="1"/>
  <c r="N131" i="2"/>
  <c r="O131" i="2" s="1"/>
  <c r="N132" i="2"/>
  <c r="O132" i="2" s="1"/>
  <c r="N133" i="2"/>
  <c r="O133" i="2" s="1"/>
  <c r="N134" i="2"/>
  <c r="O134" i="2" s="1"/>
  <c r="N135" i="2"/>
  <c r="O135" i="2" s="1"/>
  <c r="N136" i="2"/>
  <c r="O136" i="2" s="1"/>
  <c r="N137" i="2"/>
  <c r="O137" i="2" s="1"/>
  <c r="N138" i="2"/>
  <c r="O138" i="2" s="1"/>
  <c r="N139" i="2"/>
  <c r="O139" i="2" s="1"/>
  <c r="N140" i="2"/>
  <c r="O140" i="2" s="1"/>
  <c r="N141" i="2"/>
  <c r="O141" i="2" s="1"/>
  <c r="N142" i="2"/>
  <c r="O142" i="2" s="1"/>
  <c r="N143" i="2"/>
  <c r="O143" i="2" s="1"/>
  <c r="N144" i="2"/>
  <c r="O144" i="2" s="1"/>
  <c r="N145" i="2"/>
  <c r="O145" i="2" s="1"/>
  <c r="N146" i="2"/>
  <c r="O146" i="2" s="1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 s="1"/>
  <c r="N155" i="2"/>
  <c r="O155" i="2" s="1"/>
  <c r="N156" i="2"/>
  <c r="O156" i="2" s="1"/>
  <c r="N157" i="2"/>
  <c r="O157" i="2" s="1"/>
  <c r="N158" i="2"/>
  <c r="O158" i="2" s="1"/>
  <c r="N159" i="2"/>
  <c r="O159" i="2" s="1"/>
  <c r="N160" i="2"/>
  <c r="O160" i="2" s="1"/>
  <c r="N161" i="2"/>
  <c r="O161" i="2" s="1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O168" i="2" s="1"/>
  <c r="N169" i="2"/>
  <c r="O169" i="2" s="1"/>
  <c r="N170" i="2"/>
  <c r="O170" i="2" s="1"/>
  <c r="N171" i="2"/>
  <c r="O171" i="2" s="1"/>
  <c r="N172" i="2"/>
  <c r="O172" i="2" s="1"/>
  <c r="N173" i="2"/>
  <c r="O173" i="2" s="1"/>
  <c r="N174" i="2"/>
  <c r="O174" i="2" s="1"/>
  <c r="N175" i="2"/>
  <c r="O175" i="2" s="1"/>
  <c r="N176" i="2"/>
  <c r="O176" i="2" s="1"/>
  <c r="N177" i="2"/>
  <c r="O177" i="2" s="1"/>
  <c r="N178" i="2"/>
  <c r="O178" i="2" s="1"/>
  <c r="N179" i="2"/>
  <c r="O179" i="2" s="1"/>
  <c r="N180" i="2"/>
  <c r="O180" i="2" s="1"/>
  <c r="N181" i="2"/>
  <c r="O181" i="2" s="1"/>
  <c r="N182" i="2"/>
  <c r="O182" i="2" s="1"/>
  <c r="N183" i="2"/>
  <c r="O183" i="2" s="1"/>
  <c r="N184" i="2"/>
  <c r="O184" i="2" s="1"/>
  <c r="N185" i="2"/>
  <c r="O185" i="2" s="1"/>
  <c r="N186" i="2"/>
  <c r="O186" i="2" s="1"/>
  <c r="N187" i="2"/>
  <c r="O187" i="2" s="1"/>
  <c r="N188" i="2"/>
  <c r="O188" i="2" s="1"/>
  <c r="N189" i="2"/>
  <c r="O189" i="2" s="1"/>
  <c r="N190" i="2"/>
  <c r="O190" i="2" s="1"/>
  <c r="N191" i="2"/>
  <c r="O191" i="2" s="1"/>
  <c r="N192" i="2"/>
  <c r="O192" i="2" s="1"/>
  <c r="N193" i="2"/>
  <c r="O193" i="2" s="1"/>
  <c r="N194" i="2"/>
  <c r="O194" i="2" s="1"/>
  <c r="N195" i="2"/>
  <c r="O195" i="2" s="1"/>
  <c r="N196" i="2"/>
  <c r="O196" i="2" s="1"/>
  <c r="N197" i="2"/>
  <c r="O197" i="2" s="1"/>
  <c r="N198" i="2"/>
  <c r="O198" i="2" s="1"/>
  <c r="N199" i="2"/>
  <c r="O199" i="2" s="1"/>
  <c r="N200" i="2"/>
  <c r="O200" i="2" s="1"/>
  <c r="N201" i="2"/>
  <c r="O201" i="2" s="1"/>
  <c r="N202" i="2"/>
  <c r="O202" i="2" s="1"/>
  <c r="N203" i="2"/>
  <c r="O203" i="2" s="1"/>
  <c r="N204" i="2"/>
  <c r="O204" i="2" s="1"/>
  <c r="N205" i="2"/>
  <c r="O205" i="2" s="1"/>
  <c r="N206" i="2"/>
  <c r="O206" i="2" s="1"/>
  <c r="N207" i="2"/>
  <c r="O207" i="2" s="1"/>
  <c r="N208" i="2"/>
  <c r="O208" i="2" s="1"/>
  <c r="N209" i="2"/>
  <c r="O209" i="2" s="1"/>
  <c r="N210" i="2"/>
  <c r="O210" i="2" s="1"/>
  <c r="N211" i="2"/>
  <c r="O211" i="2" s="1"/>
  <c r="N212" i="2"/>
  <c r="O212" i="2" s="1"/>
  <c r="N213" i="2"/>
  <c r="O213" i="2" s="1"/>
  <c r="N214" i="2"/>
  <c r="O214" i="2" s="1"/>
  <c r="N215" i="2"/>
  <c r="O215" i="2" s="1"/>
  <c r="N216" i="2"/>
  <c r="O216" i="2" s="1"/>
  <c r="N217" i="2"/>
  <c r="O217" i="2" s="1"/>
  <c r="N218" i="2"/>
  <c r="O218" i="2" s="1"/>
  <c r="N219" i="2"/>
  <c r="O219" i="2" s="1"/>
  <c r="N220" i="2"/>
  <c r="O220" i="2" s="1"/>
  <c r="N221" i="2"/>
  <c r="O221" i="2" s="1"/>
  <c r="N222" i="2"/>
  <c r="O222" i="2" s="1"/>
  <c r="N223" i="2"/>
  <c r="O223" i="2" s="1"/>
  <c r="N224" i="2"/>
  <c r="O224" i="2" s="1"/>
  <c r="N225" i="2"/>
  <c r="O225" i="2" s="1"/>
  <c r="N226" i="2"/>
  <c r="O226" i="2" s="1"/>
  <c r="N227" i="2"/>
  <c r="O227" i="2" s="1"/>
  <c r="N228" i="2"/>
  <c r="O228" i="2" s="1"/>
  <c r="N229" i="2"/>
  <c r="O229" i="2" s="1"/>
  <c r="N230" i="2"/>
  <c r="O230" i="2" s="1"/>
  <c r="N231" i="2"/>
  <c r="O231" i="2" s="1"/>
  <c r="N232" i="2"/>
  <c r="O232" i="2" s="1"/>
  <c r="N233" i="2"/>
  <c r="O233" i="2" s="1"/>
  <c r="N234" i="2"/>
  <c r="O234" i="2" s="1"/>
  <c r="N235" i="2"/>
  <c r="O235" i="2" s="1"/>
  <c r="N236" i="2"/>
  <c r="O236" i="2" s="1"/>
  <c r="N237" i="2"/>
  <c r="O237" i="2" s="1"/>
  <c r="N238" i="2"/>
  <c r="O238" i="2" s="1"/>
  <c r="N239" i="2"/>
  <c r="O239" i="2" s="1"/>
  <c r="N240" i="2"/>
  <c r="O240" i="2" s="1"/>
  <c r="N241" i="2"/>
  <c r="O241" i="2" s="1"/>
  <c r="N242" i="2"/>
  <c r="O242" i="2" s="1"/>
  <c r="N243" i="2"/>
  <c r="O243" i="2" s="1"/>
  <c r="N244" i="2"/>
  <c r="O244" i="2" s="1"/>
  <c r="N245" i="2"/>
  <c r="O245" i="2" s="1"/>
  <c r="N246" i="2"/>
  <c r="O246" i="2" s="1"/>
  <c r="N247" i="2"/>
  <c r="O247" i="2" s="1"/>
  <c r="N248" i="2"/>
  <c r="O248" i="2" s="1"/>
  <c r="N249" i="2"/>
  <c r="O249" i="2" s="1"/>
  <c r="N250" i="2"/>
  <c r="O250" i="2" s="1"/>
  <c r="N251" i="2"/>
  <c r="O251" i="2" s="1"/>
  <c r="N252" i="2"/>
  <c r="O252" i="2" s="1"/>
  <c r="N253" i="2"/>
  <c r="O253" i="2" s="1"/>
  <c r="N254" i="2"/>
  <c r="O254" i="2" s="1"/>
  <c r="N255" i="2"/>
  <c r="O255" i="2" s="1"/>
  <c r="N256" i="2"/>
  <c r="O256" i="2" s="1"/>
  <c r="N257" i="2"/>
  <c r="O257" i="2" s="1"/>
  <c r="N258" i="2"/>
  <c r="O258" i="2" s="1"/>
  <c r="N259" i="2"/>
  <c r="O259" i="2" s="1"/>
  <c r="N260" i="2"/>
  <c r="O260" i="2" s="1"/>
  <c r="N261" i="2"/>
  <c r="O261" i="2" s="1"/>
  <c r="N262" i="2"/>
  <c r="O262" i="2" s="1"/>
  <c r="N263" i="2"/>
  <c r="O263" i="2" s="1"/>
  <c r="N264" i="2"/>
  <c r="O264" i="2" s="1"/>
  <c r="N265" i="2"/>
  <c r="O265" i="2" s="1"/>
  <c r="N266" i="2"/>
  <c r="O266" i="2" s="1"/>
  <c r="N267" i="2"/>
  <c r="O267" i="2" s="1"/>
  <c r="N268" i="2"/>
  <c r="O268" i="2" s="1"/>
  <c r="N269" i="2"/>
  <c r="O269" i="2" s="1"/>
  <c r="N270" i="2"/>
  <c r="O270" i="2" s="1"/>
  <c r="N271" i="2"/>
  <c r="O271" i="2" s="1"/>
  <c r="N272" i="2"/>
  <c r="O272" i="2" s="1"/>
  <c r="N273" i="2"/>
  <c r="O273" i="2" s="1"/>
  <c r="N274" i="2"/>
  <c r="O274" i="2" s="1"/>
  <c r="N275" i="2"/>
  <c r="O275" i="2" s="1"/>
  <c r="N276" i="2"/>
  <c r="O276" i="2" s="1"/>
  <c r="N277" i="2"/>
  <c r="O277" i="2" s="1"/>
  <c r="N278" i="2"/>
  <c r="O278" i="2" s="1"/>
  <c r="N279" i="2"/>
  <c r="O279" i="2" s="1"/>
  <c r="N280" i="2"/>
  <c r="O280" i="2" s="1"/>
  <c r="N281" i="2"/>
  <c r="O281" i="2" s="1"/>
  <c r="N282" i="2"/>
  <c r="O282" i="2" s="1"/>
  <c r="N283" i="2"/>
  <c r="O283" i="2" s="1"/>
  <c r="N284" i="2"/>
  <c r="O284" i="2" s="1"/>
  <c r="N285" i="2"/>
  <c r="O285" i="2" s="1"/>
  <c r="N286" i="2"/>
  <c r="O286" i="2" s="1"/>
  <c r="N287" i="2"/>
  <c r="O287" i="2" s="1"/>
  <c r="N288" i="2"/>
  <c r="O288" i="2" s="1"/>
  <c r="N289" i="2"/>
  <c r="O289" i="2" s="1"/>
  <c r="N290" i="2"/>
  <c r="O290" i="2" s="1"/>
  <c r="N291" i="2"/>
  <c r="O291" i="2" s="1"/>
  <c r="N292" i="2"/>
  <c r="O292" i="2" s="1"/>
  <c r="N293" i="2"/>
  <c r="O293" i="2" s="1"/>
  <c r="N294" i="2"/>
  <c r="O294" i="2" s="1"/>
  <c r="N295" i="2"/>
  <c r="O295" i="2" s="1"/>
  <c r="N296" i="2"/>
  <c r="O296" i="2" s="1"/>
  <c r="N297" i="2"/>
  <c r="O297" i="2" s="1"/>
  <c r="N298" i="2"/>
  <c r="O298" i="2" s="1"/>
  <c r="N299" i="2"/>
  <c r="O299" i="2" s="1"/>
  <c r="N300" i="2"/>
  <c r="O300" i="2" s="1"/>
  <c r="N301" i="2"/>
  <c r="O301" i="2" s="1"/>
  <c r="N302" i="2"/>
  <c r="O302" i="2" s="1"/>
  <c r="N303" i="2"/>
  <c r="O303" i="2" s="1"/>
  <c r="N304" i="2"/>
  <c r="O304" i="2" s="1"/>
  <c r="N305" i="2"/>
  <c r="O305" i="2" s="1"/>
  <c r="N306" i="2"/>
  <c r="O306" i="2" s="1"/>
  <c r="N307" i="2"/>
  <c r="O307" i="2" s="1"/>
  <c r="N308" i="2"/>
  <c r="O308" i="2" s="1"/>
  <c r="N309" i="2"/>
  <c r="O309" i="2" s="1"/>
  <c r="N310" i="2"/>
  <c r="O310" i="2" s="1"/>
  <c r="N311" i="2"/>
  <c r="O311" i="2" s="1"/>
  <c r="N312" i="2"/>
  <c r="O312" i="2" s="1"/>
  <c r="N313" i="2"/>
  <c r="O313" i="2" s="1"/>
  <c r="N314" i="2"/>
  <c r="O314" i="2" s="1"/>
  <c r="N315" i="2"/>
  <c r="O315" i="2" s="1"/>
  <c r="N316" i="2"/>
  <c r="O316" i="2" s="1"/>
  <c r="N317" i="2"/>
  <c r="O317" i="2" s="1"/>
  <c r="N318" i="2"/>
  <c r="O318" i="2" s="1"/>
  <c r="N319" i="2"/>
  <c r="O319" i="2" s="1"/>
  <c r="N320" i="2"/>
  <c r="O320" i="2" s="1"/>
  <c r="N321" i="2"/>
  <c r="O321" i="2" s="1"/>
  <c r="N322" i="2"/>
  <c r="O322" i="2" s="1"/>
  <c r="N323" i="2"/>
  <c r="O323" i="2" s="1"/>
  <c r="N324" i="2"/>
  <c r="O324" i="2" s="1"/>
  <c r="N325" i="2"/>
  <c r="O325" i="2" s="1"/>
  <c r="N326" i="2"/>
  <c r="O326" i="2" s="1"/>
  <c r="N327" i="2"/>
  <c r="O327" i="2" s="1"/>
  <c r="N328" i="2"/>
  <c r="O328" i="2" s="1"/>
  <c r="N329" i="2"/>
  <c r="O329" i="2" s="1"/>
  <c r="N330" i="2"/>
  <c r="O330" i="2" s="1"/>
  <c r="N331" i="2"/>
  <c r="O331" i="2" s="1"/>
  <c r="N332" i="2"/>
  <c r="O332" i="2" s="1"/>
  <c r="N333" i="2"/>
  <c r="O333" i="2" s="1"/>
  <c r="N334" i="2"/>
  <c r="O334" i="2" s="1"/>
  <c r="N335" i="2"/>
  <c r="O335" i="2" s="1"/>
  <c r="N336" i="2"/>
  <c r="O336" i="2" s="1"/>
  <c r="N337" i="2"/>
  <c r="O337" i="2" s="1"/>
  <c r="N338" i="2"/>
  <c r="O338" i="2" s="1"/>
  <c r="N339" i="2"/>
  <c r="O339" i="2" s="1"/>
  <c r="N340" i="2"/>
  <c r="O340" i="2" s="1"/>
  <c r="N341" i="2"/>
  <c r="O341" i="2" s="1"/>
  <c r="N342" i="2"/>
  <c r="O342" i="2" s="1"/>
  <c r="N343" i="2"/>
  <c r="O343" i="2" s="1"/>
  <c r="N344" i="2"/>
  <c r="O344" i="2" s="1"/>
  <c r="N345" i="2"/>
  <c r="O345" i="2" s="1"/>
  <c r="N346" i="2"/>
  <c r="O346" i="2" s="1"/>
  <c r="N347" i="2"/>
  <c r="O347" i="2" s="1"/>
  <c r="N348" i="2"/>
  <c r="O348" i="2" s="1"/>
  <c r="N349" i="2"/>
  <c r="O349" i="2" s="1"/>
  <c r="N350" i="2"/>
  <c r="O350" i="2" s="1"/>
  <c r="N351" i="2"/>
  <c r="O351" i="2" s="1"/>
  <c r="N352" i="2"/>
  <c r="O352" i="2" s="1"/>
  <c r="N353" i="2"/>
  <c r="O353" i="2" s="1"/>
  <c r="N354" i="2"/>
  <c r="O354" i="2" s="1"/>
  <c r="N355" i="2"/>
  <c r="O355" i="2" s="1"/>
  <c r="N356" i="2"/>
  <c r="O356" i="2" s="1"/>
  <c r="N357" i="2"/>
  <c r="O357" i="2" s="1"/>
  <c r="N358" i="2"/>
  <c r="O358" i="2" s="1"/>
  <c r="N359" i="2"/>
  <c r="O359" i="2" s="1"/>
  <c r="N360" i="2"/>
  <c r="O360" i="2" s="1"/>
  <c r="N361" i="2"/>
  <c r="O361" i="2" s="1"/>
  <c r="N362" i="2"/>
  <c r="O362" i="2" s="1"/>
  <c r="N363" i="2"/>
  <c r="O363" i="2" s="1"/>
  <c r="N364" i="2"/>
  <c r="O364" i="2" s="1"/>
  <c r="N365" i="2"/>
  <c r="O365" i="2" s="1"/>
  <c r="N366" i="2"/>
  <c r="O366" i="2" s="1"/>
  <c r="N367" i="2"/>
  <c r="O367" i="2" s="1"/>
  <c r="N368" i="2"/>
  <c r="O368" i="2" s="1"/>
  <c r="N369" i="2"/>
  <c r="O369" i="2" s="1"/>
  <c r="N370" i="2"/>
  <c r="O370" i="2" s="1"/>
  <c r="N371" i="2"/>
  <c r="O371" i="2" s="1"/>
  <c r="N372" i="2"/>
  <c r="O372" i="2" s="1"/>
  <c r="N373" i="2"/>
  <c r="O373" i="2" s="1"/>
  <c r="N374" i="2"/>
  <c r="O374" i="2" s="1"/>
  <c r="N375" i="2"/>
  <c r="O375" i="2" s="1"/>
  <c r="N376" i="2"/>
  <c r="O376" i="2" s="1"/>
  <c r="N377" i="2"/>
  <c r="O377" i="2" s="1"/>
  <c r="N378" i="2"/>
  <c r="O378" i="2" s="1"/>
  <c r="N379" i="2"/>
  <c r="O379" i="2" s="1"/>
  <c r="N380" i="2"/>
  <c r="O380" i="2" s="1"/>
  <c r="N381" i="2"/>
  <c r="O381" i="2" s="1"/>
  <c r="N382" i="2"/>
  <c r="O382" i="2" s="1"/>
  <c r="N383" i="2"/>
  <c r="O383" i="2" s="1"/>
  <c r="N384" i="2"/>
  <c r="O384" i="2" s="1"/>
  <c r="N385" i="2"/>
  <c r="O385" i="2" s="1"/>
  <c r="N386" i="2"/>
  <c r="O386" i="2" s="1"/>
  <c r="N387" i="2"/>
  <c r="O387" i="2" s="1"/>
  <c r="N388" i="2"/>
  <c r="O388" i="2" s="1"/>
  <c r="N389" i="2"/>
  <c r="O389" i="2" s="1"/>
  <c r="N390" i="2"/>
  <c r="O390" i="2" s="1"/>
  <c r="N391" i="2"/>
  <c r="O391" i="2" s="1"/>
  <c r="N392" i="2"/>
  <c r="O392" i="2" s="1"/>
  <c r="N393" i="2"/>
  <c r="O393" i="2" s="1"/>
  <c r="N394" i="2"/>
  <c r="O394" i="2" s="1"/>
  <c r="N395" i="2"/>
  <c r="O395" i="2" s="1"/>
  <c r="N396" i="2"/>
  <c r="O396" i="2" s="1"/>
  <c r="N397" i="2"/>
  <c r="O397" i="2" s="1"/>
  <c r="N398" i="2"/>
  <c r="O398" i="2" s="1"/>
  <c r="N399" i="2"/>
  <c r="O399" i="2" s="1"/>
  <c r="N400" i="2"/>
  <c r="O400" i="2" s="1"/>
  <c r="N401" i="2"/>
  <c r="O401" i="2" s="1"/>
  <c r="N402" i="2"/>
  <c r="O402" i="2" s="1"/>
  <c r="N403" i="2"/>
  <c r="O403" i="2" s="1"/>
  <c r="N404" i="2"/>
  <c r="O404" i="2" s="1"/>
  <c r="N405" i="2"/>
  <c r="O405" i="2" s="1"/>
  <c r="N406" i="2"/>
  <c r="O406" i="2" s="1"/>
  <c r="N407" i="2"/>
  <c r="O407" i="2" s="1"/>
  <c r="N408" i="2"/>
  <c r="O408" i="2" s="1"/>
  <c r="N409" i="2"/>
  <c r="O409" i="2" s="1"/>
  <c r="N410" i="2"/>
  <c r="O410" i="2" s="1"/>
  <c r="N411" i="2"/>
  <c r="O411" i="2" s="1"/>
  <c r="N412" i="2"/>
  <c r="O412" i="2" s="1"/>
  <c r="N413" i="2"/>
  <c r="O413" i="2" s="1"/>
  <c r="N414" i="2"/>
  <c r="O414" i="2" s="1"/>
  <c r="N415" i="2"/>
  <c r="O415" i="2" s="1"/>
  <c r="N416" i="2"/>
  <c r="O416" i="2" s="1"/>
  <c r="N417" i="2"/>
  <c r="O417" i="2" s="1"/>
  <c r="N418" i="2"/>
  <c r="O418" i="2" s="1"/>
  <c r="N419" i="2"/>
  <c r="O419" i="2" s="1"/>
  <c r="N420" i="2"/>
  <c r="O420" i="2" s="1"/>
  <c r="N421" i="2"/>
  <c r="O421" i="2" s="1"/>
  <c r="N422" i="2"/>
  <c r="O422" i="2" s="1"/>
  <c r="N423" i="2"/>
  <c r="O423" i="2" s="1"/>
  <c r="N424" i="2"/>
  <c r="O424" i="2" s="1"/>
  <c r="N425" i="2"/>
  <c r="O425" i="2" s="1"/>
  <c r="N426" i="2"/>
  <c r="O426" i="2" s="1"/>
  <c r="N427" i="2"/>
  <c r="O427" i="2" s="1"/>
  <c r="N428" i="2"/>
  <c r="O428" i="2" s="1"/>
  <c r="N429" i="2"/>
  <c r="O429" i="2" s="1"/>
  <c r="N430" i="2"/>
  <c r="O430" i="2" s="1"/>
  <c r="N431" i="2"/>
  <c r="O431" i="2" s="1"/>
  <c r="N432" i="2"/>
  <c r="O432" i="2" s="1"/>
  <c r="N433" i="2"/>
  <c r="O433" i="2" s="1"/>
  <c r="N434" i="2"/>
  <c r="O434" i="2" s="1"/>
  <c r="N435" i="2"/>
  <c r="O435" i="2" s="1"/>
  <c r="N436" i="2"/>
  <c r="O436" i="2" s="1"/>
  <c r="N437" i="2"/>
  <c r="O437" i="2" s="1"/>
  <c r="N438" i="2"/>
  <c r="O438" i="2" s="1"/>
  <c r="N439" i="2"/>
  <c r="O439" i="2" s="1"/>
  <c r="N440" i="2"/>
  <c r="O440" i="2" s="1"/>
  <c r="N441" i="2"/>
  <c r="O441" i="2" s="1"/>
  <c r="N442" i="2"/>
  <c r="O442" i="2" s="1"/>
  <c r="N443" i="2"/>
  <c r="O443" i="2" s="1"/>
  <c r="N444" i="2"/>
  <c r="O444" i="2" s="1"/>
  <c r="N445" i="2"/>
  <c r="O445" i="2" s="1"/>
  <c r="N446" i="2"/>
  <c r="O446" i="2" s="1"/>
  <c r="N447" i="2"/>
  <c r="O447" i="2" s="1"/>
  <c r="N448" i="2"/>
  <c r="O448" i="2" s="1"/>
  <c r="N449" i="2"/>
  <c r="O449" i="2" s="1"/>
  <c r="N450" i="2"/>
  <c r="O450" i="2" s="1"/>
  <c r="N451" i="2"/>
  <c r="O451" i="2" s="1"/>
  <c r="N452" i="2"/>
  <c r="O452" i="2" s="1"/>
  <c r="N453" i="2"/>
  <c r="O453" i="2" s="1"/>
  <c r="N454" i="2"/>
  <c r="O454" i="2" s="1"/>
  <c r="N455" i="2"/>
  <c r="O455" i="2" s="1"/>
  <c r="N456" i="2"/>
  <c r="O456" i="2" s="1"/>
  <c r="N457" i="2"/>
  <c r="O457" i="2" s="1"/>
  <c r="N458" i="2"/>
  <c r="O458" i="2" s="1"/>
  <c r="N459" i="2"/>
  <c r="O459" i="2" s="1"/>
  <c r="N460" i="2"/>
  <c r="O460" i="2" s="1"/>
  <c r="N461" i="2"/>
  <c r="O461" i="2" s="1"/>
  <c r="N462" i="2"/>
  <c r="O462" i="2" s="1"/>
  <c r="N463" i="2"/>
  <c r="O463" i="2" s="1"/>
  <c r="N464" i="2"/>
  <c r="O464" i="2" s="1"/>
  <c r="N465" i="2"/>
  <c r="O465" i="2" s="1"/>
  <c r="N466" i="2"/>
  <c r="O466" i="2" s="1"/>
  <c r="N467" i="2"/>
  <c r="O467" i="2" s="1"/>
  <c r="N468" i="2"/>
  <c r="O468" i="2" s="1"/>
  <c r="N469" i="2"/>
  <c r="O469" i="2" s="1"/>
  <c r="N470" i="2"/>
  <c r="O470" i="2" s="1"/>
  <c r="N471" i="2"/>
  <c r="O471" i="2" s="1"/>
  <c r="N472" i="2"/>
  <c r="O472" i="2" s="1"/>
  <c r="N473" i="2"/>
  <c r="O473" i="2" s="1"/>
  <c r="N474" i="2"/>
  <c r="O474" i="2" s="1"/>
  <c r="N475" i="2"/>
  <c r="O475" i="2" s="1"/>
  <c r="N476" i="2"/>
  <c r="O476" i="2" s="1"/>
  <c r="N477" i="2"/>
  <c r="O477" i="2" s="1"/>
  <c r="N478" i="2"/>
  <c r="O478" i="2" s="1"/>
  <c r="N479" i="2"/>
  <c r="O479" i="2" s="1"/>
  <c r="N480" i="2"/>
  <c r="O480" i="2" s="1"/>
  <c r="N481" i="2"/>
  <c r="O481" i="2" s="1"/>
  <c r="N482" i="2"/>
  <c r="O482" i="2" s="1"/>
  <c r="N483" i="2"/>
  <c r="O483" i="2" s="1"/>
  <c r="N484" i="2"/>
  <c r="O484" i="2" s="1"/>
  <c r="N485" i="2"/>
  <c r="O485" i="2" s="1"/>
  <c r="N486" i="2"/>
  <c r="O486" i="2" s="1"/>
  <c r="N487" i="2"/>
  <c r="O487" i="2" s="1"/>
  <c r="N488" i="2"/>
  <c r="O488" i="2" s="1"/>
  <c r="N489" i="2"/>
  <c r="O489" i="2" s="1"/>
  <c r="N490" i="2"/>
  <c r="O490" i="2" s="1"/>
  <c r="N491" i="2"/>
  <c r="O491" i="2" s="1"/>
  <c r="N492" i="2"/>
  <c r="O492" i="2" s="1"/>
  <c r="N493" i="2"/>
  <c r="O493" i="2" s="1"/>
  <c r="N494" i="2"/>
  <c r="O494" i="2" s="1"/>
  <c r="N495" i="2"/>
  <c r="O495" i="2" s="1"/>
  <c r="N496" i="2"/>
  <c r="O496" i="2" s="1"/>
  <c r="N497" i="2"/>
  <c r="O497" i="2" s="1"/>
  <c r="N498" i="2"/>
  <c r="O498" i="2" s="1"/>
  <c r="N499" i="2"/>
  <c r="O499" i="2" s="1"/>
  <c r="N500" i="2"/>
  <c r="O500" i="2" s="1"/>
  <c r="N501" i="2"/>
  <c r="O501" i="2" s="1"/>
  <c r="N502" i="2"/>
  <c r="O502" i="2" s="1"/>
  <c r="N503" i="2"/>
  <c r="O503" i="2" s="1"/>
  <c r="N504" i="2"/>
  <c r="O504" i="2" s="1"/>
  <c r="N505" i="2"/>
  <c r="O505" i="2" s="1"/>
  <c r="N506" i="2"/>
  <c r="O506" i="2" s="1"/>
  <c r="N507" i="2"/>
  <c r="O507" i="2" s="1"/>
  <c r="N508" i="2"/>
  <c r="O508" i="2" s="1"/>
  <c r="N509" i="2"/>
  <c r="O509" i="2" s="1"/>
  <c r="N510" i="2"/>
  <c r="O510" i="2" s="1"/>
  <c r="N511" i="2"/>
  <c r="O511" i="2" s="1"/>
  <c r="N512" i="2"/>
  <c r="O512" i="2" s="1"/>
  <c r="N513" i="2"/>
  <c r="O513" i="2" s="1"/>
  <c r="N514" i="2"/>
  <c r="O514" i="2" s="1"/>
  <c r="N515" i="2"/>
  <c r="O515" i="2" s="1"/>
  <c r="N516" i="2"/>
  <c r="O516" i="2" s="1"/>
  <c r="N517" i="2"/>
  <c r="O517" i="2" s="1"/>
  <c r="N518" i="2"/>
  <c r="O518" i="2" s="1"/>
  <c r="N519" i="2"/>
  <c r="O519" i="2" s="1"/>
  <c r="N520" i="2"/>
  <c r="O520" i="2" s="1"/>
  <c r="N521" i="2"/>
  <c r="O521" i="2" s="1"/>
  <c r="N522" i="2"/>
  <c r="O522" i="2" s="1"/>
  <c r="N523" i="2"/>
  <c r="O523" i="2" s="1"/>
  <c r="N524" i="2"/>
  <c r="O524" i="2" s="1"/>
  <c r="N525" i="2"/>
  <c r="O525" i="2" s="1"/>
  <c r="N526" i="2"/>
  <c r="O526" i="2" s="1"/>
  <c r="N527" i="2"/>
  <c r="O527" i="2" s="1"/>
  <c r="N528" i="2"/>
  <c r="O528" i="2" s="1"/>
  <c r="N529" i="2"/>
  <c r="O529" i="2" s="1"/>
  <c r="N530" i="2"/>
  <c r="O530" i="2" s="1"/>
  <c r="N531" i="2"/>
  <c r="O531" i="2" s="1"/>
  <c r="N532" i="2"/>
  <c r="O532" i="2" s="1"/>
  <c r="N533" i="2"/>
  <c r="O533" i="2" s="1"/>
  <c r="N534" i="2"/>
  <c r="O534" i="2" s="1"/>
  <c r="N535" i="2"/>
  <c r="O535" i="2" s="1"/>
  <c r="N536" i="2"/>
  <c r="O536" i="2" s="1"/>
  <c r="N537" i="2"/>
  <c r="O537" i="2" s="1"/>
  <c r="N538" i="2"/>
  <c r="O538" i="2" s="1"/>
  <c r="N539" i="2"/>
  <c r="O539" i="2" s="1"/>
  <c r="N540" i="2"/>
  <c r="O540" i="2" s="1"/>
  <c r="N541" i="2"/>
  <c r="O541" i="2" s="1"/>
  <c r="N542" i="2"/>
  <c r="O542" i="2" s="1"/>
  <c r="N543" i="2"/>
  <c r="O543" i="2" s="1"/>
  <c r="N544" i="2"/>
  <c r="O544" i="2" s="1"/>
  <c r="N545" i="2"/>
  <c r="O545" i="2" s="1"/>
  <c r="N546" i="2"/>
  <c r="O546" i="2" s="1"/>
  <c r="N547" i="2"/>
  <c r="O547" i="2" s="1"/>
  <c r="N548" i="2"/>
  <c r="O548" i="2" s="1"/>
  <c r="N549" i="2"/>
  <c r="O549" i="2" s="1"/>
  <c r="N550" i="2"/>
  <c r="O550" i="2" s="1"/>
  <c r="N551" i="2"/>
  <c r="O551" i="2" s="1"/>
  <c r="N552" i="2"/>
  <c r="O552" i="2" s="1"/>
  <c r="N553" i="2"/>
  <c r="O553" i="2" s="1"/>
  <c r="N554" i="2"/>
  <c r="O554" i="2" s="1"/>
  <c r="N555" i="2"/>
  <c r="O555" i="2" s="1"/>
  <c r="N556" i="2"/>
  <c r="O556" i="2" s="1"/>
  <c r="N557" i="2"/>
  <c r="O557" i="2" s="1"/>
  <c r="N558" i="2"/>
  <c r="O558" i="2" s="1"/>
  <c r="N559" i="2"/>
  <c r="O559" i="2" s="1"/>
  <c r="N560" i="2"/>
  <c r="O560" i="2" s="1"/>
  <c r="N561" i="2"/>
  <c r="O561" i="2" s="1"/>
  <c r="N562" i="2"/>
  <c r="O562" i="2" s="1"/>
  <c r="N563" i="2"/>
  <c r="O563" i="2" s="1"/>
  <c r="N564" i="2"/>
  <c r="O564" i="2" s="1"/>
  <c r="N565" i="2"/>
  <c r="O565" i="2" s="1"/>
  <c r="N566" i="2"/>
  <c r="O566" i="2" s="1"/>
  <c r="N567" i="2"/>
  <c r="O567" i="2" s="1"/>
  <c r="N568" i="2"/>
  <c r="O568" i="2" s="1"/>
  <c r="N569" i="2"/>
  <c r="O569" i="2" s="1"/>
  <c r="N570" i="2"/>
  <c r="O570" i="2" s="1"/>
  <c r="N571" i="2"/>
  <c r="O571" i="2" s="1"/>
  <c r="N572" i="2"/>
  <c r="O572" i="2" s="1"/>
  <c r="N573" i="2"/>
  <c r="O573" i="2" s="1"/>
  <c r="N574" i="2"/>
  <c r="O574" i="2" s="1"/>
  <c r="N575" i="2"/>
  <c r="O575" i="2" s="1"/>
  <c r="N576" i="2"/>
  <c r="O576" i="2" s="1"/>
  <c r="N577" i="2"/>
  <c r="O577" i="2" s="1"/>
  <c r="N578" i="2"/>
  <c r="O578" i="2" s="1"/>
  <c r="N579" i="2"/>
  <c r="O579" i="2" s="1"/>
  <c r="N580" i="2"/>
  <c r="O580" i="2" s="1"/>
  <c r="N581" i="2"/>
  <c r="O581" i="2" s="1"/>
  <c r="N582" i="2"/>
  <c r="O582" i="2" s="1"/>
  <c r="N583" i="2"/>
  <c r="O583" i="2" s="1"/>
  <c r="N584" i="2"/>
  <c r="O584" i="2" s="1"/>
  <c r="N585" i="2"/>
  <c r="O585" i="2" s="1"/>
  <c r="N586" i="2"/>
  <c r="O586" i="2" s="1"/>
  <c r="N587" i="2"/>
  <c r="O587" i="2" s="1"/>
  <c r="N588" i="2"/>
  <c r="O588" i="2" s="1"/>
  <c r="N589" i="2"/>
  <c r="O589" i="2" s="1"/>
  <c r="N590" i="2"/>
  <c r="O590" i="2" s="1"/>
  <c r="N591" i="2"/>
  <c r="O591" i="2" s="1"/>
  <c r="N592" i="2"/>
  <c r="O592" i="2" s="1"/>
  <c r="N593" i="2"/>
  <c r="O593" i="2" s="1"/>
  <c r="N594" i="2"/>
  <c r="O594" i="2" s="1"/>
  <c r="N595" i="2"/>
  <c r="O595" i="2" s="1"/>
  <c r="N596" i="2"/>
  <c r="O596" i="2" s="1"/>
  <c r="N597" i="2"/>
  <c r="O597" i="2" s="1"/>
  <c r="N598" i="2"/>
  <c r="O598" i="2" s="1"/>
  <c r="N599" i="2"/>
  <c r="O599" i="2" s="1"/>
  <c r="N600" i="2"/>
  <c r="O600" i="2" s="1"/>
  <c r="N601" i="2"/>
  <c r="O601" i="2" s="1"/>
  <c r="N602" i="2"/>
  <c r="O602" i="2" s="1"/>
  <c r="N603" i="2"/>
  <c r="O603" i="2" s="1"/>
  <c r="N604" i="2"/>
  <c r="O604" i="2" s="1"/>
  <c r="N605" i="2"/>
  <c r="O605" i="2" s="1"/>
  <c r="N606" i="2"/>
  <c r="O606" i="2" s="1"/>
  <c r="N607" i="2"/>
  <c r="O607" i="2" s="1"/>
  <c r="N608" i="2"/>
  <c r="O608" i="2" s="1"/>
  <c r="N609" i="2"/>
  <c r="O609" i="2" s="1"/>
  <c r="N610" i="2"/>
  <c r="O610" i="2" s="1"/>
  <c r="N611" i="2"/>
  <c r="O611" i="2" s="1"/>
  <c r="N612" i="2"/>
  <c r="O612" i="2" s="1"/>
  <c r="N613" i="2"/>
  <c r="O613" i="2" s="1"/>
  <c r="N614" i="2"/>
  <c r="O614" i="2" s="1"/>
  <c r="N615" i="2"/>
  <c r="O615" i="2" s="1"/>
  <c r="N616" i="2"/>
  <c r="O616" i="2" s="1"/>
  <c r="N617" i="2"/>
  <c r="O617" i="2" s="1"/>
  <c r="N618" i="2"/>
  <c r="O618" i="2" s="1"/>
  <c r="N619" i="2"/>
  <c r="O619" i="2" s="1"/>
  <c r="N620" i="2"/>
  <c r="O620" i="2" s="1"/>
  <c r="N621" i="2"/>
  <c r="O621" i="2" s="1"/>
  <c r="N622" i="2"/>
  <c r="O622" i="2" s="1"/>
  <c r="N623" i="2"/>
  <c r="O623" i="2" s="1"/>
  <c r="N624" i="2"/>
  <c r="O624" i="2" s="1"/>
  <c r="N625" i="2"/>
  <c r="O625" i="2" s="1"/>
  <c r="N626" i="2"/>
  <c r="O626" i="2" s="1"/>
  <c r="N627" i="2"/>
  <c r="O627" i="2" s="1"/>
  <c r="N628" i="2"/>
  <c r="O628" i="2" s="1"/>
  <c r="N629" i="2"/>
  <c r="O629" i="2" s="1"/>
  <c r="N630" i="2"/>
  <c r="O630" i="2" s="1"/>
  <c r="N631" i="2"/>
  <c r="O631" i="2" s="1"/>
  <c r="N632" i="2"/>
  <c r="O632" i="2" s="1"/>
  <c r="N633" i="2"/>
  <c r="O633" i="2" s="1"/>
  <c r="N634" i="2"/>
  <c r="O634" i="2" s="1"/>
  <c r="N635" i="2"/>
  <c r="O635" i="2" s="1"/>
  <c r="N636" i="2"/>
  <c r="O636" i="2" s="1"/>
  <c r="N637" i="2"/>
  <c r="O637" i="2" s="1"/>
  <c r="N638" i="2"/>
  <c r="O638" i="2" s="1"/>
  <c r="N639" i="2"/>
  <c r="O639" i="2" s="1"/>
  <c r="N640" i="2"/>
  <c r="O640" i="2" s="1"/>
  <c r="N641" i="2"/>
  <c r="O641" i="2" s="1"/>
  <c r="N642" i="2"/>
  <c r="O642" i="2" s="1"/>
  <c r="N643" i="2"/>
  <c r="O643" i="2" s="1"/>
  <c r="N644" i="2"/>
  <c r="O644" i="2" s="1"/>
  <c r="N645" i="2"/>
  <c r="O645" i="2" s="1"/>
  <c r="N646" i="2"/>
  <c r="O646" i="2" s="1"/>
  <c r="N647" i="2"/>
  <c r="O647" i="2" s="1"/>
  <c r="N648" i="2"/>
  <c r="O648" i="2" s="1"/>
  <c r="N649" i="2"/>
  <c r="O649" i="2" s="1"/>
  <c r="N650" i="2"/>
  <c r="O650" i="2" s="1"/>
  <c r="N651" i="2"/>
  <c r="O651" i="2" s="1"/>
  <c r="N652" i="2"/>
  <c r="O652" i="2" s="1"/>
  <c r="N653" i="2"/>
  <c r="O653" i="2" s="1"/>
  <c r="N654" i="2"/>
  <c r="O654" i="2" s="1"/>
  <c r="N655" i="2"/>
  <c r="O655" i="2" s="1"/>
  <c r="N656" i="2"/>
  <c r="O656" i="2" s="1"/>
  <c r="N657" i="2"/>
  <c r="O657" i="2" s="1"/>
  <c r="N658" i="2"/>
  <c r="O658" i="2" s="1"/>
  <c r="N659" i="2"/>
  <c r="O659" i="2" s="1"/>
  <c r="N660" i="2"/>
  <c r="O660" i="2" s="1"/>
  <c r="N661" i="2"/>
  <c r="O661" i="2" s="1"/>
  <c r="N662" i="2"/>
  <c r="O662" i="2" s="1"/>
  <c r="N663" i="2"/>
  <c r="O663" i="2" s="1"/>
  <c r="N664" i="2"/>
  <c r="O664" i="2" s="1"/>
  <c r="N665" i="2"/>
  <c r="O665" i="2" s="1"/>
  <c r="N666" i="2"/>
  <c r="O666" i="2" s="1"/>
  <c r="N667" i="2"/>
  <c r="O667" i="2" s="1"/>
  <c r="N668" i="2"/>
  <c r="O668" i="2" s="1"/>
  <c r="N669" i="2"/>
  <c r="O669" i="2" s="1"/>
  <c r="N670" i="2"/>
  <c r="O670" i="2" s="1"/>
  <c r="N671" i="2"/>
  <c r="O671" i="2" s="1"/>
  <c r="N672" i="2"/>
  <c r="O672" i="2" s="1"/>
  <c r="N673" i="2"/>
  <c r="O673" i="2" s="1"/>
  <c r="N674" i="2"/>
  <c r="O674" i="2" s="1"/>
  <c r="N675" i="2"/>
  <c r="O675" i="2" s="1"/>
  <c r="N676" i="2"/>
  <c r="O676" i="2" s="1"/>
  <c r="N677" i="2"/>
  <c r="O677" i="2" s="1"/>
  <c r="N678" i="2"/>
  <c r="O678" i="2" s="1"/>
  <c r="N679" i="2"/>
  <c r="O679" i="2" s="1"/>
  <c r="N680" i="2"/>
  <c r="O680" i="2" s="1"/>
  <c r="N681" i="2"/>
  <c r="O681" i="2" s="1"/>
  <c r="N682" i="2"/>
  <c r="O682" i="2" s="1"/>
  <c r="N683" i="2"/>
  <c r="O683" i="2" s="1"/>
  <c r="N684" i="2"/>
  <c r="O684" i="2" s="1"/>
  <c r="N685" i="2"/>
  <c r="O685" i="2" s="1"/>
  <c r="N686" i="2"/>
  <c r="O686" i="2" s="1"/>
  <c r="N687" i="2"/>
  <c r="O687" i="2" s="1"/>
  <c r="N688" i="2"/>
  <c r="O688" i="2" s="1"/>
  <c r="N689" i="2"/>
  <c r="O689" i="2" s="1"/>
  <c r="N690" i="2"/>
  <c r="O690" i="2" s="1"/>
  <c r="N691" i="2"/>
  <c r="O691" i="2" s="1"/>
  <c r="N692" i="2"/>
  <c r="O692" i="2" s="1"/>
  <c r="N693" i="2"/>
  <c r="O693" i="2" s="1"/>
  <c r="N694" i="2"/>
  <c r="O694" i="2" s="1"/>
  <c r="N695" i="2"/>
  <c r="O695" i="2" s="1"/>
  <c r="N696" i="2"/>
  <c r="O696" i="2" s="1"/>
  <c r="N697" i="2"/>
  <c r="O697" i="2" s="1"/>
  <c r="N698" i="2"/>
  <c r="O698" i="2" s="1"/>
  <c r="N699" i="2"/>
  <c r="O699" i="2" s="1"/>
  <c r="N700" i="2"/>
  <c r="O700" i="2" s="1"/>
  <c r="N701" i="2"/>
  <c r="O701" i="2" s="1"/>
  <c r="N702" i="2"/>
  <c r="O702" i="2" s="1"/>
  <c r="N703" i="2"/>
  <c r="O703" i="2" s="1"/>
  <c r="N704" i="2"/>
  <c r="O704" i="2" s="1"/>
  <c r="N705" i="2"/>
  <c r="O705" i="2" s="1"/>
  <c r="N706" i="2"/>
  <c r="O706" i="2" s="1"/>
  <c r="N707" i="2"/>
  <c r="O707" i="2" s="1"/>
  <c r="N708" i="2"/>
  <c r="O708" i="2" s="1"/>
  <c r="N709" i="2"/>
  <c r="O709" i="2" s="1"/>
  <c r="N710" i="2"/>
  <c r="O710" i="2" s="1"/>
  <c r="N711" i="2"/>
  <c r="O711" i="2" s="1"/>
  <c r="N712" i="2"/>
  <c r="O712" i="2" s="1"/>
  <c r="N713" i="2"/>
  <c r="O713" i="2" s="1"/>
  <c r="N714" i="2"/>
  <c r="O714" i="2" s="1"/>
  <c r="N715" i="2"/>
  <c r="O715" i="2" s="1"/>
  <c r="N716" i="2"/>
  <c r="O716" i="2" s="1"/>
  <c r="N717" i="2"/>
  <c r="O717" i="2" s="1"/>
  <c r="N718" i="2"/>
  <c r="O718" i="2" s="1"/>
  <c r="N719" i="2"/>
  <c r="O719" i="2" s="1"/>
  <c r="N720" i="2"/>
  <c r="O720" i="2" s="1"/>
  <c r="N721" i="2"/>
  <c r="O721" i="2" s="1"/>
  <c r="N722" i="2"/>
  <c r="O722" i="2" s="1"/>
  <c r="N723" i="2"/>
  <c r="O723" i="2" s="1"/>
  <c r="N724" i="2"/>
  <c r="O724" i="2" s="1"/>
  <c r="N725" i="2"/>
  <c r="O725" i="2" s="1"/>
  <c r="N726" i="2"/>
  <c r="O726" i="2" s="1"/>
  <c r="N727" i="2"/>
  <c r="O727" i="2" s="1"/>
  <c r="N728" i="2"/>
  <c r="O728" i="2" s="1"/>
  <c r="N729" i="2"/>
  <c r="O729" i="2" s="1"/>
  <c r="N730" i="2"/>
  <c r="O730" i="2" s="1"/>
  <c r="N731" i="2"/>
  <c r="O731" i="2" s="1"/>
  <c r="N732" i="2"/>
  <c r="O732" i="2" s="1"/>
  <c r="N733" i="2"/>
  <c r="O733" i="2" s="1"/>
  <c r="N734" i="2"/>
  <c r="O734" i="2" s="1"/>
  <c r="N735" i="2"/>
  <c r="O735" i="2" s="1"/>
  <c r="N736" i="2"/>
  <c r="O736" i="2" s="1"/>
  <c r="N737" i="2"/>
  <c r="O737" i="2" s="1"/>
  <c r="N738" i="2"/>
  <c r="O738" i="2" s="1"/>
  <c r="N739" i="2"/>
  <c r="N740" i="2"/>
  <c r="O740" i="2" s="1"/>
  <c r="N741" i="2"/>
  <c r="O741" i="2" s="1"/>
  <c r="N742" i="2"/>
  <c r="O742" i="2" s="1"/>
  <c r="N743" i="2"/>
  <c r="N744" i="2"/>
  <c r="O744" i="2" s="1"/>
  <c r="N745" i="2"/>
  <c r="O745" i="2" s="1"/>
  <c r="N746" i="2"/>
  <c r="O746" i="2" s="1"/>
  <c r="N747" i="2"/>
  <c r="N748" i="2"/>
  <c r="N749" i="2"/>
  <c r="O749" i="2" s="1"/>
  <c r="N750" i="2"/>
  <c r="O750" i="2" s="1"/>
  <c r="N751" i="2"/>
  <c r="O751" i="2" s="1"/>
  <c r="N752" i="2"/>
  <c r="O752" i="2" s="1"/>
  <c r="N753" i="2"/>
  <c r="O753" i="2" s="1"/>
  <c r="N754" i="2"/>
  <c r="O754" i="2" s="1"/>
  <c r="N755" i="2"/>
  <c r="O755" i="2" s="1"/>
  <c r="N756" i="2"/>
  <c r="O756" i="2" s="1"/>
  <c r="N757" i="2"/>
  <c r="N758" i="2"/>
  <c r="O758" i="2" s="1"/>
  <c r="N759" i="2"/>
  <c r="N760" i="2"/>
  <c r="O760" i="2" s="1"/>
  <c r="N761" i="2"/>
  <c r="O761" i="2" s="1"/>
  <c r="N762" i="2"/>
  <c r="O762" i="2" s="1"/>
  <c r="N763" i="2"/>
  <c r="O763" i="2" s="1"/>
  <c r="N764" i="2"/>
  <c r="O764" i="2" s="1"/>
  <c r="N765" i="2"/>
  <c r="O765" i="2" s="1"/>
  <c r="N766" i="2"/>
  <c r="O766" i="2" s="1"/>
  <c r="N767" i="2"/>
  <c r="O767" i="2" s="1"/>
  <c r="N768" i="2"/>
  <c r="N769" i="2"/>
  <c r="O769" i="2" s="1"/>
  <c r="N770" i="2"/>
  <c r="O770" i="2" s="1"/>
  <c r="N771" i="2"/>
  <c r="O771" i="2" s="1"/>
  <c r="N772" i="2"/>
  <c r="N773" i="2"/>
  <c r="N774" i="2"/>
  <c r="O774" i="2" s="1"/>
  <c r="N775" i="2"/>
  <c r="O775" i="2" s="1"/>
  <c r="N776" i="2"/>
  <c r="N777" i="2"/>
  <c r="O777" i="2" s="1"/>
  <c r="N778" i="2"/>
  <c r="N779" i="2"/>
  <c r="O779" i="2" s="1"/>
  <c r="N780" i="2"/>
  <c r="N781" i="2"/>
  <c r="O781" i="2" s="1"/>
  <c r="N782" i="2"/>
  <c r="O782" i="2" s="1"/>
  <c r="N783" i="2"/>
  <c r="O783" i="2" s="1"/>
  <c r="N784" i="2"/>
  <c r="N785" i="2"/>
  <c r="O785" i="2" s="1"/>
  <c r="N786" i="2"/>
  <c r="O786" i="2" s="1"/>
  <c r="N787" i="2"/>
  <c r="N788" i="2"/>
  <c r="O788" i="2" s="1"/>
  <c r="N789" i="2"/>
  <c r="N790" i="2"/>
  <c r="O790" i="2" s="1"/>
  <c r="N791" i="2"/>
  <c r="O791" i="2" s="1"/>
  <c r="N792" i="2"/>
  <c r="O792" i="2" s="1"/>
  <c r="N793" i="2"/>
  <c r="O793" i="2" s="1"/>
  <c r="N794" i="2"/>
  <c r="O794" i="2" s="1"/>
  <c r="N795" i="2"/>
  <c r="O795" i="2" s="1"/>
  <c r="N796" i="2"/>
  <c r="O796" i="2" s="1"/>
  <c r="N797" i="2"/>
  <c r="O797" i="2" s="1"/>
  <c r="N798" i="2"/>
  <c r="O798" i="2" s="1"/>
  <c r="N799" i="2"/>
  <c r="O799" i="2" s="1"/>
  <c r="N800" i="2"/>
  <c r="O800" i="2" s="1"/>
  <c r="N801" i="2"/>
  <c r="O801" i="2" s="1"/>
  <c r="N802" i="2"/>
  <c r="O802" i="2" s="1"/>
  <c r="N803" i="2"/>
  <c r="O803" i="2" s="1"/>
  <c r="N804" i="2"/>
  <c r="O804" i="2" s="1"/>
  <c r="N805" i="2"/>
  <c r="N806" i="2"/>
  <c r="O806" i="2" s="1"/>
  <c r="N807" i="2"/>
  <c r="O807" i="2" s="1"/>
  <c r="N808" i="2"/>
  <c r="O808" i="2" s="1"/>
  <c r="N809" i="2"/>
  <c r="O809" i="2" s="1"/>
  <c r="N810" i="2"/>
  <c r="O810" i="2" s="1"/>
  <c r="N2" i="2"/>
  <c r="O2" i="2" s="1"/>
  <c r="B765" i="2"/>
  <c r="B786" i="2"/>
  <c r="A786" i="2"/>
  <c r="B800" i="2"/>
  <c r="C800" i="2"/>
  <c r="B767" i="2"/>
  <c r="B739" i="2"/>
  <c r="A738" i="2"/>
  <c r="B738" i="2"/>
  <c r="C738" i="2"/>
  <c r="A739" i="2"/>
  <c r="C739" i="2"/>
  <c r="A740" i="2"/>
  <c r="B740" i="2"/>
  <c r="C740" i="2"/>
  <c r="A741" i="2"/>
  <c r="B741" i="2"/>
  <c r="C741" i="2"/>
  <c r="A742" i="2"/>
  <c r="B742" i="2"/>
  <c r="C742" i="2"/>
  <c r="A743" i="2"/>
  <c r="B743" i="2"/>
  <c r="C743" i="2"/>
  <c r="A744" i="2"/>
  <c r="B744" i="2"/>
  <c r="C744" i="2"/>
  <c r="A745" i="2"/>
  <c r="B745" i="2"/>
  <c r="C745" i="2"/>
  <c r="A746" i="2"/>
  <c r="B746" i="2"/>
  <c r="C746" i="2"/>
  <c r="A747" i="2"/>
  <c r="B747" i="2"/>
  <c r="C747" i="2"/>
  <c r="A748" i="2"/>
  <c r="B748" i="2"/>
  <c r="C748" i="2"/>
  <c r="A749" i="2"/>
  <c r="B749" i="2"/>
  <c r="C749" i="2"/>
  <c r="A750" i="2"/>
  <c r="B750" i="2"/>
  <c r="C750" i="2"/>
  <c r="A751" i="2"/>
  <c r="B751" i="2"/>
  <c r="C751" i="2"/>
  <c r="A752" i="2"/>
  <c r="B752" i="2"/>
  <c r="C752" i="2"/>
  <c r="A753" i="2"/>
  <c r="B753" i="2"/>
  <c r="C753" i="2"/>
  <c r="A754" i="2"/>
  <c r="B754" i="2"/>
  <c r="C754" i="2"/>
  <c r="A755" i="2"/>
  <c r="B755" i="2"/>
  <c r="C755" i="2"/>
  <c r="A756" i="2"/>
  <c r="B756" i="2"/>
  <c r="C756" i="2"/>
  <c r="A757" i="2"/>
  <c r="B757" i="2"/>
  <c r="C757" i="2"/>
  <c r="A758" i="2"/>
  <c r="B758" i="2"/>
  <c r="C758" i="2"/>
  <c r="A759" i="2"/>
  <c r="B759" i="2"/>
  <c r="C759" i="2"/>
  <c r="A760" i="2"/>
  <c r="B760" i="2"/>
  <c r="C760" i="2"/>
  <c r="A761" i="2"/>
  <c r="B761" i="2"/>
  <c r="C761" i="2"/>
  <c r="A762" i="2"/>
  <c r="B762" i="2"/>
  <c r="C762" i="2"/>
  <c r="A763" i="2"/>
  <c r="B763" i="2"/>
  <c r="C763" i="2"/>
  <c r="A764" i="2"/>
  <c r="B764" i="2"/>
  <c r="C764" i="2"/>
  <c r="A765" i="2"/>
  <c r="C765" i="2"/>
  <c r="A766" i="2"/>
  <c r="B766" i="2"/>
  <c r="C766" i="2"/>
  <c r="A767" i="2"/>
  <c r="C767" i="2"/>
  <c r="A768" i="2"/>
  <c r="B768" i="2"/>
  <c r="C768" i="2"/>
  <c r="A769" i="2"/>
  <c r="B769" i="2"/>
  <c r="C769" i="2"/>
  <c r="A770" i="2"/>
  <c r="B770" i="2"/>
  <c r="C770" i="2"/>
  <c r="A771" i="2"/>
  <c r="B771" i="2"/>
  <c r="C771" i="2"/>
  <c r="A772" i="2"/>
  <c r="B772" i="2"/>
  <c r="C772" i="2"/>
  <c r="A773" i="2"/>
  <c r="B773" i="2"/>
  <c r="C773" i="2"/>
  <c r="A774" i="2"/>
  <c r="B774" i="2"/>
  <c r="C774" i="2"/>
  <c r="A775" i="2"/>
  <c r="B775" i="2"/>
  <c r="C775" i="2"/>
  <c r="A776" i="2"/>
  <c r="B776" i="2"/>
  <c r="C776" i="2"/>
  <c r="A777" i="2"/>
  <c r="B777" i="2"/>
  <c r="C777" i="2"/>
  <c r="A778" i="2"/>
  <c r="B778" i="2"/>
  <c r="C778" i="2"/>
  <c r="A779" i="2"/>
  <c r="B779" i="2"/>
  <c r="C779" i="2"/>
  <c r="A780" i="2"/>
  <c r="B780" i="2"/>
  <c r="C780" i="2"/>
  <c r="A781" i="2"/>
  <c r="B781" i="2"/>
  <c r="C781" i="2"/>
  <c r="A782" i="2"/>
  <c r="B782" i="2"/>
  <c r="C782" i="2"/>
  <c r="A783" i="2"/>
  <c r="B783" i="2"/>
  <c r="C783" i="2"/>
  <c r="A784" i="2"/>
  <c r="B784" i="2"/>
  <c r="C784" i="2"/>
  <c r="A785" i="2"/>
  <c r="B785" i="2"/>
  <c r="C785" i="2"/>
  <c r="C786" i="2"/>
  <c r="A787" i="2"/>
  <c r="B787" i="2"/>
  <c r="C787" i="2"/>
  <c r="A788" i="2"/>
  <c r="B788" i="2"/>
  <c r="C788" i="2"/>
  <c r="A789" i="2"/>
  <c r="B789" i="2"/>
  <c r="C789" i="2"/>
  <c r="A790" i="2"/>
  <c r="B790" i="2"/>
  <c r="C790" i="2"/>
  <c r="A791" i="2"/>
  <c r="B791" i="2"/>
  <c r="C791" i="2"/>
  <c r="A792" i="2"/>
  <c r="B792" i="2"/>
  <c r="C792" i="2"/>
  <c r="A793" i="2"/>
  <c r="B793" i="2"/>
  <c r="C793" i="2"/>
  <c r="A794" i="2"/>
  <c r="B794" i="2"/>
  <c r="C794" i="2"/>
  <c r="A795" i="2"/>
  <c r="B795" i="2"/>
  <c r="C795" i="2"/>
  <c r="A796" i="2"/>
  <c r="B796" i="2"/>
  <c r="C796" i="2"/>
  <c r="A797" i="2"/>
  <c r="B797" i="2"/>
  <c r="C797" i="2"/>
  <c r="A798" i="2"/>
  <c r="B798" i="2"/>
  <c r="C798" i="2"/>
  <c r="A799" i="2"/>
  <c r="B799" i="2"/>
  <c r="C799" i="2"/>
  <c r="A800" i="2"/>
  <c r="A801" i="2"/>
  <c r="B801" i="2"/>
  <c r="C801" i="2"/>
  <c r="A802" i="2"/>
  <c r="B802" i="2"/>
  <c r="C802" i="2"/>
  <c r="A803" i="2"/>
  <c r="B803" i="2"/>
  <c r="C803" i="2"/>
  <c r="A804" i="2"/>
  <c r="B804" i="2"/>
  <c r="C804" i="2"/>
  <c r="A805" i="2"/>
  <c r="B805" i="2"/>
  <c r="C805" i="2"/>
  <c r="A806" i="2"/>
  <c r="B806" i="2"/>
  <c r="C806" i="2"/>
  <c r="A807" i="2"/>
  <c r="B807" i="2"/>
  <c r="C807" i="2"/>
  <c r="A808" i="2"/>
  <c r="B808" i="2"/>
  <c r="C808" i="2"/>
  <c r="A809" i="2"/>
  <c r="B809" i="2"/>
  <c r="C809" i="2"/>
  <c r="A810" i="2"/>
  <c r="B810" i="2"/>
  <c r="C810" i="2"/>
  <c r="O787" i="2" l="1"/>
  <c r="O759" i="2"/>
  <c r="O743" i="2"/>
  <c r="P743" i="2" s="1"/>
  <c r="O739" i="2"/>
  <c r="O805" i="2"/>
  <c r="P805" i="2" s="1"/>
  <c r="O789" i="2"/>
  <c r="P789" i="2" s="1"/>
  <c r="O773" i="2"/>
  <c r="O784" i="2"/>
  <c r="P784" i="2" s="1"/>
  <c r="O780" i="2"/>
  <c r="O776" i="2"/>
  <c r="P776" i="2" s="1"/>
  <c r="O772" i="2"/>
  <c r="O768" i="2"/>
  <c r="P768" i="2" s="1"/>
  <c r="P810" i="2"/>
  <c r="P809" i="2"/>
  <c r="P801" i="2"/>
  <c r="P797" i="2"/>
  <c r="P793" i="2"/>
  <c r="P785" i="2"/>
  <c r="P781" i="2"/>
  <c r="P765" i="2"/>
  <c r="P749" i="2"/>
  <c r="P745" i="2"/>
  <c r="P757" i="2"/>
  <c r="P741" i="2"/>
  <c r="P764" i="2"/>
  <c r="P760" i="2"/>
  <c r="P756" i="2"/>
  <c r="P752" i="2"/>
  <c r="P748" i="2"/>
  <c r="P744" i="2"/>
  <c r="P740" i="2"/>
  <c r="P788" i="2"/>
  <c r="P769" i="2"/>
  <c r="P777" i="2"/>
  <c r="P753" i="2"/>
  <c r="P761" i="2"/>
  <c r="P806" i="2"/>
  <c r="P804" i="2"/>
  <c r="P802" i="2"/>
  <c r="P800" i="2"/>
  <c r="P799" i="2"/>
  <c r="P798" i="2"/>
  <c r="P796" i="2"/>
  <c r="P795" i="2"/>
  <c r="P794" i="2"/>
  <c r="P792" i="2"/>
  <c r="P791" i="2"/>
  <c r="P786" i="2"/>
  <c r="P808" i="2"/>
  <c r="P807" i="2"/>
  <c r="P803" i="2"/>
  <c r="P790" i="2"/>
  <c r="P755" i="2"/>
  <c r="P754" i="2"/>
  <c r="P783" i="2"/>
  <c r="P782" i="2"/>
  <c r="P775" i="2"/>
  <c r="P774" i="2"/>
  <c r="P767" i="2"/>
  <c r="P766" i="2"/>
  <c r="P746" i="2"/>
  <c r="P742" i="2"/>
  <c r="P738" i="2"/>
  <c r="P758" i="2"/>
  <c r="P751" i="2"/>
  <c r="P750" i="2"/>
  <c r="P779" i="2"/>
  <c r="P778" i="2"/>
  <c r="P771" i="2"/>
  <c r="P770" i="2"/>
  <c r="P763" i="2"/>
  <c r="P762" i="2"/>
  <c r="P739" i="2" l="1"/>
  <c r="P772" i="2"/>
  <c r="P780" i="2"/>
  <c r="P773" i="2"/>
  <c r="P759" i="2"/>
  <c r="P787" i="2"/>
  <c r="G501" i="4"/>
  <c r="G315" i="4"/>
  <c r="G324" i="4"/>
  <c r="G332" i="4"/>
  <c r="G342" i="4"/>
  <c r="G162" i="4"/>
  <c r="G135" i="4"/>
  <c r="G134" i="4"/>
  <c r="B137" i="2"/>
  <c r="B138" i="2"/>
  <c r="B136" i="2"/>
  <c r="C137" i="2"/>
  <c r="A137" i="2"/>
  <c r="P137" i="2" l="1"/>
  <c r="B736" i="2"/>
  <c r="A727" i="2"/>
  <c r="B727" i="2"/>
  <c r="C727" i="2"/>
  <c r="B725" i="2"/>
  <c r="B722" i="2"/>
  <c r="B720" i="2"/>
  <c r="B718" i="2"/>
  <c r="A718" i="2"/>
  <c r="C718" i="2"/>
  <c r="B717" i="2"/>
  <c r="B715" i="2"/>
  <c r="B714" i="2"/>
  <c r="B713" i="2"/>
  <c r="B711" i="2"/>
  <c r="B709" i="2"/>
  <c r="B708" i="2"/>
  <c r="B707" i="2"/>
  <c r="B705" i="2"/>
  <c r="B701" i="2"/>
  <c r="B697" i="2"/>
  <c r="B696" i="2"/>
  <c r="B693" i="2"/>
  <c r="B692" i="2"/>
  <c r="B690" i="2"/>
  <c r="B689" i="2"/>
  <c r="B688" i="2"/>
  <c r="B687" i="2"/>
  <c r="B686" i="2"/>
  <c r="B685" i="2"/>
  <c r="B682" i="2"/>
  <c r="B681" i="2"/>
  <c r="B680" i="2"/>
  <c r="B674" i="2"/>
  <c r="A674" i="2"/>
  <c r="C674" i="2"/>
  <c r="B673" i="2"/>
  <c r="B672" i="2"/>
  <c r="A672" i="2"/>
  <c r="C672" i="2"/>
  <c r="B671" i="2"/>
  <c r="B667" i="2"/>
  <c r="B666" i="2"/>
  <c r="B665" i="2"/>
  <c r="B664" i="2"/>
  <c r="A664" i="2"/>
  <c r="C664" i="2"/>
  <c r="B663" i="2"/>
  <c r="B661" i="2"/>
  <c r="B657" i="2"/>
  <c r="B656" i="2"/>
  <c r="P727" i="2" l="1"/>
  <c r="P718" i="2"/>
  <c r="P674" i="2"/>
  <c r="P672" i="2"/>
  <c r="P664" i="2"/>
  <c r="B643" i="2" l="1"/>
  <c r="B641" i="2"/>
  <c r="B630" i="2"/>
  <c r="B629" i="2"/>
  <c r="B625" i="2"/>
  <c r="B624" i="2"/>
  <c r="B616" i="2"/>
  <c r="B615" i="2"/>
  <c r="A615" i="2"/>
  <c r="C615" i="2"/>
  <c r="B614" i="2"/>
  <c r="B611" i="2"/>
  <c r="B606" i="2"/>
  <c r="B599" i="2"/>
  <c r="B597" i="2"/>
  <c r="B596" i="2"/>
  <c r="B595" i="2"/>
  <c r="B594" i="2"/>
  <c r="B593" i="2"/>
  <c r="B591" i="2"/>
  <c r="B590" i="2"/>
  <c r="B589" i="2"/>
  <c r="B584" i="2"/>
  <c r="B583" i="2"/>
  <c r="B581" i="2"/>
  <c r="B579" i="2"/>
  <c r="B571" i="2"/>
  <c r="B568" i="2"/>
  <c r="B563" i="2"/>
  <c r="B560" i="2"/>
  <c r="B559" i="2"/>
  <c r="B558" i="2"/>
  <c r="B557" i="2"/>
  <c r="B556" i="2"/>
  <c r="B549" i="2"/>
  <c r="B541" i="2"/>
  <c r="B539" i="2"/>
  <c r="B535" i="2"/>
  <c r="B534" i="2"/>
  <c r="B533" i="2"/>
  <c r="B530" i="2"/>
  <c r="B529" i="2"/>
  <c r="B526" i="2"/>
  <c r="B524" i="2"/>
  <c r="B523" i="2"/>
  <c r="B522" i="2"/>
  <c r="B521" i="2"/>
  <c r="B519" i="2"/>
  <c r="B517" i="2"/>
  <c r="C517" i="2"/>
  <c r="A517" i="2"/>
  <c r="B516" i="2"/>
  <c r="B515" i="2"/>
  <c r="B514" i="2"/>
  <c r="B513" i="2"/>
  <c r="B512" i="2"/>
  <c r="B511" i="2"/>
  <c r="B510" i="2"/>
  <c r="B509" i="2"/>
  <c r="B505" i="2"/>
  <c r="B503" i="2"/>
  <c r="B502" i="2"/>
  <c r="B501" i="2"/>
  <c r="B500" i="2"/>
  <c r="B493" i="2"/>
  <c r="B490" i="2"/>
  <c r="B481" i="2"/>
  <c r="A481" i="2"/>
  <c r="C481" i="2"/>
  <c r="B480" i="2"/>
  <c r="B467" i="2"/>
  <c r="A467" i="2"/>
  <c r="C467" i="2"/>
  <c r="B466" i="2"/>
  <c r="B457" i="2"/>
  <c r="B456" i="2"/>
  <c r="B454" i="2"/>
  <c r="B452" i="2"/>
  <c r="B451" i="2"/>
  <c r="B450" i="2"/>
  <c r="B449" i="2"/>
  <c r="B448" i="2"/>
  <c r="B447" i="2"/>
  <c r="B446" i="2"/>
  <c r="B444" i="2"/>
  <c r="B442" i="2"/>
  <c r="B441" i="2"/>
  <c r="B438" i="2"/>
  <c r="P467" i="2" l="1"/>
  <c r="P615" i="2"/>
  <c r="P517" i="2"/>
  <c r="P481" i="2"/>
  <c r="B437" i="2"/>
  <c r="B435" i="2"/>
  <c r="B434" i="2"/>
  <c r="B433" i="2"/>
  <c r="B432" i="2"/>
  <c r="B431" i="2"/>
  <c r="B429" i="2"/>
  <c r="B428" i="2"/>
  <c r="B427" i="2"/>
  <c r="B425" i="2"/>
  <c r="A425" i="2"/>
  <c r="C425" i="2"/>
  <c r="B424" i="2"/>
  <c r="B423" i="2"/>
  <c r="B422" i="2"/>
  <c r="B421" i="2"/>
  <c r="B416" i="2"/>
  <c r="A412" i="2"/>
  <c r="B412" i="2"/>
  <c r="C412" i="2"/>
  <c r="B413" i="2"/>
  <c r="B409" i="2"/>
  <c r="B406" i="2"/>
  <c r="B405" i="2"/>
  <c r="B404" i="2"/>
  <c r="B403" i="2"/>
  <c r="B402" i="2"/>
  <c r="A401" i="2"/>
  <c r="B401" i="2"/>
  <c r="C401" i="2"/>
  <c r="A169" i="2"/>
  <c r="A170" i="2"/>
  <c r="A391" i="2"/>
  <c r="A392" i="2"/>
  <c r="B400" i="2"/>
  <c r="B397" i="2"/>
  <c r="B396" i="2"/>
  <c r="B393" i="2"/>
  <c r="B391" i="2"/>
  <c r="C391" i="2"/>
  <c r="B389" i="2"/>
  <c r="B387" i="2"/>
  <c r="B385" i="2"/>
  <c r="B381" i="2"/>
  <c r="B380" i="2"/>
  <c r="B379" i="2"/>
  <c r="B377" i="2"/>
  <c r="B376" i="2"/>
  <c r="B374" i="2"/>
  <c r="B370" i="2"/>
  <c r="B365" i="2"/>
  <c r="B362" i="2"/>
  <c r="B361" i="2"/>
  <c r="B360" i="2"/>
  <c r="B356" i="2"/>
  <c r="B354" i="2"/>
  <c r="B353" i="2"/>
  <c r="B346" i="2"/>
  <c r="B344" i="2"/>
  <c r="B340" i="2"/>
  <c r="B338" i="2"/>
  <c r="B336" i="2"/>
  <c r="B335" i="2"/>
  <c r="B333" i="2"/>
  <c r="B331" i="2"/>
  <c r="B330" i="2"/>
  <c r="B329" i="2"/>
  <c r="B328" i="2"/>
  <c r="B326" i="2"/>
  <c r="B324" i="2"/>
  <c r="B323" i="2"/>
  <c r="B322" i="2"/>
  <c r="B321" i="2"/>
  <c r="B318" i="2"/>
  <c r="B315" i="2"/>
  <c r="B313" i="2"/>
  <c r="B312" i="2"/>
  <c r="B309" i="2"/>
  <c r="B308" i="2"/>
  <c r="B307" i="2"/>
  <c r="B304" i="2"/>
  <c r="B302" i="2"/>
  <c r="B301" i="2"/>
  <c r="B299" i="2"/>
  <c r="B295" i="2"/>
  <c r="B296" i="2"/>
  <c r="B294" i="2"/>
  <c r="B293" i="2"/>
  <c r="B277" i="2"/>
  <c r="B276" i="2"/>
  <c r="A267" i="2"/>
  <c r="B267" i="2"/>
  <c r="C267" i="2"/>
  <c r="B251" i="2"/>
  <c r="B250" i="2"/>
  <c r="B241" i="2"/>
  <c r="B237" i="2"/>
  <c r="B236" i="2"/>
  <c r="B226" i="2"/>
  <c r="B220" i="2"/>
  <c r="B217" i="2"/>
  <c r="B216" i="2"/>
  <c r="B213" i="2"/>
  <c r="B211" i="2"/>
  <c r="B210" i="2"/>
  <c r="B205" i="2"/>
  <c r="B204" i="2"/>
  <c r="B203" i="2"/>
  <c r="B199" i="2"/>
  <c r="B181" i="2"/>
  <c r="B180" i="2"/>
  <c r="B169" i="2"/>
  <c r="C169" i="2"/>
  <c r="B170" i="2"/>
  <c r="C170" i="2"/>
  <c r="B167" i="2"/>
  <c r="B166" i="2"/>
  <c r="B162" i="2"/>
  <c r="B159" i="2"/>
  <c r="B158" i="2"/>
  <c r="B143" i="2"/>
  <c r="P401" i="2" l="1"/>
  <c r="P412" i="2"/>
  <c r="P425" i="2"/>
  <c r="P391" i="2"/>
  <c r="P267" i="2"/>
  <c r="P170" i="2"/>
  <c r="P169" i="2"/>
  <c r="B131" i="2" l="1"/>
  <c r="B120" i="2"/>
  <c r="B119" i="2"/>
  <c r="B81" i="2"/>
  <c r="B110" i="2"/>
  <c r="C110" i="2"/>
  <c r="B107" i="2"/>
  <c r="B106" i="2"/>
  <c r="B103" i="2"/>
  <c r="B86" i="2"/>
  <c r="B85" i="2"/>
  <c r="B80" i="2" l="1"/>
  <c r="B73" i="2"/>
  <c r="B72" i="2"/>
  <c r="B66" i="2" l="1"/>
  <c r="B65" i="2"/>
  <c r="B63" i="2"/>
  <c r="B62" i="2"/>
  <c r="B61" i="2"/>
  <c r="B60" i="2"/>
  <c r="B52" i="2"/>
  <c r="B48" i="2"/>
  <c r="B46" i="2"/>
  <c r="B32" i="2"/>
  <c r="B31" i="2"/>
  <c r="A31" i="2"/>
  <c r="C31" i="2"/>
  <c r="B30" i="2"/>
  <c r="A30" i="2"/>
  <c r="B23" i="2"/>
  <c r="B21" i="2"/>
  <c r="B20" i="2"/>
  <c r="B19" i="2"/>
  <c r="B18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3" i="2"/>
  <c r="A394" i="2"/>
  <c r="A395" i="2"/>
  <c r="A396" i="2"/>
  <c r="A397" i="2"/>
  <c r="A398" i="2"/>
  <c r="A399" i="2"/>
  <c r="A400" i="2"/>
  <c r="A402" i="2"/>
  <c r="A403" i="2"/>
  <c r="A404" i="2"/>
  <c r="A405" i="2"/>
  <c r="A406" i="2"/>
  <c r="A407" i="2"/>
  <c r="A408" i="2"/>
  <c r="A409" i="2"/>
  <c r="A410" i="2"/>
  <c r="A411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5" i="2"/>
  <c r="A666" i="2"/>
  <c r="A667" i="2"/>
  <c r="A668" i="2"/>
  <c r="A669" i="2"/>
  <c r="A670" i="2"/>
  <c r="A671" i="2"/>
  <c r="A673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9" i="2"/>
  <c r="A720" i="2"/>
  <c r="A721" i="2"/>
  <c r="A722" i="2"/>
  <c r="A723" i="2"/>
  <c r="A724" i="2"/>
  <c r="A725" i="2"/>
  <c r="A726" i="2"/>
  <c r="A728" i="2"/>
  <c r="A729" i="2"/>
  <c r="A730" i="2"/>
  <c r="A731" i="2"/>
  <c r="A732" i="2"/>
  <c r="A733" i="2"/>
  <c r="A734" i="2"/>
  <c r="A735" i="2"/>
  <c r="A736" i="2"/>
  <c r="A737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7" i="4"/>
  <c r="G118" i="4"/>
  <c r="G121" i="4"/>
  <c r="G122" i="4"/>
  <c r="G123" i="4"/>
  <c r="G124" i="4"/>
  <c r="G125" i="4"/>
  <c r="G126" i="4"/>
  <c r="G127" i="4"/>
  <c r="G128" i="4"/>
  <c r="G129" i="4"/>
  <c r="G130" i="4"/>
  <c r="G131" i="4"/>
  <c r="G133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7" i="4"/>
  <c r="G158" i="4"/>
  <c r="G159" i="4"/>
  <c r="G161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8" i="4"/>
  <c r="G180" i="4"/>
  <c r="G182" i="4"/>
  <c r="G184" i="4"/>
  <c r="G186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9" i="4"/>
  <c r="G280" i="4"/>
  <c r="G281" i="4"/>
  <c r="G282" i="4"/>
  <c r="G283" i="4"/>
  <c r="G284" i="4"/>
  <c r="G285" i="4"/>
  <c r="G286" i="4"/>
  <c r="G287" i="4"/>
  <c r="G288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6" i="4"/>
  <c r="G307" i="4"/>
  <c r="G308" i="4"/>
  <c r="G310" i="4"/>
  <c r="G311" i="4"/>
  <c r="G313" i="4"/>
  <c r="G314" i="4"/>
  <c r="G316" i="4"/>
  <c r="G317" i="4"/>
  <c r="G318" i="4"/>
  <c r="G319" i="4"/>
  <c r="G320" i="4"/>
  <c r="G321" i="4"/>
  <c r="G322" i="4"/>
  <c r="G323" i="4"/>
  <c r="G325" i="4"/>
  <c r="G327" i="4"/>
  <c r="G328" i="4"/>
  <c r="G329" i="4"/>
  <c r="G330" i="4"/>
  <c r="G331" i="4"/>
  <c r="G333" i="4"/>
  <c r="G334" i="4"/>
  <c r="G336" i="4"/>
  <c r="G337" i="4"/>
  <c r="G339" i="4"/>
  <c r="G340" i="4"/>
  <c r="G341" i="4"/>
  <c r="G343" i="4"/>
  <c r="G344" i="4"/>
  <c r="G345" i="4"/>
  <c r="G346" i="4"/>
  <c r="G347" i="4"/>
  <c r="G348" i="4"/>
  <c r="G349" i="4"/>
  <c r="G350" i="4"/>
  <c r="G351" i="4"/>
  <c r="G352" i="4"/>
  <c r="G354" i="4"/>
  <c r="G355" i="4"/>
  <c r="G356" i="4"/>
  <c r="G357" i="4"/>
  <c r="G358" i="4"/>
  <c r="G360" i="4"/>
  <c r="G361" i="4"/>
  <c r="G362" i="4"/>
  <c r="G363" i="4"/>
  <c r="G364" i="4"/>
  <c r="G365" i="4"/>
  <c r="G367" i="4"/>
  <c r="G368" i="4"/>
  <c r="G369" i="4"/>
  <c r="G370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6" i="4"/>
  <c r="G418" i="4"/>
  <c r="G419" i="4"/>
  <c r="G420" i="4"/>
  <c r="G421" i="4"/>
  <c r="G422" i="4"/>
  <c r="G423" i="4"/>
  <c r="G424" i="4"/>
  <c r="G425" i="4"/>
  <c r="G427" i="4"/>
  <c r="G428" i="4"/>
  <c r="G429" i="4"/>
  <c r="G430" i="4"/>
  <c r="G431" i="4"/>
  <c r="G432" i="4"/>
  <c r="G433" i="4"/>
  <c r="G434" i="4"/>
  <c r="G435" i="4"/>
  <c r="G436" i="4"/>
  <c r="G438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2" i="4"/>
  <c r="G484" i="4"/>
  <c r="G485" i="4"/>
  <c r="G486" i="4"/>
  <c r="G487" i="4"/>
  <c r="G490" i="4"/>
  <c r="G492" i="4"/>
  <c r="G494" i="4"/>
  <c r="G495" i="4"/>
  <c r="G497" i="4"/>
  <c r="G498" i="4"/>
  <c r="G500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8" i="4"/>
  <c r="G600" i="4"/>
  <c r="G601" i="4"/>
  <c r="G602" i="4"/>
  <c r="G603" i="4"/>
  <c r="G604" i="4"/>
  <c r="G605" i="4"/>
  <c r="G606" i="4"/>
  <c r="G607" i="4"/>
  <c r="G608" i="4"/>
  <c r="G610" i="4"/>
  <c r="G611" i="4"/>
  <c r="G612" i="4"/>
  <c r="G613" i="4"/>
  <c r="G614" i="4"/>
  <c r="G615" i="4"/>
  <c r="G617" i="4"/>
  <c r="G618" i="4"/>
  <c r="G619" i="4"/>
  <c r="G620" i="4"/>
  <c r="G621" i="4"/>
  <c r="G622" i="4"/>
  <c r="G623" i="4"/>
  <c r="G625" i="4"/>
  <c r="G626" i="4"/>
  <c r="G627" i="4"/>
  <c r="G628" i="4"/>
  <c r="G629" i="4"/>
  <c r="G630" i="4"/>
  <c r="G631" i="4"/>
  <c r="G632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2" i="4"/>
  <c r="G653" i="4"/>
  <c r="G654" i="4"/>
  <c r="G655" i="4"/>
  <c r="G656" i="4"/>
  <c r="G657" i="4"/>
  <c r="G658" i="4"/>
  <c r="G659" i="4"/>
  <c r="G660" i="4"/>
  <c r="G661" i="4"/>
  <c r="G662" i="4"/>
  <c r="G664" i="4"/>
  <c r="G665" i="4"/>
  <c r="G666" i="4"/>
  <c r="G667" i="4"/>
  <c r="G668" i="4"/>
  <c r="G669" i="4"/>
  <c r="G670" i="4"/>
  <c r="G671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6" i="4"/>
  <c r="G717" i="4"/>
  <c r="G718" i="4"/>
  <c r="G719" i="4"/>
  <c r="G720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2" i="4"/>
  <c r="E3" i="4"/>
  <c r="D3" i="4" s="1"/>
  <c r="E4" i="4"/>
  <c r="D4" i="4" s="1"/>
  <c r="E5" i="4"/>
  <c r="D5" i="4" s="1"/>
  <c r="E6" i="4"/>
  <c r="D6" i="4" s="1"/>
  <c r="E7" i="4"/>
  <c r="D7" i="4" s="1"/>
  <c r="E8" i="4"/>
  <c r="D8" i="4" s="1"/>
  <c r="E9" i="4"/>
  <c r="D9" i="4" s="1"/>
  <c r="E10" i="4"/>
  <c r="D10" i="4" s="1"/>
  <c r="E11" i="4"/>
  <c r="D11" i="4" s="1"/>
  <c r="E12" i="4"/>
  <c r="D12" i="4" s="1"/>
  <c r="E13" i="4"/>
  <c r="D13" i="4" s="1"/>
  <c r="E14" i="4"/>
  <c r="D14" i="4" s="1"/>
  <c r="E15" i="4"/>
  <c r="D15" i="4" s="1"/>
  <c r="E16" i="4"/>
  <c r="D16" i="4" s="1"/>
  <c r="E17" i="4"/>
  <c r="D17" i="4" s="1"/>
  <c r="E18" i="4"/>
  <c r="D18" i="4" s="1"/>
  <c r="E19" i="4"/>
  <c r="D19" i="4" s="1"/>
  <c r="E20" i="4"/>
  <c r="D20" i="4" s="1"/>
  <c r="E21" i="4"/>
  <c r="D21" i="4" s="1"/>
  <c r="E22" i="4"/>
  <c r="D22" i="4" s="1"/>
  <c r="E23" i="4"/>
  <c r="D23" i="4" s="1"/>
  <c r="E24" i="4"/>
  <c r="D24" i="4" s="1"/>
  <c r="E25" i="4"/>
  <c r="D25" i="4" s="1"/>
  <c r="E26" i="4"/>
  <c r="D26" i="4" s="1"/>
  <c r="E27" i="4"/>
  <c r="D27" i="4" s="1"/>
  <c r="E28" i="4"/>
  <c r="D28" i="4" s="1"/>
  <c r="E29" i="4"/>
  <c r="D29" i="4" s="1"/>
  <c r="E30" i="4"/>
  <c r="D30" i="4" s="1"/>
  <c r="E31" i="4"/>
  <c r="D31" i="4" s="1"/>
  <c r="E32" i="4"/>
  <c r="D32" i="4" s="1"/>
  <c r="E33" i="4"/>
  <c r="D33" i="4" s="1"/>
  <c r="E34" i="4"/>
  <c r="D34" i="4" s="1"/>
  <c r="E35" i="4"/>
  <c r="D35" i="4" s="1"/>
  <c r="E36" i="4"/>
  <c r="D36" i="4" s="1"/>
  <c r="E37" i="4"/>
  <c r="D37" i="4" s="1"/>
  <c r="E38" i="4"/>
  <c r="D38" i="4" s="1"/>
  <c r="E39" i="4"/>
  <c r="D39" i="4" s="1"/>
  <c r="E40" i="4"/>
  <c r="D40" i="4" s="1"/>
  <c r="E41" i="4"/>
  <c r="D41" i="4" s="1"/>
  <c r="E42" i="4"/>
  <c r="D42" i="4" s="1"/>
  <c r="E43" i="4"/>
  <c r="D43" i="4" s="1"/>
  <c r="E44" i="4"/>
  <c r="D44" i="4" s="1"/>
  <c r="E45" i="4"/>
  <c r="D45" i="4" s="1"/>
  <c r="E46" i="4"/>
  <c r="D46" i="4" s="1"/>
  <c r="E47" i="4"/>
  <c r="D47" i="4" s="1"/>
  <c r="E48" i="4"/>
  <c r="D48" i="4" s="1"/>
  <c r="E49" i="4"/>
  <c r="D49" i="4" s="1"/>
  <c r="E50" i="4"/>
  <c r="D50" i="4" s="1"/>
  <c r="E51" i="4"/>
  <c r="D51" i="4" s="1"/>
  <c r="E52" i="4"/>
  <c r="D52" i="4" s="1"/>
  <c r="E53" i="4"/>
  <c r="D53" i="4" s="1"/>
  <c r="E54" i="4"/>
  <c r="D54" i="4" s="1"/>
  <c r="E55" i="4"/>
  <c r="D55" i="4" s="1"/>
  <c r="E56" i="4"/>
  <c r="D56" i="4" s="1"/>
  <c r="E57" i="4"/>
  <c r="D57" i="4" s="1"/>
  <c r="E58" i="4"/>
  <c r="D58" i="4" s="1"/>
  <c r="E59" i="4"/>
  <c r="D59" i="4" s="1"/>
  <c r="E60" i="4"/>
  <c r="D60" i="4" s="1"/>
  <c r="E61" i="4"/>
  <c r="D61" i="4" s="1"/>
  <c r="E62" i="4"/>
  <c r="D62" i="4" s="1"/>
  <c r="E63" i="4"/>
  <c r="D63" i="4" s="1"/>
  <c r="E64" i="4"/>
  <c r="D64" i="4" s="1"/>
  <c r="E65" i="4"/>
  <c r="D65" i="4" s="1"/>
  <c r="E66" i="4"/>
  <c r="D66" i="4" s="1"/>
  <c r="E67" i="4"/>
  <c r="D67" i="4" s="1"/>
  <c r="E68" i="4"/>
  <c r="D68" i="4" s="1"/>
  <c r="E69" i="4"/>
  <c r="D69" i="4" s="1"/>
  <c r="E70" i="4"/>
  <c r="D70" i="4" s="1"/>
  <c r="E71" i="4"/>
  <c r="D71" i="4" s="1"/>
  <c r="E72" i="4"/>
  <c r="D72" i="4" s="1"/>
  <c r="E73" i="4"/>
  <c r="D73" i="4" s="1"/>
  <c r="E74" i="4"/>
  <c r="D74" i="4" s="1"/>
  <c r="E75" i="4"/>
  <c r="D75" i="4" s="1"/>
  <c r="E76" i="4"/>
  <c r="D76" i="4" s="1"/>
  <c r="E77" i="4"/>
  <c r="D77" i="4" s="1"/>
  <c r="E78" i="4"/>
  <c r="D78" i="4" s="1"/>
  <c r="E79" i="4"/>
  <c r="D79" i="4" s="1"/>
  <c r="E80" i="4"/>
  <c r="D80" i="4" s="1"/>
  <c r="E81" i="4"/>
  <c r="D81" i="4" s="1"/>
  <c r="E82" i="4"/>
  <c r="D82" i="4" s="1"/>
  <c r="E83" i="4"/>
  <c r="D83" i="4" s="1"/>
  <c r="E84" i="4"/>
  <c r="D84" i="4" s="1"/>
  <c r="E85" i="4"/>
  <c r="D85" i="4" s="1"/>
  <c r="E86" i="4"/>
  <c r="D86" i="4" s="1"/>
  <c r="E87" i="4"/>
  <c r="D87" i="4" s="1"/>
  <c r="E88" i="4"/>
  <c r="D88" i="4" s="1"/>
  <c r="E89" i="4"/>
  <c r="D89" i="4" s="1"/>
  <c r="E90" i="4"/>
  <c r="D90" i="4" s="1"/>
  <c r="E91" i="4"/>
  <c r="D91" i="4" s="1"/>
  <c r="E92" i="4"/>
  <c r="D92" i="4" s="1"/>
  <c r="E93" i="4"/>
  <c r="D93" i="4" s="1"/>
  <c r="E94" i="4"/>
  <c r="D94" i="4" s="1"/>
  <c r="E95" i="4"/>
  <c r="D95" i="4" s="1"/>
  <c r="E96" i="4"/>
  <c r="D96" i="4" s="1"/>
  <c r="E97" i="4"/>
  <c r="D97" i="4" s="1"/>
  <c r="E98" i="4"/>
  <c r="D98" i="4" s="1"/>
  <c r="E99" i="4"/>
  <c r="D99" i="4" s="1"/>
  <c r="E100" i="4"/>
  <c r="D100" i="4" s="1"/>
  <c r="E101" i="4"/>
  <c r="D101" i="4" s="1"/>
  <c r="E102" i="4"/>
  <c r="D102" i="4" s="1"/>
  <c r="E103" i="4"/>
  <c r="D103" i="4" s="1"/>
  <c r="E104" i="4"/>
  <c r="D104" i="4" s="1"/>
  <c r="E105" i="4"/>
  <c r="D105" i="4" s="1"/>
  <c r="E106" i="4"/>
  <c r="D106" i="4" s="1"/>
  <c r="E107" i="4"/>
  <c r="D107" i="4" s="1"/>
  <c r="E108" i="4"/>
  <c r="D108" i="4" s="1"/>
  <c r="E109" i="4"/>
  <c r="D109" i="4" s="1"/>
  <c r="E110" i="4"/>
  <c r="D110" i="4" s="1"/>
  <c r="E111" i="4"/>
  <c r="D111" i="4" s="1"/>
  <c r="E112" i="4"/>
  <c r="D112" i="4" s="1"/>
  <c r="E113" i="4"/>
  <c r="D113" i="4" s="1"/>
  <c r="E114" i="4"/>
  <c r="D114" i="4" s="1"/>
  <c r="E115" i="4"/>
  <c r="D115" i="4" s="1"/>
  <c r="E116" i="4"/>
  <c r="D116" i="4" s="1"/>
  <c r="E117" i="4"/>
  <c r="D117" i="4" s="1"/>
  <c r="E118" i="4"/>
  <c r="D118" i="4" s="1"/>
  <c r="E119" i="4"/>
  <c r="D119" i="4" s="1"/>
  <c r="E120" i="4"/>
  <c r="D120" i="4" s="1"/>
  <c r="E121" i="4"/>
  <c r="D121" i="4" s="1"/>
  <c r="E122" i="4"/>
  <c r="D122" i="4" s="1"/>
  <c r="E123" i="4"/>
  <c r="D123" i="4" s="1"/>
  <c r="E124" i="4"/>
  <c r="D124" i="4" s="1"/>
  <c r="E125" i="4"/>
  <c r="D125" i="4" s="1"/>
  <c r="E126" i="4"/>
  <c r="D126" i="4" s="1"/>
  <c r="E127" i="4"/>
  <c r="D127" i="4" s="1"/>
  <c r="E128" i="4"/>
  <c r="D128" i="4" s="1"/>
  <c r="E129" i="4"/>
  <c r="D129" i="4" s="1"/>
  <c r="E130" i="4"/>
  <c r="D130" i="4" s="1"/>
  <c r="E131" i="4"/>
  <c r="D131" i="4" s="1"/>
  <c r="E132" i="4"/>
  <c r="D132" i="4" s="1"/>
  <c r="E133" i="4"/>
  <c r="D133" i="4" s="1"/>
  <c r="E134" i="4"/>
  <c r="D134" i="4" s="1"/>
  <c r="E135" i="4"/>
  <c r="D135" i="4" s="1"/>
  <c r="E136" i="4"/>
  <c r="D136" i="4" s="1"/>
  <c r="E137" i="4"/>
  <c r="D137" i="4" s="1"/>
  <c r="E138" i="4"/>
  <c r="D138" i="4" s="1"/>
  <c r="E139" i="4"/>
  <c r="D139" i="4" s="1"/>
  <c r="E140" i="4"/>
  <c r="D140" i="4" s="1"/>
  <c r="E141" i="4"/>
  <c r="D141" i="4" s="1"/>
  <c r="E142" i="4"/>
  <c r="D142" i="4" s="1"/>
  <c r="E143" i="4"/>
  <c r="D143" i="4" s="1"/>
  <c r="E144" i="4"/>
  <c r="D144" i="4" s="1"/>
  <c r="E145" i="4"/>
  <c r="D145" i="4" s="1"/>
  <c r="E146" i="4"/>
  <c r="D146" i="4" s="1"/>
  <c r="E147" i="4"/>
  <c r="D147" i="4" s="1"/>
  <c r="E148" i="4"/>
  <c r="D148" i="4" s="1"/>
  <c r="E149" i="4"/>
  <c r="D149" i="4" s="1"/>
  <c r="E150" i="4"/>
  <c r="D150" i="4" s="1"/>
  <c r="E151" i="4"/>
  <c r="D151" i="4" s="1"/>
  <c r="E152" i="4"/>
  <c r="D152" i="4" s="1"/>
  <c r="E153" i="4"/>
  <c r="D153" i="4" s="1"/>
  <c r="E154" i="4"/>
  <c r="D154" i="4" s="1"/>
  <c r="E155" i="4"/>
  <c r="D155" i="4" s="1"/>
  <c r="E156" i="4"/>
  <c r="D156" i="4" s="1"/>
  <c r="E157" i="4"/>
  <c r="D157" i="4" s="1"/>
  <c r="E158" i="4"/>
  <c r="D158" i="4" s="1"/>
  <c r="E159" i="4"/>
  <c r="D159" i="4" s="1"/>
  <c r="E160" i="4"/>
  <c r="D160" i="4" s="1"/>
  <c r="E161" i="4"/>
  <c r="D161" i="4" s="1"/>
  <c r="E162" i="4"/>
  <c r="D162" i="4" s="1"/>
  <c r="E163" i="4"/>
  <c r="D163" i="4" s="1"/>
  <c r="E164" i="4"/>
  <c r="D164" i="4" s="1"/>
  <c r="E165" i="4"/>
  <c r="D165" i="4" s="1"/>
  <c r="E166" i="4"/>
  <c r="D166" i="4" s="1"/>
  <c r="E167" i="4"/>
  <c r="D167" i="4" s="1"/>
  <c r="E168" i="4"/>
  <c r="D168" i="4" s="1"/>
  <c r="E169" i="4"/>
  <c r="D169" i="4" s="1"/>
  <c r="E170" i="4"/>
  <c r="D170" i="4" s="1"/>
  <c r="E171" i="4"/>
  <c r="D171" i="4" s="1"/>
  <c r="E172" i="4"/>
  <c r="D172" i="4" s="1"/>
  <c r="E173" i="4"/>
  <c r="D173" i="4" s="1"/>
  <c r="E174" i="4"/>
  <c r="D174" i="4" s="1"/>
  <c r="E175" i="4"/>
  <c r="D175" i="4" s="1"/>
  <c r="E176" i="4"/>
  <c r="D176" i="4" s="1"/>
  <c r="E177" i="4"/>
  <c r="D177" i="4" s="1"/>
  <c r="E178" i="4"/>
  <c r="D178" i="4" s="1"/>
  <c r="E179" i="4"/>
  <c r="D179" i="4" s="1"/>
  <c r="E180" i="4"/>
  <c r="D180" i="4" s="1"/>
  <c r="E181" i="4"/>
  <c r="D181" i="4" s="1"/>
  <c r="E182" i="4"/>
  <c r="D182" i="4" s="1"/>
  <c r="E183" i="4"/>
  <c r="D183" i="4" s="1"/>
  <c r="E184" i="4"/>
  <c r="D184" i="4" s="1"/>
  <c r="E185" i="4"/>
  <c r="D185" i="4" s="1"/>
  <c r="E186" i="4"/>
  <c r="D186" i="4" s="1"/>
  <c r="E187" i="4"/>
  <c r="D187" i="4" s="1"/>
  <c r="E188" i="4"/>
  <c r="D188" i="4" s="1"/>
  <c r="E189" i="4"/>
  <c r="D189" i="4" s="1"/>
  <c r="E190" i="4"/>
  <c r="D190" i="4" s="1"/>
  <c r="E191" i="4"/>
  <c r="D191" i="4" s="1"/>
  <c r="E192" i="4"/>
  <c r="D192" i="4" s="1"/>
  <c r="E193" i="4"/>
  <c r="D193" i="4" s="1"/>
  <c r="E194" i="4"/>
  <c r="D194" i="4" s="1"/>
  <c r="E195" i="4"/>
  <c r="D195" i="4" s="1"/>
  <c r="E196" i="4"/>
  <c r="D196" i="4" s="1"/>
  <c r="E197" i="4"/>
  <c r="D197" i="4" s="1"/>
  <c r="E198" i="4"/>
  <c r="D198" i="4" s="1"/>
  <c r="E199" i="4"/>
  <c r="D199" i="4" s="1"/>
  <c r="E200" i="4"/>
  <c r="D200" i="4" s="1"/>
  <c r="E201" i="4"/>
  <c r="D201" i="4" s="1"/>
  <c r="E202" i="4"/>
  <c r="D202" i="4" s="1"/>
  <c r="E203" i="4"/>
  <c r="D203" i="4" s="1"/>
  <c r="E204" i="4"/>
  <c r="D204" i="4" s="1"/>
  <c r="E205" i="4"/>
  <c r="D205" i="4" s="1"/>
  <c r="E206" i="4"/>
  <c r="D206" i="4" s="1"/>
  <c r="E207" i="4"/>
  <c r="D207" i="4" s="1"/>
  <c r="E208" i="4"/>
  <c r="D208" i="4" s="1"/>
  <c r="E209" i="4"/>
  <c r="D209" i="4" s="1"/>
  <c r="E210" i="4"/>
  <c r="D210" i="4" s="1"/>
  <c r="E211" i="4"/>
  <c r="D211" i="4" s="1"/>
  <c r="E212" i="4"/>
  <c r="D212" i="4" s="1"/>
  <c r="E213" i="4"/>
  <c r="D213" i="4" s="1"/>
  <c r="E214" i="4"/>
  <c r="D214" i="4" s="1"/>
  <c r="E215" i="4"/>
  <c r="D215" i="4" s="1"/>
  <c r="E216" i="4"/>
  <c r="D216" i="4" s="1"/>
  <c r="E217" i="4"/>
  <c r="D217" i="4" s="1"/>
  <c r="E218" i="4"/>
  <c r="D218" i="4" s="1"/>
  <c r="E219" i="4"/>
  <c r="D219" i="4" s="1"/>
  <c r="E220" i="4"/>
  <c r="D220" i="4" s="1"/>
  <c r="E221" i="4"/>
  <c r="D221" i="4" s="1"/>
  <c r="E222" i="4"/>
  <c r="D222" i="4" s="1"/>
  <c r="E223" i="4"/>
  <c r="D223" i="4" s="1"/>
  <c r="E224" i="4"/>
  <c r="D224" i="4" s="1"/>
  <c r="E225" i="4"/>
  <c r="D225" i="4" s="1"/>
  <c r="E226" i="4"/>
  <c r="D226" i="4" s="1"/>
  <c r="E227" i="4"/>
  <c r="D227" i="4" s="1"/>
  <c r="E228" i="4"/>
  <c r="D228" i="4" s="1"/>
  <c r="E229" i="4"/>
  <c r="D229" i="4" s="1"/>
  <c r="E230" i="4"/>
  <c r="D230" i="4" s="1"/>
  <c r="E231" i="4"/>
  <c r="D231" i="4" s="1"/>
  <c r="E232" i="4"/>
  <c r="D232" i="4" s="1"/>
  <c r="E233" i="4"/>
  <c r="D233" i="4" s="1"/>
  <c r="E234" i="4"/>
  <c r="D234" i="4" s="1"/>
  <c r="E235" i="4"/>
  <c r="D235" i="4" s="1"/>
  <c r="E236" i="4"/>
  <c r="D236" i="4" s="1"/>
  <c r="E237" i="4"/>
  <c r="D237" i="4" s="1"/>
  <c r="E238" i="4"/>
  <c r="D238" i="4" s="1"/>
  <c r="E239" i="4"/>
  <c r="D239" i="4" s="1"/>
  <c r="E240" i="4"/>
  <c r="D240" i="4" s="1"/>
  <c r="E241" i="4"/>
  <c r="D241" i="4" s="1"/>
  <c r="E242" i="4"/>
  <c r="D242" i="4" s="1"/>
  <c r="E243" i="4"/>
  <c r="D243" i="4" s="1"/>
  <c r="E244" i="4"/>
  <c r="D244" i="4" s="1"/>
  <c r="E245" i="4"/>
  <c r="D245" i="4" s="1"/>
  <c r="E246" i="4"/>
  <c r="D246" i="4" s="1"/>
  <c r="E247" i="4"/>
  <c r="D247" i="4" s="1"/>
  <c r="E248" i="4"/>
  <c r="D248" i="4" s="1"/>
  <c r="E249" i="4"/>
  <c r="D249" i="4" s="1"/>
  <c r="E250" i="4"/>
  <c r="D250" i="4" s="1"/>
  <c r="E251" i="4"/>
  <c r="D251" i="4" s="1"/>
  <c r="E252" i="4"/>
  <c r="D252" i="4" s="1"/>
  <c r="E253" i="4"/>
  <c r="D253" i="4" s="1"/>
  <c r="E254" i="4"/>
  <c r="D254" i="4" s="1"/>
  <c r="E255" i="4"/>
  <c r="D255" i="4" s="1"/>
  <c r="E256" i="4"/>
  <c r="D256" i="4" s="1"/>
  <c r="E257" i="4"/>
  <c r="D257" i="4" s="1"/>
  <c r="E258" i="4"/>
  <c r="D258" i="4" s="1"/>
  <c r="E259" i="4"/>
  <c r="D259" i="4" s="1"/>
  <c r="E260" i="4"/>
  <c r="D260" i="4" s="1"/>
  <c r="E261" i="4"/>
  <c r="D261" i="4" s="1"/>
  <c r="E262" i="4"/>
  <c r="D262" i="4" s="1"/>
  <c r="E263" i="4"/>
  <c r="D263" i="4" s="1"/>
  <c r="E264" i="4"/>
  <c r="D264" i="4" s="1"/>
  <c r="E265" i="4"/>
  <c r="D265" i="4" s="1"/>
  <c r="E266" i="4"/>
  <c r="D266" i="4" s="1"/>
  <c r="E267" i="4"/>
  <c r="D267" i="4" s="1"/>
  <c r="E268" i="4"/>
  <c r="D268" i="4" s="1"/>
  <c r="E269" i="4"/>
  <c r="D269" i="4" s="1"/>
  <c r="E270" i="4"/>
  <c r="D270" i="4" s="1"/>
  <c r="E271" i="4"/>
  <c r="D271" i="4" s="1"/>
  <c r="E272" i="4"/>
  <c r="D272" i="4" s="1"/>
  <c r="E273" i="4"/>
  <c r="D273" i="4" s="1"/>
  <c r="E274" i="4"/>
  <c r="D274" i="4" s="1"/>
  <c r="E275" i="4"/>
  <c r="D275" i="4" s="1"/>
  <c r="E276" i="4"/>
  <c r="D276" i="4" s="1"/>
  <c r="E277" i="4"/>
  <c r="D277" i="4" s="1"/>
  <c r="E278" i="4"/>
  <c r="D278" i="4" s="1"/>
  <c r="E279" i="4"/>
  <c r="D279" i="4" s="1"/>
  <c r="E280" i="4"/>
  <c r="D280" i="4" s="1"/>
  <c r="E281" i="4"/>
  <c r="D281" i="4" s="1"/>
  <c r="E282" i="4"/>
  <c r="D282" i="4" s="1"/>
  <c r="E283" i="4"/>
  <c r="D283" i="4" s="1"/>
  <c r="E284" i="4"/>
  <c r="D284" i="4" s="1"/>
  <c r="E285" i="4"/>
  <c r="D285" i="4" s="1"/>
  <c r="E286" i="4"/>
  <c r="D286" i="4" s="1"/>
  <c r="E287" i="4"/>
  <c r="D287" i="4" s="1"/>
  <c r="E288" i="4"/>
  <c r="D288" i="4" s="1"/>
  <c r="E289" i="4"/>
  <c r="D289" i="4" s="1"/>
  <c r="E290" i="4"/>
  <c r="D290" i="4" s="1"/>
  <c r="E291" i="4"/>
  <c r="D291" i="4" s="1"/>
  <c r="E292" i="4"/>
  <c r="D292" i="4" s="1"/>
  <c r="E293" i="4"/>
  <c r="D293" i="4" s="1"/>
  <c r="E294" i="4"/>
  <c r="D294" i="4" s="1"/>
  <c r="E295" i="4"/>
  <c r="D295" i="4" s="1"/>
  <c r="E296" i="4"/>
  <c r="D296" i="4" s="1"/>
  <c r="E297" i="4"/>
  <c r="D297" i="4" s="1"/>
  <c r="E298" i="4"/>
  <c r="D298" i="4" s="1"/>
  <c r="E299" i="4"/>
  <c r="D299" i="4" s="1"/>
  <c r="E300" i="4"/>
  <c r="D300" i="4" s="1"/>
  <c r="E301" i="4"/>
  <c r="D301" i="4" s="1"/>
  <c r="E302" i="4"/>
  <c r="D302" i="4" s="1"/>
  <c r="E303" i="4"/>
  <c r="D303" i="4" s="1"/>
  <c r="E304" i="4"/>
  <c r="D304" i="4" s="1"/>
  <c r="E305" i="4"/>
  <c r="D305" i="4" s="1"/>
  <c r="E306" i="4"/>
  <c r="D306" i="4" s="1"/>
  <c r="E307" i="4"/>
  <c r="D307" i="4" s="1"/>
  <c r="E308" i="4"/>
  <c r="D308" i="4" s="1"/>
  <c r="E309" i="4"/>
  <c r="D309" i="4" s="1"/>
  <c r="E310" i="4"/>
  <c r="D310" i="4" s="1"/>
  <c r="E311" i="4"/>
  <c r="D311" i="4" s="1"/>
  <c r="E312" i="4"/>
  <c r="D312" i="4" s="1"/>
  <c r="E313" i="4"/>
  <c r="D313" i="4" s="1"/>
  <c r="E314" i="4"/>
  <c r="D314" i="4" s="1"/>
  <c r="E315" i="4"/>
  <c r="D315" i="4" s="1"/>
  <c r="E316" i="4"/>
  <c r="D316" i="4" s="1"/>
  <c r="E317" i="4"/>
  <c r="D317" i="4" s="1"/>
  <c r="E318" i="4"/>
  <c r="D318" i="4" s="1"/>
  <c r="E319" i="4"/>
  <c r="D319" i="4" s="1"/>
  <c r="E320" i="4"/>
  <c r="D320" i="4" s="1"/>
  <c r="E321" i="4"/>
  <c r="D321" i="4" s="1"/>
  <c r="E322" i="4"/>
  <c r="D322" i="4" s="1"/>
  <c r="E323" i="4"/>
  <c r="D323" i="4" s="1"/>
  <c r="E324" i="4"/>
  <c r="D324" i="4" s="1"/>
  <c r="E325" i="4"/>
  <c r="D325" i="4" s="1"/>
  <c r="E326" i="4"/>
  <c r="D326" i="4" s="1"/>
  <c r="E327" i="4"/>
  <c r="D327" i="4" s="1"/>
  <c r="E328" i="4"/>
  <c r="D328" i="4" s="1"/>
  <c r="E329" i="4"/>
  <c r="D329" i="4" s="1"/>
  <c r="E330" i="4"/>
  <c r="D330" i="4" s="1"/>
  <c r="E331" i="4"/>
  <c r="D331" i="4" s="1"/>
  <c r="E332" i="4"/>
  <c r="D332" i="4" s="1"/>
  <c r="E333" i="4"/>
  <c r="D333" i="4" s="1"/>
  <c r="E334" i="4"/>
  <c r="D334" i="4" s="1"/>
  <c r="E335" i="4"/>
  <c r="D335" i="4" s="1"/>
  <c r="E336" i="4"/>
  <c r="D336" i="4" s="1"/>
  <c r="E337" i="4"/>
  <c r="D337" i="4" s="1"/>
  <c r="E338" i="4"/>
  <c r="D338" i="4" s="1"/>
  <c r="E339" i="4"/>
  <c r="D339" i="4" s="1"/>
  <c r="E340" i="4"/>
  <c r="D340" i="4" s="1"/>
  <c r="E341" i="4"/>
  <c r="D341" i="4" s="1"/>
  <c r="E342" i="4"/>
  <c r="D342" i="4" s="1"/>
  <c r="E343" i="4"/>
  <c r="D343" i="4" s="1"/>
  <c r="E344" i="4"/>
  <c r="D344" i="4" s="1"/>
  <c r="E345" i="4"/>
  <c r="D345" i="4" s="1"/>
  <c r="E346" i="4"/>
  <c r="D346" i="4" s="1"/>
  <c r="E347" i="4"/>
  <c r="D347" i="4" s="1"/>
  <c r="E348" i="4"/>
  <c r="D348" i="4" s="1"/>
  <c r="E349" i="4"/>
  <c r="D349" i="4" s="1"/>
  <c r="E350" i="4"/>
  <c r="D350" i="4" s="1"/>
  <c r="E351" i="4"/>
  <c r="D351" i="4" s="1"/>
  <c r="E352" i="4"/>
  <c r="D352" i="4" s="1"/>
  <c r="E353" i="4"/>
  <c r="D353" i="4" s="1"/>
  <c r="E354" i="4"/>
  <c r="D354" i="4" s="1"/>
  <c r="E355" i="4"/>
  <c r="D355" i="4" s="1"/>
  <c r="E356" i="4"/>
  <c r="D356" i="4" s="1"/>
  <c r="E357" i="4"/>
  <c r="D357" i="4" s="1"/>
  <c r="E358" i="4"/>
  <c r="D358" i="4" s="1"/>
  <c r="E359" i="4"/>
  <c r="D359" i="4" s="1"/>
  <c r="E360" i="4"/>
  <c r="D360" i="4" s="1"/>
  <c r="E361" i="4"/>
  <c r="D361" i="4" s="1"/>
  <c r="E362" i="4"/>
  <c r="D362" i="4" s="1"/>
  <c r="E363" i="4"/>
  <c r="D363" i="4" s="1"/>
  <c r="E364" i="4"/>
  <c r="D364" i="4" s="1"/>
  <c r="E365" i="4"/>
  <c r="D365" i="4" s="1"/>
  <c r="E366" i="4"/>
  <c r="D366" i="4" s="1"/>
  <c r="E367" i="4"/>
  <c r="D367" i="4" s="1"/>
  <c r="E368" i="4"/>
  <c r="D368" i="4" s="1"/>
  <c r="E369" i="4"/>
  <c r="D369" i="4" s="1"/>
  <c r="E370" i="4"/>
  <c r="D370" i="4" s="1"/>
  <c r="E371" i="4"/>
  <c r="D371" i="4" s="1"/>
  <c r="E372" i="4"/>
  <c r="D372" i="4" s="1"/>
  <c r="E373" i="4"/>
  <c r="D373" i="4" s="1"/>
  <c r="E374" i="4"/>
  <c r="D374" i="4" s="1"/>
  <c r="E375" i="4"/>
  <c r="D375" i="4" s="1"/>
  <c r="E376" i="4"/>
  <c r="D376" i="4" s="1"/>
  <c r="E377" i="4"/>
  <c r="D377" i="4" s="1"/>
  <c r="E378" i="4"/>
  <c r="D378" i="4" s="1"/>
  <c r="E379" i="4"/>
  <c r="D379" i="4" s="1"/>
  <c r="E380" i="4"/>
  <c r="D380" i="4" s="1"/>
  <c r="E381" i="4"/>
  <c r="D381" i="4" s="1"/>
  <c r="E382" i="4"/>
  <c r="D382" i="4" s="1"/>
  <c r="E383" i="4"/>
  <c r="D383" i="4" s="1"/>
  <c r="E384" i="4"/>
  <c r="D384" i="4" s="1"/>
  <c r="E385" i="4"/>
  <c r="D385" i="4" s="1"/>
  <c r="E386" i="4"/>
  <c r="D386" i="4" s="1"/>
  <c r="E387" i="4"/>
  <c r="D387" i="4" s="1"/>
  <c r="E388" i="4"/>
  <c r="D388" i="4" s="1"/>
  <c r="E389" i="4"/>
  <c r="D389" i="4" s="1"/>
  <c r="E390" i="4"/>
  <c r="D390" i="4" s="1"/>
  <c r="E391" i="4"/>
  <c r="D391" i="4" s="1"/>
  <c r="E392" i="4"/>
  <c r="D392" i="4" s="1"/>
  <c r="E393" i="4"/>
  <c r="D393" i="4" s="1"/>
  <c r="E394" i="4"/>
  <c r="D394" i="4" s="1"/>
  <c r="E395" i="4"/>
  <c r="D395" i="4" s="1"/>
  <c r="E396" i="4"/>
  <c r="D396" i="4" s="1"/>
  <c r="E397" i="4"/>
  <c r="D397" i="4" s="1"/>
  <c r="E398" i="4"/>
  <c r="D398" i="4" s="1"/>
  <c r="E399" i="4"/>
  <c r="D399" i="4" s="1"/>
  <c r="E400" i="4"/>
  <c r="D400" i="4" s="1"/>
  <c r="E401" i="4"/>
  <c r="D401" i="4" s="1"/>
  <c r="E402" i="4"/>
  <c r="D402" i="4" s="1"/>
  <c r="E403" i="4"/>
  <c r="D403" i="4" s="1"/>
  <c r="E404" i="4"/>
  <c r="D404" i="4" s="1"/>
  <c r="E405" i="4"/>
  <c r="D405" i="4" s="1"/>
  <c r="E406" i="4"/>
  <c r="D406" i="4" s="1"/>
  <c r="E407" i="4"/>
  <c r="D407" i="4" s="1"/>
  <c r="E408" i="4"/>
  <c r="D408" i="4" s="1"/>
  <c r="E409" i="4"/>
  <c r="D409" i="4" s="1"/>
  <c r="E410" i="4"/>
  <c r="D410" i="4" s="1"/>
  <c r="E411" i="4"/>
  <c r="D411" i="4" s="1"/>
  <c r="E412" i="4"/>
  <c r="D412" i="4" s="1"/>
  <c r="E413" i="4"/>
  <c r="D413" i="4" s="1"/>
  <c r="E414" i="4"/>
  <c r="D414" i="4" s="1"/>
  <c r="E415" i="4"/>
  <c r="D415" i="4" s="1"/>
  <c r="E416" i="4"/>
  <c r="D416" i="4" s="1"/>
  <c r="E417" i="4"/>
  <c r="D417" i="4" s="1"/>
  <c r="E418" i="4"/>
  <c r="D418" i="4" s="1"/>
  <c r="E419" i="4"/>
  <c r="D419" i="4" s="1"/>
  <c r="E420" i="4"/>
  <c r="D420" i="4" s="1"/>
  <c r="E421" i="4"/>
  <c r="D421" i="4" s="1"/>
  <c r="E422" i="4"/>
  <c r="D422" i="4" s="1"/>
  <c r="E423" i="4"/>
  <c r="D423" i="4" s="1"/>
  <c r="E424" i="4"/>
  <c r="D424" i="4" s="1"/>
  <c r="E425" i="4"/>
  <c r="D425" i="4" s="1"/>
  <c r="E426" i="4"/>
  <c r="D426" i="4" s="1"/>
  <c r="E427" i="4"/>
  <c r="D427" i="4" s="1"/>
  <c r="E428" i="4"/>
  <c r="D428" i="4" s="1"/>
  <c r="E429" i="4"/>
  <c r="D429" i="4" s="1"/>
  <c r="E430" i="4"/>
  <c r="D430" i="4" s="1"/>
  <c r="E431" i="4"/>
  <c r="D431" i="4" s="1"/>
  <c r="E432" i="4"/>
  <c r="D432" i="4" s="1"/>
  <c r="E433" i="4"/>
  <c r="D433" i="4" s="1"/>
  <c r="E434" i="4"/>
  <c r="D434" i="4" s="1"/>
  <c r="E435" i="4"/>
  <c r="D435" i="4" s="1"/>
  <c r="E436" i="4"/>
  <c r="D436" i="4" s="1"/>
  <c r="E437" i="4"/>
  <c r="D437" i="4" s="1"/>
  <c r="E438" i="4"/>
  <c r="D438" i="4" s="1"/>
  <c r="E439" i="4"/>
  <c r="D439" i="4" s="1"/>
  <c r="E440" i="4"/>
  <c r="D440" i="4" s="1"/>
  <c r="E441" i="4"/>
  <c r="D441" i="4" s="1"/>
  <c r="E442" i="4"/>
  <c r="D442" i="4" s="1"/>
  <c r="E443" i="4"/>
  <c r="D443" i="4" s="1"/>
  <c r="E444" i="4"/>
  <c r="D444" i="4" s="1"/>
  <c r="E445" i="4"/>
  <c r="D445" i="4" s="1"/>
  <c r="E446" i="4"/>
  <c r="D446" i="4" s="1"/>
  <c r="E447" i="4"/>
  <c r="D447" i="4" s="1"/>
  <c r="E448" i="4"/>
  <c r="D448" i="4" s="1"/>
  <c r="E449" i="4"/>
  <c r="D449" i="4" s="1"/>
  <c r="E450" i="4"/>
  <c r="D450" i="4" s="1"/>
  <c r="E451" i="4"/>
  <c r="D451" i="4" s="1"/>
  <c r="E452" i="4"/>
  <c r="D452" i="4" s="1"/>
  <c r="E453" i="4"/>
  <c r="D453" i="4" s="1"/>
  <c r="E454" i="4"/>
  <c r="D454" i="4" s="1"/>
  <c r="E455" i="4"/>
  <c r="D455" i="4" s="1"/>
  <c r="E456" i="4"/>
  <c r="D456" i="4" s="1"/>
  <c r="E457" i="4"/>
  <c r="D457" i="4" s="1"/>
  <c r="E458" i="4"/>
  <c r="D458" i="4" s="1"/>
  <c r="E459" i="4"/>
  <c r="D459" i="4" s="1"/>
  <c r="E460" i="4"/>
  <c r="D460" i="4" s="1"/>
  <c r="E461" i="4"/>
  <c r="D461" i="4" s="1"/>
  <c r="E462" i="4"/>
  <c r="D462" i="4" s="1"/>
  <c r="E463" i="4"/>
  <c r="D463" i="4" s="1"/>
  <c r="E464" i="4"/>
  <c r="D464" i="4" s="1"/>
  <c r="E465" i="4"/>
  <c r="D465" i="4" s="1"/>
  <c r="E466" i="4"/>
  <c r="D466" i="4" s="1"/>
  <c r="E467" i="4"/>
  <c r="D467" i="4" s="1"/>
  <c r="E468" i="4"/>
  <c r="D468" i="4" s="1"/>
  <c r="E469" i="4"/>
  <c r="D469" i="4" s="1"/>
  <c r="E470" i="4"/>
  <c r="D470" i="4" s="1"/>
  <c r="E471" i="4"/>
  <c r="D471" i="4" s="1"/>
  <c r="E472" i="4"/>
  <c r="D472" i="4" s="1"/>
  <c r="E473" i="4"/>
  <c r="D473" i="4" s="1"/>
  <c r="E474" i="4"/>
  <c r="D474" i="4" s="1"/>
  <c r="E475" i="4"/>
  <c r="D475" i="4" s="1"/>
  <c r="E476" i="4"/>
  <c r="D476" i="4" s="1"/>
  <c r="E477" i="4"/>
  <c r="D477" i="4" s="1"/>
  <c r="E478" i="4"/>
  <c r="D478" i="4" s="1"/>
  <c r="E479" i="4"/>
  <c r="D479" i="4" s="1"/>
  <c r="E480" i="4"/>
  <c r="D480" i="4" s="1"/>
  <c r="E481" i="4"/>
  <c r="D481" i="4" s="1"/>
  <c r="E482" i="4"/>
  <c r="D482" i="4" s="1"/>
  <c r="E483" i="4"/>
  <c r="D483" i="4" s="1"/>
  <c r="E484" i="4"/>
  <c r="D484" i="4" s="1"/>
  <c r="E485" i="4"/>
  <c r="D485" i="4" s="1"/>
  <c r="E486" i="4"/>
  <c r="D486" i="4" s="1"/>
  <c r="E487" i="4"/>
  <c r="D487" i="4" s="1"/>
  <c r="E488" i="4"/>
  <c r="D488" i="4" s="1"/>
  <c r="E489" i="4"/>
  <c r="D489" i="4" s="1"/>
  <c r="E490" i="4"/>
  <c r="D490" i="4" s="1"/>
  <c r="E491" i="4"/>
  <c r="D491" i="4" s="1"/>
  <c r="E492" i="4"/>
  <c r="D492" i="4" s="1"/>
  <c r="E493" i="4"/>
  <c r="D493" i="4" s="1"/>
  <c r="E494" i="4"/>
  <c r="D494" i="4" s="1"/>
  <c r="E495" i="4"/>
  <c r="D495" i="4" s="1"/>
  <c r="E496" i="4"/>
  <c r="D496" i="4" s="1"/>
  <c r="E497" i="4"/>
  <c r="D497" i="4" s="1"/>
  <c r="E498" i="4"/>
  <c r="D498" i="4" s="1"/>
  <c r="E499" i="4"/>
  <c r="D499" i="4" s="1"/>
  <c r="E500" i="4"/>
  <c r="D500" i="4" s="1"/>
  <c r="E501" i="4"/>
  <c r="D501" i="4" s="1"/>
  <c r="E502" i="4"/>
  <c r="D502" i="4" s="1"/>
  <c r="E503" i="4"/>
  <c r="D503" i="4" s="1"/>
  <c r="E504" i="4"/>
  <c r="D504" i="4" s="1"/>
  <c r="E505" i="4"/>
  <c r="D505" i="4" s="1"/>
  <c r="E506" i="4"/>
  <c r="D506" i="4" s="1"/>
  <c r="E507" i="4"/>
  <c r="D507" i="4" s="1"/>
  <c r="E508" i="4"/>
  <c r="D508" i="4" s="1"/>
  <c r="E509" i="4"/>
  <c r="D509" i="4" s="1"/>
  <c r="E510" i="4"/>
  <c r="D510" i="4" s="1"/>
  <c r="E511" i="4"/>
  <c r="D511" i="4" s="1"/>
  <c r="E512" i="4"/>
  <c r="D512" i="4" s="1"/>
  <c r="E513" i="4"/>
  <c r="D513" i="4" s="1"/>
  <c r="E514" i="4"/>
  <c r="D514" i="4" s="1"/>
  <c r="E515" i="4"/>
  <c r="D515" i="4" s="1"/>
  <c r="E516" i="4"/>
  <c r="D516" i="4" s="1"/>
  <c r="E517" i="4"/>
  <c r="D517" i="4" s="1"/>
  <c r="E518" i="4"/>
  <c r="D518" i="4" s="1"/>
  <c r="E519" i="4"/>
  <c r="D519" i="4" s="1"/>
  <c r="E520" i="4"/>
  <c r="D520" i="4" s="1"/>
  <c r="E521" i="4"/>
  <c r="D521" i="4" s="1"/>
  <c r="E522" i="4"/>
  <c r="D522" i="4" s="1"/>
  <c r="E523" i="4"/>
  <c r="D523" i="4" s="1"/>
  <c r="E524" i="4"/>
  <c r="D524" i="4" s="1"/>
  <c r="E525" i="4"/>
  <c r="D525" i="4" s="1"/>
  <c r="E526" i="4"/>
  <c r="D526" i="4" s="1"/>
  <c r="E527" i="4"/>
  <c r="D527" i="4" s="1"/>
  <c r="E528" i="4"/>
  <c r="D528" i="4" s="1"/>
  <c r="E529" i="4"/>
  <c r="D529" i="4" s="1"/>
  <c r="E530" i="4"/>
  <c r="D530" i="4" s="1"/>
  <c r="E531" i="4"/>
  <c r="D531" i="4" s="1"/>
  <c r="E532" i="4"/>
  <c r="D532" i="4" s="1"/>
  <c r="E533" i="4"/>
  <c r="D533" i="4" s="1"/>
  <c r="E534" i="4"/>
  <c r="D534" i="4" s="1"/>
  <c r="E535" i="4"/>
  <c r="D535" i="4" s="1"/>
  <c r="E536" i="4"/>
  <c r="D536" i="4" s="1"/>
  <c r="E537" i="4"/>
  <c r="D537" i="4" s="1"/>
  <c r="E538" i="4"/>
  <c r="D538" i="4" s="1"/>
  <c r="E539" i="4"/>
  <c r="D539" i="4" s="1"/>
  <c r="E540" i="4"/>
  <c r="D540" i="4" s="1"/>
  <c r="E541" i="4"/>
  <c r="D541" i="4" s="1"/>
  <c r="E542" i="4"/>
  <c r="D542" i="4" s="1"/>
  <c r="E543" i="4"/>
  <c r="D543" i="4" s="1"/>
  <c r="E544" i="4"/>
  <c r="D544" i="4" s="1"/>
  <c r="E545" i="4"/>
  <c r="D545" i="4" s="1"/>
  <c r="E546" i="4"/>
  <c r="D546" i="4" s="1"/>
  <c r="E547" i="4"/>
  <c r="D547" i="4" s="1"/>
  <c r="E548" i="4"/>
  <c r="D548" i="4" s="1"/>
  <c r="E549" i="4"/>
  <c r="D549" i="4" s="1"/>
  <c r="E550" i="4"/>
  <c r="D550" i="4" s="1"/>
  <c r="E551" i="4"/>
  <c r="D551" i="4" s="1"/>
  <c r="E552" i="4"/>
  <c r="D552" i="4" s="1"/>
  <c r="E553" i="4"/>
  <c r="D553" i="4" s="1"/>
  <c r="E554" i="4"/>
  <c r="D554" i="4" s="1"/>
  <c r="E555" i="4"/>
  <c r="D555" i="4" s="1"/>
  <c r="E556" i="4"/>
  <c r="D556" i="4" s="1"/>
  <c r="E557" i="4"/>
  <c r="D557" i="4" s="1"/>
  <c r="E558" i="4"/>
  <c r="D558" i="4" s="1"/>
  <c r="E559" i="4"/>
  <c r="D559" i="4" s="1"/>
  <c r="E560" i="4"/>
  <c r="D560" i="4" s="1"/>
  <c r="E561" i="4"/>
  <c r="D561" i="4" s="1"/>
  <c r="E562" i="4"/>
  <c r="D562" i="4" s="1"/>
  <c r="E563" i="4"/>
  <c r="D563" i="4" s="1"/>
  <c r="E564" i="4"/>
  <c r="D564" i="4" s="1"/>
  <c r="E565" i="4"/>
  <c r="D565" i="4" s="1"/>
  <c r="E566" i="4"/>
  <c r="D566" i="4" s="1"/>
  <c r="E567" i="4"/>
  <c r="D567" i="4" s="1"/>
  <c r="E568" i="4"/>
  <c r="D568" i="4" s="1"/>
  <c r="E569" i="4"/>
  <c r="D569" i="4" s="1"/>
  <c r="E570" i="4"/>
  <c r="D570" i="4" s="1"/>
  <c r="E571" i="4"/>
  <c r="D571" i="4" s="1"/>
  <c r="E572" i="4"/>
  <c r="D572" i="4" s="1"/>
  <c r="E573" i="4"/>
  <c r="D573" i="4" s="1"/>
  <c r="E574" i="4"/>
  <c r="D574" i="4" s="1"/>
  <c r="E575" i="4"/>
  <c r="D575" i="4" s="1"/>
  <c r="E576" i="4"/>
  <c r="D576" i="4" s="1"/>
  <c r="E577" i="4"/>
  <c r="D577" i="4" s="1"/>
  <c r="E578" i="4"/>
  <c r="D578" i="4" s="1"/>
  <c r="E579" i="4"/>
  <c r="D579" i="4" s="1"/>
  <c r="E580" i="4"/>
  <c r="D580" i="4" s="1"/>
  <c r="E581" i="4"/>
  <c r="D581" i="4" s="1"/>
  <c r="E582" i="4"/>
  <c r="D582" i="4" s="1"/>
  <c r="E583" i="4"/>
  <c r="D583" i="4" s="1"/>
  <c r="E584" i="4"/>
  <c r="D584" i="4" s="1"/>
  <c r="E585" i="4"/>
  <c r="D585" i="4" s="1"/>
  <c r="E586" i="4"/>
  <c r="D586" i="4" s="1"/>
  <c r="E587" i="4"/>
  <c r="D587" i="4" s="1"/>
  <c r="E588" i="4"/>
  <c r="D588" i="4" s="1"/>
  <c r="E589" i="4"/>
  <c r="D589" i="4" s="1"/>
  <c r="E590" i="4"/>
  <c r="D590" i="4" s="1"/>
  <c r="E591" i="4"/>
  <c r="D591" i="4" s="1"/>
  <c r="E592" i="4"/>
  <c r="D592" i="4" s="1"/>
  <c r="E593" i="4"/>
  <c r="D593" i="4" s="1"/>
  <c r="E594" i="4"/>
  <c r="D594" i="4" s="1"/>
  <c r="E595" i="4"/>
  <c r="D595" i="4" s="1"/>
  <c r="E596" i="4"/>
  <c r="D596" i="4" s="1"/>
  <c r="E597" i="4"/>
  <c r="D597" i="4" s="1"/>
  <c r="E598" i="4"/>
  <c r="D598" i="4" s="1"/>
  <c r="E599" i="4"/>
  <c r="D599" i="4" s="1"/>
  <c r="E600" i="4"/>
  <c r="D600" i="4" s="1"/>
  <c r="E601" i="4"/>
  <c r="D601" i="4" s="1"/>
  <c r="E602" i="4"/>
  <c r="D602" i="4" s="1"/>
  <c r="E603" i="4"/>
  <c r="D603" i="4" s="1"/>
  <c r="E604" i="4"/>
  <c r="D604" i="4" s="1"/>
  <c r="E605" i="4"/>
  <c r="D605" i="4" s="1"/>
  <c r="E606" i="4"/>
  <c r="D606" i="4" s="1"/>
  <c r="E607" i="4"/>
  <c r="D607" i="4" s="1"/>
  <c r="E608" i="4"/>
  <c r="D608" i="4" s="1"/>
  <c r="E609" i="4"/>
  <c r="D609" i="4" s="1"/>
  <c r="E610" i="4"/>
  <c r="D610" i="4" s="1"/>
  <c r="E611" i="4"/>
  <c r="D611" i="4" s="1"/>
  <c r="E612" i="4"/>
  <c r="D612" i="4" s="1"/>
  <c r="E613" i="4"/>
  <c r="D613" i="4" s="1"/>
  <c r="E614" i="4"/>
  <c r="D614" i="4" s="1"/>
  <c r="E615" i="4"/>
  <c r="D615" i="4" s="1"/>
  <c r="E616" i="4"/>
  <c r="D616" i="4" s="1"/>
  <c r="E617" i="4"/>
  <c r="D617" i="4" s="1"/>
  <c r="E618" i="4"/>
  <c r="D618" i="4" s="1"/>
  <c r="E619" i="4"/>
  <c r="D619" i="4" s="1"/>
  <c r="E620" i="4"/>
  <c r="D620" i="4" s="1"/>
  <c r="E621" i="4"/>
  <c r="D621" i="4" s="1"/>
  <c r="E622" i="4"/>
  <c r="D622" i="4" s="1"/>
  <c r="E623" i="4"/>
  <c r="D623" i="4" s="1"/>
  <c r="E624" i="4"/>
  <c r="D624" i="4" s="1"/>
  <c r="E625" i="4"/>
  <c r="D625" i="4" s="1"/>
  <c r="E626" i="4"/>
  <c r="D626" i="4" s="1"/>
  <c r="E627" i="4"/>
  <c r="D627" i="4" s="1"/>
  <c r="E628" i="4"/>
  <c r="D628" i="4" s="1"/>
  <c r="E629" i="4"/>
  <c r="D629" i="4" s="1"/>
  <c r="E630" i="4"/>
  <c r="D630" i="4" s="1"/>
  <c r="E631" i="4"/>
  <c r="D631" i="4" s="1"/>
  <c r="E632" i="4"/>
  <c r="D632" i="4" s="1"/>
  <c r="E633" i="4"/>
  <c r="D633" i="4" s="1"/>
  <c r="E634" i="4"/>
  <c r="D634" i="4" s="1"/>
  <c r="E635" i="4"/>
  <c r="D635" i="4" s="1"/>
  <c r="E636" i="4"/>
  <c r="D636" i="4" s="1"/>
  <c r="E637" i="4"/>
  <c r="D637" i="4" s="1"/>
  <c r="E638" i="4"/>
  <c r="D638" i="4" s="1"/>
  <c r="E639" i="4"/>
  <c r="D639" i="4" s="1"/>
  <c r="E640" i="4"/>
  <c r="D640" i="4" s="1"/>
  <c r="E641" i="4"/>
  <c r="D641" i="4" s="1"/>
  <c r="E642" i="4"/>
  <c r="D642" i="4" s="1"/>
  <c r="E643" i="4"/>
  <c r="D643" i="4" s="1"/>
  <c r="E644" i="4"/>
  <c r="D644" i="4" s="1"/>
  <c r="E645" i="4"/>
  <c r="D645" i="4" s="1"/>
  <c r="E646" i="4"/>
  <c r="D646" i="4" s="1"/>
  <c r="E647" i="4"/>
  <c r="D647" i="4" s="1"/>
  <c r="E648" i="4"/>
  <c r="D648" i="4" s="1"/>
  <c r="E649" i="4"/>
  <c r="D649" i="4" s="1"/>
  <c r="E650" i="4"/>
  <c r="D650" i="4" s="1"/>
  <c r="E651" i="4"/>
  <c r="D651" i="4" s="1"/>
  <c r="E652" i="4"/>
  <c r="D652" i="4" s="1"/>
  <c r="E653" i="4"/>
  <c r="D653" i="4" s="1"/>
  <c r="E654" i="4"/>
  <c r="D654" i="4" s="1"/>
  <c r="E655" i="4"/>
  <c r="D655" i="4" s="1"/>
  <c r="E656" i="4"/>
  <c r="D656" i="4" s="1"/>
  <c r="E657" i="4"/>
  <c r="D657" i="4" s="1"/>
  <c r="E658" i="4"/>
  <c r="D658" i="4" s="1"/>
  <c r="E659" i="4"/>
  <c r="D659" i="4" s="1"/>
  <c r="E660" i="4"/>
  <c r="D660" i="4" s="1"/>
  <c r="E661" i="4"/>
  <c r="D661" i="4" s="1"/>
  <c r="E662" i="4"/>
  <c r="D662" i="4" s="1"/>
  <c r="E663" i="4"/>
  <c r="D663" i="4" s="1"/>
  <c r="E664" i="4"/>
  <c r="D664" i="4" s="1"/>
  <c r="E665" i="4"/>
  <c r="D665" i="4" s="1"/>
  <c r="E666" i="4"/>
  <c r="D666" i="4" s="1"/>
  <c r="E667" i="4"/>
  <c r="D667" i="4" s="1"/>
  <c r="E668" i="4"/>
  <c r="D668" i="4" s="1"/>
  <c r="E669" i="4"/>
  <c r="D669" i="4" s="1"/>
  <c r="E670" i="4"/>
  <c r="D670" i="4" s="1"/>
  <c r="E671" i="4"/>
  <c r="D671" i="4" s="1"/>
  <c r="E672" i="4"/>
  <c r="D672" i="4" s="1"/>
  <c r="E673" i="4"/>
  <c r="D673" i="4" s="1"/>
  <c r="E674" i="4"/>
  <c r="D674" i="4" s="1"/>
  <c r="E675" i="4"/>
  <c r="D675" i="4" s="1"/>
  <c r="E676" i="4"/>
  <c r="D676" i="4" s="1"/>
  <c r="E677" i="4"/>
  <c r="D677" i="4" s="1"/>
  <c r="E678" i="4"/>
  <c r="D678" i="4" s="1"/>
  <c r="E679" i="4"/>
  <c r="D679" i="4" s="1"/>
  <c r="E680" i="4"/>
  <c r="D680" i="4" s="1"/>
  <c r="E681" i="4"/>
  <c r="D681" i="4" s="1"/>
  <c r="E682" i="4"/>
  <c r="D682" i="4" s="1"/>
  <c r="E683" i="4"/>
  <c r="D683" i="4" s="1"/>
  <c r="E684" i="4"/>
  <c r="D684" i="4" s="1"/>
  <c r="E685" i="4"/>
  <c r="D685" i="4" s="1"/>
  <c r="E686" i="4"/>
  <c r="D686" i="4" s="1"/>
  <c r="E687" i="4"/>
  <c r="D687" i="4" s="1"/>
  <c r="E688" i="4"/>
  <c r="D688" i="4" s="1"/>
  <c r="E689" i="4"/>
  <c r="D689" i="4" s="1"/>
  <c r="E690" i="4"/>
  <c r="D690" i="4" s="1"/>
  <c r="E691" i="4"/>
  <c r="D691" i="4" s="1"/>
  <c r="E692" i="4"/>
  <c r="D692" i="4" s="1"/>
  <c r="E693" i="4"/>
  <c r="D693" i="4" s="1"/>
  <c r="E694" i="4"/>
  <c r="D694" i="4" s="1"/>
  <c r="E695" i="4"/>
  <c r="D695" i="4" s="1"/>
  <c r="E696" i="4"/>
  <c r="D696" i="4" s="1"/>
  <c r="E697" i="4"/>
  <c r="D697" i="4" s="1"/>
  <c r="E698" i="4"/>
  <c r="D698" i="4" s="1"/>
  <c r="E699" i="4"/>
  <c r="D699" i="4" s="1"/>
  <c r="E700" i="4"/>
  <c r="D700" i="4" s="1"/>
  <c r="E701" i="4"/>
  <c r="D701" i="4" s="1"/>
  <c r="E702" i="4"/>
  <c r="D702" i="4" s="1"/>
  <c r="E703" i="4"/>
  <c r="D703" i="4" s="1"/>
  <c r="E704" i="4"/>
  <c r="D704" i="4" s="1"/>
  <c r="E705" i="4"/>
  <c r="D705" i="4" s="1"/>
  <c r="E706" i="4"/>
  <c r="D706" i="4" s="1"/>
  <c r="E707" i="4"/>
  <c r="D707" i="4" s="1"/>
  <c r="E708" i="4"/>
  <c r="D708" i="4" s="1"/>
  <c r="E709" i="4"/>
  <c r="D709" i="4" s="1"/>
  <c r="E710" i="4"/>
  <c r="D710" i="4" s="1"/>
  <c r="E711" i="4"/>
  <c r="D711" i="4" s="1"/>
  <c r="E712" i="4"/>
  <c r="D712" i="4" s="1"/>
  <c r="E713" i="4"/>
  <c r="D713" i="4" s="1"/>
  <c r="E714" i="4"/>
  <c r="D714" i="4" s="1"/>
  <c r="E715" i="4"/>
  <c r="D715" i="4" s="1"/>
  <c r="E716" i="4"/>
  <c r="D716" i="4" s="1"/>
  <c r="E717" i="4"/>
  <c r="D717" i="4" s="1"/>
  <c r="E718" i="4"/>
  <c r="D718" i="4" s="1"/>
  <c r="E719" i="4"/>
  <c r="D719" i="4" s="1"/>
  <c r="E720" i="4"/>
  <c r="D720" i="4" s="1"/>
  <c r="E721" i="4"/>
  <c r="D721" i="4" s="1"/>
  <c r="E722" i="4"/>
  <c r="D722" i="4" s="1"/>
  <c r="E723" i="4"/>
  <c r="D723" i="4" s="1"/>
  <c r="E724" i="4"/>
  <c r="D724" i="4" s="1"/>
  <c r="E725" i="4"/>
  <c r="D725" i="4" s="1"/>
  <c r="E726" i="4"/>
  <c r="D726" i="4" s="1"/>
  <c r="E727" i="4"/>
  <c r="D727" i="4" s="1"/>
  <c r="E728" i="4"/>
  <c r="D728" i="4" s="1"/>
  <c r="E729" i="4"/>
  <c r="D729" i="4" s="1"/>
  <c r="E730" i="4"/>
  <c r="D730" i="4" s="1"/>
  <c r="E731" i="4"/>
  <c r="D731" i="4" s="1"/>
  <c r="E732" i="4"/>
  <c r="D732" i="4" s="1"/>
  <c r="E733" i="4"/>
  <c r="D733" i="4" s="1"/>
  <c r="E734" i="4"/>
  <c r="D734" i="4" s="1"/>
  <c r="E735" i="4"/>
  <c r="D735" i="4" s="1"/>
  <c r="E736" i="4"/>
  <c r="D736" i="4" s="1"/>
  <c r="E737" i="4"/>
  <c r="D737" i="4" s="1"/>
  <c r="E738" i="4"/>
  <c r="D738" i="4" s="1"/>
  <c r="E739" i="4"/>
  <c r="D739" i="4" s="1"/>
  <c r="E740" i="4"/>
  <c r="D740" i="4" s="1"/>
  <c r="E741" i="4"/>
  <c r="D741" i="4" s="1"/>
  <c r="E742" i="4"/>
  <c r="D742" i="4" s="1"/>
  <c r="E743" i="4"/>
  <c r="D743" i="4" s="1"/>
  <c r="E744" i="4"/>
  <c r="D744" i="4" s="1"/>
  <c r="E745" i="4"/>
  <c r="D745" i="4" s="1"/>
  <c r="E746" i="4"/>
  <c r="D746" i="4" s="1"/>
  <c r="E747" i="4"/>
  <c r="D747" i="4" s="1"/>
  <c r="E748" i="4"/>
  <c r="D748" i="4" s="1"/>
  <c r="E749" i="4"/>
  <c r="D749" i="4" s="1"/>
  <c r="E750" i="4"/>
  <c r="D750" i="4" s="1"/>
  <c r="E751" i="4"/>
  <c r="D751" i="4" s="1"/>
  <c r="E752" i="4"/>
  <c r="D752" i="4" s="1"/>
  <c r="E753" i="4"/>
  <c r="D753" i="4" s="1"/>
  <c r="E754" i="4"/>
  <c r="D754" i="4" s="1"/>
  <c r="E755" i="4"/>
  <c r="D755" i="4" s="1"/>
  <c r="E756" i="4"/>
  <c r="D756" i="4" s="1"/>
  <c r="E757" i="4"/>
  <c r="D757" i="4" s="1"/>
  <c r="E758" i="4"/>
  <c r="D758" i="4" s="1"/>
  <c r="E759" i="4"/>
  <c r="D759" i="4" s="1"/>
  <c r="E760" i="4"/>
  <c r="D760" i="4" s="1"/>
  <c r="E761" i="4"/>
  <c r="D761" i="4" s="1"/>
  <c r="E762" i="4"/>
  <c r="D762" i="4" s="1"/>
  <c r="E763" i="4"/>
  <c r="D763" i="4" s="1"/>
  <c r="E764" i="4"/>
  <c r="D764" i="4" s="1"/>
  <c r="E765" i="4"/>
  <c r="D765" i="4" s="1"/>
  <c r="E766" i="4"/>
  <c r="D766" i="4" s="1"/>
  <c r="E767" i="4"/>
  <c r="D767" i="4" s="1"/>
  <c r="E768" i="4"/>
  <c r="D768" i="4" s="1"/>
  <c r="E769" i="4"/>
  <c r="D769" i="4" s="1"/>
  <c r="E770" i="4"/>
  <c r="D770" i="4" s="1"/>
  <c r="E771" i="4"/>
  <c r="D771" i="4" s="1"/>
  <c r="E772" i="4"/>
  <c r="D772" i="4" s="1"/>
  <c r="E773" i="4"/>
  <c r="D773" i="4" s="1"/>
  <c r="E774" i="4"/>
  <c r="D774" i="4" s="1"/>
  <c r="E775" i="4"/>
  <c r="D775" i="4" s="1"/>
  <c r="E776" i="4"/>
  <c r="D776" i="4" s="1"/>
  <c r="E777" i="4"/>
  <c r="D777" i="4" s="1"/>
  <c r="E778" i="4"/>
  <c r="D778" i="4" s="1"/>
  <c r="E779" i="4"/>
  <c r="D779" i="4" s="1"/>
  <c r="E780" i="4"/>
  <c r="D780" i="4" s="1"/>
  <c r="E781" i="4"/>
  <c r="D781" i="4" s="1"/>
  <c r="E782" i="4"/>
  <c r="D782" i="4" s="1"/>
  <c r="E783" i="4"/>
  <c r="D783" i="4" s="1"/>
  <c r="E784" i="4"/>
  <c r="D784" i="4" s="1"/>
  <c r="E785" i="4"/>
  <c r="D785" i="4" s="1"/>
  <c r="E786" i="4"/>
  <c r="D786" i="4" s="1"/>
  <c r="E787" i="4"/>
  <c r="D787" i="4" s="1"/>
  <c r="E788" i="4"/>
  <c r="D788" i="4" s="1"/>
  <c r="E789" i="4"/>
  <c r="D789" i="4" s="1"/>
  <c r="E790" i="4"/>
  <c r="D790" i="4" s="1"/>
  <c r="E791" i="4"/>
  <c r="D791" i="4" s="1"/>
  <c r="E792" i="4"/>
  <c r="D792" i="4" s="1"/>
  <c r="E793" i="4"/>
  <c r="D793" i="4" s="1"/>
  <c r="E794" i="4"/>
  <c r="D794" i="4" s="1"/>
  <c r="E795" i="4"/>
  <c r="D795" i="4" s="1"/>
  <c r="E796" i="4"/>
  <c r="D796" i="4" s="1"/>
  <c r="E797" i="4"/>
  <c r="D797" i="4" s="1"/>
  <c r="E798" i="4"/>
  <c r="D798" i="4" s="1"/>
  <c r="E799" i="4"/>
  <c r="D799" i="4" s="1"/>
  <c r="E800" i="4"/>
  <c r="D800" i="4" s="1"/>
  <c r="E801" i="4"/>
  <c r="D801" i="4" s="1"/>
  <c r="E802" i="4"/>
  <c r="D802" i="4" s="1"/>
  <c r="E803" i="4"/>
  <c r="D803" i="4" s="1"/>
  <c r="E804" i="4"/>
  <c r="D804" i="4" s="1"/>
  <c r="E805" i="4"/>
  <c r="D805" i="4" s="1"/>
  <c r="E806" i="4"/>
  <c r="D806" i="4" s="1"/>
  <c r="E807" i="4"/>
  <c r="D807" i="4" s="1"/>
  <c r="E808" i="4"/>
  <c r="D808" i="4" s="1"/>
  <c r="E809" i="4"/>
  <c r="D809" i="4" s="1"/>
  <c r="E810" i="4"/>
  <c r="D810" i="4" s="1"/>
  <c r="E811" i="4"/>
  <c r="D811" i="4" s="1"/>
  <c r="E812" i="4"/>
  <c r="D812" i="4" s="1"/>
  <c r="E813" i="4"/>
  <c r="D813" i="4" s="1"/>
  <c r="E814" i="4"/>
  <c r="D814" i="4" s="1"/>
  <c r="E2" i="4"/>
  <c r="D2" i="4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2" i="2"/>
  <c r="B24" i="2"/>
  <c r="B25" i="2"/>
  <c r="B26" i="2"/>
  <c r="B27" i="2"/>
  <c r="B28" i="2"/>
  <c r="B29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7" i="2"/>
  <c r="B49" i="2"/>
  <c r="B50" i="2"/>
  <c r="B51" i="2"/>
  <c r="B53" i="2"/>
  <c r="B54" i="2"/>
  <c r="B55" i="2"/>
  <c r="B56" i="2"/>
  <c r="B57" i="2"/>
  <c r="B58" i="2"/>
  <c r="B59" i="2"/>
  <c r="B64" i="2"/>
  <c r="B67" i="2"/>
  <c r="B68" i="2"/>
  <c r="B69" i="2"/>
  <c r="B70" i="2"/>
  <c r="B71" i="2"/>
  <c r="B74" i="2"/>
  <c r="B75" i="2"/>
  <c r="B76" i="2"/>
  <c r="B77" i="2"/>
  <c r="B78" i="2"/>
  <c r="B79" i="2"/>
  <c r="B82" i="2"/>
  <c r="B83" i="2"/>
  <c r="B84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4" i="2"/>
  <c r="B105" i="2"/>
  <c r="B108" i="2"/>
  <c r="B109" i="2"/>
  <c r="B111" i="2"/>
  <c r="B112" i="2"/>
  <c r="B113" i="2"/>
  <c r="B114" i="2"/>
  <c r="B115" i="2"/>
  <c r="B116" i="2"/>
  <c r="B117" i="2"/>
  <c r="B118" i="2"/>
  <c r="B121" i="2"/>
  <c r="B122" i="2"/>
  <c r="B123" i="2"/>
  <c r="B124" i="2"/>
  <c r="B125" i="2"/>
  <c r="B126" i="2"/>
  <c r="B127" i="2"/>
  <c r="B128" i="2"/>
  <c r="B129" i="2"/>
  <c r="B130" i="2"/>
  <c r="B132" i="2"/>
  <c r="B133" i="2"/>
  <c r="B134" i="2"/>
  <c r="B135" i="2"/>
  <c r="B139" i="2"/>
  <c r="B140" i="2"/>
  <c r="B141" i="2"/>
  <c r="B142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60" i="2"/>
  <c r="B161" i="2"/>
  <c r="B163" i="2"/>
  <c r="B164" i="2"/>
  <c r="B165" i="2"/>
  <c r="B168" i="2"/>
  <c r="B171" i="2"/>
  <c r="B172" i="2"/>
  <c r="B173" i="2"/>
  <c r="B174" i="2"/>
  <c r="B175" i="2"/>
  <c r="B176" i="2"/>
  <c r="B177" i="2"/>
  <c r="B178" i="2"/>
  <c r="B179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200" i="2"/>
  <c r="B201" i="2"/>
  <c r="B202" i="2"/>
  <c r="B206" i="2"/>
  <c r="B207" i="2"/>
  <c r="B208" i="2"/>
  <c r="B209" i="2"/>
  <c r="B212" i="2"/>
  <c r="B214" i="2"/>
  <c r="B215" i="2"/>
  <c r="B218" i="2"/>
  <c r="B219" i="2"/>
  <c r="B221" i="2"/>
  <c r="B222" i="2"/>
  <c r="B223" i="2"/>
  <c r="B224" i="2"/>
  <c r="B225" i="2"/>
  <c r="B227" i="2"/>
  <c r="B228" i="2"/>
  <c r="B229" i="2"/>
  <c r="B230" i="2"/>
  <c r="B231" i="2"/>
  <c r="B232" i="2"/>
  <c r="B233" i="2"/>
  <c r="B234" i="2"/>
  <c r="B235" i="2"/>
  <c r="B238" i="2"/>
  <c r="B239" i="2"/>
  <c r="B240" i="2"/>
  <c r="B242" i="2"/>
  <c r="B243" i="2"/>
  <c r="B244" i="2"/>
  <c r="B245" i="2"/>
  <c r="B246" i="2"/>
  <c r="B247" i="2"/>
  <c r="B248" i="2"/>
  <c r="B249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8" i="2"/>
  <c r="B269" i="2"/>
  <c r="B270" i="2"/>
  <c r="B271" i="2"/>
  <c r="B272" i="2"/>
  <c r="B273" i="2"/>
  <c r="B274" i="2"/>
  <c r="B275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7" i="2"/>
  <c r="B298" i="2"/>
  <c r="B300" i="2"/>
  <c r="B303" i="2"/>
  <c r="B305" i="2"/>
  <c r="B306" i="2"/>
  <c r="B310" i="2"/>
  <c r="B311" i="2"/>
  <c r="B314" i="2"/>
  <c r="B316" i="2"/>
  <c r="B317" i="2"/>
  <c r="B319" i="2"/>
  <c r="B320" i="2"/>
  <c r="B325" i="2"/>
  <c r="B327" i="2"/>
  <c r="B332" i="2"/>
  <c r="B334" i="2"/>
  <c r="B337" i="2"/>
  <c r="B339" i="2"/>
  <c r="B341" i="2"/>
  <c r="B342" i="2"/>
  <c r="B343" i="2"/>
  <c r="B345" i="2"/>
  <c r="B347" i="2"/>
  <c r="B348" i="2"/>
  <c r="B349" i="2"/>
  <c r="B350" i="2"/>
  <c r="B351" i="2"/>
  <c r="B352" i="2"/>
  <c r="B355" i="2"/>
  <c r="B357" i="2"/>
  <c r="B358" i="2"/>
  <c r="B359" i="2"/>
  <c r="B363" i="2"/>
  <c r="B364" i="2"/>
  <c r="B366" i="2"/>
  <c r="B367" i="2"/>
  <c r="B368" i="2"/>
  <c r="B369" i="2"/>
  <c r="B371" i="2"/>
  <c r="B372" i="2"/>
  <c r="B373" i="2"/>
  <c r="B375" i="2"/>
  <c r="B378" i="2"/>
  <c r="B382" i="2"/>
  <c r="B383" i="2"/>
  <c r="B384" i="2"/>
  <c r="B386" i="2"/>
  <c r="B388" i="2"/>
  <c r="B390" i="2"/>
  <c r="B392" i="2"/>
  <c r="B394" i="2"/>
  <c r="B395" i="2"/>
  <c r="B398" i="2"/>
  <c r="B399" i="2"/>
  <c r="B407" i="2"/>
  <c r="B408" i="2"/>
  <c r="B410" i="2"/>
  <c r="B411" i="2"/>
  <c r="B414" i="2"/>
  <c r="B415" i="2"/>
  <c r="B417" i="2"/>
  <c r="B418" i="2"/>
  <c r="B419" i="2"/>
  <c r="B420" i="2"/>
  <c r="B426" i="2"/>
  <c r="B430" i="2"/>
  <c r="B436" i="2"/>
  <c r="B439" i="2"/>
  <c r="B440" i="2"/>
  <c r="B443" i="2"/>
  <c r="B445" i="2"/>
  <c r="B453" i="2"/>
  <c r="B455" i="2"/>
  <c r="B458" i="2"/>
  <c r="B459" i="2"/>
  <c r="B460" i="2"/>
  <c r="B461" i="2"/>
  <c r="B462" i="2"/>
  <c r="B463" i="2"/>
  <c r="B464" i="2"/>
  <c r="B465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2" i="2"/>
  <c r="B483" i="2"/>
  <c r="B484" i="2"/>
  <c r="B485" i="2"/>
  <c r="B486" i="2"/>
  <c r="B487" i="2"/>
  <c r="B488" i="2"/>
  <c r="B489" i="2"/>
  <c r="B491" i="2"/>
  <c r="B492" i="2"/>
  <c r="B494" i="2"/>
  <c r="B495" i="2"/>
  <c r="B496" i="2"/>
  <c r="B497" i="2"/>
  <c r="B498" i="2"/>
  <c r="B499" i="2"/>
  <c r="B504" i="2"/>
  <c r="B506" i="2"/>
  <c r="B507" i="2"/>
  <c r="B508" i="2"/>
  <c r="B518" i="2"/>
  <c r="B520" i="2"/>
  <c r="B525" i="2"/>
  <c r="B527" i="2"/>
  <c r="B528" i="2"/>
  <c r="B531" i="2"/>
  <c r="B532" i="2"/>
  <c r="B536" i="2"/>
  <c r="B537" i="2"/>
  <c r="B538" i="2"/>
  <c r="B540" i="2"/>
  <c r="B542" i="2"/>
  <c r="B543" i="2"/>
  <c r="B544" i="2"/>
  <c r="B545" i="2"/>
  <c r="B546" i="2"/>
  <c r="B547" i="2"/>
  <c r="B548" i="2"/>
  <c r="B550" i="2"/>
  <c r="B551" i="2"/>
  <c r="B552" i="2"/>
  <c r="B553" i="2"/>
  <c r="B554" i="2"/>
  <c r="B555" i="2"/>
  <c r="B561" i="2"/>
  <c r="B562" i="2"/>
  <c r="B564" i="2"/>
  <c r="B565" i="2"/>
  <c r="B566" i="2"/>
  <c r="B567" i="2"/>
  <c r="B569" i="2"/>
  <c r="B570" i="2"/>
  <c r="B572" i="2"/>
  <c r="B573" i="2"/>
  <c r="B574" i="2"/>
  <c r="B575" i="2"/>
  <c r="B576" i="2"/>
  <c r="B577" i="2"/>
  <c r="B578" i="2"/>
  <c r="B580" i="2"/>
  <c r="B582" i="2"/>
  <c r="B585" i="2"/>
  <c r="B586" i="2"/>
  <c r="B587" i="2"/>
  <c r="B588" i="2"/>
  <c r="B592" i="2"/>
  <c r="B598" i="2"/>
  <c r="B600" i="2"/>
  <c r="B601" i="2"/>
  <c r="B602" i="2"/>
  <c r="B603" i="2"/>
  <c r="B604" i="2"/>
  <c r="B605" i="2"/>
  <c r="B607" i="2"/>
  <c r="B608" i="2"/>
  <c r="B609" i="2"/>
  <c r="B610" i="2"/>
  <c r="B612" i="2"/>
  <c r="B613" i="2"/>
  <c r="B617" i="2"/>
  <c r="B618" i="2"/>
  <c r="B619" i="2"/>
  <c r="B620" i="2"/>
  <c r="B621" i="2"/>
  <c r="B622" i="2"/>
  <c r="B623" i="2"/>
  <c r="B626" i="2"/>
  <c r="B627" i="2"/>
  <c r="B628" i="2"/>
  <c r="B631" i="2"/>
  <c r="B632" i="2"/>
  <c r="B633" i="2"/>
  <c r="B634" i="2"/>
  <c r="B635" i="2"/>
  <c r="B636" i="2"/>
  <c r="B637" i="2"/>
  <c r="B638" i="2"/>
  <c r="B639" i="2"/>
  <c r="B640" i="2"/>
  <c r="B642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8" i="2"/>
  <c r="B659" i="2"/>
  <c r="B660" i="2"/>
  <c r="B662" i="2"/>
  <c r="B668" i="2"/>
  <c r="B669" i="2"/>
  <c r="B670" i="2"/>
  <c r="B675" i="2"/>
  <c r="B676" i="2"/>
  <c r="B677" i="2"/>
  <c r="B678" i="2"/>
  <c r="B679" i="2"/>
  <c r="B683" i="2"/>
  <c r="B684" i="2"/>
  <c r="B691" i="2"/>
  <c r="B694" i="2"/>
  <c r="B695" i="2"/>
  <c r="B698" i="2"/>
  <c r="B699" i="2"/>
  <c r="B700" i="2"/>
  <c r="B702" i="2"/>
  <c r="B703" i="2"/>
  <c r="B704" i="2"/>
  <c r="B706" i="2"/>
  <c r="B710" i="2"/>
  <c r="B712" i="2"/>
  <c r="B716" i="2"/>
  <c r="B719" i="2"/>
  <c r="B721" i="2"/>
  <c r="B723" i="2"/>
  <c r="B724" i="2"/>
  <c r="B726" i="2"/>
  <c r="B728" i="2"/>
  <c r="B729" i="2"/>
  <c r="B730" i="2"/>
  <c r="B731" i="2"/>
  <c r="B732" i="2"/>
  <c r="B733" i="2"/>
  <c r="B734" i="2"/>
  <c r="B735" i="2"/>
  <c r="B737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0" i="2"/>
  <c r="C21" i="2"/>
  <c r="C22" i="2"/>
  <c r="C19" i="2"/>
  <c r="C23" i="2"/>
  <c r="C17" i="2"/>
  <c r="C18" i="2"/>
  <c r="C30" i="2"/>
  <c r="C33" i="2"/>
  <c r="C35" i="2"/>
  <c r="C29" i="2"/>
  <c r="C32" i="2"/>
  <c r="C24" i="2"/>
  <c r="C36" i="2"/>
  <c r="C25" i="2"/>
  <c r="C26" i="2"/>
  <c r="C37" i="2"/>
  <c r="C27" i="2"/>
  <c r="C38" i="2"/>
  <c r="C28" i="2"/>
  <c r="C34" i="2"/>
  <c r="C41" i="2"/>
  <c r="C43" i="2"/>
  <c r="C42" i="2"/>
  <c r="C44" i="2"/>
  <c r="C46" i="2"/>
  <c r="C47" i="2"/>
  <c r="C48" i="2"/>
  <c r="C49" i="2"/>
  <c r="C39" i="2"/>
  <c r="C45" i="2"/>
  <c r="C40" i="2"/>
  <c r="C50" i="2"/>
  <c r="C51" i="2"/>
  <c r="C78" i="2"/>
  <c r="C53" i="2"/>
  <c r="C75" i="2"/>
  <c r="C79" i="2"/>
  <c r="C76" i="2"/>
  <c r="C52" i="2"/>
  <c r="C55" i="2"/>
  <c r="C71" i="2"/>
  <c r="C54" i="2"/>
  <c r="C56" i="2"/>
  <c r="C59" i="2"/>
  <c r="C64" i="2"/>
  <c r="C74" i="2"/>
  <c r="C73" i="2"/>
  <c r="C57" i="2"/>
  <c r="C58" i="2"/>
  <c r="C61" i="2"/>
  <c r="C65" i="2"/>
  <c r="C60" i="2"/>
  <c r="C77" i="2"/>
  <c r="C69" i="2"/>
  <c r="C70" i="2"/>
  <c r="C72" i="2"/>
  <c r="C63" i="2"/>
  <c r="C66" i="2"/>
  <c r="C62" i="2"/>
  <c r="C67" i="2"/>
  <c r="C68" i="2"/>
  <c r="C81" i="2"/>
  <c r="C84" i="2"/>
  <c r="C86" i="2"/>
  <c r="C83" i="2"/>
  <c r="C80" i="2"/>
  <c r="C87" i="2"/>
  <c r="C90" i="2"/>
  <c r="C85" i="2"/>
  <c r="C91" i="2"/>
  <c r="C89" i="2"/>
  <c r="C94" i="2"/>
  <c r="C82" i="2"/>
  <c r="C96" i="2"/>
  <c r="C98" i="2"/>
  <c r="C93" i="2"/>
  <c r="C95" i="2"/>
  <c r="C97" i="2"/>
  <c r="C100" i="2"/>
  <c r="C88" i="2"/>
  <c r="C101" i="2"/>
  <c r="C99" i="2"/>
  <c r="C92" i="2"/>
  <c r="C102" i="2"/>
  <c r="C103" i="2"/>
  <c r="C105" i="2"/>
  <c r="C104" i="2"/>
  <c r="C108" i="2"/>
  <c r="C107" i="2"/>
  <c r="C112" i="2"/>
  <c r="C109" i="2"/>
  <c r="C111" i="2"/>
  <c r="C106" i="2"/>
  <c r="C115" i="2"/>
  <c r="C118" i="2"/>
  <c r="C116" i="2"/>
  <c r="C117" i="2"/>
  <c r="C113" i="2"/>
  <c r="C114" i="2"/>
  <c r="C119" i="2"/>
  <c r="C120" i="2"/>
  <c r="C129" i="2"/>
  <c r="C130" i="2"/>
  <c r="C131" i="2"/>
  <c r="C136" i="2"/>
  <c r="C121" i="2"/>
  <c r="C122" i="2"/>
  <c r="C124" i="2"/>
  <c r="C126" i="2"/>
  <c r="C125" i="2"/>
  <c r="C132" i="2"/>
  <c r="C134" i="2"/>
  <c r="C135" i="2"/>
  <c r="C133" i="2"/>
  <c r="C123" i="2"/>
  <c r="C127" i="2"/>
  <c r="C128" i="2"/>
  <c r="C159" i="2"/>
  <c r="C163" i="2"/>
  <c r="C164" i="2"/>
  <c r="C162" i="2"/>
  <c r="C165" i="2"/>
  <c r="C138" i="2"/>
  <c r="C139" i="2"/>
  <c r="C150" i="2"/>
  <c r="C140" i="2"/>
  <c r="C157" i="2"/>
  <c r="C149" i="2"/>
  <c r="C142" i="2"/>
  <c r="C158" i="2"/>
  <c r="C146" i="2"/>
  <c r="C153" i="2"/>
  <c r="C156" i="2"/>
  <c r="C141" i="2"/>
  <c r="C161" i="2"/>
  <c r="C145" i="2"/>
  <c r="C155" i="2"/>
  <c r="C154" i="2"/>
  <c r="C147" i="2"/>
  <c r="C144" i="2"/>
  <c r="C143" i="2"/>
  <c r="C160" i="2"/>
  <c r="C148" i="2"/>
  <c r="C151" i="2"/>
  <c r="C152" i="2"/>
  <c r="C173" i="2"/>
  <c r="C177" i="2"/>
  <c r="C174" i="2"/>
  <c r="C176" i="2"/>
  <c r="C175" i="2"/>
  <c r="C172" i="2"/>
  <c r="C178" i="2"/>
  <c r="C180" i="2"/>
  <c r="C179" i="2"/>
  <c r="C182" i="2"/>
  <c r="C168" i="2"/>
  <c r="C183" i="2"/>
  <c r="C167" i="2"/>
  <c r="C166" i="2"/>
  <c r="C181" i="2"/>
  <c r="C171" i="2"/>
  <c r="C190" i="2"/>
  <c r="C189" i="2"/>
  <c r="C188" i="2"/>
  <c r="C191" i="2"/>
  <c r="C193" i="2"/>
  <c r="C192" i="2"/>
  <c r="C194" i="2"/>
  <c r="C184" i="2"/>
  <c r="C186" i="2"/>
  <c r="C185" i="2"/>
  <c r="C187" i="2"/>
  <c r="C197" i="2"/>
  <c r="C203" i="2"/>
  <c r="C204" i="2"/>
  <c r="C205" i="2"/>
  <c r="C199" i="2"/>
  <c r="C198" i="2"/>
  <c r="C208" i="2"/>
  <c r="C207" i="2"/>
  <c r="C195" i="2"/>
  <c r="C206" i="2"/>
  <c r="C196" i="2"/>
  <c r="C202" i="2"/>
  <c r="C200" i="2"/>
  <c r="C201" i="2"/>
  <c r="C220" i="2"/>
  <c r="C210" i="2"/>
  <c r="C211" i="2"/>
  <c r="C224" i="2"/>
  <c r="C212" i="2"/>
  <c r="C213" i="2"/>
  <c r="C218" i="2"/>
  <c r="C223" i="2"/>
  <c r="C222" i="2"/>
  <c r="C219" i="2"/>
  <c r="C214" i="2"/>
  <c r="C216" i="2"/>
  <c r="C221" i="2"/>
  <c r="C226" i="2"/>
  <c r="C215" i="2"/>
  <c r="C232" i="2"/>
  <c r="C209" i="2"/>
  <c r="C231" i="2"/>
  <c r="C230" i="2"/>
  <c r="C217" i="2"/>
  <c r="C227" i="2"/>
  <c r="C229" i="2"/>
  <c r="C228" i="2"/>
  <c r="C225" i="2"/>
  <c r="C254" i="2"/>
  <c r="C233" i="2"/>
  <c r="C253" i="2"/>
  <c r="C255" i="2"/>
  <c r="C234" i="2"/>
  <c r="C256" i="2"/>
  <c r="C235" i="2"/>
  <c r="C237" i="2"/>
  <c r="C258" i="2"/>
  <c r="C257" i="2"/>
  <c r="C250" i="2"/>
  <c r="C240" i="2"/>
  <c r="C251" i="2"/>
  <c r="C252" i="2"/>
  <c r="C244" i="2"/>
  <c r="C238" i="2"/>
  <c r="C247" i="2"/>
  <c r="C248" i="2"/>
  <c r="C243" i="2"/>
  <c r="C239" i="2"/>
  <c r="C249" i="2"/>
  <c r="C241" i="2"/>
  <c r="C246" i="2"/>
  <c r="C242" i="2"/>
  <c r="C236" i="2"/>
  <c r="C245" i="2"/>
  <c r="C264" i="2"/>
  <c r="C268" i="2"/>
  <c r="C269" i="2"/>
  <c r="C260" i="2"/>
  <c r="C261" i="2"/>
  <c r="C270" i="2"/>
  <c r="C259" i="2"/>
  <c r="C271" i="2"/>
  <c r="C272" i="2"/>
  <c r="C265" i="2"/>
  <c r="C266" i="2"/>
  <c r="C262" i="2"/>
  <c r="C263" i="2"/>
  <c r="C273" i="2"/>
  <c r="C275" i="2"/>
  <c r="C274" i="2"/>
  <c r="C276" i="2"/>
  <c r="C278" i="2"/>
  <c r="C277" i="2"/>
  <c r="C284" i="2"/>
  <c r="C286" i="2"/>
  <c r="C279" i="2"/>
  <c r="C280" i="2"/>
  <c r="C285" i="2"/>
  <c r="C281" i="2"/>
  <c r="C282" i="2"/>
  <c r="C287" i="2"/>
  <c r="C288" i="2"/>
  <c r="C283" i="2"/>
  <c r="C292" i="2"/>
  <c r="C290" i="2"/>
  <c r="C291" i="2"/>
  <c r="C289" i="2"/>
  <c r="C293" i="2"/>
  <c r="C294" i="2"/>
  <c r="C296" i="2"/>
  <c r="C295" i="2"/>
  <c r="C299" i="2"/>
  <c r="C312" i="2"/>
  <c r="C302" i="2"/>
  <c r="C309" i="2"/>
  <c r="C298" i="2"/>
  <c r="C311" i="2"/>
  <c r="C301" i="2"/>
  <c r="C324" i="2"/>
  <c r="C313" i="2"/>
  <c r="C304" i="2"/>
  <c r="C306" i="2"/>
  <c r="C319" i="2"/>
  <c r="C308" i="2"/>
  <c r="C297" i="2"/>
  <c r="C322" i="2"/>
  <c r="C314" i="2"/>
  <c r="C315" i="2"/>
  <c r="C325" i="2"/>
  <c r="C321" i="2"/>
  <c r="C320" i="2"/>
  <c r="C300" i="2"/>
  <c r="C305" i="2"/>
  <c r="C303" i="2"/>
  <c r="C307" i="2"/>
  <c r="C318" i="2"/>
  <c r="C316" i="2"/>
  <c r="C317" i="2"/>
  <c r="C310" i="2"/>
  <c r="C323" i="2"/>
  <c r="C326" i="2"/>
  <c r="C327" i="2"/>
  <c r="C328" i="2"/>
  <c r="C337" i="2"/>
  <c r="C339" i="2"/>
  <c r="C335" i="2"/>
  <c r="C333" i="2"/>
  <c r="C344" i="2"/>
  <c r="C341" i="2"/>
  <c r="C342" i="2"/>
  <c r="C329" i="2"/>
  <c r="C343" i="2"/>
  <c r="C336" i="2"/>
  <c r="C347" i="2"/>
  <c r="C348" i="2"/>
  <c r="C331" i="2"/>
  <c r="C334" i="2"/>
  <c r="C345" i="2"/>
  <c r="C340" i="2"/>
  <c r="C338" i="2"/>
  <c r="C332" i="2"/>
  <c r="C346" i="2"/>
  <c r="C330" i="2"/>
  <c r="C353" i="2"/>
  <c r="C358" i="2"/>
  <c r="C367" i="2"/>
  <c r="C357" i="2"/>
  <c r="C359" i="2"/>
  <c r="C355" i="2"/>
  <c r="C360" i="2"/>
  <c r="C356" i="2"/>
  <c r="C363" i="2"/>
  <c r="C354" i="2"/>
  <c r="C349" i="2"/>
  <c r="C350" i="2"/>
  <c r="C366" i="2"/>
  <c r="C361" i="2"/>
  <c r="C352" i="2"/>
  <c r="C364" i="2"/>
  <c r="C362" i="2"/>
  <c r="C365" i="2"/>
  <c r="C351" i="2"/>
  <c r="C410" i="2"/>
  <c r="C369" i="2"/>
  <c r="C377" i="2"/>
  <c r="C379" i="2"/>
  <c r="C368" i="2"/>
  <c r="C380" i="2"/>
  <c r="C403" i="2"/>
  <c r="C378" i="2"/>
  <c r="C405" i="2"/>
  <c r="C388" i="2"/>
  <c r="C373" i="2"/>
  <c r="C375" i="2"/>
  <c r="C374" i="2"/>
  <c r="C390" i="2"/>
  <c r="C381" i="2"/>
  <c r="C376" i="2"/>
  <c r="C394" i="2"/>
  <c r="C370" i="2"/>
  <c r="C385" i="2"/>
  <c r="C396" i="2"/>
  <c r="C386" i="2"/>
  <c r="C383" i="2"/>
  <c r="C398" i="2"/>
  <c r="C371" i="2"/>
  <c r="C393" i="2"/>
  <c r="C389" i="2"/>
  <c r="C395" i="2"/>
  <c r="C387" i="2"/>
  <c r="C409" i="2"/>
  <c r="C382" i="2"/>
  <c r="C406" i="2"/>
  <c r="C372" i="2"/>
  <c r="C400" i="2"/>
  <c r="C384" i="2"/>
  <c r="C392" i="2"/>
  <c r="C402" i="2"/>
  <c r="C404" i="2"/>
  <c r="C399" i="2"/>
  <c r="C397" i="2"/>
  <c r="C408" i="2"/>
  <c r="C407" i="2"/>
  <c r="C411" i="2"/>
  <c r="C413" i="2"/>
  <c r="C414" i="2"/>
  <c r="C424" i="2"/>
  <c r="C415" i="2"/>
  <c r="C420" i="2"/>
  <c r="C422" i="2"/>
  <c r="C423" i="2"/>
  <c r="C416" i="2"/>
  <c r="C427" i="2"/>
  <c r="C418" i="2"/>
  <c r="C426" i="2"/>
  <c r="C419" i="2"/>
  <c r="C417" i="2"/>
  <c r="C421" i="2"/>
  <c r="C434" i="2"/>
  <c r="C430" i="2"/>
  <c r="C428" i="2"/>
  <c r="C433" i="2"/>
  <c r="C431" i="2"/>
  <c r="C432" i="2"/>
  <c r="C429" i="2"/>
  <c r="C438" i="2"/>
  <c r="C435" i="2"/>
  <c r="C439" i="2"/>
  <c r="C447" i="2"/>
  <c r="C440" i="2"/>
  <c r="C442" i="2"/>
  <c r="C449" i="2"/>
  <c r="C445" i="2"/>
  <c r="C443" i="2"/>
  <c r="C444" i="2"/>
  <c r="C446" i="2"/>
  <c r="C436" i="2"/>
  <c r="C441" i="2"/>
  <c r="C448" i="2"/>
  <c r="C437" i="2"/>
  <c r="C453" i="2"/>
  <c r="C452" i="2"/>
  <c r="C451" i="2"/>
  <c r="C456" i="2"/>
  <c r="C455" i="2"/>
  <c r="C450" i="2"/>
  <c r="C462" i="2"/>
  <c r="C463" i="2"/>
  <c r="C454" i="2"/>
  <c r="C461" i="2"/>
  <c r="C460" i="2"/>
  <c r="C457" i="2"/>
  <c r="C458" i="2"/>
  <c r="C459" i="2"/>
  <c r="C464" i="2"/>
  <c r="C465" i="2"/>
  <c r="C487" i="2"/>
  <c r="C473" i="2"/>
  <c r="C486" i="2"/>
  <c r="C474" i="2"/>
  <c r="C490" i="2"/>
  <c r="C479" i="2"/>
  <c r="C468" i="2"/>
  <c r="C476" i="2"/>
  <c r="C482" i="2"/>
  <c r="C483" i="2"/>
  <c r="C466" i="2"/>
  <c r="C475" i="2"/>
  <c r="C485" i="2"/>
  <c r="C484" i="2"/>
  <c r="C471" i="2"/>
  <c r="C493" i="2"/>
  <c r="C480" i="2"/>
  <c r="C472" i="2"/>
  <c r="C496" i="2"/>
  <c r="C498" i="2"/>
  <c r="C499" i="2"/>
  <c r="C470" i="2"/>
  <c r="C491" i="2"/>
  <c r="C477" i="2"/>
  <c r="C492" i="2"/>
  <c r="C469" i="2"/>
  <c r="C495" i="2"/>
  <c r="C478" i="2"/>
  <c r="C494" i="2"/>
  <c r="C488" i="2"/>
  <c r="C500" i="2"/>
  <c r="C501" i="2"/>
  <c r="C489" i="2"/>
  <c r="C497" i="2"/>
  <c r="C503" i="2"/>
  <c r="C504" i="2"/>
  <c r="C507" i="2"/>
  <c r="C509" i="2"/>
  <c r="C510" i="2"/>
  <c r="C505" i="2"/>
  <c r="C502" i="2"/>
  <c r="C519" i="2"/>
  <c r="C514" i="2"/>
  <c r="C516" i="2"/>
  <c r="C521" i="2"/>
  <c r="C511" i="2"/>
  <c r="C512" i="2"/>
  <c r="C515" i="2"/>
  <c r="C523" i="2"/>
  <c r="C520" i="2"/>
  <c r="C518" i="2"/>
  <c r="C525" i="2"/>
  <c r="C524" i="2"/>
  <c r="C526" i="2"/>
  <c r="C513" i="2"/>
  <c r="C527" i="2"/>
  <c r="C528" i="2"/>
  <c r="C522" i="2"/>
  <c r="C529" i="2"/>
  <c r="C508" i="2"/>
  <c r="C506" i="2"/>
  <c r="C532" i="2"/>
  <c r="C530" i="2"/>
  <c r="C536" i="2"/>
  <c r="C538" i="2"/>
  <c r="C531" i="2"/>
  <c r="C533" i="2"/>
  <c r="C535" i="2"/>
  <c r="C534" i="2"/>
  <c r="C537" i="2"/>
  <c r="C544" i="2"/>
  <c r="C541" i="2"/>
  <c r="C539" i="2"/>
  <c r="C540" i="2"/>
  <c r="C547" i="2"/>
  <c r="C548" i="2"/>
  <c r="C557" i="2"/>
  <c r="C546" i="2"/>
  <c r="C554" i="2"/>
  <c r="C542" i="2"/>
  <c r="C556" i="2"/>
  <c r="C545" i="2"/>
  <c r="C543" i="2"/>
  <c r="C558" i="2"/>
  <c r="C559" i="2"/>
  <c r="C552" i="2"/>
  <c r="C549" i="2"/>
  <c r="C561" i="2"/>
  <c r="C553" i="2"/>
  <c r="C563" i="2"/>
  <c r="C562" i="2"/>
  <c r="C568" i="2"/>
  <c r="C567" i="2"/>
  <c r="C550" i="2"/>
  <c r="C560" i="2"/>
  <c r="C564" i="2"/>
  <c r="C551" i="2"/>
  <c r="C565" i="2"/>
  <c r="C555" i="2"/>
  <c r="C566" i="2"/>
  <c r="C569" i="2"/>
  <c r="C573" i="2"/>
  <c r="C572" i="2"/>
  <c r="C600" i="2"/>
  <c r="C570" i="2"/>
  <c r="C595" i="2"/>
  <c r="C596" i="2"/>
  <c r="C578" i="2"/>
  <c r="C571" i="2"/>
  <c r="C580" i="2"/>
  <c r="C581" i="2"/>
  <c r="C575" i="2"/>
  <c r="C614" i="2"/>
  <c r="C574" i="2"/>
  <c r="C577" i="2"/>
  <c r="C585" i="2"/>
  <c r="C588" i="2"/>
  <c r="C576" i="2"/>
  <c r="C579" i="2"/>
  <c r="C591" i="2"/>
  <c r="C584" i="2"/>
  <c r="C593" i="2"/>
  <c r="C594" i="2"/>
  <c r="C611" i="2"/>
  <c r="C589" i="2"/>
  <c r="C598" i="2"/>
  <c r="C601" i="2"/>
  <c r="C590" i="2"/>
  <c r="C582" i="2"/>
  <c r="C603" i="2"/>
  <c r="C592" i="2"/>
  <c r="C602" i="2"/>
  <c r="C605" i="2"/>
  <c r="C587" i="2"/>
  <c r="C606" i="2"/>
  <c r="C583" i="2"/>
  <c r="C607" i="2"/>
  <c r="C610" i="2"/>
  <c r="C586" i="2"/>
  <c r="C613" i="2"/>
  <c r="C612" i="2"/>
  <c r="C609" i="2"/>
  <c r="C608" i="2"/>
  <c r="C597" i="2"/>
  <c r="C604" i="2"/>
  <c r="C599" i="2"/>
  <c r="C618" i="2"/>
  <c r="C617" i="2"/>
  <c r="C628" i="2"/>
  <c r="C621" i="2"/>
  <c r="C622" i="2"/>
  <c r="C623" i="2"/>
  <c r="C624" i="2"/>
  <c r="C626" i="2"/>
  <c r="C619" i="2"/>
  <c r="C629" i="2"/>
  <c r="C620" i="2"/>
  <c r="C616" i="2"/>
  <c r="C631" i="2"/>
  <c r="C633" i="2"/>
  <c r="C625" i="2"/>
  <c r="C630" i="2"/>
  <c r="C627" i="2"/>
  <c r="C632" i="2"/>
  <c r="C644" i="2"/>
  <c r="C646" i="2"/>
  <c r="C647" i="2"/>
  <c r="C634" i="2"/>
  <c r="C649" i="2"/>
  <c r="C639" i="2"/>
  <c r="C635" i="2"/>
  <c r="C648" i="2"/>
  <c r="C641" i="2"/>
  <c r="C638" i="2"/>
  <c r="C640" i="2"/>
  <c r="C642" i="2"/>
  <c r="C643" i="2"/>
  <c r="C654" i="2"/>
  <c r="C650" i="2"/>
  <c r="C652" i="2"/>
  <c r="C636" i="2"/>
  <c r="C637" i="2"/>
  <c r="C653" i="2"/>
  <c r="C651" i="2"/>
  <c r="C645" i="2"/>
  <c r="C659" i="2"/>
  <c r="C683" i="2"/>
  <c r="C658" i="2"/>
  <c r="C663" i="2"/>
  <c r="C657" i="2"/>
  <c r="C660" i="2"/>
  <c r="C668" i="2"/>
  <c r="C669" i="2"/>
  <c r="C681" i="2"/>
  <c r="C655" i="2"/>
  <c r="C656" i="2"/>
  <c r="C671" i="2"/>
  <c r="C667" i="2"/>
  <c r="C678" i="2"/>
  <c r="C670" i="2"/>
  <c r="C677" i="2"/>
  <c r="C662" i="2"/>
  <c r="C682" i="2"/>
  <c r="C675" i="2"/>
  <c r="C676" i="2"/>
  <c r="C679" i="2"/>
  <c r="C665" i="2"/>
  <c r="C673" i="2"/>
  <c r="C661" i="2"/>
  <c r="C687" i="2"/>
  <c r="C684" i="2"/>
  <c r="C686" i="2"/>
  <c r="C689" i="2"/>
  <c r="C695" i="2"/>
  <c r="C685" i="2"/>
  <c r="C698" i="2"/>
  <c r="C688" i="2"/>
  <c r="C690" i="2"/>
  <c r="C691" i="2"/>
  <c r="C701" i="2"/>
  <c r="C694" i="2"/>
  <c r="C704" i="2"/>
  <c r="C702" i="2"/>
  <c r="C693" i="2"/>
  <c r="C700" i="2"/>
  <c r="C699" i="2"/>
  <c r="C692" i="2"/>
  <c r="C703" i="2"/>
  <c r="C696" i="2"/>
  <c r="C705" i="2"/>
  <c r="C697" i="2"/>
  <c r="C710" i="2"/>
  <c r="C711" i="2"/>
  <c r="C737" i="2"/>
  <c r="C706" i="2"/>
  <c r="C709" i="2"/>
  <c r="C712" i="2"/>
  <c r="C715" i="2"/>
  <c r="C722" i="2"/>
  <c r="C708" i="2"/>
  <c r="C726" i="2"/>
  <c r="C719" i="2"/>
  <c r="C733" i="2"/>
  <c r="C721" i="2"/>
  <c r="C713" i="2"/>
  <c r="C736" i="2"/>
  <c r="C717" i="2"/>
  <c r="C724" i="2"/>
  <c r="C725" i="2"/>
  <c r="C728" i="2"/>
  <c r="C729" i="2"/>
  <c r="C714" i="2"/>
  <c r="C716" i="2"/>
  <c r="C723" i="2"/>
  <c r="C735" i="2"/>
  <c r="C731" i="2"/>
  <c r="C732" i="2"/>
  <c r="C734" i="2"/>
  <c r="C730" i="2"/>
  <c r="C720" i="2"/>
  <c r="C707" i="2"/>
  <c r="C666" i="2"/>
  <c r="C680" i="2"/>
  <c r="C2" i="2"/>
  <c r="J2" i="4" l="1"/>
  <c r="K2" i="4" s="1"/>
  <c r="P31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2" i="3"/>
  <c r="K670" i="2" s="1"/>
  <c r="K30" i="2" l="1"/>
  <c r="K12" i="2"/>
  <c r="K36" i="2"/>
  <c r="K55" i="2"/>
  <c r="K79" i="2"/>
  <c r="K99" i="2"/>
  <c r="K121" i="2"/>
  <c r="K141" i="2"/>
  <c r="K160" i="2"/>
  <c r="K183" i="2"/>
  <c r="K200" i="2"/>
  <c r="K225" i="2"/>
  <c r="K245" i="2"/>
  <c r="K263" i="2"/>
  <c r="K282" i="2"/>
  <c r="K306" i="2"/>
  <c r="K343" i="2"/>
  <c r="K368" i="2"/>
  <c r="K398" i="2"/>
  <c r="K440" i="2"/>
  <c r="K52" i="2"/>
  <c r="K9" i="2"/>
  <c r="K33" i="2"/>
  <c r="K51" i="2"/>
  <c r="K76" i="2"/>
  <c r="K62" i="2"/>
  <c r="K2" i="2"/>
  <c r="K22" i="2"/>
  <c r="K42" i="2"/>
  <c r="K67" i="2"/>
  <c r="K89" i="2"/>
  <c r="K108" i="2"/>
  <c r="K127" i="2"/>
  <c r="K148" i="2"/>
  <c r="K171" i="2"/>
  <c r="K189" i="2"/>
  <c r="K209" i="2"/>
  <c r="K238" i="2"/>
  <c r="K274" i="2"/>
  <c r="K332" i="2"/>
  <c r="K386" i="2"/>
  <c r="K463" i="2"/>
  <c r="K7" i="2"/>
  <c r="K94" i="2"/>
  <c r="K176" i="2"/>
  <c r="K258" i="2"/>
  <c r="K359" i="2"/>
  <c r="K484" i="2"/>
  <c r="K546" i="2"/>
  <c r="K642" i="2"/>
  <c r="K105" i="2"/>
  <c r="K188" i="2"/>
  <c r="K269" i="2"/>
  <c r="K375" i="2"/>
  <c r="K496" i="2"/>
  <c r="K610" i="2"/>
  <c r="K721" i="2"/>
  <c r="K562" i="2"/>
  <c r="K653" i="2"/>
  <c r="K550" i="2"/>
  <c r="K646" i="2"/>
  <c r="K65" i="2"/>
  <c r="K20" i="2"/>
  <c r="K16" i="2"/>
  <c r="K40" i="2"/>
  <c r="K59" i="2"/>
  <c r="K87" i="2"/>
  <c r="K104" i="2"/>
  <c r="K125" i="2"/>
  <c r="K146" i="2"/>
  <c r="K165" i="2"/>
  <c r="K187" i="2"/>
  <c r="K207" i="2"/>
  <c r="K230" i="2"/>
  <c r="K249" i="2"/>
  <c r="K268" i="2"/>
  <c r="K286" i="2"/>
  <c r="K316" i="2"/>
  <c r="K349" i="2"/>
  <c r="K373" i="2"/>
  <c r="K410" i="2"/>
  <c r="K455" i="2"/>
  <c r="K31" i="2"/>
  <c r="K13" i="2"/>
  <c r="K37" i="2"/>
  <c r="K56" i="2"/>
  <c r="K82" i="2"/>
  <c r="K48" i="2"/>
  <c r="K6" i="2"/>
  <c r="K27" i="2"/>
  <c r="K47" i="2"/>
  <c r="K71" i="2"/>
  <c r="K93" i="2"/>
  <c r="K113" i="2"/>
  <c r="K132" i="2"/>
  <c r="K152" i="2"/>
  <c r="K175" i="2"/>
  <c r="K193" i="2"/>
  <c r="K218" i="2"/>
  <c r="K253" i="2"/>
  <c r="K288" i="2"/>
  <c r="K351" i="2"/>
  <c r="K414" i="2"/>
  <c r="K66" i="2"/>
  <c r="K28" i="2"/>
  <c r="K114" i="2"/>
  <c r="K194" i="2"/>
  <c r="K275" i="2"/>
  <c r="K388" i="2"/>
  <c r="K465" i="2"/>
  <c r="K570" i="2"/>
  <c r="K662" i="2"/>
  <c r="K126" i="2"/>
  <c r="K208" i="2"/>
  <c r="K287" i="2"/>
  <c r="K411" i="2"/>
  <c r="K537" i="2"/>
  <c r="K634" i="2"/>
  <c r="K477" i="2"/>
  <c r="K585" i="2"/>
  <c r="K684" i="2"/>
  <c r="K574" i="2"/>
  <c r="K803" i="2"/>
  <c r="K783" i="2"/>
  <c r="K761" i="2"/>
  <c r="K745" i="2"/>
  <c r="K807" i="2"/>
  <c r="K784" i="2"/>
  <c r="K768" i="2"/>
  <c r="K750" i="2"/>
  <c r="K804" i="2"/>
  <c r="K799" i="2"/>
  <c r="K785" i="2"/>
  <c r="K769" i="2"/>
  <c r="K755" i="2"/>
  <c r="K739" i="2"/>
  <c r="K802" i="2"/>
  <c r="K782" i="2"/>
  <c r="K764" i="2"/>
  <c r="K748" i="2"/>
  <c r="K786" i="2"/>
  <c r="K796" i="2"/>
  <c r="K760" i="2"/>
  <c r="K744" i="2"/>
  <c r="K797" i="2"/>
  <c r="K779" i="2"/>
  <c r="K757" i="2"/>
  <c r="K741" i="2"/>
  <c r="K798" i="2"/>
  <c r="K780" i="2"/>
  <c r="K762" i="2"/>
  <c r="K746" i="2"/>
  <c r="K809" i="2"/>
  <c r="K795" i="2"/>
  <c r="K781" i="2"/>
  <c r="K766" i="2"/>
  <c r="K751" i="2"/>
  <c r="K808" i="2"/>
  <c r="K778" i="2"/>
  <c r="K793" i="2"/>
  <c r="K775" i="2"/>
  <c r="K753" i="2"/>
  <c r="K738" i="2"/>
  <c r="K794" i="2"/>
  <c r="K776" i="2"/>
  <c r="K758" i="2"/>
  <c r="K742" i="2"/>
  <c r="K805" i="2"/>
  <c r="K791" i="2"/>
  <c r="K777" i="2"/>
  <c r="K763" i="2"/>
  <c r="K747" i="2"/>
  <c r="K810" i="2"/>
  <c r="K792" i="2"/>
  <c r="K774" i="2"/>
  <c r="K756" i="2"/>
  <c r="K740" i="2"/>
  <c r="K789" i="2"/>
  <c r="K771" i="2"/>
  <c r="K749" i="2"/>
  <c r="K765" i="2"/>
  <c r="K790" i="2"/>
  <c r="K772" i="2"/>
  <c r="K754" i="2"/>
  <c r="K800" i="2"/>
  <c r="K801" i="2"/>
  <c r="K787" i="2"/>
  <c r="K773" i="2"/>
  <c r="K759" i="2"/>
  <c r="K743" i="2"/>
  <c r="K806" i="2"/>
  <c r="K788" i="2"/>
  <c r="K770" i="2"/>
  <c r="K752" i="2"/>
  <c r="K767" i="2"/>
  <c r="K138" i="2"/>
  <c r="K137" i="2"/>
  <c r="K136" i="2"/>
  <c r="K666" i="2"/>
  <c r="K705" i="2"/>
  <c r="K727" i="2"/>
  <c r="K681" i="2"/>
  <c r="K709" i="2"/>
  <c r="K657" i="2"/>
  <c r="K685" i="2"/>
  <c r="K713" i="2"/>
  <c r="K673" i="2"/>
  <c r="K697" i="2"/>
  <c r="K736" i="2"/>
  <c r="K714" i="2"/>
  <c r="K682" i="2"/>
  <c r="K711" i="2"/>
  <c r="K663" i="2"/>
  <c r="K687" i="2"/>
  <c r="K715" i="2"/>
  <c r="K667" i="2"/>
  <c r="K689" i="2"/>
  <c r="K661" i="2"/>
  <c r="K680" i="2"/>
  <c r="K708" i="2"/>
  <c r="K725" i="2"/>
  <c r="K688" i="2"/>
  <c r="K717" i="2"/>
  <c r="K665" i="2"/>
  <c r="K692" i="2"/>
  <c r="K718" i="2"/>
  <c r="K672" i="2"/>
  <c r="K696" i="2"/>
  <c r="K664" i="2"/>
  <c r="K686" i="2"/>
  <c r="K690" i="2"/>
  <c r="K693" i="2"/>
  <c r="K720" i="2"/>
  <c r="K722" i="2"/>
  <c r="K701" i="2"/>
  <c r="K656" i="2"/>
  <c r="K674" i="2"/>
  <c r="K707" i="2"/>
  <c r="K671" i="2"/>
  <c r="K442" i="2"/>
  <c r="K510" i="2"/>
  <c r="K456" i="2"/>
  <c r="K516" i="2"/>
  <c r="K541" i="2"/>
  <c r="K591" i="2"/>
  <c r="K629" i="2"/>
  <c r="K556" i="2"/>
  <c r="K594" i="2"/>
  <c r="K454" i="2"/>
  <c r="K457" i="2"/>
  <c r="K509" i="2"/>
  <c r="K534" i="2"/>
  <c r="K584" i="2"/>
  <c r="K616" i="2"/>
  <c r="K502" i="2"/>
  <c r="K493" i="2"/>
  <c r="K517" i="2"/>
  <c r="K557" i="2"/>
  <c r="K595" i="2"/>
  <c r="K448" i="2"/>
  <c r="K438" i="2"/>
  <c r="K500" i="2"/>
  <c r="K519" i="2"/>
  <c r="K558" i="2"/>
  <c r="K596" i="2"/>
  <c r="K522" i="2"/>
  <c r="K560" i="2"/>
  <c r="K599" i="2"/>
  <c r="K441" i="2"/>
  <c r="K467" i="2"/>
  <c r="K513" i="2"/>
  <c r="K549" i="2"/>
  <c r="K593" i="2"/>
  <c r="K630" i="2"/>
  <c r="K514" i="2"/>
  <c r="K503" i="2"/>
  <c r="K523" i="2"/>
  <c r="K563" i="2"/>
  <c r="K606" i="2"/>
  <c r="K466" i="2"/>
  <c r="K446" i="2"/>
  <c r="K505" i="2"/>
  <c r="K524" i="2"/>
  <c r="K568" i="2"/>
  <c r="K611" i="2"/>
  <c r="K529" i="2"/>
  <c r="K579" i="2"/>
  <c r="K444" i="2"/>
  <c r="K447" i="2"/>
  <c r="K481" i="2"/>
  <c r="K521" i="2"/>
  <c r="K559" i="2"/>
  <c r="K597" i="2"/>
  <c r="K452" i="2"/>
  <c r="K624" i="2"/>
  <c r="K511" i="2"/>
  <c r="K530" i="2"/>
  <c r="K581" i="2"/>
  <c r="K625" i="2"/>
  <c r="K490" i="2"/>
  <c r="K450" i="2"/>
  <c r="K512" i="2"/>
  <c r="K533" i="2"/>
  <c r="K583" i="2"/>
  <c r="K615" i="2"/>
  <c r="K535" i="2"/>
  <c r="K589" i="2"/>
  <c r="K449" i="2"/>
  <c r="K451" i="2"/>
  <c r="K501" i="2"/>
  <c r="K526" i="2"/>
  <c r="K571" i="2"/>
  <c r="K614" i="2"/>
  <c r="K480" i="2"/>
  <c r="K641" i="2"/>
  <c r="K515" i="2"/>
  <c r="K539" i="2"/>
  <c r="K590" i="2"/>
  <c r="K643" i="2"/>
  <c r="K143" i="2"/>
  <c r="K169" i="2"/>
  <c r="K241" i="2"/>
  <c r="K307" i="2"/>
  <c r="K333" i="2"/>
  <c r="K376" i="2"/>
  <c r="K421" i="2"/>
  <c r="K213" i="2"/>
  <c r="K301" i="2"/>
  <c r="K329" i="2"/>
  <c r="K365" i="2"/>
  <c r="K400" i="2"/>
  <c r="K422" i="2"/>
  <c r="K405" i="2"/>
  <c r="K205" i="2"/>
  <c r="K276" i="2"/>
  <c r="K318" i="2"/>
  <c r="K346" i="2"/>
  <c r="K387" i="2"/>
  <c r="K423" i="2"/>
  <c r="K199" i="2"/>
  <c r="K277" i="2"/>
  <c r="K321" i="2"/>
  <c r="K353" i="2"/>
  <c r="K389" i="2"/>
  <c r="K413" i="2"/>
  <c r="K432" i="2"/>
  <c r="K295" i="2"/>
  <c r="K326" i="2"/>
  <c r="K396" i="2"/>
  <c r="K416" i="2"/>
  <c r="K424" i="2"/>
  <c r="K220" i="2"/>
  <c r="K433" i="2"/>
  <c r="K323" i="2"/>
  <c r="K412" i="2"/>
  <c r="K251" i="2"/>
  <c r="K435" i="2"/>
  <c r="K338" i="2"/>
  <c r="K404" i="2"/>
  <c r="K166" i="2"/>
  <c r="K203" i="2"/>
  <c r="K267" i="2"/>
  <c r="K313" i="2"/>
  <c r="K340" i="2"/>
  <c r="K381" i="2"/>
  <c r="K159" i="2"/>
  <c r="K226" i="2"/>
  <c r="K308" i="2"/>
  <c r="K335" i="2"/>
  <c r="K377" i="2"/>
  <c r="K402" i="2"/>
  <c r="K429" i="2"/>
  <c r="K162" i="2"/>
  <c r="K216" i="2"/>
  <c r="K296" i="2"/>
  <c r="K324" i="2"/>
  <c r="K360" i="2"/>
  <c r="K393" i="2"/>
  <c r="K425" i="2"/>
  <c r="K210" i="2"/>
  <c r="K361" i="2"/>
  <c r="K437" i="2"/>
  <c r="K167" i="2"/>
  <c r="K328" i="2"/>
  <c r="K204" i="2"/>
  <c r="K356" i="2"/>
  <c r="K397" i="2"/>
  <c r="K309" i="2"/>
  <c r="K379" i="2"/>
  <c r="K237" i="2"/>
  <c r="K380" i="2"/>
  <c r="K158" i="2"/>
  <c r="K211" i="2"/>
  <c r="K293" i="2"/>
  <c r="K322" i="2"/>
  <c r="K354" i="2"/>
  <c r="K428" i="2"/>
  <c r="K180" i="2"/>
  <c r="K250" i="2"/>
  <c r="K315" i="2"/>
  <c r="K344" i="2"/>
  <c r="K385" i="2"/>
  <c r="K406" i="2"/>
  <c r="K434" i="2"/>
  <c r="K170" i="2"/>
  <c r="K236" i="2"/>
  <c r="K302" i="2"/>
  <c r="K330" i="2"/>
  <c r="K370" i="2"/>
  <c r="K403" i="2"/>
  <c r="K431" i="2"/>
  <c r="K217" i="2"/>
  <c r="K304" i="2"/>
  <c r="K331" i="2"/>
  <c r="K374" i="2"/>
  <c r="K401" i="2"/>
  <c r="K299" i="2"/>
  <c r="K362" i="2"/>
  <c r="K294" i="2"/>
  <c r="K391" i="2"/>
  <c r="K181" i="2"/>
  <c r="K336" i="2"/>
  <c r="K409" i="2"/>
  <c r="K312" i="2"/>
  <c r="K427" i="2"/>
  <c r="K107" i="2"/>
  <c r="K85" i="2"/>
  <c r="K110" i="2"/>
  <c r="K120" i="2"/>
  <c r="K131" i="2"/>
  <c r="K86" i="2"/>
  <c r="K119" i="2"/>
  <c r="K106" i="2"/>
  <c r="K81" i="2"/>
  <c r="K103" i="2"/>
  <c r="K73" i="2"/>
  <c r="K80" i="2"/>
  <c r="K72" i="2"/>
  <c r="K730" i="2"/>
  <c r="K699" i="2"/>
  <c r="K660" i="2"/>
  <c r="K640" i="2"/>
  <c r="K620" i="2"/>
  <c r="K598" i="2"/>
  <c r="K569" i="2"/>
  <c r="K545" i="2"/>
  <c r="K507" i="2"/>
  <c r="K712" i="2"/>
  <c r="K677" i="2"/>
  <c r="K649" i="2"/>
  <c r="K631" i="2"/>
  <c r="K607" i="2"/>
  <c r="K577" i="2"/>
  <c r="K553" i="2"/>
  <c r="K531" i="2"/>
  <c r="K492" i="2"/>
  <c r="K737" i="2"/>
  <c r="K710" i="2"/>
  <c r="K676" i="2"/>
  <c r="K648" i="2"/>
  <c r="K628" i="2"/>
  <c r="K605" i="2"/>
  <c r="K576" i="2"/>
  <c r="K552" i="2"/>
  <c r="K528" i="2"/>
  <c r="K491" i="2"/>
  <c r="K472" i="2"/>
  <c r="K443" i="2"/>
  <c r="K399" i="2"/>
  <c r="K369" i="2"/>
  <c r="K345" i="2"/>
  <c r="K310" i="2"/>
  <c r="K283" i="2"/>
  <c r="K264" i="2"/>
  <c r="K246" i="2"/>
  <c r="K227" i="2"/>
  <c r="K201" i="2"/>
  <c r="K184" i="2"/>
  <c r="K161" i="2"/>
  <c r="K142" i="2"/>
  <c r="K122" i="2"/>
  <c r="K100" i="2"/>
  <c r="K726" i="2"/>
  <c r="K694" i="2"/>
  <c r="K655" i="2"/>
  <c r="K637" i="2"/>
  <c r="K617" i="2"/>
  <c r="K587" i="2"/>
  <c r="K565" i="2"/>
  <c r="K542" i="2"/>
  <c r="K499" i="2"/>
  <c r="K479" i="2"/>
  <c r="K498" i="2"/>
  <c r="K478" i="2"/>
  <c r="K460" i="2"/>
  <c r="K415" i="2"/>
  <c r="K382" i="2"/>
  <c r="K352" i="2"/>
  <c r="K320" i="2"/>
  <c r="K289" i="2"/>
  <c r="K271" i="2"/>
  <c r="K254" i="2"/>
  <c r="K233" i="2"/>
  <c r="K212" i="2"/>
  <c r="K190" i="2"/>
  <c r="K172" i="2"/>
  <c r="K149" i="2"/>
  <c r="K128" i="2"/>
  <c r="K109" i="2"/>
  <c r="K90" i="2"/>
  <c r="K68" i="2"/>
  <c r="K43" i="2"/>
  <c r="K24" i="2"/>
  <c r="K724" i="2"/>
  <c r="K691" i="2"/>
  <c r="K654" i="2"/>
  <c r="K636" i="2"/>
  <c r="K613" i="2"/>
  <c r="K586" i="2"/>
  <c r="K564" i="2"/>
  <c r="K540" i="2"/>
  <c r="K733" i="2"/>
  <c r="K703" i="2"/>
  <c r="K669" i="2"/>
  <c r="K645" i="2"/>
  <c r="K623" i="2"/>
  <c r="K602" i="2"/>
  <c r="K573" i="2"/>
  <c r="K548" i="2"/>
  <c r="K520" i="2"/>
  <c r="K487" i="2"/>
  <c r="K732" i="2"/>
  <c r="K702" i="2"/>
  <c r="K668" i="2"/>
  <c r="K644" i="2"/>
  <c r="K622" i="2"/>
  <c r="K601" i="2"/>
  <c r="K572" i="2"/>
  <c r="K547" i="2"/>
  <c r="K518" i="2"/>
  <c r="K486" i="2"/>
  <c r="K468" i="2"/>
  <c r="K430" i="2"/>
  <c r="K392" i="2"/>
  <c r="K364" i="2"/>
  <c r="K339" i="2"/>
  <c r="K300" i="2"/>
  <c r="K279" i="2"/>
  <c r="K260" i="2"/>
  <c r="K242" i="2"/>
  <c r="K222" i="2"/>
  <c r="K196" i="2"/>
  <c r="K178" i="2"/>
  <c r="K155" i="2"/>
  <c r="K135" i="2"/>
  <c r="K116" i="2"/>
  <c r="K96" i="2"/>
  <c r="K719" i="2"/>
  <c r="K679" i="2"/>
  <c r="K651" i="2"/>
  <c r="K633" i="2"/>
  <c r="K609" i="2"/>
  <c r="K580" i="2"/>
  <c r="K555" i="2"/>
  <c r="K536" i="2"/>
  <c r="K495" i="2"/>
  <c r="K475" i="2"/>
  <c r="K494" i="2"/>
  <c r="K474" i="2"/>
  <c r="K453" i="2"/>
  <c r="K408" i="2"/>
  <c r="K372" i="2"/>
  <c r="K348" i="2"/>
  <c r="K314" i="2"/>
  <c r="K285" i="2"/>
  <c r="K266" i="2"/>
  <c r="K248" i="2"/>
  <c r="K229" i="2"/>
  <c r="K206" i="2"/>
  <c r="K186" i="2"/>
  <c r="K164" i="2"/>
  <c r="K145" i="2"/>
  <c r="K124" i="2"/>
  <c r="K102" i="2"/>
  <c r="K84" i="2"/>
  <c r="K58" i="2"/>
  <c r="K39" i="2"/>
  <c r="K15" i="2"/>
  <c r="K21" i="2"/>
  <c r="K473" i="2"/>
  <c r="K445" i="2"/>
  <c r="K407" i="2"/>
  <c r="K371" i="2"/>
  <c r="K347" i="2"/>
  <c r="K311" i="2"/>
  <c r="K284" i="2"/>
  <c r="K265" i="2"/>
  <c r="K247" i="2"/>
  <c r="K228" i="2"/>
  <c r="K716" i="2"/>
  <c r="K678" i="2"/>
  <c r="K650" i="2"/>
  <c r="K632" i="2"/>
  <c r="K608" i="2"/>
  <c r="K578" i="2"/>
  <c r="K554" i="2"/>
  <c r="K532" i="2"/>
  <c r="K729" i="2"/>
  <c r="K698" i="2"/>
  <c r="K659" i="2"/>
  <c r="K639" i="2"/>
  <c r="K619" i="2"/>
  <c r="K592" i="2"/>
  <c r="K567" i="2"/>
  <c r="K544" i="2"/>
  <c r="K506" i="2"/>
  <c r="K483" i="2"/>
  <c r="K728" i="2"/>
  <c r="K695" i="2"/>
  <c r="K658" i="2"/>
  <c r="K638" i="2"/>
  <c r="K618" i="2"/>
  <c r="K588" i="2"/>
  <c r="K566" i="2"/>
  <c r="K543" i="2"/>
  <c r="K504" i="2"/>
  <c r="K482" i="2"/>
  <c r="K462" i="2"/>
  <c r="K418" i="2"/>
  <c r="K384" i="2"/>
  <c r="K357" i="2"/>
  <c r="K327" i="2"/>
  <c r="K291" i="2"/>
  <c r="K273" i="2"/>
  <c r="K256" i="2"/>
  <c r="K235" i="2"/>
  <c r="K215" i="2"/>
  <c r="K192" i="2"/>
  <c r="K174" i="2"/>
  <c r="K151" i="2"/>
  <c r="K130" i="2"/>
  <c r="K112" i="2"/>
  <c r="K735" i="2"/>
  <c r="K706" i="2"/>
  <c r="K675" i="2"/>
  <c r="K647" i="2"/>
  <c r="K627" i="2"/>
  <c r="K604" i="2"/>
  <c r="K575" i="2"/>
  <c r="K551" i="2"/>
  <c r="K527" i="2"/>
  <c r="K489" i="2"/>
  <c r="K471" i="2"/>
  <c r="K488" i="2"/>
  <c r="K470" i="2"/>
  <c r="K439" i="2"/>
  <c r="K395" i="2"/>
  <c r="K367" i="2"/>
  <c r="K342" i="2"/>
  <c r="K305" i="2"/>
  <c r="K281" i="2"/>
  <c r="K262" i="2"/>
  <c r="K244" i="2"/>
  <c r="K224" i="2"/>
  <c r="K198" i="2"/>
  <c r="K182" i="2"/>
  <c r="K157" i="2"/>
  <c r="K140" i="2"/>
  <c r="K118" i="2"/>
  <c r="K98" i="2"/>
  <c r="K78" i="2"/>
  <c r="K54" i="2"/>
  <c r="K35" i="2"/>
  <c r="K11" i="2"/>
  <c r="K46" i="2"/>
  <c r="K469" i="2"/>
  <c r="K436" i="2"/>
  <c r="K394" i="2"/>
  <c r="K366" i="2"/>
  <c r="K341" i="2"/>
  <c r="K303" i="2"/>
  <c r="K280" i="2"/>
  <c r="K261" i="2"/>
  <c r="K243" i="2"/>
  <c r="K60" i="2"/>
  <c r="K4" i="2"/>
  <c r="K25" i="2"/>
  <c r="K44" i="2"/>
  <c r="K69" i="2"/>
  <c r="K91" i="2"/>
  <c r="K111" i="2"/>
  <c r="K129" i="2"/>
  <c r="K150" i="2"/>
  <c r="K173" i="2"/>
  <c r="K191" i="2"/>
  <c r="K214" i="2"/>
  <c r="K234" i="2"/>
  <c r="K255" i="2"/>
  <c r="K272" i="2"/>
  <c r="K290" i="2"/>
  <c r="K325" i="2"/>
  <c r="K355" i="2"/>
  <c r="K383" i="2"/>
  <c r="K417" i="2"/>
  <c r="K461" i="2"/>
  <c r="K19" i="2"/>
  <c r="K17" i="2"/>
  <c r="K41" i="2"/>
  <c r="K64" i="2"/>
  <c r="K88" i="2"/>
  <c r="K23" i="2"/>
  <c r="K10" i="2"/>
  <c r="K34" i="2"/>
  <c r="K53" i="2"/>
  <c r="K77" i="2"/>
  <c r="K97" i="2"/>
  <c r="K117" i="2"/>
  <c r="K139" i="2"/>
  <c r="K156" i="2"/>
  <c r="K179" i="2"/>
  <c r="K197" i="2"/>
  <c r="K223" i="2"/>
  <c r="K257" i="2"/>
  <c r="K292" i="2"/>
  <c r="K358" i="2"/>
  <c r="K419" i="2"/>
  <c r="K61" i="2"/>
  <c r="K49" i="2"/>
  <c r="K133" i="2"/>
  <c r="K219" i="2"/>
  <c r="K297" i="2"/>
  <c r="K420" i="2"/>
  <c r="K485" i="2"/>
  <c r="K600" i="2"/>
  <c r="K700" i="2"/>
  <c r="K147" i="2"/>
  <c r="K231" i="2"/>
  <c r="K317" i="2"/>
  <c r="K458" i="2"/>
  <c r="K561" i="2"/>
  <c r="K652" i="2"/>
  <c r="K497" i="2"/>
  <c r="K612" i="2"/>
  <c r="K723" i="2"/>
  <c r="K603" i="2"/>
  <c r="K704" i="2"/>
  <c r="K32" i="2"/>
  <c r="K8" i="2"/>
  <c r="K29" i="2"/>
  <c r="K50" i="2"/>
  <c r="K75" i="2"/>
  <c r="K95" i="2"/>
  <c r="K115" i="2"/>
  <c r="K134" i="2"/>
  <c r="K154" i="2"/>
  <c r="K177" i="2"/>
  <c r="K195" i="2"/>
  <c r="K221" i="2"/>
  <c r="K240" i="2"/>
  <c r="K259" i="2"/>
  <c r="K278" i="2"/>
  <c r="K298" i="2"/>
  <c r="K337" i="2"/>
  <c r="K363" i="2"/>
  <c r="K390" i="2"/>
  <c r="K426" i="2"/>
  <c r="K63" i="2"/>
  <c r="K5" i="2"/>
  <c r="K26" i="2"/>
  <c r="K45" i="2"/>
  <c r="K70" i="2"/>
  <c r="K92" i="2"/>
  <c r="K18" i="2"/>
  <c r="K14" i="2"/>
  <c r="K38" i="2"/>
  <c r="K57" i="2"/>
  <c r="K83" i="2"/>
  <c r="K101" i="2"/>
  <c r="K123" i="2"/>
  <c r="K144" i="2"/>
  <c r="K163" i="2"/>
  <c r="K185" i="2"/>
  <c r="K202" i="2"/>
  <c r="K232" i="2"/>
  <c r="K270" i="2"/>
  <c r="K319" i="2"/>
  <c r="K378" i="2"/>
  <c r="K459" i="2"/>
  <c r="K3" i="2"/>
  <c r="K74" i="2"/>
  <c r="K153" i="2"/>
  <c r="K239" i="2"/>
  <c r="K334" i="2"/>
  <c r="K464" i="2"/>
  <c r="K508" i="2"/>
  <c r="K621" i="2"/>
  <c r="K731" i="2"/>
  <c r="K168" i="2"/>
  <c r="K252" i="2"/>
  <c r="K350" i="2"/>
  <c r="K476" i="2"/>
  <c r="K582" i="2"/>
  <c r="K683" i="2"/>
  <c r="K538" i="2"/>
  <c r="K635" i="2"/>
  <c r="K525" i="2"/>
  <c r="K626" i="2"/>
  <c r="K734" i="2"/>
  <c r="E785" i="2"/>
  <c r="G769" i="2"/>
  <c r="W769" i="2" s="1"/>
  <c r="F753" i="2"/>
  <c r="H806" i="2"/>
  <c r="F803" i="2"/>
  <c r="E779" i="2"/>
  <c r="G747" i="2"/>
  <c r="W747" i="2" s="1"/>
  <c r="E808" i="2"/>
  <c r="G788" i="2"/>
  <c r="W788" i="2" s="1"/>
  <c r="H772" i="2"/>
  <c r="H756" i="2"/>
  <c r="E740" i="2"/>
  <c r="J773" i="2"/>
  <c r="I804" i="2"/>
  <c r="G777" i="2"/>
  <c r="W777" i="2" s="1"/>
  <c r="F802" i="2"/>
  <c r="I798" i="2"/>
  <c r="G809" i="2"/>
  <c r="W809" i="2" s="1"/>
  <c r="G805" i="2"/>
  <c r="W805" i="2" s="1"/>
  <c r="G801" i="2"/>
  <c r="W801" i="2" s="1"/>
  <c r="F797" i="2"/>
  <c r="E797" i="2"/>
  <c r="E793" i="2"/>
  <c r="I789" i="2"/>
  <c r="J805" i="2"/>
  <c r="E794" i="2"/>
  <c r="J794" i="2"/>
  <c r="G786" i="2"/>
  <c r="W786" i="2" s="1"/>
  <c r="G782" i="2"/>
  <c r="W782" i="2" s="1"/>
  <c r="E778" i="2"/>
  <c r="E774" i="2"/>
  <c r="G774" i="2"/>
  <c r="W774" i="2" s="1"/>
  <c r="G770" i="2"/>
  <c r="W770" i="2" s="1"/>
  <c r="J766" i="2"/>
  <c r="I766" i="2"/>
  <c r="J762" i="2"/>
  <c r="E758" i="2"/>
  <c r="H754" i="2"/>
  <c r="H750" i="2"/>
  <c r="G750" i="2"/>
  <c r="W750" i="2" s="1"/>
  <c r="J746" i="2"/>
  <c r="I742" i="2"/>
  <c r="E738" i="2"/>
  <c r="G738" i="2"/>
  <c r="W738" i="2" s="1"/>
  <c r="F805" i="2"/>
  <c r="H774" i="2"/>
  <c r="F750" i="2"/>
  <c r="E783" i="2"/>
  <c r="I775" i="2"/>
  <c r="G771" i="2"/>
  <c r="W771" i="2" s="1"/>
  <c r="I771" i="2"/>
  <c r="F767" i="2"/>
  <c r="H763" i="2"/>
  <c r="F763" i="2"/>
  <c r="I759" i="2"/>
  <c r="G755" i="2"/>
  <c r="W755" i="2" s="1"/>
  <c r="H798" i="2"/>
  <c r="E810" i="2"/>
  <c r="G810" i="2"/>
  <c r="W810" i="2" s="1"/>
  <c r="J806" i="2"/>
  <c r="H790" i="2"/>
  <c r="H807" i="2"/>
  <c r="H803" i="2"/>
  <c r="E799" i="2"/>
  <c r="G795" i="2"/>
  <c r="W795" i="2" s="1"/>
  <c r="J795" i="2"/>
  <c r="J791" i="2"/>
  <c r="H787" i="2"/>
  <c r="H779" i="2"/>
  <c r="G808" i="2"/>
  <c r="W808" i="2" s="1"/>
  <c r="G804" i="2"/>
  <c r="W804" i="2" s="1"/>
  <c r="G800" i="2"/>
  <c r="W800" i="2" s="1"/>
  <c r="H796" i="2"/>
  <c r="J792" i="2"/>
  <c r="F788" i="2"/>
  <c r="E788" i="2"/>
  <c r="I800" i="2"/>
  <c r="F789" i="2"/>
  <c r="H775" i="2"/>
  <c r="I751" i="2"/>
  <c r="G781" i="2"/>
  <c r="W781" i="2" s="1"/>
  <c r="G765" i="2"/>
  <c r="W765" i="2" s="1"/>
  <c r="G749" i="2"/>
  <c r="W749" i="2" s="1"/>
  <c r="G790" i="2"/>
  <c r="W790" i="2" s="1"/>
  <c r="F795" i="2"/>
  <c r="G763" i="2"/>
  <c r="W763" i="2" s="1"/>
  <c r="E743" i="2"/>
  <c r="E804" i="2"/>
  <c r="G784" i="2"/>
  <c r="W784" i="2" s="1"/>
  <c r="J768" i="2"/>
  <c r="G752" i="2"/>
  <c r="W752" i="2" s="1"/>
  <c r="I745" i="2"/>
  <c r="H761" i="2"/>
  <c r="H785" i="2"/>
  <c r="J757" i="2"/>
  <c r="J802" i="2"/>
  <c r="J798" i="2"/>
  <c r="H809" i="2"/>
  <c r="H805" i="2"/>
  <c r="H801" i="2"/>
  <c r="J797" i="2"/>
  <c r="G793" i="2"/>
  <c r="W793" i="2" s="1"/>
  <c r="J793" i="2"/>
  <c r="E789" i="2"/>
  <c r="F801" i="2"/>
  <c r="J787" i="2"/>
  <c r="I794" i="2"/>
  <c r="E786" i="2"/>
  <c r="H786" i="2"/>
  <c r="H782" i="2"/>
  <c r="J778" i="2"/>
  <c r="I774" i="2"/>
  <c r="H770" i="2"/>
  <c r="F770" i="2"/>
  <c r="G766" i="2"/>
  <c r="W766" i="2" s="1"/>
  <c r="E762" i="2"/>
  <c r="G762" i="2"/>
  <c r="W762" i="2" s="1"/>
  <c r="F758" i="2"/>
  <c r="J754" i="2"/>
  <c r="E750" i="2"/>
  <c r="E746" i="2"/>
  <c r="G746" i="2"/>
  <c r="W746" i="2" s="1"/>
  <c r="F742" i="2"/>
  <c r="I738" i="2"/>
  <c r="H738" i="2"/>
  <c r="G797" i="2"/>
  <c r="W797" i="2" s="1"/>
  <c r="H746" i="2"/>
  <c r="J783" i="2"/>
  <c r="J775" i="2"/>
  <c r="H771" i="2"/>
  <c r="J771" i="2"/>
  <c r="J767" i="2"/>
  <c r="E763" i="2"/>
  <c r="F759" i="2"/>
  <c r="E759" i="2"/>
  <c r="H755" i="2"/>
  <c r="F793" i="2"/>
  <c r="I810" i="2"/>
  <c r="E806" i="2"/>
  <c r="G806" i="2"/>
  <c r="W806" i="2" s="1"/>
  <c r="I790" i="2"/>
  <c r="E807" i="2"/>
  <c r="E803" i="2"/>
  <c r="I799" i="2"/>
  <c r="H795" i="2"/>
  <c r="H791" i="2"/>
  <c r="F791" i="2"/>
  <c r="I787" i="2"/>
  <c r="I779" i="2"/>
  <c r="H808" i="2"/>
  <c r="H804" i="2"/>
  <c r="H800" i="2"/>
  <c r="J796" i="2"/>
  <c r="H792" i="2"/>
  <c r="J788" i="2"/>
  <c r="J803" i="2"/>
  <c r="G799" i="2"/>
  <c r="W799" i="2" s="1"/>
  <c r="J786" i="2"/>
  <c r="J758" i="2"/>
  <c r="H747" i="2"/>
  <c r="J777" i="2"/>
  <c r="I761" i="2"/>
  <c r="H745" i="2"/>
  <c r="F754" i="2"/>
  <c r="G791" i="2"/>
  <c r="W791" i="2" s="1"/>
  <c r="H759" i="2"/>
  <c r="G739" i="2"/>
  <c r="W739" i="2" s="1"/>
  <c r="E800" i="2"/>
  <c r="J780" i="2"/>
  <c r="H764" i="2"/>
  <c r="H748" i="2"/>
  <c r="F780" i="2"/>
  <c r="H784" i="2"/>
  <c r="F781" i="2"/>
  <c r="G753" i="2"/>
  <c r="W753" i="2" s="1"/>
  <c r="E802" i="2"/>
  <c r="G802" i="2"/>
  <c r="W802" i="2" s="1"/>
  <c r="F798" i="2"/>
  <c r="E809" i="2"/>
  <c r="E805" i="2"/>
  <c r="E801" i="2"/>
  <c r="H797" i="2"/>
  <c r="H793" i="2"/>
  <c r="G789" i="2"/>
  <c r="W789" i="2" s="1"/>
  <c r="J789" i="2"/>
  <c r="G794" i="2"/>
  <c r="W794" i="2" s="1"/>
  <c r="I786" i="2"/>
  <c r="E782" i="2"/>
  <c r="J782" i="2"/>
  <c r="F778" i="2"/>
  <c r="F774" i="2"/>
  <c r="E770" i="2"/>
  <c r="J770" i="2"/>
  <c r="H766" i="2"/>
  <c r="I762" i="2"/>
  <c r="G758" i="2"/>
  <c r="W758" i="2" s="1"/>
  <c r="I758" i="2"/>
  <c r="I754" i="2"/>
  <c r="I750" i="2"/>
  <c r="I746" i="2"/>
  <c r="H742" i="2"/>
  <c r="E773" i="2"/>
  <c r="E787" i="2"/>
  <c r="E776" i="2"/>
  <c r="F773" i="2"/>
  <c r="I802" i="2"/>
  <c r="I805" i="2"/>
  <c r="H789" i="2"/>
  <c r="H778" i="2"/>
  <c r="F766" i="2"/>
  <c r="G754" i="2"/>
  <c r="W754" i="2" s="1"/>
  <c r="E742" i="2"/>
  <c r="J738" i="2"/>
  <c r="I783" i="2"/>
  <c r="G775" i="2"/>
  <c r="W775" i="2" s="1"/>
  <c r="I767" i="2"/>
  <c r="J763" i="2"/>
  <c r="J755" i="2"/>
  <c r="E755" i="2"/>
  <c r="J810" i="2"/>
  <c r="J790" i="2"/>
  <c r="G803" i="2"/>
  <c r="W803" i="2" s="1"/>
  <c r="J799" i="2"/>
  <c r="E791" i="2"/>
  <c r="F779" i="2"/>
  <c r="J804" i="2"/>
  <c r="I796" i="2"/>
  <c r="E792" i="2"/>
  <c r="J801" i="2"/>
  <c r="I778" i="2"/>
  <c r="L778" i="2" s="1"/>
  <c r="H751" i="2"/>
  <c r="F743" i="2"/>
  <c r="E739" i="2"/>
  <c r="F784" i="2"/>
  <c r="F777" i="2"/>
  <c r="F747" i="2"/>
  <c r="F776" i="2"/>
  <c r="J772" i="2"/>
  <c r="F764" i="2"/>
  <c r="E760" i="2"/>
  <c r="H760" i="2"/>
  <c r="J756" i="2"/>
  <c r="F752" i="2"/>
  <c r="G748" i="2"/>
  <c r="W748" i="2" s="1"/>
  <c r="I744" i="2"/>
  <c r="J784" i="2"/>
  <c r="J776" i="2"/>
  <c r="F744" i="2"/>
  <c r="J785" i="2"/>
  <c r="H773" i="2"/>
  <c r="F769" i="2"/>
  <c r="E765" i="2"/>
  <c r="J761" i="2"/>
  <c r="E757" i="2"/>
  <c r="E753" i="2"/>
  <c r="F749" i="2"/>
  <c r="G745" i="2"/>
  <c r="W745" i="2" s="1"/>
  <c r="F741" i="2"/>
  <c r="I784" i="2"/>
  <c r="R784" i="2" s="1"/>
  <c r="T784" i="2" s="1"/>
  <c r="I776" i="2"/>
  <c r="I764" i="2"/>
  <c r="R764" i="2" s="1"/>
  <c r="T764" i="2" s="1"/>
  <c r="H749" i="2"/>
  <c r="F740" i="2"/>
  <c r="H752" i="2"/>
  <c r="F807" i="2"/>
  <c r="G776" i="2"/>
  <c r="W776" i="2" s="1"/>
  <c r="I809" i="2"/>
  <c r="I793" i="2"/>
  <c r="I782" i="2"/>
  <c r="H758" i="2"/>
  <c r="F738" i="2"/>
  <c r="H783" i="2"/>
  <c r="E767" i="2"/>
  <c r="F755" i="2"/>
  <c r="H762" i="2"/>
  <c r="G757" i="2"/>
  <c r="W757" i="2" s="1"/>
  <c r="F751" i="2"/>
  <c r="G760" i="2"/>
  <c r="W760" i="2" s="1"/>
  <c r="J779" i="2"/>
  <c r="E798" i="2"/>
  <c r="I801" i="2"/>
  <c r="J807" i="2"/>
  <c r="H794" i="2"/>
  <c r="G778" i="2"/>
  <c r="W778" i="2" s="1"/>
  <c r="E766" i="2"/>
  <c r="E754" i="2"/>
  <c r="G742" i="2"/>
  <c r="W742" i="2" s="1"/>
  <c r="J809" i="2"/>
  <c r="F783" i="2"/>
  <c r="F771" i="2"/>
  <c r="G767" i="2"/>
  <c r="W767" i="2" s="1"/>
  <c r="J759" i="2"/>
  <c r="I755" i="2"/>
  <c r="I806" i="2"/>
  <c r="E790" i="2"/>
  <c r="I803" i="2"/>
  <c r="I795" i="2"/>
  <c r="G787" i="2"/>
  <c r="W787" i="2" s="1"/>
  <c r="F808" i="2"/>
  <c r="F800" i="2"/>
  <c r="F796" i="2"/>
  <c r="H788" i="2"/>
  <c r="G796" i="2"/>
  <c r="W796" i="2" s="1"/>
  <c r="E747" i="2"/>
  <c r="J743" i="2"/>
  <c r="I739" i="2"/>
  <c r="E780" i="2"/>
  <c r="E772" i="2"/>
  <c r="H768" i="2"/>
  <c r="J764" i="2"/>
  <c r="I760" i="2"/>
  <c r="E756" i="2"/>
  <c r="G756" i="2"/>
  <c r="W756" i="2" s="1"/>
  <c r="J752" i="2"/>
  <c r="E748" i="2"/>
  <c r="G740" i="2"/>
  <c r="W740" i="2" s="1"/>
  <c r="E784" i="2"/>
  <c r="G772" i="2"/>
  <c r="W772" i="2" s="1"/>
  <c r="I743" i="2"/>
  <c r="E777" i="2"/>
  <c r="I773" i="2"/>
  <c r="J769" i="2"/>
  <c r="I765" i="2"/>
  <c r="G761" i="2"/>
  <c r="W761" i="2" s="1"/>
  <c r="I757" i="2"/>
  <c r="L757" i="2" s="1"/>
  <c r="I753" i="2"/>
  <c r="J749" i="2"/>
  <c r="E745" i="2"/>
  <c r="J741" i="2"/>
  <c r="H781" i="2"/>
  <c r="J753" i="2"/>
  <c r="I748" i="2"/>
  <c r="L748" i="2" s="1"/>
  <c r="J739" i="2"/>
  <c r="H741" i="2"/>
  <c r="H810" i="2"/>
  <c r="J744" i="2"/>
  <c r="G798" i="2"/>
  <c r="W798" i="2" s="1"/>
  <c r="I797" i="2"/>
  <c r="F786" i="2"/>
  <c r="J774" i="2"/>
  <c r="F762" i="2"/>
  <c r="J750" i="2"/>
  <c r="J742" i="2"/>
  <c r="I808" i="2"/>
  <c r="E775" i="2"/>
  <c r="E771" i="2"/>
  <c r="H767" i="2"/>
  <c r="G759" i="2"/>
  <c r="W759" i="2" s="1"/>
  <c r="F809" i="2"/>
  <c r="F806" i="2"/>
  <c r="G807" i="2"/>
  <c r="W807" i="2" s="1"/>
  <c r="H799" i="2"/>
  <c r="E795" i="2"/>
  <c r="F787" i="2"/>
  <c r="J808" i="2"/>
  <c r="J800" i="2"/>
  <c r="F792" i="2"/>
  <c r="I788" i="2"/>
  <c r="F794" i="2"/>
  <c r="I747" i="2"/>
  <c r="L747" i="2" s="1"/>
  <c r="G743" i="2"/>
  <c r="W743" i="2" s="1"/>
  <c r="F739" i="2"/>
  <c r="J781" i="2"/>
  <c r="I780" i="2"/>
  <c r="I772" i="2"/>
  <c r="R772" i="2" s="1"/>
  <c r="T772" i="2" s="1"/>
  <c r="E768" i="2"/>
  <c r="G764" i="2"/>
  <c r="W764" i="2" s="1"/>
  <c r="F760" i="2"/>
  <c r="I756" i="2"/>
  <c r="R756" i="2" s="1"/>
  <c r="T756" i="2" s="1"/>
  <c r="E752" i="2"/>
  <c r="F748" i="2"/>
  <c r="G744" i="2"/>
  <c r="W744" i="2" s="1"/>
  <c r="H740" i="2"/>
  <c r="I781" i="2"/>
  <c r="G768" i="2"/>
  <c r="W768" i="2" s="1"/>
  <c r="I740" i="2"/>
  <c r="R740" i="2" s="1"/>
  <c r="T740" i="2" s="1"/>
  <c r="I777" i="2"/>
  <c r="E769" i="2"/>
  <c r="H769" i="2"/>
  <c r="J765" i="2"/>
  <c r="E761" i="2"/>
  <c r="F757" i="2"/>
  <c r="E749" i="2"/>
  <c r="F745" i="2"/>
  <c r="E741" i="2"/>
  <c r="G741" i="2"/>
  <c r="W741" i="2" s="1"/>
  <c r="G780" i="2"/>
  <c r="W780" i="2" s="1"/>
  <c r="F768" i="2"/>
  <c r="E744" i="2"/>
  <c r="G792" i="2"/>
  <c r="W792" i="2" s="1"/>
  <c r="I770" i="2"/>
  <c r="F746" i="2"/>
  <c r="F782" i="2"/>
  <c r="F775" i="2"/>
  <c r="I763" i="2"/>
  <c r="F810" i="2"/>
  <c r="I791" i="2"/>
  <c r="I792" i="2"/>
  <c r="J747" i="2"/>
  <c r="E751" i="2"/>
  <c r="E764" i="2"/>
  <c r="J748" i="2"/>
  <c r="H765" i="2"/>
  <c r="I749" i="2"/>
  <c r="H777" i="2"/>
  <c r="G783" i="2"/>
  <c r="W783" i="2" s="1"/>
  <c r="F756" i="2"/>
  <c r="G773" i="2"/>
  <c r="W773" i="2" s="1"/>
  <c r="I741" i="2"/>
  <c r="R741" i="2" s="1"/>
  <c r="T741" i="2" s="1"/>
  <c r="E796" i="2"/>
  <c r="E781" i="2"/>
  <c r="I752" i="2"/>
  <c r="H753" i="2"/>
  <c r="H743" i="2"/>
  <c r="F790" i="2"/>
  <c r="G779" i="2"/>
  <c r="W779" i="2" s="1"/>
  <c r="H802" i="2"/>
  <c r="H739" i="2"/>
  <c r="H776" i="2"/>
  <c r="J760" i="2"/>
  <c r="H744" i="2"/>
  <c r="F785" i="2"/>
  <c r="F761" i="2"/>
  <c r="J745" i="2"/>
  <c r="F765" i="2"/>
  <c r="I807" i="2"/>
  <c r="F804" i="2"/>
  <c r="G785" i="2"/>
  <c r="W785" i="2" s="1"/>
  <c r="F772" i="2"/>
  <c r="J740" i="2"/>
  <c r="H757" i="2"/>
  <c r="J751" i="2"/>
  <c r="F799" i="2"/>
  <c r="G751" i="2"/>
  <c r="W751" i="2" s="1"/>
  <c r="I768" i="2"/>
  <c r="H780" i="2"/>
  <c r="I769" i="2"/>
  <c r="I785" i="2"/>
  <c r="J5" i="2"/>
  <c r="J6" i="2"/>
  <c r="J3" i="2"/>
  <c r="J7" i="2"/>
  <c r="J11" i="2"/>
  <c r="J15" i="2"/>
  <c r="J19" i="2"/>
  <c r="J23" i="2"/>
  <c r="J27" i="2"/>
  <c r="J31" i="2"/>
  <c r="J35" i="2"/>
  <c r="J39" i="2"/>
  <c r="J43" i="2"/>
  <c r="J47" i="2"/>
  <c r="J51" i="2"/>
  <c r="J55" i="2"/>
  <c r="J59" i="2"/>
  <c r="J63" i="2"/>
  <c r="J67" i="2"/>
  <c r="J71" i="2"/>
  <c r="J75" i="2"/>
  <c r="J79" i="2"/>
  <c r="J83" i="2"/>
  <c r="J87" i="2"/>
  <c r="J91" i="2"/>
  <c r="J95" i="2"/>
  <c r="J99" i="2"/>
  <c r="J103" i="2"/>
  <c r="J107" i="2"/>
  <c r="J111" i="2"/>
  <c r="J115" i="2"/>
  <c r="J119" i="2"/>
  <c r="J123" i="2"/>
  <c r="J127" i="2"/>
  <c r="J131" i="2"/>
  <c r="J135" i="2"/>
  <c r="J139" i="2"/>
  <c r="J143" i="2"/>
  <c r="J147" i="2"/>
  <c r="J151" i="2"/>
  <c r="J155" i="2"/>
  <c r="J159" i="2"/>
  <c r="J163" i="2"/>
  <c r="J167" i="2"/>
  <c r="J171" i="2"/>
  <c r="J175" i="2"/>
  <c r="J179" i="2"/>
  <c r="J183" i="2"/>
  <c r="J187" i="2"/>
  <c r="J191" i="2"/>
  <c r="J195" i="2"/>
  <c r="J199" i="2"/>
  <c r="J203" i="2"/>
  <c r="J207" i="2"/>
  <c r="J211" i="2"/>
  <c r="J215" i="2"/>
  <c r="J219" i="2"/>
  <c r="J223" i="2"/>
  <c r="J227" i="2"/>
  <c r="J231" i="2"/>
  <c r="J235" i="2"/>
  <c r="J239" i="2"/>
  <c r="J243" i="2"/>
  <c r="J247" i="2"/>
  <c r="J251" i="2"/>
  <c r="J255" i="2"/>
  <c r="J259" i="2"/>
  <c r="J263" i="2"/>
  <c r="J267" i="2"/>
  <c r="J271" i="2"/>
  <c r="J275" i="2"/>
  <c r="J279" i="2"/>
  <c r="J283" i="2"/>
  <c r="J287" i="2"/>
  <c r="J291" i="2"/>
  <c r="J295" i="2"/>
  <c r="J299" i="2"/>
  <c r="J303" i="2"/>
  <c r="J307" i="2"/>
  <c r="J311" i="2"/>
  <c r="J315" i="2"/>
  <c r="J319" i="2"/>
  <c r="J323" i="2"/>
  <c r="J327" i="2"/>
  <c r="J331" i="2"/>
  <c r="J335" i="2"/>
  <c r="J339" i="2"/>
  <c r="J343" i="2"/>
  <c r="J347" i="2"/>
  <c r="J351" i="2"/>
  <c r="J355" i="2"/>
  <c r="J359" i="2"/>
  <c r="J363" i="2"/>
  <c r="J367" i="2"/>
  <c r="J371" i="2"/>
  <c r="J375" i="2"/>
  <c r="J379" i="2"/>
  <c r="J383" i="2"/>
  <c r="J387" i="2"/>
  <c r="J391" i="2"/>
  <c r="J395" i="2"/>
  <c r="J399" i="2"/>
  <c r="J403" i="2"/>
  <c r="J407" i="2"/>
  <c r="J411" i="2"/>
  <c r="J415" i="2"/>
  <c r="J419" i="2"/>
  <c r="J423" i="2"/>
  <c r="J427" i="2"/>
  <c r="J431" i="2"/>
  <c r="J435" i="2"/>
  <c r="J439" i="2"/>
  <c r="J443" i="2"/>
  <c r="J447" i="2"/>
  <c r="J451" i="2"/>
  <c r="J455" i="2"/>
  <c r="J459" i="2"/>
  <c r="J463" i="2"/>
  <c r="J467" i="2"/>
  <c r="J471" i="2"/>
  <c r="J475" i="2"/>
  <c r="J479" i="2"/>
  <c r="J483" i="2"/>
  <c r="J487" i="2"/>
  <c r="J491" i="2"/>
  <c r="J495" i="2"/>
  <c r="J499" i="2"/>
  <c r="J503" i="2"/>
  <c r="J507" i="2"/>
  <c r="J511" i="2"/>
  <c r="J515" i="2"/>
  <c r="J519" i="2"/>
  <c r="J523" i="2"/>
  <c r="J527" i="2"/>
  <c r="J531" i="2"/>
  <c r="J535" i="2"/>
  <c r="J539" i="2"/>
  <c r="J543" i="2"/>
  <c r="J547" i="2"/>
  <c r="J551" i="2"/>
  <c r="J555" i="2"/>
  <c r="J559" i="2"/>
  <c r="J563" i="2"/>
  <c r="J567" i="2"/>
  <c r="J571" i="2"/>
  <c r="J575" i="2"/>
  <c r="J579" i="2"/>
  <c r="J583" i="2"/>
  <c r="J587" i="2"/>
  <c r="J591" i="2"/>
  <c r="J595" i="2"/>
  <c r="J599" i="2"/>
  <c r="J603" i="2"/>
  <c r="J607" i="2"/>
  <c r="J611" i="2"/>
  <c r="J615" i="2"/>
  <c r="J619" i="2"/>
  <c r="J8" i="2"/>
  <c r="J12" i="2"/>
  <c r="J16" i="2"/>
  <c r="J20" i="2"/>
  <c r="J24" i="2"/>
  <c r="J28" i="2"/>
  <c r="J32" i="2"/>
  <c r="J36" i="2"/>
  <c r="J40" i="2"/>
  <c r="J44" i="2"/>
  <c r="J48" i="2"/>
  <c r="J52" i="2"/>
  <c r="J56" i="2"/>
  <c r="J60" i="2"/>
  <c r="J64" i="2"/>
  <c r="J68" i="2"/>
  <c r="J72" i="2"/>
  <c r="J76" i="2"/>
  <c r="J80" i="2"/>
  <c r="J84" i="2"/>
  <c r="J88" i="2"/>
  <c r="J92" i="2"/>
  <c r="J96" i="2"/>
  <c r="J100" i="2"/>
  <c r="J104" i="2"/>
  <c r="J108" i="2"/>
  <c r="J112" i="2"/>
  <c r="J116" i="2"/>
  <c r="J120" i="2"/>
  <c r="J124" i="2"/>
  <c r="J128" i="2"/>
  <c r="J132" i="2"/>
  <c r="J136" i="2"/>
  <c r="J140" i="2"/>
  <c r="J144" i="2"/>
  <c r="J148" i="2"/>
  <c r="J152" i="2"/>
  <c r="J156" i="2"/>
  <c r="J160" i="2"/>
  <c r="J164" i="2"/>
  <c r="J168" i="2"/>
  <c r="J172" i="2"/>
  <c r="J176" i="2"/>
  <c r="J180" i="2"/>
  <c r="J184" i="2"/>
  <c r="J188" i="2"/>
  <c r="J192" i="2"/>
  <c r="J196" i="2"/>
  <c r="J200" i="2"/>
  <c r="J204" i="2"/>
  <c r="J208" i="2"/>
  <c r="J212" i="2"/>
  <c r="J216" i="2"/>
  <c r="J220" i="2"/>
  <c r="J224" i="2"/>
  <c r="J228" i="2"/>
  <c r="J232" i="2"/>
  <c r="J236" i="2"/>
  <c r="J240" i="2"/>
  <c r="J244" i="2"/>
  <c r="J248" i="2"/>
  <c r="J252" i="2"/>
  <c r="J256" i="2"/>
  <c r="J260" i="2"/>
  <c r="J264" i="2"/>
  <c r="J268" i="2"/>
  <c r="J272" i="2"/>
  <c r="J276" i="2"/>
  <c r="J280" i="2"/>
  <c r="J284" i="2"/>
  <c r="J288" i="2"/>
  <c r="J292" i="2"/>
  <c r="J296" i="2"/>
  <c r="J300" i="2"/>
  <c r="J304" i="2"/>
  <c r="J308" i="2"/>
  <c r="J312" i="2"/>
  <c r="J316" i="2"/>
  <c r="J320" i="2"/>
  <c r="J324" i="2"/>
  <c r="J328" i="2"/>
  <c r="J332" i="2"/>
  <c r="J336" i="2"/>
  <c r="J340" i="2"/>
  <c r="J344" i="2"/>
  <c r="J348" i="2"/>
  <c r="J352" i="2"/>
  <c r="J356" i="2"/>
  <c r="J360" i="2"/>
  <c r="J364" i="2"/>
  <c r="J368" i="2"/>
  <c r="J372" i="2"/>
  <c r="J376" i="2"/>
  <c r="J380" i="2"/>
  <c r="J384" i="2"/>
  <c r="J388" i="2"/>
  <c r="J392" i="2"/>
  <c r="J396" i="2"/>
  <c r="J400" i="2"/>
  <c r="J404" i="2"/>
  <c r="J408" i="2"/>
  <c r="J412" i="2"/>
  <c r="J416" i="2"/>
  <c r="J420" i="2"/>
  <c r="J424" i="2"/>
  <c r="J428" i="2"/>
  <c r="J432" i="2"/>
  <c r="J436" i="2"/>
  <c r="J440" i="2"/>
  <c r="J444" i="2"/>
  <c r="J448" i="2"/>
  <c r="J452" i="2"/>
  <c r="J456" i="2"/>
  <c r="J460" i="2"/>
  <c r="J464" i="2"/>
  <c r="J468" i="2"/>
  <c r="J472" i="2"/>
  <c r="J476" i="2"/>
  <c r="J480" i="2"/>
  <c r="J484" i="2"/>
  <c r="J488" i="2"/>
  <c r="J492" i="2"/>
  <c r="J496" i="2"/>
  <c r="J500" i="2"/>
  <c r="J504" i="2"/>
  <c r="J508" i="2"/>
  <c r="J512" i="2"/>
  <c r="J516" i="2"/>
  <c r="J520" i="2"/>
  <c r="J524" i="2"/>
  <c r="J528" i="2"/>
  <c r="J532" i="2"/>
  <c r="J536" i="2"/>
  <c r="J540" i="2"/>
  <c r="J544" i="2"/>
  <c r="J548" i="2"/>
  <c r="J552" i="2"/>
  <c r="J556" i="2"/>
  <c r="J560" i="2"/>
  <c r="J564" i="2"/>
  <c r="J568" i="2"/>
  <c r="J572" i="2"/>
  <c r="J576" i="2"/>
  <c r="J580" i="2"/>
  <c r="J584" i="2"/>
  <c r="J588" i="2"/>
  <c r="J592" i="2"/>
  <c r="J596" i="2"/>
  <c r="J600" i="2"/>
  <c r="J604" i="2"/>
  <c r="J608" i="2"/>
  <c r="J612" i="2"/>
  <c r="J616" i="2"/>
  <c r="J620" i="2"/>
  <c r="J9" i="2"/>
  <c r="J13" i="2"/>
  <c r="J17" i="2"/>
  <c r="J21" i="2"/>
  <c r="J25" i="2"/>
  <c r="J29" i="2"/>
  <c r="J33" i="2"/>
  <c r="J37" i="2"/>
  <c r="J41" i="2"/>
  <c r="J45" i="2"/>
  <c r="J49" i="2"/>
  <c r="J53" i="2"/>
  <c r="J57" i="2"/>
  <c r="J61" i="2"/>
  <c r="J65" i="2"/>
  <c r="J69" i="2"/>
  <c r="J73" i="2"/>
  <c r="J77" i="2"/>
  <c r="J81" i="2"/>
  <c r="J85" i="2"/>
  <c r="J89" i="2"/>
  <c r="J93" i="2"/>
  <c r="J97" i="2"/>
  <c r="J101" i="2"/>
  <c r="J105" i="2"/>
  <c r="J109" i="2"/>
  <c r="J113" i="2"/>
  <c r="J117" i="2"/>
  <c r="J121" i="2"/>
  <c r="J125" i="2"/>
  <c r="J129" i="2"/>
  <c r="J133" i="2"/>
  <c r="J137" i="2"/>
  <c r="J141" i="2"/>
  <c r="J145" i="2"/>
  <c r="J149" i="2"/>
  <c r="J153" i="2"/>
  <c r="J157" i="2"/>
  <c r="J161" i="2"/>
  <c r="J165" i="2"/>
  <c r="J169" i="2"/>
  <c r="J173" i="2"/>
  <c r="J177" i="2"/>
  <c r="J181" i="2"/>
  <c r="J185" i="2"/>
  <c r="J189" i="2"/>
  <c r="J193" i="2"/>
  <c r="J197" i="2"/>
  <c r="J201" i="2"/>
  <c r="J205" i="2"/>
  <c r="J209" i="2"/>
  <c r="J213" i="2"/>
  <c r="J217" i="2"/>
  <c r="J221" i="2"/>
  <c r="J225" i="2"/>
  <c r="J229" i="2"/>
  <c r="J233" i="2"/>
  <c r="J237" i="2"/>
  <c r="J241" i="2"/>
  <c r="J245" i="2"/>
  <c r="J249" i="2"/>
  <c r="J253" i="2"/>
  <c r="J257" i="2"/>
  <c r="J261" i="2"/>
  <c r="J265" i="2"/>
  <c r="J269" i="2"/>
  <c r="J273" i="2"/>
  <c r="J277" i="2"/>
  <c r="J281" i="2"/>
  <c r="J285" i="2"/>
  <c r="J289" i="2"/>
  <c r="J293" i="2"/>
  <c r="J297" i="2"/>
  <c r="J301" i="2"/>
  <c r="J305" i="2"/>
  <c r="J309" i="2"/>
  <c r="J313" i="2"/>
  <c r="J317" i="2"/>
  <c r="J321" i="2"/>
  <c r="J325" i="2"/>
  <c r="J329" i="2"/>
  <c r="J333" i="2"/>
  <c r="J337" i="2"/>
  <c r="J341" i="2"/>
  <c r="J345" i="2"/>
  <c r="J349" i="2"/>
  <c r="J353" i="2"/>
  <c r="J357" i="2"/>
  <c r="J361" i="2"/>
  <c r="J365" i="2"/>
  <c r="J369" i="2"/>
  <c r="J373" i="2"/>
  <c r="J377" i="2"/>
  <c r="J381" i="2"/>
  <c r="J385" i="2"/>
  <c r="J389" i="2"/>
  <c r="J393" i="2"/>
  <c r="J397" i="2"/>
  <c r="J401" i="2"/>
  <c r="J405" i="2"/>
  <c r="J409" i="2"/>
  <c r="J413" i="2"/>
  <c r="J417" i="2"/>
  <c r="J421" i="2"/>
  <c r="J425" i="2"/>
  <c r="J429" i="2"/>
  <c r="J433" i="2"/>
  <c r="J437" i="2"/>
  <c r="J441" i="2"/>
  <c r="J445" i="2"/>
  <c r="J449" i="2"/>
  <c r="J453" i="2"/>
  <c r="J457" i="2"/>
  <c r="J461" i="2"/>
  <c r="J465" i="2"/>
  <c r="J469" i="2"/>
  <c r="J473" i="2"/>
  <c r="J477" i="2"/>
  <c r="J481" i="2"/>
  <c r="J485" i="2"/>
  <c r="J489" i="2"/>
  <c r="J493" i="2"/>
  <c r="J497" i="2"/>
  <c r="J501" i="2"/>
  <c r="J505" i="2"/>
  <c r="J509" i="2"/>
  <c r="J513" i="2"/>
  <c r="J517" i="2"/>
  <c r="J521" i="2"/>
  <c r="J525" i="2"/>
  <c r="J529" i="2"/>
  <c r="J533" i="2"/>
  <c r="J537" i="2"/>
  <c r="J541" i="2"/>
  <c r="J545" i="2"/>
  <c r="J549" i="2"/>
  <c r="J553" i="2"/>
  <c r="J10" i="2"/>
  <c r="J26" i="2"/>
  <c r="J42" i="2"/>
  <c r="J58" i="2"/>
  <c r="J74" i="2"/>
  <c r="J90" i="2"/>
  <c r="J106" i="2"/>
  <c r="J122" i="2"/>
  <c r="J138" i="2"/>
  <c r="J154" i="2"/>
  <c r="J170" i="2"/>
  <c r="J186" i="2"/>
  <c r="J202" i="2"/>
  <c r="J218" i="2"/>
  <c r="J234" i="2"/>
  <c r="J250" i="2"/>
  <c r="J266" i="2"/>
  <c r="J282" i="2"/>
  <c r="J298" i="2"/>
  <c r="J314" i="2"/>
  <c r="J330" i="2"/>
  <c r="J346" i="2"/>
  <c r="J362" i="2"/>
  <c r="J378" i="2"/>
  <c r="J394" i="2"/>
  <c r="J410" i="2"/>
  <c r="J426" i="2"/>
  <c r="J442" i="2"/>
  <c r="J458" i="2"/>
  <c r="J474" i="2"/>
  <c r="J490" i="2"/>
  <c r="J506" i="2"/>
  <c r="J522" i="2"/>
  <c r="J538" i="2"/>
  <c r="J554" i="2"/>
  <c r="J562" i="2"/>
  <c r="J570" i="2"/>
  <c r="J578" i="2"/>
  <c r="J586" i="2"/>
  <c r="J594" i="2"/>
  <c r="J602" i="2"/>
  <c r="J610" i="2"/>
  <c r="J618" i="2"/>
  <c r="J624" i="2"/>
  <c r="J628" i="2"/>
  <c r="J632" i="2"/>
  <c r="J636" i="2"/>
  <c r="J640" i="2"/>
  <c r="J644" i="2"/>
  <c r="J648" i="2"/>
  <c r="J652" i="2"/>
  <c r="J656" i="2"/>
  <c r="J660" i="2"/>
  <c r="J664" i="2"/>
  <c r="J668" i="2"/>
  <c r="J672" i="2"/>
  <c r="J676" i="2"/>
  <c r="J680" i="2"/>
  <c r="J684" i="2"/>
  <c r="J688" i="2"/>
  <c r="J692" i="2"/>
  <c r="J696" i="2"/>
  <c r="J700" i="2"/>
  <c r="J704" i="2"/>
  <c r="J708" i="2"/>
  <c r="J712" i="2"/>
  <c r="J716" i="2"/>
  <c r="J720" i="2"/>
  <c r="J724" i="2"/>
  <c r="J728" i="2"/>
  <c r="J732" i="2"/>
  <c r="J736" i="2"/>
  <c r="J734" i="2"/>
  <c r="J22" i="2"/>
  <c r="J70" i="2"/>
  <c r="J118" i="2"/>
  <c r="J166" i="2"/>
  <c r="J198" i="2"/>
  <c r="J246" i="2"/>
  <c r="J278" i="2"/>
  <c r="J326" i="2"/>
  <c r="J374" i="2"/>
  <c r="J422" i="2"/>
  <c r="J454" i="2"/>
  <c r="J502" i="2"/>
  <c r="J550" i="2"/>
  <c r="J577" i="2"/>
  <c r="J601" i="2"/>
  <c r="J623" i="2"/>
  <c r="J631" i="2"/>
  <c r="J643" i="2"/>
  <c r="J655" i="2"/>
  <c r="J667" i="2"/>
  <c r="J679" i="2"/>
  <c r="J687" i="2"/>
  <c r="J699" i="2"/>
  <c r="J711" i="2"/>
  <c r="J723" i="2"/>
  <c r="J731" i="2"/>
  <c r="J14" i="2"/>
  <c r="J30" i="2"/>
  <c r="J46" i="2"/>
  <c r="J62" i="2"/>
  <c r="J78" i="2"/>
  <c r="J94" i="2"/>
  <c r="J110" i="2"/>
  <c r="J126" i="2"/>
  <c r="J142" i="2"/>
  <c r="J158" i="2"/>
  <c r="J174" i="2"/>
  <c r="J190" i="2"/>
  <c r="J206" i="2"/>
  <c r="J222" i="2"/>
  <c r="J238" i="2"/>
  <c r="J254" i="2"/>
  <c r="J270" i="2"/>
  <c r="J286" i="2"/>
  <c r="J302" i="2"/>
  <c r="J318" i="2"/>
  <c r="J334" i="2"/>
  <c r="J350" i="2"/>
  <c r="J366" i="2"/>
  <c r="J382" i="2"/>
  <c r="J398" i="2"/>
  <c r="J414" i="2"/>
  <c r="J430" i="2"/>
  <c r="J446" i="2"/>
  <c r="J462" i="2"/>
  <c r="J478" i="2"/>
  <c r="J494" i="2"/>
  <c r="J510" i="2"/>
  <c r="J526" i="2"/>
  <c r="J542" i="2"/>
  <c r="J557" i="2"/>
  <c r="J565" i="2"/>
  <c r="J573" i="2"/>
  <c r="J581" i="2"/>
  <c r="J589" i="2"/>
  <c r="J597" i="2"/>
  <c r="J605" i="2"/>
  <c r="J613" i="2"/>
  <c r="J621" i="2"/>
  <c r="J625" i="2"/>
  <c r="J629" i="2"/>
  <c r="J633" i="2"/>
  <c r="J637" i="2"/>
  <c r="J641" i="2"/>
  <c r="J645" i="2"/>
  <c r="J649" i="2"/>
  <c r="J653" i="2"/>
  <c r="J657" i="2"/>
  <c r="J661" i="2"/>
  <c r="J665" i="2"/>
  <c r="J669" i="2"/>
  <c r="J673" i="2"/>
  <c r="J677" i="2"/>
  <c r="J681" i="2"/>
  <c r="J685" i="2"/>
  <c r="J689" i="2"/>
  <c r="J693" i="2"/>
  <c r="J697" i="2"/>
  <c r="J701" i="2"/>
  <c r="J705" i="2"/>
  <c r="J709" i="2"/>
  <c r="J713" i="2"/>
  <c r="J717" i="2"/>
  <c r="J721" i="2"/>
  <c r="J725" i="2"/>
  <c r="J729" i="2"/>
  <c r="J733" i="2"/>
  <c r="J737" i="2"/>
  <c r="J702" i="2"/>
  <c r="J710" i="2"/>
  <c r="J714" i="2"/>
  <c r="J722" i="2"/>
  <c r="J730" i="2"/>
  <c r="J4" i="2"/>
  <c r="J54" i="2"/>
  <c r="J102" i="2"/>
  <c r="J134" i="2"/>
  <c r="J182" i="2"/>
  <c r="J230" i="2"/>
  <c r="J294" i="2"/>
  <c r="J342" i="2"/>
  <c r="J390" i="2"/>
  <c r="J438" i="2"/>
  <c r="J486" i="2"/>
  <c r="J534" i="2"/>
  <c r="J561" i="2"/>
  <c r="J585" i="2"/>
  <c r="J609" i="2"/>
  <c r="J627" i="2"/>
  <c r="J639" i="2"/>
  <c r="J647" i="2"/>
  <c r="J659" i="2"/>
  <c r="J671" i="2"/>
  <c r="J683" i="2"/>
  <c r="J695" i="2"/>
  <c r="J703" i="2"/>
  <c r="J715" i="2"/>
  <c r="J727" i="2"/>
  <c r="J18" i="2"/>
  <c r="J34" i="2"/>
  <c r="J50" i="2"/>
  <c r="J66" i="2"/>
  <c r="J82" i="2"/>
  <c r="J98" i="2"/>
  <c r="J114" i="2"/>
  <c r="J130" i="2"/>
  <c r="J146" i="2"/>
  <c r="J162" i="2"/>
  <c r="J178" i="2"/>
  <c r="J194" i="2"/>
  <c r="J210" i="2"/>
  <c r="J226" i="2"/>
  <c r="J242" i="2"/>
  <c r="J258" i="2"/>
  <c r="J274" i="2"/>
  <c r="J290" i="2"/>
  <c r="J306" i="2"/>
  <c r="J322" i="2"/>
  <c r="J338" i="2"/>
  <c r="J354" i="2"/>
  <c r="J370" i="2"/>
  <c r="J386" i="2"/>
  <c r="J402" i="2"/>
  <c r="J418" i="2"/>
  <c r="J434" i="2"/>
  <c r="J450" i="2"/>
  <c r="J466" i="2"/>
  <c r="J482" i="2"/>
  <c r="J498" i="2"/>
  <c r="J514" i="2"/>
  <c r="J530" i="2"/>
  <c r="J546" i="2"/>
  <c r="J558" i="2"/>
  <c r="J566" i="2"/>
  <c r="J574" i="2"/>
  <c r="J582" i="2"/>
  <c r="J590" i="2"/>
  <c r="J598" i="2"/>
  <c r="J606" i="2"/>
  <c r="J614" i="2"/>
  <c r="J622" i="2"/>
  <c r="J626" i="2"/>
  <c r="J630" i="2"/>
  <c r="J634" i="2"/>
  <c r="J638" i="2"/>
  <c r="J642" i="2"/>
  <c r="J646" i="2"/>
  <c r="J650" i="2"/>
  <c r="J654" i="2"/>
  <c r="J658" i="2"/>
  <c r="J662" i="2"/>
  <c r="J666" i="2"/>
  <c r="J670" i="2"/>
  <c r="J674" i="2"/>
  <c r="J678" i="2"/>
  <c r="J682" i="2"/>
  <c r="J686" i="2"/>
  <c r="J690" i="2"/>
  <c r="J694" i="2"/>
  <c r="J698" i="2"/>
  <c r="J706" i="2"/>
  <c r="J718" i="2"/>
  <c r="J726" i="2"/>
  <c r="J2" i="2"/>
  <c r="J38" i="2"/>
  <c r="J86" i="2"/>
  <c r="J150" i="2"/>
  <c r="J214" i="2"/>
  <c r="J262" i="2"/>
  <c r="J310" i="2"/>
  <c r="J358" i="2"/>
  <c r="J406" i="2"/>
  <c r="J470" i="2"/>
  <c r="J518" i="2"/>
  <c r="J569" i="2"/>
  <c r="J593" i="2"/>
  <c r="J617" i="2"/>
  <c r="J635" i="2"/>
  <c r="J651" i="2"/>
  <c r="J663" i="2"/>
  <c r="J675" i="2"/>
  <c r="J691" i="2"/>
  <c r="J707" i="2"/>
  <c r="J719" i="2"/>
  <c r="J735" i="2"/>
  <c r="P677" i="2"/>
  <c r="P624" i="2"/>
  <c r="P570" i="2"/>
  <c r="P413" i="2"/>
  <c r="P398" i="2"/>
  <c r="P381" i="2"/>
  <c r="P354" i="2"/>
  <c r="P358" i="2"/>
  <c r="P334" i="2"/>
  <c r="P341" i="2"/>
  <c r="P277" i="2"/>
  <c r="P269" i="2"/>
  <c r="P251" i="2"/>
  <c r="P227" i="2"/>
  <c r="P212" i="2"/>
  <c r="P220" i="2"/>
  <c r="P172" i="2"/>
  <c r="P177" i="2"/>
  <c r="P146" i="2"/>
  <c r="P138" i="2"/>
  <c r="P123" i="2"/>
  <c r="P110" i="2"/>
  <c r="P102" i="2"/>
  <c r="P93" i="2"/>
  <c r="P94" i="2"/>
  <c r="P37" i="2"/>
  <c r="P731" i="2"/>
  <c r="P714" i="2"/>
  <c r="P591" i="2"/>
  <c r="P575" i="2"/>
  <c r="P600" i="2"/>
  <c r="P564" i="2"/>
  <c r="P561" i="2"/>
  <c r="P542" i="2"/>
  <c r="P541" i="2"/>
  <c r="P515" i="2"/>
  <c r="P504" i="2"/>
  <c r="P498" i="2"/>
  <c r="P475" i="2"/>
  <c r="P446" i="2"/>
  <c r="P439" i="2"/>
  <c r="P419" i="2"/>
  <c r="P415" i="2"/>
  <c r="P399" i="2"/>
  <c r="P384" i="2"/>
  <c r="P323" i="2"/>
  <c r="P300" i="2"/>
  <c r="P308" i="2"/>
  <c r="P298" i="2"/>
  <c r="P293" i="2"/>
  <c r="P282" i="2"/>
  <c r="P279" i="2"/>
  <c r="P217" i="2"/>
  <c r="P232" i="2"/>
  <c r="P223" i="2"/>
  <c r="P193" i="2"/>
  <c r="P167" i="2"/>
  <c r="P175" i="2"/>
  <c r="P154" i="2"/>
  <c r="P115" i="2"/>
  <c r="P84" i="2"/>
  <c r="P73" i="2"/>
  <c r="P665" i="2"/>
  <c r="P640" i="2"/>
  <c r="P635" i="2"/>
  <c r="P647" i="2"/>
  <c r="P627" i="2"/>
  <c r="P618" i="2"/>
  <c r="P608" i="2"/>
  <c r="P586" i="2"/>
  <c r="P606" i="2"/>
  <c r="P592" i="2"/>
  <c r="P601" i="2"/>
  <c r="P594" i="2"/>
  <c r="P514" i="2"/>
  <c r="P495" i="2"/>
  <c r="P496" i="2"/>
  <c r="P471" i="2"/>
  <c r="P434" i="2"/>
  <c r="P426" i="2"/>
  <c r="P407" i="2"/>
  <c r="P350" i="2"/>
  <c r="P272" i="2"/>
  <c r="P246" i="2"/>
  <c r="P244" i="2"/>
  <c r="P250" i="2"/>
  <c r="P235" i="2"/>
  <c r="P218" i="2"/>
  <c r="P152" i="2"/>
  <c r="P142" i="2"/>
  <c r="P69" i="2"/>
  <c r="P38" i="2"/>
  <c r="P671" i="2"/>
  <c r="P669" i="2"/>
  <c r="P663" i="2"/>
  <c r="P645" i="2"/>
  <c r="P620" i="2"/>
  <c r="P506" i="2"/>
  <c r="P490" i="2"/>
  <c r="P427" i="2"/>
  <c r="P406" i="2"/>
  <c r="P395" i="2"/>
  <c r="P385" i="2"/>
  <c r="P373" i="2"/>
  <c r="P355" i="2"/>
  <c r="P332" i="2"/>
  <c r="P336" i="2"/>
  <c r="P275" i="2"/>
  <c r="P254" i="2"/>
  <c r="P209" i="2"/>
  <c r="P161" i="2"/>
  <c r="P157" i="2"/>
  <c r="P163" i="2"/>
  <c r="P132" i="2"/>
  <c r="P118" i="2"/>
  <c r="P108" i="2"/>
  <c r="P88" i="2"/>
  <c r="P75" i="2"/>
  <c r="P24" i="2"/>
  <c r="P20" i="2"/>
  <c r="P720" i="2"/>
  <c r="P585" i="2"/>
  <c r="P566" i="2"/>
  <c r="P568" i="2"/>
  <c r="P548" i="2"/>
  <c r="P535" i="2"/>
  <c r="P536" i="2"/>
  <c r="P527" i="2"/>
  <c r="P505" i="2"/>
  <c r="P501" i="2"/>
  <c r="P476" i="2"/>
  <c r="P449" i="2"/>
  <c r="P337" i="2"/>
  <c r="P318" i="2"/>
  <c r="P315" i="2"/>
  <c r="P313" i="2"/>
  <c r="P299" i="2"/>
  <c r="P292" i="2"/>
  <c r="P237" i="2"/>
  <c r="P225" i="2"/>
  <c r="P224" i="2"/>
  <c r="P201" i="2"/>
  <c r="P198" i="2"/>
  <c r="P173" i="2"/>
  <c r="P48" i="2"/>
  <c r="P42" i="2"/>
  <c r="P728" i="2"/>
  <c r="P736" i="2"/>
  <c r="P719" i="2"/>
  <c r="P715" i="2"/>
  <c r="P737" i="2"/>
  <c r="P705" i="2"/>
  <c r="P699" i="2"/>
  <c r="P704" i="2"/>
  <c r="P690" i="2"/>
  <c r="P695" i="2"/>
  <c r="P687" i="2"/>
  <c r="P637" i="2"/>
  <c r="P654" i="2"/>
  <c r="P621" i="2"/>
  <c r="P573" i="2"/>
  <c r="P550" i="2"/>
  <c r="P552" i="2"/>
  <c r="P546" i="2"/>
  <c r="P537" i="2"/>
  <c r="P532" i="2"/>
  <c r="P522" i="2"/>
  <c r="P520" i="2"/>
  <c r="P497" i="2"/>
  <c r="P470" i="2"/>
  <c r="P479" i="2"/>
  <c r="P473" i="2"/>
  <c r="P461" i="2"/>
  <c r="P441" i="2"/>
  <c r="P443" i="2"/>
  <c r="P438" i="2"/>
  <c r="P421" i="2"/>
  <c r="P422" i="2"/>
  <c r="P379" i="2"/>
  <c r="P351" i="2"/>
  <c r="P352" i="2"/>
  <c r="P271" i="2"/>
  <c r="P252" i="2"/>
  <c r="P257" i="2"/>
  <c r="P256" i="2"/>
  <c r="P233" i="2"/>
  <c r="P210" i="2"/>
  <c r="P207" i="2"/>
  <c r="P151" i="2"/>
  <c r="P124" i="2"/>
  <c r="P119" i="2"/>
  <c r="P116" i="2"/>
  <c r="P85" i="2"/>
  <c r="P58" i="2"/>
  <c r="P64" i="2"/>
  <c r="P10" i="2"/>
  <c r="H137" i="2"/>
  <c r="I137" i="2"/>
  <c r="R137" i="2" s="1"/>
  <c r="T137" i="2" s="1"/>
  <c r="E137" i="2"/>
  <c r="F137" i="2"/>
  <c r="G137" i="2"/>
  <c r="W137" i="2" s="1"/>
  <c r="F674" i="2"/>
  <c r="I727" i="2"/>
  <c r="R727" i="2" s="1"/>
  <c r="T727" i="2" s="1"/>
  <c r="H718" i="2"/>
  <c r="G718" i="2"/>
  <c r="W718" i="2" s="1"/>
  <c r="I718" i="2"/>
  <c r="R718" i="2" s="1"/>
  <c r="T718" i="2" s="1"/>
  <c r="H674" i="2"/>
  <c r="E727" i="2"/>
  <c r="F718" i="2"/>
  <c r="G727" i="2"/>
  <c r="W727" i="2" s="1"/>
  <c r="I674" i="2"/>
  <c r="R674" i="2" s="1"/>
  <c r="T674" i="2" s="1"/>
  <c r="I672" i="2"/>
  <c r="R672" i="2" s="1"/>
  <c r="T672" i="2" s="1"/>
  <c r="E672" i="2"/>
  <c r="H727" i="2"/>
  <c r="G674" i="2"/>
  <c r="W674" i="2" s="1"/>
  <c r="H672" i="2"/>
  <c r="F727" i="2"/>
  <c r="E674" i="2"/>
  <c r="E718" i="2"/>
  <c r="G672" i="2"/>
  <c r="W672" i="2" s="1"/>
  <c r="F672" i="2"/>
  <c r="F664" i="2"/>
  <c r="G664" i="2"/>
  <c r="W664" i="2" s="1"/>
  <c r="E664" i="2"/>
  <c r="H664" i="2"/>
  <c r="I664" i="2"/>
  <c r="R664" i="2" s="1"/>
  <c r="T664" i="2" s="1"/>
  <c r="F615" i="2"/>
  <c r="E615" i="2"/>
  <c r="E481" i="2"/>
  <c r="G481" i="2"/>
  <c r="W481" i="2" s="1"/>
  <c r="H615" i="2"/>
  <c r="H517" i="2"/>
  <c r="F517" i="2"/>
  <c r="H481" i="2"/>
  <c r="I615" i="2"/>
  <c r="R615" i="2" s="1"/>
  <c r="T615" i="2" s="1"/>
  <c r="I517" i="2"/>
  <c r="R517" i="2" s="1"/>
  <c r="T517" i="2" s="1"/>
  <c r="I481" i="2"/>
  <c r="R481" i="2" s="1"/>
  <c r="T481" i="2" s="1"/>
  <c r="G517" i="2"/>
  <c r="W517" i="2" s="1"/>
  <c r="G615" i="2"/>
  <c r="W615" i="2" s="1"/>
  <c r="E517" i="2"/>
  <c r="F481" i="2"/>
  <c r="F467" i="2"/>
  <c r="G467" i="2"/>
  <c r="W467" i="2" s="1"/>
  <c r="H467" i="2"/>
  <c r="I467" i="2"/>
  <c r="R467" i="2" s="1"/>
  <c r="T467" i="2" s="1"/>
  <c r="E467" i="2"/>
  <c r="G425" i="2"/>
  <c r="W425" i="2" s="1"/>
  <c r="F425" i="2"/>
  <c r="I425" i="2"/>
  <c r="R425" i="2" s="1"/>
  <c r="T425" i="2" s="1"/>
  <c r="H425" i="2"/>
  <c r="E425" i="2"/>
  <c r="E391" i="2"/>
  <c r="G412" i="2"/>
  <c r="W412" i="2" s="1"/>
  <c r="H401" i="2"/>
  <c r="G391" i="2"/>
  <c r="W391" i="2" s="1"/>
  <c r="I401" i="2"/>
  <c r="R401" i="2" s="1"/>
  <c r="T401" i="2" s="1"/>
  <c r="H391" i="2"/>
  <c r="F401" i="2"/>
  <c r="F412" i="2"/>
  <c r="G401" i="2"/>
  <c r="W401" i="2" s="1"/>
  <c r="F391" i="2"/>
  <c r="H412" i="2"/>
  <c r="I391" i="2"/>
  <c r="R391" i="2" s="1"/>
  <c r="T391" i="2" s="1"/>
  <c r="E412" i="2"/>
  <c r="I412" i="2"/>
  <c r="R412" i="2" s="1"/>
  <c r="T412" i="2" s="1"/>
  <c r="E401" i="2"/>
  <c r="H267" i="2"/>
  <c r="G267" i="2"/>
  <c r="W267" i="2" s="1"/>
  <c r="E267" i="2"/>
  <c r="F267" i="2"/>
  <c r="I267" i="2"/>
  <c r="R267" i="2" s="1"/>
  <c r="T267" i="2" s="1"/>
  <c r="G169" i="2"/>
  <c r="W169" i="2" s="1"/>
  <c r="H169" i="2"/>
  <c r="F170" i="2"/>
  <c r="E169" i="2"/>
  <c r="I170" i="2"/>
  <c r="R170" i="2" s="1"/>
  <c r="T170" i="2" s="1"/>
  <c r="I169" i="2"/>
  <c r="R169" i="2" s="1"/>
  <c r="T169" i="2" s="1"/>
  <c r="E170" i="2"/>
  <c r="G170" i="2"/>
  <c r="W170" i="2" s="1"/>
  <c r="H170" i="2"/>
  <c r="F169" i="2"/>
  <c r="F18" i="2"/>
  <c r="F65" i="2"/>
  <c r="F487" i="2"/>
  <c r="F192" i="2"/>
  <c r="G67" i="2"/>
  <c r="F461" i="2"/>
  <c r="F358" i="2"/>
  <c r="F276" i="2"/>
  <c r="F179" i="2"/>
  <c r="G31" i="2"/>
  <c r="W31" i="2" s="1"/>
  <c r="F290" i="2"/>
  <c r="F207" i="2"/>
  <c r="G84" i="2"/>
  <c r="F432" i="2"/>
  <c r="F305" i="2"/>
  <c r="G177" i="2"/>
  <c r="W177" i="2" s="1"/>
  <c r="F53" i="2"/>
  <c r="I31" i="2"/>
  <c r="R31" i="2" s="1"/>
  <c r="T31" i="2" s="1"/>
  <c r="G736" i="2"/>
  <c r="G728" i="2"/>
  <c r="G720" i="2"/>
  <c r="G712" i="2"/>
  <c r="G704" i="2"/>
  <c r="G696" i="2"/>
  <c r="G688" i="2"/>
  <c r="G680" i="2"/>
  <c r="G668" i="2"/>
  <c r="G656" i="2"/>
  <c r="G650" i="2"/>
  <c r="F643" i="2"/>
  <c r="G635" i="2"/>
  <c r="G629" i="2"/>
  <c r="G621" i="2"/>
  <c r="G613" i="2"/>
  <c r="G605" i="2"/>
  <c r="G597" i="2"/>
  <c r="G589" i="2"/>
  <c r="G582" i="2"/>
  <c r="G571" i="2"/>
  <c r="G563" i="2"/>
  <c r="G555" i="2"/>
  <c r="G547" i="2"/>
  <c r="G539" i="2"/>
  <c r="G529" i="2"/>
  <c r="G522" i="2"/>
  <c r="F735" i="2"/>
  <c r="G723" i="2"/>
  <c r="F715" i="2"/>
  <c r="G707" i="2"/>
  <c r="F699" i="2"/>
  <c r="G691" i="2"/>
  <c r="F683" i="2"/>
  <c r="G675" i="2"/>
  <c r="F667" i="2"/>
  <c r="G659" i="2"/>
  <c r="F652" i="2"/>
  <c r="G646" i="2"/>
  <c r="G638" i="2"/>
  <c r="G632" i="2"/>
  <c r="G624" i="2"/>
  <c r="G616" i="2"/>
  <c r="F608" i="2"/>
  <c r="G600" i="2"/>
  <c r="G592" i="2"/>
  <c r="G578" i="2"/>
  <c r="G570" i="2"/>
  <c r="G562" i="2"/>
  <c r="G554" i="2"/>
  <c r="G546" i="2"/>
  <c r="F538" i="2"/>
  <c r="G531" i="2"/>
  <c r="G525" i="2"/>
  <c r="F513" i="2"/>
  <c r="G505" i="2"/>
  <c r="W505" i="2" s="1"/>
  <c r="G497" i="2"/>
  <c r="F486" i="2"/>
  <c r="G472" i="2"/>
  <c r="W472" i="2" s="1"/>
  <c r="G468" i="2"/>
  <c r="W468" i="2" s="1"/>
  <c r="G464" i="2"/>
  <c r="G458" i="2"/>
  <c r="G451" i="2"/>
  <c r="G734" i="2"/>
  <c r="G726" i="2"/>
  <c r="G714" i="2"/>
  <c r="G706" i="2"/>
  <c r="F698" i="2"/>
  <c r="G690" i="2"/>
  <c r="F682" i="2"/>
  <c r="G670" i="2"/>
  <c r="G662" i="2"/>
  <c r="G645" i="2"/>
  <c r="G637" i="2"/>
  <c r="G631" i="2"/>
  <c r="G623" i="2"/>
  <c r="F19" i="2"/>
  <c r="F411" i="2"/>
  <c r="F346" i="2"/>
  <c r="F141" i="2"/>
  <c r="F424" i="2"/>
  <c r="G203" i="2"/>
  <c r="W203" i="2" s="1"/>
  <c r="F43" i="2"/>
  <c r="F418" i="2"/>
  <c r="F247" i="2"/>
  <c r="F153" i="2"/>
  <c r="F6" i="2"/>
  <c r="E31" i="2"/>
  <c r="F732" i="2"/>
  <c r="F724" i="2"/>
  <c r="F716" i="2"/>
  <c r="F708" i="2"/>
  <c r="F700" i="2"/>
  <c r="F692" i="2"/>
  <c r="F684" i="2"/>
  <c r="F676" i="2"/>
  <c r="F660" i="2"/>
  <c r="F653" i="2"/>
  <c r="F647" i="2"/>
  <c r="F639" i="2"/>
  <c r="F633" i="2"/>
  <c r="F625" i="2"/>
  <c r="F617" i="2"/>
  <c r="F609" i="2"/>
  <c r="F601" i="2"/>
  <c r="F593" i="2"/>
  <c r="F585" i="2"/>
  <c r="F575" i="2"/>
  <c r="G567" i="2"/>
  <c r="F559" i="2"/>
  <c r="F551" i="2"/>
  <c r="F543" i="2"/>
  <c r="F532" i="2"/>
  <c r="F526" i="2"/>
  <c r="F518" i="2"/>
  <c r="G731" i="2"/>
  <c r="G719" i="2"/>
  <c r="G711" i="2"/>
  <c r="G703" i="2"/>
  <c r="G695" i="2"/>
  <c r="G687" i="2"/>
  <c r="G679" i="2"/>
  <c r="G671" i="2"/>
  <c r="G663" i="2"/>
  <c r="G655" i="2"/>
  <c r="G649" i="2"/>
  <c r="F642" i="2"/>
  <c r="G634" i="2"/>
  <c r="F628" i="2"/>
  <c r="F620" i="2"/>
  <c r="F612" i="2"/>
  <c r="F604" i="2"/>
  <c r="F596" i="2"/>
  <c r="F588" i="2"/>
  <c r="F581" i="2"/>
  <c r="F574" i="2"/>
  <c r="F566" i="2"/>
  <c r="F558" i="2"/>
  <c r="F550" i="2"/>
  <c r="F542" i="2"/>
  <c r="F535" i="2"/>
  <c r="F528" i="2"/>
  <c r="F521" i="2"/>
  <c r="F509" i="2"/>
  <c r="F501" i="2"/>
  <c r="F490" i="2"/>
  <c r="F482" i="2"/>
  <c r="F476" i="2"/>
  <c r="F470" i="2"/>
  <c r="F460" i="2"/>
  <c r="F455" i="2"/>
  <c r="F447" i="2"/>
  <c r="F730" i="2"/>
  <c r="F722" i="2"/>
  <c r="F710" i="2"/>
  <c r="F702" i="2"/>
  <c r="F694" i="2"/>
  <c r="F686" i="2"/>
  <c r="F678" i="2"/>
  <c r="F666" i="2"/>
  <c r="F658" i="2"/>
  <c r="F641" i="2"/>
  <c r="F627" i="2"/>
  <c r="F619" i="2"/>
  <c r="F443" i="2"/>
  <c r="F129" i="2"/>
  <c r="F514" i="2"/>
  <c r="F407" i="2"/>
  <c r="G342" i="2"/>
  <c r="F234" i="2"/>
  <c r="F419" i="2"/>
  <c r="F452" i="2"/>
  <c r="F112" i="2"/>
  <c r="F2" i="2"/>
  <c r="H31" i="2"/>
  <c r="G732" i="2"/>
  <c r="G724" i="2"/>
  <c r="G716" i="2"/>
  <c r="G708" i="2"/>
  <c r="G700" i="2"/>
  <c r="G692" i="2"/>
  <c r="G684" i="2"/>
  <c r="G676" i="2"/>
  <c r="G660" i="2"/>
  <c r="G653" i="2"/>
  <c r="G647" i="2"/>
  <c r="G639" i="2"/>
  <c r="G633" i="2"/>
  <c r="G625" i="2"/>
  <c r="G617" i="2"/>
  <c r="G609" i="2"/>
  <c r="G601" i="2"/>
  <c r="G593" i="2"/>
  <c r="G585" i="2"/>
  <c r="G575" i="2"/>
  <c r="F567" i="2"/>
  <c r="G559" i="2"/>
  <c r="G551" i="2"/>
  <c r="G543" i="2"/>
  <c r="W543" i="2" s="1"/>
  <c r="G532" i="2"/>
  <c r="G526" i="2"/>
  <c r="G518" i="2"/>
  <c r="F731" i="2"/>
  <c r="F719" i="2"/>
  <c r="F711" i="2"/>
  <c r="F703" i="2"/>
  <c r="F695" i="2"/>
  <c r="F687" i="2"/>
  <c r="F679" i="2"/>
  <c r="F671" i="2"/>
  <c r="F663" i="2"/>
  <c r="F655" i="2"/>
  <c r="F649" i="2"/>
  <c r="G642" i="2"/>
  <c r="F634" i="2"/>
  <c r="G628" i="2"/>
  <c r="G620" i="2"/>
  <c r="G612" i="2"/>
  <c r="G604" i="2"/>
  <c r="G596" i="2"/>
  <c r="G588" i="2"/>
  <c r="G581" i="2"/>
  <c r="G574" i="2"/>
  <c r="G566" i="2"/>
  <c r="G558" i="2"/>
  <c r="G550" i="2"/>
  <c r="G542" i="2"/>
  <c r="G535" i="2"/>
  <c r="G528" i="2"/>
  <c r="G521" i="2"/>
  <c r="G509" i="2"/>
  <c r="G501" i="2"/>
  <c r="G490" i="2"/>
  <c r="G482" i="2"/>
  <c r="G476" i="2"/>
  <c r="G470" i="2"/>
  <c r="G460" i="2"/>
  <c r="G455" i="2"/>
  <c r="G447" i="2"/>
  <c r="G730" i="2"/>
  <c r="G722" i="2"/>
  <c r="G710" i="2"/>
  <c r="G702" i="2"/>
  <c r="F390" i="2"/>
  <c r="F100" i="2"/>
  <c r="F398" i="2"/>
  <c r="G315" i="2"/>
  <c r="F200" i="2"/>
  <c r="G118" i="2"/>
  <c r="F318" i="2"/>
  <c r="F88" i="2"/>
  <c r="F436" i="2"/>
  <c r="F333" i="2"/>
  <c r="F220" i="2"/>
  <c r="F74" i="2"/>
  <c r="G18" i="2"/>
  <c r="F31" i="2"/>
  <c r="F736" i="2"/>
  <c r="F728" i="2"/>
  <c r="F720" i="2"/>
  <c r="F712" i="2"/>
  <c r="F704" i="2"/>
  <c r="F696" i="2"/>
  <c r="F688" i="2"/>
  <c r="F680" i="2"/>
  <c r="F668" i="2"/>
  <c r="F656" i="2"/>
  <c r="F650" i="2"/>
  <c r="G643" i="2"/>
  <c r="F635" i="2"/>
  <c r="F629" i="2"/>
  <c r="F621" i="2"/>
  <c r="F613" i="2"/>
  <c r="F605" i="2"/>
  <c r="F597" i="2"/>
  <c r="F589" i="2"/>
  <c r="F582" i="2"/>
  <c r="F571" i="2"/>
  <c r="F563" i="2"/>
  <c r="F555" i="2"/>
  <c r="F547" i="2"/>
  <c r="F539" i="2"/>
  <c r="F529" i="2"/>
  <c r="F522" i="2"/>
  <c r="G735" i="2"/>
  <c r="F723" i="2"/>
  <c r="G715" i="2"/>
  <c r="F707" i="2"/>
  <c r="G699" i="2"/>
  <c r="F691" i="2"/>
  <c r="G683" i="2"/>
  <c r="F675" i="2"/>
  <c r="G667" i="2"/>
  <c r="F659" i="2"/>
  <c r="G652" i="2"/>
  <c r="F646" i="2"/>
  <c r="F638" i="2"/>
  <c r="F632" i="2"/>
  <c r="F624" i="2"/>
  <c r="F616" i="2"/>
  <c r="G608" i="2"/>
  <c r="F600" i="2"/>
  <c r="F592" i="2"/>
  <c r="F578" i="2"/>
  <c r="F570" i="2"/>
  <c r="F562" i="2"/>
  <c r="F554" i="2"/>
  <c r="F546" i="2"/>
  <c r="G538" i="2"/>
  <c r="F531" i="2"/>
  <c r="F525" i="2"/>
  <c r="G513" i="2"/>
  <c r="F505" i="2"/>
  <c r="F497" i="2"/>
  <c r="G486" i="2"/>
  <c r="F472" i="2"/>
  <c r="F468" i="2"/>
  <c r="F464" i="2"/>
  <c r="F458" i="2"/>
  <c r="F451" i="2"/>
  <c r="F734" i="2"/>
  <c r="F726" i="2"/>
  <c r="F714" i="2"/>
  <c r="F706" i="2"/>
  <c r="G686" i="2"/>
  <c r="G666" i="2"/>
  <c r="G619" i="2"/>
  <c r="G607" i="2"/>
  <c r="G599" i="2"/>
  <c r="G591" i="2"/>
  <c r="G584" i="2"/>
  <c r="G577" i="2"/>
  <c r="G569" i="2"/>
  <c r="G561" i="2"/>
  <c r="W561" i="2" s="1"/>
  <c r="G553" i="2"/>
  <c r="G545" i="2"/>
  <c r="G537" i="2"/>
  <c r="G530" i="2"/>
  <c r="G524" i="2"/>
  <c r="G516" i="2"/>
  <c r="G508" i="2"/>
  <c r="G500" i="2"/>
  <c r="G737" i="2"/>
  <c r="G729" i="2"/>
  <c r="G721" i="2"/>
  <c r="G713" i="2"/>
  <c r="G705" i="2"/>
  <c r="G697" i="2"/>
  <c r="G689" i="2"/>
  <c r="G681" i="2"/>
  <c r="G673" i="2"/>
  <c r="G665" i="2"/>
  <c r="G657" i="2"/>
  <c r="G651" i="2"/>
  <c r="G644" i="2"/>
  <c r="G636" i="2"/>
  <c r="G630" i="2"/>
  <c r="G622" i="2"/>
  <c r="F614" i="2"/>
  <c r="G606" i="2"/>
  <c r="G598" i="2"/>
  <c r="G590" i="2"/>
  <c r="G583" i="2"/>
  <c r="G576" i="2"/>
  <c r="G568" i="2"/>
  <c r="G560" i="2"/>
  <c r="F552" i="2"/>
  <c r="G544" i="2"/>
  <c r="G536" i="2"/>
  <c r="G523" i="2"/>
  <c r="G515" i="2"/>
  <c r="G507" i="2"/>
  <c r="G499" i="2"/>
  <c r="G492" i="2"/>
  <c r="G484" i="2"/>
  <c r="G477" i="2"/>
  <c r="G459" i="2"/>
  <c r="G453" i="2"/>
  <c r="G445" i="2"/>
  <c r="G437" i="2"/>
  <c r="G429" i="2"/>
  <c r="G420" i="2"/>
  <c r="G493" i="2"/>
  <c r="G485" i="2"/>
  <c r="G478" i="2"/>
  <c r="G471" i="2"/>
  <c r="G450" i="2"/>
  <c r="G442" i="2"/>
  <c r="G434" i="2"/>
  <c r="G426" i="2"/>
  <c r="G421" i="2"/>
  <c r="G413" i="2"/>
  <c r="G405" i="2"/>
  <c r="G393" i="2"/>
  <c r="G385" i="2"/>
  <c r="G378" i="2"/>
  <c r="G370" i="2"/>
  <c r="G360" i="2"/>
  <c r="G353" i="2"/>
  <c r="W353" i="2" s="1"/>
  <c r="G343" i="2"/>
  <c r="G328" i="2"/>
  <c r="G320" i="2"/>
  <c r="G312" i="2"/>
  <c r="G304" i="2"/>
  <c r="G296" i="2"/>
  <c r="G288" i="2"/>
  <c r="G281" i="2"/>
  <c r="G273" i="2"/>
  <c r="G259" i="2"/>
  <c r="G252" i="2"/>
  <c r="F246" i="2"/>
  <c r="G238" i="2"/>
  <c r="F231" i="2"/>
  <c r="G223" i="2"/>
  <c r="W223" i="2" s="1"/>
  <c r="F215" i="2"/>
  <c r="G199" i="2"/>
  <c r="G188" i="2"/>
  <c r="G180" i="2"/>
  <c r="W180" i="2" s="1"/>
  <c r="F172" i="2"/>
  <c r="F166" i="2"/>
  <c r="F158" i="2"/>
  <c r="F150" i="2"/>
  <c r="F140" i="2"/>
  <c r="G130" i="2"/>
  <c r="G122" i="2"/>
  <c r="G114" i="2"/>
  <c r="W114" i="2" s="1"/>
  <c r="G99" i="2"/>
  <c r="F91" i="2"/>
  <c r="G86" i="2"/>
  <c r="F80" i="2"/>
  <c r="F70" i="2"/>
  <c r="F56" i="2"/>
  <c r="F48" i="2"/>
  <c r="F40" i="2"/>
  <c r="G34" i="2"/>
  <c r="F24" i="2"/>
  <c r="G16" i="2"/>
  <c r="G8" i="2"/>
  <c r="G318" i="2"/>
  <c r="G129" i="2"/>
  <c r="F404" i="2"/>
  <c r="F396" i="2"/>
  <c r="F388" i="2"/>
  <c r="F380" i="2"/>
  <c r="F373" i="2"/>
  <c r="F363" i="2"/>
  <c r="F356" i="2"/>
  <c r="F348" i="2"/>
  <c r="F335" i="2"/>
  <c r="G327" i="2"/>
  <c r="F319" i="2"/>
  <c r="F307" i="2"/>
  <c r="G299" i="2"/>
  <c r="F291" i="2"/>
  <c r="F284" i="2"/>
  <c r="F272" i="2"/>
  <c r="F266" i="2"/>
  <c r="F255" i="2"/>
  <c r="F241" i="2"/>
  <c r="F230" i="2"/>
  <c r="F222" i="2"/>
  <c r="F214" i="2"/>
  <c r="F208" i="2"/>
  <c r="F202" i="2"/>
  <c r="F193" i="2"/>
  <c r="F183" i="2"/>
  <c r="F171" i="2"/>
  <c r="F165" i="2"/>
  <c r="F157" i="2"/>
  <c r="F145" i="2"/>
  <c r="F139" i="2"/>
  <c r="F125" i="2"/>
  <c r="G698" i="2"/>
  <c r="G682" i="2"/>
  <c r="F662" i="2"/>
  <c r="F645" i="2"/>
  <c r="F631" i="2"/>
  <c r="F611" i="2"/>
  <c r="F603" i="2"/>
  <c r="F595" i="2"/>
  <c r="F587" i="2"/>
  <c r="F580" i="2"/>
  <c r="F573" i="2"/>
  <c r="F565" i="2"/>
  <c r="F557" i="2"/>
  <c r="F549" i="2"/>
  <c r="F541" i="2"/>
  <c r="F534" i="2"/>
  <c r="F520" i="2"/>
  <c r="F512" i="2"/>
  <c r="F504" i="2"/>
  <c r="F496" i="2"/>
  <c r="F733" i="2"/>
  <c r="G725" i="2"/>
  <c r="F717" i="2"/>
  <c r="F709" i="2"/>
  <c r="F701" i="2"/>
  <c r="F693" i="2"/>
  <c r="F685" i="2"/>
  <c r="F677" i="2"/>
  <c r="F669" i="2"/>
  <c r="G661" i="2"/>
  <c r="F654" i="2"/>
  <c r="F648" i="2"/>
  <c r="F640" i="2"/>
  <c r="F626" i="2"/>
  <c r="F618" i="2"/>
  <c r="F610" i="2"/>
  <c r="F602" i="2"/>
  <c r="F594" i="2"/>
  <c r="G586" i="2"/>
  <c r="G579" i="2"/>
  <c r="F572" i="2"/>
  <c r="F564" i="2"/>
  <c r="F556" i="2"/>
  <c r="F548" i="2"/>
  <c r="F540" i="2"/>
  <c r="F533" i="2"/>
  <c r="G527" i="2"/>
  <c r="F519" i="2"/>
  <c r="F511" i="2"/>
  <c r="F503" i="2"/>
  <c r="F495" i="2"/>
  <c r="F488" i="2"/>
  <c r="F480" i="2"/>
  <c r="F474" i="2"/>
  <c r="F466" i="2"/>
  <c r="F462" i="2"/>
  <c r="F457" i="2"/>
  <c r="F449" i="2"/>
  <c r="G441" i="2"/>
  <c r="F433" i="2"/>
  <c r="G416" i="2"/>
  <c r="F489" i="2"/>
  <c r="F475" i="2"/>
  <c r="F469" i="2"/>
  <c r="F463" i="2"/>
  <c r="F454" i="2"/>
  <c r="F446" i="2"/>
  <c r="F438" i="2"/>
  <c r="F430" i="2"/>
  <c r="F423" i="2"/>
  <c r="F417" i="2"/>
  <c r="F409" i="2"/>
  <c r="F397" i="2"/>
  <c r="F389" i="2"/>
  <c r="F381" i="2"/>
  <c r="F374" i="2"/>
  <c r="F364" i="2"/>
  <c r="F357" i="2"/>
  <c r="F349" i="2"/>
  <c r="F339" i="2"/>
  <c r="F332" i="2"/>
  <c r="F324" i="2"/>
  <c r="F316" i="2"/>
  <c r="F308" i="2"/>
  <c r="F300" i="2"/>
  <c r="F292" i="2"/>
  <c r="F285" i="2"/>
  <c r="F277" i="2"/>
  <c r="F269" i="2"/>
  <c r="G263" i="2"/>
  <c r="W263" i="2" s="1"/>
  <c r="G256" i="2"/>
  <c r="G248" i="2"/>
  <c r="G242" i="2"/>
  <c r="F235" i="2"/>
  <c r="F227" i="2"/>
  <c r="G219" i="2"/>
  <c r="G211" i="2"/>
  <c r="F205" i="2"/>
  <c r="G194" i="2"/>
  <c r="G184" i="2"/>
  <c r="F176" i="2"/>
  <c r="G168" i="2"/>
  <c r="F162" i="2"/>
  <c r="F154" i="2"/>
  <c r="F146" i="2"/>
  <c r="F134" i="2"/>
  <c r="G126" i="2"/>
  <c r="G110" i="2"/>
  <c r="G103" i="2"/>
  <c r="G95" i="2"/>
  <c r="G89" i="2"/>
  <c r="F82" i="2"/>
  <c r="F66" i="2"/>
  <c r="F60" i="2"/>
  <c r="G52" i="2"/>
  <c r="F44" i="2"/>
  <c r="F36" i="2"/>
  <c r="G28" i="2"/>
  <c r="F20" i="2"/>
  <c r="F12" i="2"/>
  <c r="F4" i="2"/>
  <c r="G443" i="2"/>
  <c r="G88" i="2"/>
  <c r="G404" i="2"/>
  <c r="G396" i="2"/>
  <c r="G388" i="2"/>
  <c r="G380" i="2"/>
  <c r="G373" i="2"/>
  <c r="G363" i="2"/>
  <c r="G356" i="2"/>
  <c r="G348" i="2"/>
  <c r="G335" i="2"/>
  <c r="F327" i="2"/>
  <c r="G319" i="2"/>
  <c r="G307" i="2"/>
  <c r="F299" i="2"/>
  <c r="G291" i="2"/>
  <c r="G284" i="2"/>
  <c r="G272" i="2"/>
  <c r="G266" i="2"/>
  <c r="G255" i="2"/>
  <c r="G241" i="2"/>
  <c r="G230" i="2"/>
  <c r="G222" i="2"/>
  <c r="G214" i="2"/>
  <c r="G208" i="2"/>
  <c r="G202" i="2"/>
  <c r="G193" i="2"/>
  <c r="G183" i="2"/>
  <c r="G171" i="2"/>
  <c r="G165" i="2"/>
  <c r="G157" i="2"/>
  <c r="G145" i="2"/>
  <c r="G139" i="2"/>
  <c r="G125" i="2"/>
  <c r="G694" i="2"/>
  <c r="G678" i="2"/>
  <c r="G658" i="2"/>
  <c r="G641" i="2"/>
  <c r="G627" i="2"/>
  <c r="G611" i="2"/>
  <c r="G603" i="2"/>
  <c r="G595" i="2"/>
  <c r="G587" i="2"/>
  <c r="G580" i="2"/>
  <c r="G573" i="2"/>
  <c r="G565" i="2"/>
  <c r="G557" i="2"/>
  <c r="G549" i="2"/>
  <c r="G541" i="2"/>
  <c r="G534" i="2"/>
  <c r="G520" i="2"/>
  <c r="G512" i="2"/>
  <c r="G504" i="2"/>
  <c r="G496" i="2"/>
  <c r="G733" i="2"/>
  <c r="F725" i="2"/>
  <c r="G717" i="2"/>
  <c r="G709" i="2"/>
  <c r="G701" i="2"/>
  <c r="G693" i="2"/>
  <c r="G685" i="2"/>
  <c r="G677" i="2"/>
  <c r="G669" i="2"/>
  <c r="F661" i="2"/>
  <c r="G654" i="2"/>
  <c r="G648" i="2"/>
  <c r="G640" i="2"/>
  <c r="G626" i="2"/>
  <c r="G618" i="2"/>
  <c r="G610" i="2"/>
  <c r="G602" i="2"/>
  <c r="G594" i="2"/>
  <c r="F586" i="2"/>
  <c r="F579" i="2"/>
  <c r="G572" i="2"/>
  <c r="G564" i="2"/>
  <c r="G556" i="2"/>
  <c r="G548" i="2"/>
  <c r="G540" i="2"/>
  <c r="G533" i="2"/>
  <c r="F527" i="2"/>
  <c r="G519" i="2"/>
  <c r="G511" i="2"/>
  <c r="G503" i="2"/>
  <c r="G495" i="2"/>
  <c r="G488" i="2"/>
  <c r="G480" i="2"/>
  <c r="G474" i="2"/>
  <c r="G466" i="2"/>
  <c r="W466" i="2" s="1"/>
  <c r="G462" i="2"/>
  <c r="G457" i="2"/>
  <c r="G449" i="2"/>
  <c r="F441" i="2"/>
  <c r="G433" i="2"/>
  <c r="F416" i="2"/>
  <c r="G489" i="2"/>
  <c r="G475" i="2"/>
  <c r="G469" i="2"/>
  <c r="G463" i="2"/>
  <c r="G454" i="2"/>
  <c r="G446" i="2"/>
  <c r="W446" i="2" s="1"/>
  <c r="G438" i="2"/>
  <c r="G430" i="2"/>
  <c r="G423" i="2"/>
  <c r="G417" i="2"/>
  <c r="G409" i="2"/>
  <c r="G397" i="2"/>
  <c r="G389" i="2"/>
  <c r="G381" i="2"/>
  <c r="G374" i="2"/>
  <c r="G364" i="2"/>
  <c r="G357" i="2"/>
  <c r="G349" i="2"/>
  <c r="G339" i="2"/>
  <c r="G332" i="2"/>
  <c r="G324" i="2"/>
  <c r="G316" i="2"/>
  <c r="G308" i="2"/>
  <c r="G300" i="2"/>
  <c r="G292" i="2"/>
  <c r="G285" i="2"/>
  <c r="G277" i="2"/>
  <c r="G269" i="2"/>
  <c r="F263" i="2"/>
  <c r="F256" i="2"/>
  <c r="F248" i="2"/>
  <c r="F242" i="2"/>
  <c r="G235" i="2"/>
  <c r="G227" i="2"/>
  <c r="F219" i="2"/>
  <c r="F211" i="2"/>
  <c r="G205" i="2"/>
  <c r="F194" i="2"/>
  <c r="F184" i="2"/>
  <c r="G176" i="2"/>
  <c r="F168" i="2"/>
  <c r="G162" i="2"/>
  <c r="W162" i="2" s="1"/>
  <c r="G154" i="2"/>
  <c r="G146" i="2"/>
  <c r="G134" i="2"/>
  <c r="F126" i="2"/>
  <c r="F110" i="2"/>
  <c r="F103" i="2"/>
  <c r="F95" i="2"/>
  <c r="F89" i="2"/>
  <c r="G82" i="2"/>
  <c r="G66" i="2"/>
  <c r="G60" i="2"/>
  <c r="F52" i="2"/>
  <c r="G44" i="2"/>
  <c r="G36" i="2"/>
  <c r="F28" i="2"/>
  <c r="G20" i="2"/>
  <c r="G12" i="2"/>
  <c r="G4" i="2"/>
  <c r="G424" i="2"/>
  <c r="G220" i="2"/>
  <c r="G53" i="2"/>
  <c r="F408" i="2"/>
  <c r="F400" i="2"/>
  <c r="F392" i="2"/>
  <c r="F384" i="2"/>
  <c r="F377" i="2"/>
  <c r="F369" i="2"/>
  <c r="F359" i="2"/>
  <c r="G352" i="2"/>
  <c r="F338" i="2"/>
  <c r="F331" i="2"/>
  <c r="F323" i="2"/>
  <c r="F311" i="2"/>
  <c r="F303" i="2"/>
  <c r="F295" i="2"/>
  <c r="F287" i="2"/>
  <c r="F280" i="2"/>
  <c r="F268" i="2"/>
  <c r="F262" i="2"/>
  <c r="F251" i="2"/>
  <c r="F245" i="2"/>
  <c r="F237" i="2"/>
  <c r="F226" i="2"/>
  <c r="F218" i="2"/>
  <c r="F210" i="2"/>
  <c r="F204" i="2"/>
  <c r="F198" i="2"/>
  <c r="F187" i="2"/>
  <c r="F175" i="2"/>
  <c r="F161" i="2"/>
  <c r="F690" i="2"/>
  <c r="F670" i="2"/>
  <c r="F637" i="2"/>
  <c r="F623" i="2"/>
  <c r="F607" i="2"/>
  <c r="F599" i="2"/>
  <c r="F591" i="2"/>
  <c r="F584" i="2"/>
  <c r="F577" i="2"/>
  <c r="F569" i="2"/>
  <c r="F561" i="2"/>
  <c r="F553" i="2"/>
  <c r="F545" i="2"/>
  <c r="F537" i="2"/>
  <c r="F530" i="2"/>
  <c r="F524" i="2"/>
  <c r="F516" i="2"/>
  <c r="F508" i="2"/>
  <c r="F500" i="2"/>
  <c r="F737" i="2"/>
  <c r="F729" i="2"/>
  <c r="F721" i="2"/>
  <c r="F713" i="2"/>
  <c r="F705" i="2"/>
  <c r="F697" i="2"/>
  <c r="F689" i="2"/>
  <c r="F681" i="2"/>
  <c r="F673" i="2"/>
  <c r="F665" i="2"/>
  <c r="F657" i="2"/>
  <c r="F651" i="2"/>
  <c r="F644" i="2"/>
  <c r="F636" i="2"/>
  <c r="F630" i="2"/>
  <c r="F622" i="2"/>
  <c r="G614" i="2"/>
  <c r="F606" i="2"/>
  <c r="F598" i="2"/>
  <c r="F590" i="2"/>
  <c r="F583" i="2"/>
  <c r="F576" i="2"/>
  <c r="F568" i="2"/>
  <c r="F560" i="2"/>
  <c r="G552" i="2"/>
  <c r="F544" i="2"/>
  <c r="F536" i="2"/>
  <c r="F523" i="2"/>
  <c r="F515" i="2"/>
  <c r="F507" i="2"/>
  <c r="F499" i="2"/>
  <c r="F492" i="2"/>
  <c r="F484" i="2"/>
  <c r="F477" i="2"/>
  <c r="F459" i="2"/>
  <c r="F453" i="2"/>
  <c r="F445" i="2"/>
  <c r="F437" i="2"/>
  <c r="F429" i="2"/>
  <c r="F420" i="2"/>
  <c r="F493" i="2"/>
  <c r="F485" i="2"/>
  <c r="F478" i="2"/>
  <c r="F471" i="2"/>
  <c r="F450" i="2"/>
  <c r="F442" i="2"/>
  <c r="F434" i="2"/>
  <c r="F426" i="2"/>
  <c r="F421" i="2"/>
  <c r="F413" i="2"/>
  <c r="F405" i="2"/>
  <c r="F393" i="2"/>
  <c r="F385" i="2"/>
  <c r="F378" i="2"/>
  <c r="F370" i="2"/>
  <c r="F360" i="2"/>
  <c r="F353" i="2"/>
  <c r="F343" i="2"/>
  <c r="F328" i="2"/>
  <c r="F320" i="2"/>
  <c r="F312" i="2"/>
  <c r="F304" i="2"/>
  <c r="F296" i="2"/>
  <c r="F288" i="2"/>
  <c r="F281" i="2"/>
  <c r="F273" i="2"/>
  <c r="F259" i="2"/>
  <c r="F252" i="2"/>
  <c r="G246" i="2"/>
  <c r="F238" i="2"/>
  <c r="G231" i="2"/>
  <c r="F223" i="2"/>
  <c r="G215" i="2"/>
  <c r="F199" i="2"/>
  <c r="F188" i="2"/>
  <c r="F180" i="2"/>
  <c r="G172" i="2"/>
  <c r="G166" i="2"/>
  <c r="G158" i="2"/>
  <c r="G150" i="2"/>
  <c r="G140" i="2"/>
  <c r="F130" i="2"/>
  <c r="F122" i="2"/>
  <c r="F114" i="2"/>
  <c r="F99" i="2"/>
  <c r="G91" i="2"/>
  <c r="F86" i="2"/>
  <c r="G80" i="2"/>
  <c r="G70" i="2"/>
  <c r="G56" i="2"/>
  <c r="G48" i="2"/>
  <c r="W48" i="2" s="1"/>
  <c r="G40" i="2"/>
  <c r="F34" i="2"/>
  <c r="G24" i="2"/>
  <c r="F16" i="2"/>
  <c r="F8" i="2"/>
  <c r="G487" i="2"/>
  <c r="G407" i="2"/>
  <c r="G179" i="2"/>
  <c r="G408" i="2"/>
  <c r="G400" i="2"/>
  <c r="G392" i="2"/>
  <c r="G384" i="2"/>
  <c r="G377" i="2"/>
  <c r="G369" i="2"/>
  <c r="G359" i="2"/>
  <c r="F352" i="2"/>
  <c r="G338" i="2"/>
  <c r="G331" i="2"/>
  <c r="G323" i="2"/>
  <c r="G311" i="2"/>
  <c r="G303" i="2"/>
  <c r="G295" i="2"/>
  <c r="G287" i="2"/>
  <c r="G280" i="2"/>
  <c r="G268" i="2"/>
  <c r="G262" i="2"/>
  <c r="G251" i="2"/>
  <c r="G245" i="2"/>
  <c r="G237" i="2"/>
  <c r="G226" i="2"/>
  <c r="G218" i="2"/>
  <c r="G210" i="2"/>
  <c r="G204" i="2"/>
  <c r="G198" i="2"/>
  <c r="G187" i="2"/>
  <c r="G175" i="2"/>
  <c r="F67" i="2"/>
  <c r="G65" i="2"/>
  <c r="G234" i="2"/>
  <c r="G411" i="2"/>
  <c r="F9" i="2"/>
  <c r="F17" i="2"/>
  <c r="G25" i="2"/>
  <c r="G37" i="2"/>
  <c r="G49" i="2"/>
  <c r="G61" i="2"/>
  <c r="G71" i="2"/>
  <c r="F75" i="2"/>
  <c r="G87" i="2"/>
  <c r="G92" i="2"/>
  <c r="G104" i="2"/>
  <c r="G111" i="2"/>
  <c r="G121" i="2"/>
  <c r="G127" i="2"/>
  <c r="G135" i="2"/>
  <c r="F151" i="2"/>
  <c r="F159" i="2"/>
  <c r="F167" i="2"/>
  <c r="F181" i="2"/>
  <c r="F189" i="2"/>
  <c r="F195" i="2"/>
  <c r="G216" i="2"/>
  <c r="F228" i="2"/>
  <c r="F239" i="2"/>
  <c r="G249" i="2"/>
  <c r="F257" i="2"/>
  <c r="F264" i="2"/>
  <c r="F270" i="2"/>
  <c r="F278" i="2"/>
  <c r="G286" i="2"/>
  <c r="F293" i="2"/>
  <c r="G301" i="2"/>
  <c r="G313" i="2"/>
  <c r="F321" i="2"/>
  <c r="G329" i="2"/>
  <c r="F340" i="2"/>
  <c r="F350" i="2"/>
  <c r="F361" i="2"/>
  <c r="F371" i="2"/>
  <c r="F379" i="2"/>
  <c r="F386" i="2"/>
  <c r="G402" i="2"/>
  <c r="F410" i="2"/>
  <c r="G427" i="2"/>
  <c r="F435" i="2"/>
  <c r="F84" i="2"/>
  <c r="G112" i="2"/>
  <c r="G290" i="2"/>
  <c r="G432" i="2"/>
  <c r="F10" i="2"/>
  <c r="F22" i="2"/>
  <c r="F30" i="2"/>
  <c r="F38" i="2"/>
  <c r="F46" i="2"/>
  <c r="F54" i="2"/>
  <c r="F62" i="2"/>
  <c r="F68" i="2"/>
  <c r="F76" i="2"/>
  <c r="F81" i="2"/>
  <c r="F93" i="2"/>
  <c r="G101" i="2"/>
  <c r="F108" i="2"/>
  <c r="G124" i="2"/>
  <c r="G132" i="2"/>
  <c r="F138" i="2"/>
  <c r="F144" i="2"/>
  <c r="F152" i="2"/>
  <c r="F160" i="2"/>
  <c r="G174" i="2"/>
  <c r="F182" i="2"/>
  <c r="F190" i="2"/>
  <c r="F201" i="2"/>
  <c r="F213" i="2"/>
  <c r="F221" i="2"/>
  <c r="F229" i="2"/>
  <c r="F236" i="2"/>
  <c r="F244" i="2"/>
  <c r="F250" i="2"/>
  <c r="F258" i="2"/>
  <c r="F265" i="2"/>
  <c r="G271" i="2"/>
  <c r="F279" i="2"/>
  <c r="F294" i="2"/>
  <c r="F302" i="2"/>
  <c r="F310" i="2"/>
  <c r="F322" i="2"/>
  <c r="F330" i="2"/>
  <c r="F337" i="2"/>
  <c r="F345" i="2"/>
  <c r="F351" i="2"/>
  <c r="F362" i="2"/>
  <c r="F367" i="2"/>
  <c r="F372" i="2"/>
  <c r="F383" i="2"/>
  <c r="F395" i="2"/>
  <c r="F403" i="2"/>
  <c r="F422" i="2"/>
  <c r="F440" i="2"/>
  <c r="F448" i="2"/>
  <c r="F465" i="2"/>
  <c r="F483" i="2"/>
  <c r="F494" i="2"/>
  <c r="F502" i="2"/>
  <c r="F510" i="2"/>
  <c r="G6" i="2"/>
  <c r="G207" i="2"/>
  <c r="G398" i="2"/>
  <c r="F3" i="2"/>
  <c r="F11" i="2"/>
  <c r="F23" i="2"/>
  <c r="F33" i="2"/>
  <c r="F39" i="2"/>
  <c r="F47" i="2"/>
  <c r="F55" i="2"/>
  <c r="F63" i="2"/>
  <c r="F77" i="2"/>
  <c r="F79" i="2"/>
  <c r="F85" i="2"/>
  <c r="F94" i="2"/>
  <c r="F102" i="2"/>
  <c r="F109" i="2"/>
  <c r="F117" i="2"/>
  <c r="G133" i="2"/>
  <c r="G149" i="2"/>
  <c r="F177" i="2"/>
  <c r="G100" i="2"/>
  <c r="G276" i="2"/>
  <c r="G461" i="2"/>
  <c r="G9" i="2"/>
  <c r="G17" i="2"/>
  <c r="F25" i="2"/>
  <c r="F37" i="2"/>
  <c r="F49" i="2"/>
  <c r="F61" i="2"/>
  <c r="F71" i="2"/>
  <c r="G75" i="2"/>
  <c r="F87" i="2"/>
  <c r="F92" i="2"/>
  <c r="F104" i="2"/>
  <c r="F111" i="2"/>
  <c r="F121" i="2"/>
  <c r="F127" i="2"/>
  <c r="F135" i="2"/>
  <c r="G147" i="2"/>
  <c r="G155" i="2"/>
  <c r="G163" i="2"/>
  <c r="G173" i="2"/>
  <c r="G185" i="2"/>
  <c r="F191" i="2"/>
  <c r="G206" i="2"/>
  <c r="G212" i="2"/>
  <c r="F224" i="2"/>
  <c r="G232" i="2"/>
  <c r="G243" i="2"/>
  <c r="G253" i="2"/>
  <c r="G260" i="2"/>
  <c r="W260" i="2" s="1"/>
  <c r="F274" i="2"/>
  <c r="G282" i="2"/>
  <c r="G289" i="2"/>
  <c r="G297" i="2"/>
  <c r="G309" i="2"/>
  <c r="G317" i="2"/>
  <c r="G325" i="2"/>
  <c r="G336" i="2"/>
  <c r="G344" i="2"/>
  <c r="G354" i="2"/>
  <c r="G365" i="2"/>
  <c r="F375" i="2"/>
  <c r="G382" i="2"/>
  <c r="G394" i="2"/>
  <c r="G406" i="2"/>
  <c r="G414" i="2"/>
  <c r="G431" i="2"/>
  <c r="G439" i="2"/>
  <c r="F203" i="2"/>
  <c r="G153" i="2"/>
  <c r="G346" i="2"/>
  <c r="G452" i="2"/>
  <c r="G14" i="2"/>
  <c r="G26" i="2"/>
  <c r="G32" i="2"/>
  <c r="G42" i="2"/>
  <c r="F50" i="2"/>
  <c r="G58" i="2"/>
  <c r="G64" i="2"/>
  <c r="G72" i="2"/>
  <c r="G78" i="2"/>
  <c r="F97" i="2"/>
  <c r="G105" i="2"/>
  <c r="F116" i="2"/>
  <c r="G120" i="2"/>
  <c r="G128" i="2"/>
  <c r="G136" i="2"/>
  <c r="G142" i="2"/>
  <c r="G148" i="2"/>
  <c r="G156" i="2"/>
  <c r="G164" i="2"/>
  <c r="G178" i="2"/>
  <c r="G186" i="2"/>
  <c r="G196" i="2"/>
  <c r="G197" i="2"/>
  <c r="G209" i="2"/>
  <c r="G217" i="2"/>
  <c r="G225" i="2"/>
  <c r="G233" i="2"/>
  <c r="G240" i="2"/>
  <c r="G254" i="2"/>
  <c r="G261" i="2"/>
  <c r="G275" i="2"/>
  <c r="G283" i="2"/>
  <c r="G298" i="2"/>
  <c r="G306" i="2"/>
  <c r="G314" i="2"/>
  <c r="G326" i="2"/>
  <c r="G334" i="2"/>
  <c r="F341" i="2"/>
  <c r="G347" i="2"/>
  <c r="F355" i="2"/>
  <c r="F366" i="2"/>
  <c r="G368" i="2"/>
  <c r="F376" i="2"/>
  <c r="F387" i="2"/>
  <c r="G399" i="2"/>
  <c r="G415" i="2"/>
  <c r="G428" i="2"/>
  <c r="G444" i="2"/>
  <c r="F456" i="2"/>
  <c r="F473" i="2"/>
  <c r="G479" i="2"/>
  <c r="G491" i="2"/>
  <c r="F498" i="2"/>
  <c r="G506" i="2"/>
  <c r="F118" i="2"/>
  <c r="G43" i="2"/>
  <c r="G419" i="2"/>
  <c r="G7" i="2"/>
  <c r="G15" i="2"/>
  <c r="G27" i="2"/>
  <c r="G35" i="2"/>
  <c r="G45" i="2"/>
  <c r="G51" i="2"/>
  <c r="G59" i="2"/>
  <c r="G69" i="2"/>
  <c r="G98" i="2"/>
  <c r="G106" i="2"/>
  <c r="G113" i="2"/>
  <c r="F133" i="2"/>
  <c r="F149" i="2"/>
  <c r="G141" i="2"/>
  <c r="G333" i="2"/>
  <c r="G5" i="2"/>
  <c r="G13" i="2"/>
  <c r="F21" i="2"/>
  <c r="G29" i="2"/>
  <c r="G41" i="2"/>
  <c r="F57" i="2"/>
  <c r="G73" i="2"/>
  <c r="F83" i="2"/>
  <c r="G90" i="2"/>
  <c r="G96" i="2"/>
  <c r="G107" i="2"/>
  <c r="G115" i="2"/>
  <c r="G119" i="2"/>
  <c r="G123" i="2"/>
  <c r="G131" i="2"/>
  <c r="F147" i="2"/>
  <c r="F155" i="2"/>
  <c r="F163" i="2"/>
  <c r="F173" i="2"/>
  <c r="F185" i="2"/>
  <c r="G191" i="2"/>
  <c r="F206" i="2"/>
  <c r="F212" i="2"/>
  <c r="G224" i="2"/>
  <c r="F232" i="2"/>
  <c r="F243" i="2"/>
  <c r="F253" i="2"/>
  <c r="F260" i="2"/>
  <c r="G274" i="2"/>
  <c r="F282" i="2"/>
  <c r="F289" i="2"/>
  <c r="F297" i="2"/>
  <c r="F309" i="2"/>
  <c r="F317" i="2"/>
  <c r="F325" i="2"/>
  <c r="F336" i="2"/>
  <c r="F344" i="2"/>
  <c r="F354" i="2"/>
  <c r="F365" i="2"/>
  <c r="G375" i="2"/>
  <c r="F382" i="2"/>
  <c r="F394" i="2"/>
  <c r="F406" i="2"/>
  <c r="F414" i="2"/>
  <c r="F431" i="2"/>
  <c r="F439" i="2"/>
  <c r="F315" i="2"/>
  <c r="G200" i="2"/>
  <c r="G390" i="2"/>
  <c r="G514" i="2"/>
  <c r="F14" i="2"/>
  <c r="F26" i="2"/>
  <c r="F32" i="2"/>
  <c r="F42" i="2"/>
  <c r="G50" i="2"/>
  <c r="F58" i="2"/>
  <c r="F64" i="2"/>
  <c r="F72" i="2"/>
  <c r="F78" i="2"/>
  <c r="G97" i="2"/>
  <c r="F105" i="2"/>
  <c r="G116" i="2"/>
  <c r="F120" i="2"/>
  <c r="F128" i="2"/>
  <c r="F136" i="2"/>
  <c r="F142" i="2"/>
  <c r="F148" i="2"/>
  <c r="F156" i="2"/>
  <c r="F164" i="2"/>
  <c r="F178" i="2"/>
  <c r="F186" i="2"/>
  <c r="F196" i="2"/>
  <c r="F197" i="2"/>
  <c r="F209" i="2"/>
  <c r="F217" i="2"/>
  <c r="F225" i="2"/>
  <c r="F233" i="2"/>
  <c r="F240" i="2"/>
  <c r="F254" i="2"/>
  <c r="F261" i="2"/>
  <c r="F275" i="2"/>
  <c r="F283" i="2"/>
  <c r="F298" i="2"/>
  <c r="F306" i="2"/>
  <c r="F314" i="2"/>
  <c r="F326" i="2"/>
  <c r="F334" i="2"/>
  <c r="G341" i="2"/>
  <c r="F347" i="2"/>
  <c r="G355" i="2"/>
  <c r="G366" i="2"/>
  <c r="F368" i="2"/>
  <c r="G376" i="2"/>
  <c r="G387" i="2"/>
  <c r="F399" i="2"/>
  <c r="F415" i="2"/>
  <c r="F428" i="2"/>
  <c r="F444" i="2"/>
  <c r="G456" i="2"/>
  <c r="G473" i="2"/>
  <c r="F479" i="2"/>
  <c r="F491" i="2"/>
  <c r="G498" i="2"/>
  <c r="F506" i="2"/>
  <c r="G305" i="2"/>
  <c r="G436" i="2"/>
  <c r="F7" i="2"/>
  <c r="F15" i="2"/>
  <c r="F27" i="2"/>
  <c r="F35" i="2"/>
  <c r="F45" i="2"/>
  <c r="F51" i="2"/>
  <c r="F59" i="2"/>
  <c r="F69" i="2"/>
  <c r="F98" i="2"/>
  <c r="F106" i="2"/>
  <c r="F113" i="2"/>
  <c r="G143" i="2"/>
  <c r="G161" i="2"/>
  <c r="G19" i="2"/>
  <c r="G192" i="2"/>
  <c r="F5" i="2"/>
  <c r="F13" i="2"/>
  <c r="G21" i="2"/>
  <c r="F29" i="2"/>
  <c r="F41" i="2"/>
  <c r="G57" i="2"/>
  <c r="F73" i="2"/>
  <c r="G83" i="2"/>
  <c r="F90" i="2"/>
  <c r="F96" i="2"/>
  <c r="F107" i="2"/>
  <c r="F115" i="2"/>
  <c r="F119" i="2"/>
  <c r="F123" i="2"/>
  <c r="F131" i="2"/>
  <c r="G151" i="2"/>
  <c r="G159" i="2"/>
  <c r="G167" i="2"/>
  <c r="G181" i="2"/>
  <c r="G189" i="2"/>
  <c r="G195" i="2"/>
  <c r="F216" i="2"/>
  <c r="G228" i="2"/>
  <c r="G239" i="2"/>
  <c r="F249" i="2"/>
  <c r="G257" i="2"/>
  <c r="G264" i="2"/>
  <c r="G270" i="2"/>
  <c r="G278" i="2"/>
  <c r="F286" i="2"/>
  <c r="G293" i="2"/>
  <c r="F301" i="2"/>
  <c r="F313" i="2"/>
  <c r="G321" i="2"/>
  <c r="F329" i="2"/>
  <c r="G340" i="2"/>
  <c r="G350" i="2"/>
  <c r="G361" i="2"/>
  <c r="G371" i="2"/>
  <c r="G379" i="2"/>
  <c r="G386" i="2"/>
  <c r="F402" i="2"/>
  <c r="G410" i="2"/>
  <c r="F427" i="2"/>
  <c r="G435" i="2"/>
  <c r="G2" i="2"/>
  <c r="W2" i="2" s="1"/>
  <c r="G74" i="2"/>
  <c r="G247" i="2"/>
  <c r="G418" i="2"/>
  <c r="G10" i="2"/>
  <c r="G22" i="2"/>
  <c r="G30" i="2"/>
  <c r="G38" i="2"/>
  <c r="G46" i="2"/>
  <c r="G54" i="2"/>
  <c r="G62" i="2"/>
  <c r="G68" i="2"/>
  <c r="G76" i="2"/>
  <c r="G81" i="2"/>
  <c r="G93" i="2"/>
  <c r="F101" i="2"/>
  <c r="G108" i="2"/>
  <c r="F124" i="2"/>
  <c r="F132" i="2"/>
  <c r="G138" i="2"/>
  <c r="G144" i="2"/>
  <c r="G152" i="2"/>
  <c r="G160" i="2"/>
  <c r="F174" i="2"/>
  <c r="G182" i="2"/>
  <c r="G190" i="2"/>
  <c r="G201" i="2"/>
  <c r="G213" i="2"/>
  <c r="G221" i="2"/>
  <c r="G229" i="2"/>
  <c r="G236" i="2"/>
  <c r="G244" i="2"/>
  <c r="G250" i="2"/>
  <c r="G258" i="2"/>
  <c r="G265" i="2"/>
  <c r="F271" i="2"/>
  <c r="G279" i="2"/>
  <c r="G294" i="2"/>
  <c r="G302" i="2"/>
  <c r="G310" i="2"/>
  <c r="G322" i="2"/>
  <c r="G330" i="2"/>
  <c r="G337" i="2"/>
  <c r="G345" i="2"/>
  <c r="G351" i="2"/>
  <c r="G362" i="2"/>
  <c r="G367" i="2"/>
  <c r="G372" i="2"/>
  <c r="G383" i="2"/>
  <c r="G395" i="2"/>
  <c r="G403" i="2"/>
  <c r="G422" i="2"/>
  <c r="G440" i="2"/>
  <c r="G448" i="2"/>
  <c r="G465" i="2"/>
  <c r="G483" i="2"/>
  <c r="G494" i="2"/>
  <c r="G502" i="2"/>
  <c r="G510" i="2"/>
  <c r="F342" i="2"/>
  <c r="G358" i="2"/>
  <c r="G3" i="2"/>
  <c r="G11" i="2"/>
  <c r="G23" i="2"/>
  <c r="G33" i="2"/>
  <c r="G39" i="2"/>
  <c r="G47" i="2"/>
  <c r="G55" i="2"/>
  <c r="G63" i="2"/>
  <c r="G77" i="2"/>
  <c r="G79" i="2"/>
  <c r="G85" i="2"/>
  <c r="G94" i="2"/>
  <c r="G102" i="2"/>
  <c r="G109" i="2"/>
  <c r="G117" i="2"/>
  <c r="F143" i="2"/>
  <c r="I2" i="2"/>
  <c r="H2" i="2"/>
  <c r="E2" i="2"/>
  <c r="I720" i="2"/>
  <c r="R720" i="2" s="1"/>
  <c r="T720" i="2" s="1"/>
  <c r="H720" i="2"/>
  <c r="E720" i="2"/>
  <c r="H731" i="2"/>
  <c r="I731" i="2"/>
  <c r="R731" i="2" s="1"/>
  <c r="T731" i="2" s="1"/>
  <c r="E731" i="2"/>
  <c r="I714" i="2"/>
  <c r="R714" i="2" s="1"/>
  <c r="T714" i="2" s="1"/>
  <c r="H714" i="2"/>
  <c r="E714" i="2"/>
  <c r="I728" i="2"/>
  <c r="R728" i="2" s="1"/>
  <c r="T728" i="2" s="1"/>
  <c r="H728" i="2"/>
  <c r="E728" i="2"/>
  <c r="I736" i="2"/>
  <c r="R736" i="2" s="1"/>
  <c r="T736" i="2" s="1"/>
  <c r="H736" i="2"/>
  <c r="E736" i="2"/>
  <c r="I719" i="2"/>
  <c r="R719" i="2" s="1"/>
  <c r="T719" i="2" s="1"/>
  <c r="H719" i="2"/>
  <c r="E719" i="2"/>
  <c r="I715" i="2"/>
  <c r="R715" i="2" s="1"/>
  <c r="T715" i="2" s="1"/>
  <c r="E715" i="2"/>
  <c r="H715" i="2"/>
  <c r="I737" i="2"/>
  <c r="R737" i="2" s="1"/>
  <c r="T737" i="2" s="1"/>
  <c r="H737" i="2"/>
  <c r="E737" i="2"/>
  <c r="I705" i="2"/>
  <c r="R705" i="2" s="1"/>
  <c r="T705" i="2" s="1"/>
  <c r="H705" i="2"/>
  <c r="E705" i="2"/>
  <c r="H699" i="2"/>
  <c r="E699" i="2"/>
  <c r="I699" i="2"/>
  <c r="R699" i="2" s="1"/>
  <c r="T699" i="2" s="1"/>
  <c r="I704" i="2"/>
  <c r="R704" i="2" s="1"/>
  <c r="T704" i="2" s="1"/>
  <c r="H704" i="2"/>
  <c r="E704" i="2"/>
  <c r="I690" i="2"/>
  <c r="R690" i="2" s="1"/>
  <c r="T690" i="2" s="1"/>
  <c r="H690" i="2"/>
  <c r="E690" i="2"/>
  <c r="H695" i="2"/>
  <c r="I695" i="2"/>
  <c r="R695" i="2" s="1"/>
  <c r="T695" i="2" s="1"/>
  <c r="E695" i="2"/>
  <c r="I687" i="2"/>
  <c r="R687" i="2" s="1"/>
  <c r="T687" i="2" s="1"/>
  <c r="H687" i="2"/>
  <c r="E687" i="2"/>
  <c r="I665" i="2"/>
  <c r="R665" i="2" s="1"/>
  <c r="T665" i="2" s="1"/>
  <c r="E665" i="2"/>
  <c r="H665" i="2"/>
  <c r="H677" i="2"/>
  <c r="E677" i="2"/>
  <c r="I677" i="2"/>
  <c r="R677" i="2" s="1"/>
  <c r="T677" i="2" s="1"/>
  <c r="I671" i="2"/>
  <c r="R671" i="2" s="1"/>
  <c r="T671" i="2" s="1"/>
  <c r="H671" i="2"/>
  <c r="E671" i="2"/>
  <c r="I669" i="2"/>
  <c r="R669" i="2" s="1"/>
  <c r="T669" i="2" s="1"/>
  <c r="H669" i="2"/>
  <c r="E669" i="2"/>
  <c r="I663" i="2"/>
  <c r="R663" i="2" s="1"/>
  <c r="T663" i="2" s="1"/>
  <c r="E663" i="2"/>
  <c r="H663" i="2"/>
  <c r="I645" i="2"/>
  <c r="R645" i="2" s="1"/>
  <c r="T645" i="2" s="1"/>
  <c r="H645" i="2"/>
  <c r="E645" i="2"/>
  <c r="I637" i="2"/>
  <c r="R637" i="2" s="1"/>
  <c r="T637" i="2" s="1"/>
  <c r="H637" i="2"/>
  <c r="E637" i="2"/>
  <c r="I654" i="2"/>
  <c r="R654" i="2" s="1"/>
  <c r="T654" i="2" s="1"/>
  <c r="E654" i="2"/>
  <c r="H654" i="2"/>
  <c r="H640" i="2"/>
  <c r="E640" i="2"/>
  <c r="I640" i="2"/>
  <c r="R640" i="2" s="1"/>
  <c r="T640" i="2" s="1"/>
  <c r="I635" i="2"/>
  <c r="R635" i="2" s="1"/>
  <c r="T635" i="2" s="1"/>
  <c r="H635" i="2"/>
  <c r="E635" i="2"/>
  <c r="I647" i="2"/>
  <c r="R647" i="2" s="1"/>
  <c r="T647" i="2" s="1"/>
  <c r="H647" i="2"/>
  <c r="E647" i="2"/>
  <c r="I627" i="2"/>
  <c r="R627" i="2" s="1"/>
  <c r="T627" i="2" s="1"/>
  <c r="H627" i="2"/>
  <c r="E627" i="2"/>
  <c r="H620" i="2"/>
  <c r="I620" i="2"/>
  <c r="R620" i="2" s="1"/>
  <c r="T620" i="2" s="1"/>
  <c r="E620" i="2"/>
  <c r="I624" i="2"/>
  <c r="R624" i="2" s="1"/>
  <c r="T624" i="2" s="1"/>
  <c r="H624" i="2"/>
  <c r="E624" i="2"/>
  <c r="I621" i="2"/>
  <c r="R621" i="2" s="1"/>
  <c r="T621" i="2" s="1"/>
  <c r="E621" i="2"/>
  <c r="H621" i="2"/>
  <c r="I618" i="2"/>
  <c r="R618" i="2" s="1"/>
  <c r="T618" i="2" s="1"/>
  <c r="H618" i="2"/>
  <c r="E618" i="2"/>
  <c r="I608" i="2"/>
  <c r="R608" i="2" s="1"/>
  <c r="T608" i="2" s="1"/>
  <c r="H608" i="2"/>
  <c r="E608" i="2"/>
  <c r="I586" i="2"/>
  <c r="R586" i="2" s="1"/>
  <c r="T586" i="2" s="1"/>
  <c r="H586" i="2"/>
  <c r="E586" i="2"/>
  <c r="I606" i="2"/>
  <c r="R606" i="2" s="1"/>
  <c r="T606" i="2" s="1"/>
  <c r="H606" i="2"/>
  <c r="E606" i="2"/>
  <c r="I592" i="2"/>
  <c r="R592" i="2" s="1"/>
  <c r="T592" i="2" s="1"/>
  <c r="E592" i="2"/>
  <c r="H592" i="2"/>
  <c r="I601" i="2"/>
  <c r="R601" i="2" s="1"/>
  <c r="T601" i="2" s="1"/>
  <c r="H601" i="2"/>
  <c r="E601" i="2"/>
  <c r="H594" i="2"/>
  <c r="E594" i="2"/>
  <c r="I594" i="2"/>
  <c r="R594" i="2" s="1"/>
  <c r="T594" i="2" s="1"/>
  <c r="I591" i="2"/>
  <c r="R591" i="2" s="1"/>
  <c r="T591" i="2" s="1"/>
  <c r="E591" i="2"/>
  <c r="H591" i="2"/>
  <c r="I585" i="2"/>
  <c r="R585" i="2" s="1"/>
  <c r="T585" i="2" s="1"/>
  <c r="H585" i="2"/>
  <c r="E585" i="2"/>
  <c r="I575" i="2"/>
  <c r="R575" i="2" s="1"/>
  <c r="T575" i="2" s="1"/>
  <c r="H575" i="2"/>
  <c r="E575" i="2"/>
  <c r="I570" i="2"/>
  <c r="R570" i="2" s="1"/>
  <c r="T570" i="2" s="1"/>
  <c r="H570" i="2"/>
  <c r="E570" i="2"/>
  <c r="I569" i="2"/>
  <c r="R569" i="2" s="1"/>
  <c r="T569" i="2" s="1"/>
  <c r="H569" i="2"/>
  <c r="E569" i="2"/>
  <c r="H551" i="2"/>
  <c r="I551" i="2"/>
  <c r="R551" i="2" s="1"/>
  <c r="T551" i="2" s="1"/>
  <c r="E551" i="2"/>
  <c r="I567" i="2"/>
  <c r="R567" i="2" s="1"/>
  <c r="T567" i="2" s="1"/>
  <c r="H567" i="2"/>
  <c r="E567" i="2"/>
  <c r="I553" i="2"/>
  <c r="R553" i="2" s="1"/>
  <c r="T553" i="2" s="1"/>
  <c r="E553" i="2"/>
  <c r="H553" i="2"/>
  <c r="I559" i="2"/>
  <c r="R559" i="2" s="1"/>
  <c r="T559" i="2" s="1"/>
  <c r="H559" i="2"/>
  <c r="E559" i="2"/>
  <c r="H556" i="2"/>
  <c r="I556" i="2"/>
  <c r="R556" i="2" s="1"/>
  <c r="T556" i="2" s="1"/>
  <c r="E556" i="2"/>
  <c r="I557" i="2"/>
  <c r="R557" i="2" s="1"/>
  <c r="T557" i="2" s="1"/>
  <c r="H557" i="2"/>
  <c r="E557" i="2"/>
  <c r="I539" i="2"/>
  <c r="R539" i="2" s="1"/>
  <c r="T539" i="2" s="1"/>
  <c r="H539" i="2"/>
  <c r="E539" i="2"/>
  <c r="I534" i="2"/>
  <c r="R534" i="2" s="1"/>
  <c r="T534" i="2" s="1"/>
  <c r="E534" i="2"/>
  <c r="H534" i="2"/>
  <c r="I538" i="2"/>
  <c r="R538" i="2" s="1"/>
  <c r="T538" i="2" s="1"/>
  <c r="H538" i="2"/>
  <c r="E538" i="2"/>
  <c r="I529" i="2"/>
  <c r="R529" i="2" s="1"/>
  <c r="T529" i="2" s="1"/>
  <c r="E529" i="2"/>
  <c r="H529" i="2"/>
  <c r="I513" i="2"/>
  <c r="R513" i="2" s="1"/>
  <c r="T513" i="2" s="1"/>
  <c r="H513" i="2"/>
  <c r="E513" i="2"/>
  <c r="I518" i="2"/>
  <c r="R518" i="2" s="1"/>
  <c r="T518" i="2" s="1"/>
  <c r="H518" i="2"/>
  <c r="E518" i="2"/>
  <c r="I680" i="2"/>
  <c r="R680" i="2" s="1"/>
  <c r="T680" i="2" s="1"/>
  <c r="H680" i="2"/>
  <c r="E680" i="2"/>
  <c r="I730" i="2"/>
  <c r="R730" i="2" s="1"/>
  <c r="T730" i="2" s="1"/>
  <c r="E730" i="2"/>
  <c r="H730" i="2"/>
  <c r="I735" i="2"/>
  <c r="R735" i="2" s="1"/>
  <c r="T735" i="2" s="1"/>
  <c r="H735" i="2"/>
  <c r="E735" i="2"/>
  <c r="I729" i="2"/>
  <c r="R729" i="2" s="1"/>
  <c r="T729" i="2" s="1"/>
  <c r="H729" i="2"/>
  <c r="E729" i="2"/>
  <c r="E725" i="2"/>
  <c r="H725" i="2"/>
  <c r="I725" i="2"/>
  <c r="R725" i="2" s="1"/>
  <c r="T725" i="2" s="1"/>
  <c r="I713" i="2"/>
  <c r="R713" i="2" s="1"/>
  <c r="T713" i="2" s="1"/>
  <c r="E713" i="2"/>
  <c r="H713" i="2"/>
  <c r="I726" i="2"/>
  <c r="R726" i="2" s="1"/>
  <c r="T726" i="2" s="1"/>
  <c r="H726" i="2"/>
  <c r="E726" i="2"/>
  <c r="H712" i="2"/>
  <c r="I712" i="2"/>
  <c r="R712" i="2" s="1"/>
  <c r="T712" i="2" s="1"/>
  <c r="E712" i="2"/>
  <c r="I711" i="2"/>
  <c r="R711" i="2" s="1"/>
  <c r="T711" i="2" s="1"/>
  <c r="H711" i="2"/>
  <c r="E711" i="2"/>
  <c r="I696" i="2"/>
  <c r="R696" i="2" s="1"/>
  <c r="T696" i="2" s="1"/>
  <c r="E696" i="2"/>
  <c r="H696" i="2"/>
  <c r="I700" i="2"/>
  <c r="R700" i="2" s="1"/>
  <c r="T700" i="2" s="1"/>
  <c r="H700" i="2"/>
  <c r="E700" i="2"/>
  <c r="I694" i="2"/>
  <c r="R694" i="2" s="1"/>
  <c r="T694" i="2" s="1"/>
  <c r="H694" i="2"/>
  <c r="E694" i="2"/>
  <c r="I688" i="2"/>
  <c r="R688" i="2" s="1"/>
  <c r="T688" i="2" s="1"/>
  <c r="E688" i="2"/>
  <c r="H688" i="2"/>
  <c r="I689" i="2"/>
  <c r="R689" i="2" s="1"/>
  <c r="T689" i="2" s="1"/>
  <c r="E689" i="2"/>
  <c r="H689" i="2"/>
  <c r="I679" i="2"/>
  <c r="R679" i="2" s="1"/>
  <c r="T679" i="2" s="1"/>
  <c r="H679" i="2"/>
  <c r="E679" i="2"/>
  <c r="I675" i="2"/>
  <c r="R675" i="2" s="1"/>
  <c r="T675" i="2" s="1"/>
  <c r="H675" i="2"/>
  <c r="E675" i="2"/>
  <c r="I670" i="2"/>
  <c r="R670" i="2" s="1"/>
  <c r="T670" i="2" s="1"/>
  <c r="E670" i="2"/>
  <c r="H670" i="2"/>
  <c r="H656" i="2"/>
  <c r="I656" i="2"/>
  <c r="R656" i="2" s="1"/>
  <c r="T656" i="2" s="1"/>
  <c r="E656" i="2"/>
  <c r="I668" i="2"/>
  <c r="R668" i="2" s="1"/>
  <c r="T668" i="2" s="1"/>
  <c r="H668" i="2"/>
  <c r="E668" i="2"/>
  <c r="I658" i="2"/>
  <c r="R658" i="2" s="1"/>
  <c r="T658" i="2" s="1"/>
  <c r="E658" i="2"/>
  <c r="H658" i="2"/>
  <c r="I651" i="2"/>
  <c r="R651" i="2" s="1"/>
  <c r="T651" i="2" s="1"/>
  <c r="E651" i="2"/>
  <c r="H651" i="2"/>
  <c r="I636" i="2"/>
  <c r="R636" i="2" s="1"/>
  <c r="T636" i="2" s="1"/>
  <c r="H636" i="2"/>
  <c r="E636" i="2"/>
  <c r="I643" i="2"/>
  <c r="R643" i="2" s="1"/>
  <c r="T643" i="2" s="1"/>
  <c r="H643" i="2"/>
  <c r="E643" i="2"/>
  <c r="I638" i="2"/>
  <c r="R638" i="2" s="1"/>
  <c r="T638" i="2" s="1"/>
  <c r="H638" i="2"/>
  <c r="E638" i="2"/>
  <c r="I639" i="2"/>
  <c r="R639" i="2" s="1"/>
  <c r="T639" i="2" s="1"/>
  <c r="E639" i="2"/>
  <c r="H639" i="2"/>
  <c r="I646" i="2"/>
  <c r="R646" i="2" s="1"/>
  <c r="T646" i="2" s="1"/>
  <c r="H646" i="2"/>
  <c r="E646" i="2"/>
  <c r="H630" i="2"/>
  <c r="E630" i="2"/>
  <c r="I630" i="2"/>
  <c r="R630" i="2" s="1"/>
  <c r="T630" i="2" s="1"/>
  <c r="I633" i="2"/>
  <c r="R633" i="2" s="1"/>
  <c r="T633" i="2" s="1"/>
  <c r="E633" i="2"/>
  <c r="H633" i="2"/>
  <c r="I629" i="2"/>
  <c r="R629" i="2" s="1"/>
  <c r="T629" i="2" s="1"/>
  <c r="E629" i="2"/>
  <c r="H629" i="2"/>
  <c r="H628" i="2"/>
  <c r="E628" i="2"/>
  <c r="I628" i="2"/>
  <c r="R628" i="2" s="1"/>
  <c r="T628" i="2" s="1"/>
  <c r="I599" i="2"/>
  <c r="R599" i="2" s="1"/>
  <c r="T599" i="2" s="1"/>
  <c r="H599" i="2"/>
  <c r="E599" i="2"/>
  <c r="I609" i="2"/>
  <c r="R609" i="2" s="1"/>
  <c r="T609" i="2" s="1"/>
  <c r="E609" i="2"/>
  <c r="H609" i="2"/>
  <c r="H610" i="2"/>
  <c r="E610" i="2"/>
  <c r="I610" i="2"/>
  <c r="R610" i="2" s="1"/>
  <c r="T610" i="2" s="1"/>
  <c r="I587" i="2"/>
  <c r="R587" i="2" s="1"/>
  <c r="T587" i="2" s="1"/>
  <c r="H587" i="2"/>
  <c r="E587" i="2"/>
  <c r="I603" i="2"/>
  <c r="R603" i="2" s="1"/>
  <c r="T603" i="2" s="1"/>
  <c r="E603" i="2"/>
  <c r="H603" i="2"/>
  <c r="I598" i="2"/>
  <c r="R598" i="2" s="1"/>
  <c r="T598" i="2" s="1"/>
  <c r="E598" i="2"/>
  <c r="H598" i="2"/>
  <c r="I579" i="2"/>
  <c r="R579" i="2" s="1"/>
  <c r="T579" i="2" s="1"/>
  <c r="H579" i="2"/>
  <c r="E579" i="2"/>
  <c r="I577" i="2"/>
  <c r="R577" i="2" s="1"/>
  <c r="T577" i="2" s="1"/>
  <c r="H577" i="2"/>
  <c r="E577" i="2"/>
  <c r="E581" i="2"/>
  <c r="H581" i="2"/>
  <c r="I581" i="2"/>
  <c r="R581" i="2" s="1"/>
  <c r="T581" i="2" s="1"/>
  <c r="I578" i="2"/>
  <c r="R578" i="2" s="1"/>
  <c r="T578" i="2" s="1"/>
  <c r="H578" i="2"/>
  <c r="E578" i="2"/>
  <c r="I600" i="2"/>
  <c r="R600" i="2" s="1"/>
  <c r="T600" i="2" s="1"/>
  <c r="H600" i="2"/>
  <c r="E600" i="2"/>
  <c r="I566" i="2"/>
  <c r="R566" i="2" s="1"/>
  <c r="T566" i="2" s="1"/>
  <c r="E566" i="2"/>
  <c r="H566" i="2"/>
  <c r="E564" i="2"/>
  <c r="H564" i="2"/>
  <c r="I564" i="2"/>
  <c r="R564" i="2" s="1"/>
  <c r="T564" i="2" s="1"/>
  <c r="I568" i="2"/>
  <c r="R568" i="2" s="1"/>
  <c r="T568" i="2" s="1"/>
  <c r="H568" i="2"/>
  <c r="E568" i="2"/>
  <c r="I666" i="2"/>
  <c r="R666" i="2" s="1"/>
  <c r="T666" i="2" s="1"/>
  <c r="H666" i="2"/>
  <c r="E666" i="2"/>
  <c r="I734" i="2"/>
  <c r="R734" i="2" s="1"/>
  <c r="T734" i="2" s="1"/>
  <c r="H734" i="2"/>
  <c r="E734" i="2"/>
  <c r="I723" i="2"/>
  <c r="R723" i="2" s="1"/>
  <c r="T723" i="2" s="1"/>
  <c r="H723" i="2"/>
  <c r="E723" i="2"/>
  <c r="H724" i="2"/>
  <c r="I724" i="2"/>
  <c r="R724" i="2" s="1"/>
  <c r="T724" i="2" s="1"/>
  <c r="E724" i="2"/>
  <c r="I721" i="2"/>
  <c r="R721" i="2" s="1"/>
  <c r="T721" i="2" s="1"/>
  <c r="H721" i="2"/>
  <c r="E721" i="2"/>
  <c r="I708" i="2"/>
  <c r="R708" i="2" s="1"/>
  <c r="T708" i="2" s="1"/>
  <c r="H708" i="2"/>
  <c r="E708" i="2"/>
  <c r="I709" i="2"/>
  <c r="R709" i="2" s="1"/>
  <c r="T709" i="2" s="1"/>
  <c r="H709" i="2"/>
  <c r="E709" i="2"/>
  <c r="I710" i="2"/>
  <c r="R710" i="2" s="1"/>
  <c r="T710" i="2" s="1"/>
  <c r="H710" i="2"/>
  <c r="E710" i="2"/>
  <c r="H703" i="2"/>
  <c r="I703" i="2"/>
  <c r="R703" i="2" s="1"/>
  <c r="T703" i="2" s="1"/>
  <c r="E703" i="2"/>
  <c r="I693" i="2"/>
  <c r="R693" i="2" s="1"/>
  <c r="T693" i="2" s="1"/>
  <c r="H693" i="2"/>
  <c r="E693" i="2"/>
  <c r="I701" i="2"/>
  <c r="R701" i="2" s="1"/>
  <c r="T701" i="2" s="1"/>
  <c r="H701" i="2"/>
  <c r="E701" i="2"/>
  <c r="I698" i="2"/>
  <c r="R698" i="2" s="1"/>
  <c r="T698" i="2" s="1"/>
  <c r="H698" i="2"/>
  <c r="E698" i="2"/>
  <c r="I686" i="2"/>
  <c r="R686" i="2" s="1"/>
  <c r="T686" i="2" s="1"/>
  <c r="H686" i="2"/>
  <c r="E686" i="2"/>
  <c r="I661" i="2"/>
  <c r="R661" i="2" s="1"/>
  <c r="T661" i="2" s="1"/>
  <c r="H661" i="2"/>
  <c r="E661" i="2"/>
  <c r="H682" i="2"/>
  <c r="I682" i="2"/>
  <c r="R682" i="2" s="1"/>
  <c r="T682" i="2" s="1"/>
  <c r="E682" i="2"/>
  <c r="I678" i="2"/>
  <c r="R678" i="2" s="1"/>
  <c r="T678" i="2" s="1"/>
  <c r="H678" i="2"/>
  <c r="E678" i="2"/>
  <c r="I655" i="2"/>
  <c r="R655" i="2" s="1"/>
  <c r="T655" i="2" s="1"/>
  <c r="H655" i="2"/>
  <c r="E655" i="2"/>
  <c r="I660" i="2"/>
  <c r="R660" i="2" s="1"/>
  <c r="T660" i="2" s="1"/>
  <c r="H660" i="2"/>
  <c r="E660" i="2"/>
  <c r="H683" i="2"/>
  <c r="I683" i="2"/>
  <c r="R683" i="2" s="1"/>
  <c r="T683" i="2" s="1"/>
  <c r="E683" i="2"/>
  <c r="I652" i="2"/>
  <c r="R652" i="2" s="1"/>
  <c r="T652" i="2" s="1"/>
  <c r="H652" i="2"/>
  <c r="E652" i="2"/>
  <c r="I641" i="2"/>
  <c r="R641" i="2" s="1"/>
  <c r="T641" i="2" s="1"/>
  <c r="H641" i="2"/>
  <c r="E641" i="2"/>
  <c r="I649" i="2"/>
  <c r="R649" i="2" s="1"/>
  <c r="T649" i="2" s="1"/>
  <c r="H649" i="2"/>
  <c r="E649" i="2"/>
  <c r="I644" i="2"/>
  <c r="R644" i="2" s="1"/>
  <c r="T644" i="2" s="1"/>
  <c r="H644" i="2"/>
  <c r="E644" i="2"/>
  <c r="I631" i="2"/>
  <c r="R631" i="2" s="1"/>
  <c r="T631" i="2" s="1"/>
  <c r="H631" i="2"/>
  <c r="E631" i="2"/>
  <c r="I619" i="2"/>
  <c r="R619" i="2" s="1"/>
  <c r="T619" i="2" s="1"/>
  <c r="H619" i="2"/>
  <c r="E619" i="2"/>
  <c r="I623" i="2"/>
  <c r="R623" i="2" s="1"/>
  <c r="T623" i="2" s="1"/>
  <c r="H623" i="2"/>
  <c r="E623" i="2"/>
  <c r="I604" i="2"/>
  <c r="R604" i="2" s="1"/>
  <c r="T604" i="2" s="1"/>
  <c r="H604" i="2"/>
  <c r="E604" i="2"/>
  <c r="I707" i="2"/>
  <c r="R707" i="2" s="1"/>
  <c r="T707" i="2" s="1"/>
  <c r="H707" i="2"/>
  <c r="E707" i="2"/>
  <c r="I732" i="2"/>
  <c r="R732" i="2" s="1"/>
  <c r="T732" i="2" s="1"/>
  <c r="H732" i="2"/>
  <c r="E732" i="2"/>
  <c r="I716" i="2"/>
  <c r="R716" i="2" s="1"/>
  <c r="T716" i="2" s="1"/>
  <c r="H716" i="2"/>
  <c r="E716" i="2"/>
  <c r="I717" i="2"/>
  <c r="R717" i="2" s="1"/>
  <c r="T717" i="2" s="1"/>
  <c r="H717" i="2"/>
  <c r="E717" i="2"/>
  <c r="I733" i="2"/>
  <c r="R733" i="2" s="1"/>
  <c r="T733" i="2" s="1"/>
  <c r="H733" i="2"/>
  <c r="E733" i="2"/>
  <c r="I722" i="2"/>
  <c r="R722" i="2" s="1"/>
  <c r="T722" i="2" s="1"/>
  <c r="H722" i="2"/>
  <c r="E722" i="2"/>
  <c r="I706" i="2"/>
  <c r="R706" i="2" s="1"/>
  <c r="T706" i="2" s="1"/>
  <c r="H706" i="2"/>
  <c r="E706" i="2"/>
  <c r="I697" i="2"/>
  <c r="R697" i="2" s="1"/>
  <c r="T697" i="2" s="1"/>
  <c r="H697" i="2"/>
  <c r="E697" i="2"/>
  <c r="I692" i="2"/>
  <c r="R692" i="2" s="1"/>
  <c r="T692" i="2" s="1"/>
  <c r="H692" i="2"/>
  <c r="E692" i="2"/>
  <c r="I702" i="2"/>
  <c r="R702" i="2" s="1"/>
  <c r="T702" i="2" s="1"/>
  <c r="H702" i="2"/>
  <c r="E702" i="2"/>
  <c r="I691" i="2"/>
  <c r="R691" i="2" s="1"/>
  <c r="T691" i="2" s="1"/>
  <c r="H691" i="2"/>
  <c r="E691" i="2"/>
  <c r="I685" i="2"/>
  <c r="R685" i="2" s="1"/>
  <c r="T685" i="2" s="1"/>
  <c r="H685" i="2"/>
  <c r="E685" i="2"/>
  <c r="I684" i="2"/>
  <c r="R684" i="2" s="1"/>
  <c r="T684" i="2" s="1"/>
  <c r="H684" i="2"/>
  <c r="E684" i="2"/>
  <c r="I673" i="2"/>
  <c r="R673" i="2" s="1"/>
  <c r="T673" i="2" s="1"/>
  <c r="H673" i="2"/>
  <c r="E673" i="2"/>
  <c r="I676" i="2"/>
  <c r="R676" i="2" s="1"/>
  <c r="T676" i="2" s="1"/>
  <c r="H676" i="2"/>
  <c r="E676" i="2"/>
  <c r="I662" i="2"/>
  <c r="R662" i="2" s="1"/>
  <c r="T662" i="2" s="1"/>
  <c r="H662" i="2"/>
  <c r="E662" i="2"/>
  <c r="I667" i="2"/>
  <c r="R667" i="2" s="1"/>
  <c r="T667" i="2" s="1"/>
  <c r="H667" i="2"/>
  <c r="E667" i="2"/>
  <c r="I681" i="2"/>
  <c r="R681" i="2" s="1"/>
  <c r="T681" i="2" s="1"/>
  <c r="H681" i="2"/>
  <c r="E681" i="2"/>
  <c r="I657" i="2"/>
  <c r="R657" i="2" s="1"/>
  <c r="T657" i="2" s="1"/>
  <c r="H657" i="2"/>
  <c r="E657" i="2"/>
  <c r="I659" i="2"/>
  <c r="R659" i="2" s="1"/>
  <c r="T659" i="2" s="1"/>
  <c r="H659" i="2"/>
  <c r="E659" i="2"/>
  <c r="I653" i="2"/>
  <c r="R653" i="2" s="1"/>
  <c r="T653" i="2" s="1"/>
  <c r="H653" i="2"/>
  <c r="E653" i="2"/>
  <c r="I650" i="2"/>
  <c r="R650" i="2" s="1"/>
  <c r="T650" i="2" s="1"/>
  <c r="H650" i="2"/>
  <c r="E650" i="2"/>
  <c r="I642" i="2"/>
  <c r="R642" i="2" s="1"/>
  <c r="T642" i="2" s="1"/>
  <c r="H642" i="2"/>
  <c r="E642" i="2"/>
  <c r="I648" i="2"/>
  <c r="R648" i="2" s="1"/>
  <c r="T648" i="2" s="1"/>
  <c r="H648" i="2"/>
  <c r="E648" i="2"/>
  <c r="I634" i="2"/>
  <c r="R634" i="2" s="1"/>
  <c r="T634" i="2" s="1"/>
  <c r="H634" i="2"/>
  <c r="E634" i="2"/>
  <c r="I632" i="2"/>
  <c r="R632" i="2" s="1"/>
  <c r="T632" i="2" s="1"/>
  <c r="H632" i="2"/>
  <c r="E632" i="2"/>
  <c r="I625" i="2"/>
  <c r="R625" i="2" s="1"/>
  <c r="T625" i="2" s="1"/>
  <c r="H625" i="2"/>
  <c r="E625" i="2"/>
  <c r="I616" i="2"/>
  <c r="R616" i="2" s="1"/>
  <c r="T616" i="2" s="1"/>
  <c r="H616" i="2"/>
  <c r="E616" i="2"/>
  <c r="I626" i="2"/>
  <c r="R626" i="2" s="1"/>
  <c r="T626" i="2" s="1"/>
  <c r="H626" i="2"/>
  <c r="E626" i="2"/>
  <c r="I622" i="2"/>
  <c r="R622" i="2" s="1"/>
  <c r="T622" i="2" s="1"/>
  <c r="H622" i="2"/>
  <c r="E622" i="2"/>
  <c r="I617" i="2"/>
  <c r="R617" i="2" s="1"/>
  <c r="T617" i="2" s="1"/>
  <c r="H617" i="2"/>
  <c r="E617" i="2"/>
  <c r="I597" i="2"/>
  <c r="R597" i="2" s="1"/>
  <c r="T597" i="2" s="1"/>
  <c r="H597" i="2"/>
  <c r="E597" i="2"/>
  <c r="I613" i="2"/>
  <c r="R613" i="2" s="1"/>
  <c r="T613" i="2" s="1"/>
  <c r="H613" i="2"/>
  <c r="E613" i="2"/>
  <c r="I583" i="2"/>
  <c r="R583" i="2" s="1"/>
  <c r="T583" i="2" s="1"/>
  <c r="H583" i="2"/>
  <c r="E583" i="2"/>
  <c r="I602" i="2"/>
  <c r="R602" i="2" s="1"/>
  <c r="T602" i="2" s="1"/>
  <c r="H602" i="2"/>
  <c r="E602" i="2"/>
  <c r="I590" i="2"/>
  <c r="R590" i="2" s="1"/>
  <c r="T590" i="2" s="1"/>
  <c r="H590" i="2"/>
  <c r="E590" i="2"/>
  <c r="I611" i="2"/>
  <c r="R611" i="2" s="1"/>
  <c r="T611" i="2" s="1"/>
  <c r="H611" i="2"/>
  <c r="E611" i="2"/>
  <c r="I584" i="2"/>
  <c r="R584" i="2" s="1"/>
  <c r="T584" i="2" s="1"/>
  <c r="H584" i="2"/>
  <c r="E584" i="2"/>
  <c r="I588" i="2"/>
  <c r="R588" i="2" s="1"/>
  <c r="T588" i="2" s="1"/>
  <c r="H588" i="2"/>
  <c r="E588" i="2"/>
  <c r="I614" i="2"/>
  <c r="R614" i="2" s="1"/>
  <c r="T614" i="2" s="1"/>
  <c r="H614" i="2"/>
  <c r="E614" i="2"/>
  <c r="I571" i="2"/>
  <c r="R571" i="2" s="1"/>
  <c r="T571" i="2" s="1"/>
  <c r="H571" i="2"/>
  <c r="E571" i="2"/>
  <c r="I595" i="2"/>
  <c r="R595" i="2" s="1"/>
  <c r="T595" i="2" s="1"/>
  <c r="H595" i="2"/>
  <c r="E595" i="2"/>
  <c r="I573" i="2"/>
  <c r="R573" i="2" s="1"/>
  <c r="T573" i="2" s="1"/>
  <c r="H573" i="2"/>
  <c r="E573" i="2"/>
  <c r="I565" i="2"/>
  <c r="R565" i="2" s="1"/>
  <c r="T565" i="2" s="1"/>
  <c r="H565" i="2"/>
  <c r="E565" i="2"/>
  <c r="I550" i="2"/>
  <c r="R550" i="2" s="1"/>
  <c r="T550" i="2" s="1"/>
  <c r="H550" i="2"/>
  <c r="E550" i="2"/>
  <c r="I563" i="2"/>
  <c r="R563" i="2" s="1"/>
  <c r="T563" i="2" s="1"/>
  <c r="H563" i="2"/>
  <c r="E563" i="2"/>
  <c r="I552" i="2"/>
  <c r="R552" i="2" s="1"/>
  <c r="T552" i="2" s="1"/>
  <c r="H552" i="2"/>
  <c r="E552" i="2"/>
  <c r="I545" i="2"/>
  <c r="R545" i="2" s="1"/>
  <c r="T545" i="2" s="1"/>
  <c r="H545" i="2"/>
  <c r="E545" i="2"/>
  <c r="I546" i="2"/>
  <c r="R546" i="2" s="1"/>
  <c r="T546" i="2" s="1"/>
  <c r="H546" i="2"/>
  <c r="E546" i="2"/>
  <c r="I540" i="2"/>
  <c r="R540" i="2" s="1"/>
  <c r="T540" i="2" s="1"/>
  <c r="H540" i="2"/>
  <c r="E540" i="2"/>
  <c r="I537" i="2"/>
  <c r="R537" i="2" s="1"/>
  <c r="T537" i="2" s="1"/>
  <c r="H537" i="2"/>
  <c r="E537" i="2"/>
  <c r="I531" i="2"/>
  <c r="R531" i="2" s="1"/>
  <c r="T531" i="2" s="1"/>
  <c r="H531" i="2"/>
  <c r="E531" i="2"/>
  <c r="I532" i="2"/>
  <c r="R532" i="2" s="1"/>
  <c r="T532" i="2" s="1"/>
  <c r="H532" i="2"/>
  <c r="E532" i="2"/>
  <c r="I508" i="2"/>
  <c r="R508" i="2" s="1"/>
  <c r="T508" i="2" s="1"/>
  <c r="H508" i="2"/>
  <c r="E508" i="2"/>
  <c r="I527" i="2"/>
  <c r="R527" i="2" s="1"/>
  <c r="T527" i="2" s="1"/>
  <c r="H527" i="2"/>
  <c r="E527" i="2"/>
  <c r="I525" i="2"/>
  <c r="R525" i="2" s="1"/>
  <c r="T525" i="2" s="1"/>
  <c r="H525" i="2"/>
  <c r="E525" i="2"/>
  <c r="I515" i="2"/>
  <c r="R515" i="2" s="1"/>
  <c r="T515" i="2" s="1"/>
  <c r="H515" i="2"/>
  <c r="E515" i="2"/>
  <c r="I521" i="2"/>
  <c r="R521" i="2" s="1"/>
  <c r="T521" i="2" s="1"/>
  <c r="H521" i="2"/>
  <c r="E521" i="2"/>
  <c r="I509" i="2"/>
  <c r="R509" i="2" s="1"/>
  <c r="T509" i="2" s="1"/>
  <c r="H509" i="2"/>
  <c r="E509" i="2"/>
  <c r="I497" i="2"/>
  <c r="R497" i="2" s="1"/>
  <c r="T497" i="2" s="1"/>
  <c r="H497" i="2"/>
  <c r="E497" i="2"/>
  <c r="I488" i="2"/>
  <c r="R488" i="2" s="1"/>
  <c r="T488" i="2" s="1"/>
  <c r="H488" i="2"/>
  <c r="E488" i="2"/>
  <c r="I495" i="2"/>
  <c r="R495" i="2" s="1"/>
  <c r="T495" i="2" s="1"/>
  <c r="H495" i="2"/>
  <c r="E495" i="2"/>
  <c r="I477" i="2"/>
  <c r="R477" i="2" s="1"/>
  <c r="T477" i="2" s="1"/>
  <c r="H477" i="2"/>
  <c r="E477" i="2"/>
  <c r="I498" i="2"/>
  <c r="R498" i="2" s="1"/>
  <c r="T498" i="2" s="1"/>
  <c r="H498" i="2"/>
  <c r="E498" i="2"/>
  <c r="I480" i="2"/>
  <c r="R480" i="2" s="1"/>
  <c r="T480" i="2" s="1"/>
  <c r="H480" i="2"/>
  <c r="E480" i="2"/>
  <c r="I483" i="2"/>
  <c r="R483" i="2" s="1"/>
  <c r="T483" i="2" s="1"/>
  <c r="H483" i="2"/>
  <c r="E483" i="2"/>
  <c r="I479" i="2"/>
  <c r="R479" i="2" s="1"/>
  <c r="T479" i="2" s="1"/>
  <c r="H479" i="2"/>
  <c r="E479" i="2"/>
  <c r="I457" i="2"/>
  <c r="R457" i="2" s="1"/>
  <c r="T457" i="2" s="1"/>
  <c r="H457" i="2"/>
  <c r="E457" i="2"/>
  <c r="I463" i="2"/>
  <c r="R463" i="2" s="1"/>
  <c r="T463" i="2" s="1"/>
  <c r="H463" i="2"/>
  <c r="E463" i="2"/>
  <c r="I456" i="2"/>
  <c r="R456" i="2" s="1"/>
  <c r="T456" i="2" s="1"/>
  <c r="H456" i="2"/>
  <c r="E456" i="2"/>
  <c r="I441" i="2"/>
  <c r="R441" i="2" s="1"/>
  <c r="T441" i="2" s="1"/>
  <c r="H441" i="2"/>
  <c r="E441" i="2"/>
  <c r="I443" i="2"/>
  <c r="R443" i="2" s="1"/>
  <c r="T443" i="2" s="1"/>
  <c r="H443" i="2"/>
  <c r="E443" i="2"/>
  <c r="I440" i="2"/>
  <c r="R440" i="2" s="1"/>
  <c r="T440" i="2" s="1"/>
  <c r="H440" i="2"/>
  <c r="E440" i="2"/>
  <c r="I438" i="2"/>
  <c r="R438" i="2" s="1"/>
  <c r="T438" i="2" s="1"/>
  <c r="H438" i="2"/>
  <c r="E438" i="2"/>
  <c r="I433" i="2"/>
  <c r="R433" i="2" s="1"/>
  <c r="T433" i="2" s="1"/>
  <c r="H433" i="2"/>
  <c r="E433" i="2"/>
  <c r="I421" i="2"/>
  <c r="R421" i="2" s="1"/>
  <c r="T421" i="2" s="1"/>
  <c r="H421" i="2"/>
  <c r="E421" i="2"/>
  <c r="I427" i="2"/>
  <c r="R427" i="2" s="1"/>
  <c r="T427" i="2" s="1"/>
  <c r="H427" i="2"/>
  <c r="E427" i="2"/>
  <c r="I407" i="2"/>
  <c r="R407" i="2" s="1"/>
  <c r="T407" i="2" s="1"/>
  <c r="H407" i="2"/>
  <c r="E407" i="2"/>
  <c r="I399" i="2"/>
  <c r="R399" i="2" s="1"/>
  <c r="T399" i="2" s="1"/>
  <c r="H399" i="2"/>
  <c r="E399" i="2"/>
  <c r="I384" i="2"/>
  <c r="R384" i="2" s="1"/>
  <c r="T384" i="2" s="1"/>
  <c r="H384" i="2"/>
  <c r="E384" i="2"/>
  <c r="I406" i="2"/>
  <c r="R406" i="2" s="1"/>
  <c r="T406" i="2" s="1"/>
  <c r="H406" i="2"/>
  <c r="E406" i="2"/>
  <c r="I395" i="2"/>
  <c r="R395" i="2" s="1"/>
  <c r="T395" i="2" s="1"/>
  <c r="H395" i="2"/>
  <c r="E395" i="2"/>
  <c r="I398" i="2"/>
  <c r="R398" i="2" s="1"/>
  <c r="T398" i="2" s="1"/>
  <c r="H398" i="2"/>
  <c r="E398" i="2"/>
  <c r="I385" i="2"/>
  <c r="R385" i="2" s="1"/>
  <c r="T385" i="2" s="1"/>
  <c r="H385" i="2"/>
  <c r="E385" i="2"/>
  <c r="I381" i="2"/>
  <c r="R381" i="2" s="1"/>
  <c r="T381" i="2" s="1"/>
  <c r="H381" i="2"/>
  <c r="E381" i="2"/>
  <c r="I373" i="2"/>
  <c r="R373" i="2" s="1"/>
  <c r="T373" i="2" s="1"/>
  <c r="H373" i="2"/>
  <c r="E373" i="2"/>
  <c r="I379" i="2"/>
  <c r="R379" i="2" s="1"/>
  <c r="T379" i="2" s="1"/>
  <c r="H379" i="2"/>
  <c r="E379" i="2"/>
  <c r="I351" i="2"/>
  <c r="R351" i="2" s="1"/>
  <c r="T351" i="2" s="1"/>
  <c r="H351" i="2"/>
  <c r="E351" i="2"/>
  <c r="I352" i="2"/>
  <c r="R352" i="2" s="1"/>
  <c r="T352" i="2" s="1"/>
  <c r="H352" i="2"/>
  <c r="E352" i="2"/>
  <c r="I350" i="2"/>
  <c r="R350" i="2" s="1"/>
  <c r="T350" i="2" s="1"/>
  <c r="H350" i="2"/>
  <c r="E350" i="2"/>
  <c r="I354" i="2"/>
  <c r="R354" i="2" s="1"/>
  <c r="T354" i="2" s="1"/>
  <c r="H354" i="2"/>
  <c r="E354" i="2"/>
  <c r="I355" i="2"/>
  <c r="R355" i="2" s="1"/>
  <c r="T355" i="2" s="1"/>
  <c r="H355" i="2"/>
  <c r="E355" i="2"/>
  <c r="I358" i="2"/>
  <c r="R358" i="2" s="1"/>
  <c r="T358" i="2" s="1"/>
  <c r="H358" i="2"/>
  <c r="E358" i="2"/>
  <c r="I332" i="2"/>
  <c r="R332" i="2" s="1"/>
  <c r="T332" i="2" s="1"/>
  <c r="H332" i="2"/>
  <c r="E332" i="2"/>
  <c r="I334" i="2"/>
  <c r="R334" i="2" s="1"/>
  <c r="T334" i="2" s="1"/>
  <c r="H334" i="2"/>
  <c r="E334" i="2"/>
  <c r="I336" i="2"/>
  <c r="R336" i="2" s="1"/>
  <c r="T336" i="2" s="1"/>
  <c r="H336" i="2"/>
  <c r="E336" i="2"/>
  <c r="I341" i="2"/>
  <c r="R341" i="2" s="1"/>
  <c r="T341" i="2" s="1"/>
  <c r="H341" i="2"/>
  <c r="E341" i="2"/>
  <c r="I337" i="2"/>
  <c r="R337" i="2" s="1"/>
  <c r="T337" i="2" s="1"/>
  <c r="H337" i="2"/>
  <c r="E337" i="2"/>
  <c r="I323" i="2"/>
  <c r="R323" i="2" s="1"/>
  <c r="T323" i="2" s="1"/>
  <c r="H323" i="2"/>
  <c r="E323" i="2"/>
  <c r="I318" i="2"/>
  <c r="R318" i="2" s="1"/>
  <c r="T318" i="2" s="1"/>
  <c r="H318" i="2"/>
  <c r="E318" i="2"/>
  <c r="I300" i="2"/>
  <c r="R300" i="2" s="1"/>
  <c r="T300" i="2" s="1"/>
  <c r="H300" i="2"/>
  <c r="E300" i="2"/>
  <c r="I315" i="2"/>
  <c r="R315" i="2" s="1"/>
  <c r="T315" i="2" s="1"/>
  <c r="H315" i="2"/>
  <c r="E315" i="2"/>
  <c r="I308" i="2"/>
  <c r="R308" i="2" s="1"/>
  <c r="T308" i="2" s="1"/>
  <c r="H308" i="2"/>
  <c r="E308" i="2"/>
  <c r="I313" i="2"/>
  <c r="R313" i="2" s="1"/>
  <c r="T313" i="2" s="1"/>
  <c r="H313" i="2"/>
  <c r="E313" i="2"/>
  <c r="I298" i="2"/>
  <c r="R298" i="2" s="1"/>
  <c r="T298" i="2" s="1"/>
  <c r="H298" i="2"/>
  <c r="E298" i="2"/>
  <c r="I299" i="2"/>
  <c r="R299" i="2" s="1"/>
  <c r="T299" i="2" s="1"/>
  <c r="H299" i="2"/>
  <c r="E299" i="2"/>
  <c r="I293" i="2"/>
  <c r="R293" i="2" s="1"/>
  <c r="T293" i="2" s="1"/>
  <c r="H293" i="2"/>
  <c r="E293" i="2"/>
  <c r="I292" i="2"/>
  <c r="R292" i="2" s="1"/>
  <c r="T292" i="2" s="1"/>
  <c r="H292" i="2"/>
  <c r="E292" i="2"/>
  <c r="I282" i="2"/>
  <c r="R282" i="2" s="1"/>
  <c r="T282" i="2" s="1"/>
  <c r="H282" i="2"/>
  <c r="E282" i="2"/>
  <c r="I279" i="2"/>
  <c r="R279" i="2" s="1"/>
  <c r="T279" i="2" s="1"/>
  <c r="H279" i="2"/>
  <c r="E279" i="2"/>
  <c r="I277" i="2"/>
  <c r="R277" i="2" s="1"/>
  <c r="T277" i="2" s="1"/>
  <c r="H277" i="2"/>
  <c r="E277" i="2"/>
  <c r="I275" i="2"/>
  <c r="R275" i="2" s="1"/>
  <c r="T275" i="2" s="1"/>
  <c r="H275" i="2"/>
  <c r="E275" i="2"/>
  <c r="I259" i="2"/>
  <c r="R259" i="2" s="1"/>
  <c r="T259" i="2" s="1"/>
  <c r="H259" i="2"/>
  <c r="E259" i="2"/>
  <c r="I268" i="2"/>
  <c r="R268" i="2" s="1"/>
  <c r="T268" i="2" s="1"/>
  <c r="H268" i="2"/>
  <c r="E268" i="2"/>
  <c r="I236" i="2"/>
  <c r="R236" i="2" s="1"/>
  <c r="T236" i="2" s="1"/>
  <c r="H236" i="2"/>
  <c r="E236" i="2"/>
  <c r="I241" i="2"/>
  <c r="R241" i="2" s="1"/>
  <c r="T241" i="2" s="1"/>
  <c r="H241" i="2"/>
  <c r="E241" i="2"/>
  <c r="I248" i="2"/>
  <c r="R248" i="2" s="1"/>
  <c r="T248" i="2" s="1"/>
  <c r="H248" i="2"/>
  <c r="E248" i="2"/>
  <c r="I252" i="2"/>
  <c r="R252" i="2" s="1"/>
  <c r="T252" i="2" s="1"/>
  <c r="H252" i="2"/>
  <c r="E252" i="2"/>
  <c r="I257" i="2"/>
  <c r="R257" i="2" s="1"/>
  <c r="T257" i="2" s="1"/>
  <c r="H257" i="2"/>
  <c r="E257" i="2"/>
  <c r="I256" i="2"/>
  <c r="R256" i="2" s="1"/>
  <c r="T256" i="2" s="1"/>
  <c r="H256" i="2"/>
  <c r="E256" i="2"/>
  <c r="I255" i="2"/>
  <c r="R255" i="2" s="1"/>
  <c r="T255" i="2" s="1"/>
  <c r="H255" i="2"/>
  <c r="E255" i="2"/>
  <c r="I225" i="2"/>
  <c r="R225" i="2" s="1"/>
  <c r="T225" i="2" s="1"/>
  <c r="H225" i="2"/>
  <c r="E225" i="2"/>
  <c r="I217" i="2"/>
  <c r="R217" i="2" s="1"/>
  <c r="T217" i="2" s="1"/>
  <c r="H217" i="2"/>
  <c r="E217" i="2"/>
  <c r="I232" i="2"/>
  <c r="R232" i="2" s="1"/>
  <c r="T232" i="2" s="1"/>
  <c r="H232" i="2"/>
  <c r="E232" i="2"/>
  <c r="I216" i="2"/>
  <c r="R216" i="2" s="1"/>
  <c r="T216" i="2" s="1"/>
  <c r="H216" i="2"/>
  <c r="E216" i="2"/>
  <c r="I223" i="2"/>
  <c r="R223" i="2" s="1"/>
  <c r="T223" i="2" s="1"/>
  <c r="H223" i="2"/>
  <c r="Q223" i="2"/>
  <c r="E223" i="2"/>
  <c r="I224" i="2"/>
  <c r="R224" i="2" s="1"/>
  <c r="T224" i="2" s="1"/>
  <c r="H224" i="2"/>
  <c r="E224" i="2"/>
  <c r="I201" i="2"/>
  <c r="R201" i="2" s="1"/>
  <c r="T201" i="2" s="1"/>
  <c r="H201" i="2"/>
  <c r="E201" i="2"/>
  <c r="I206" i="2"/>
  <c r="R206" i="2" s="1"/>
  <c r="T206" i="2" s="1"/>
  <c r="H206" i="2"/>
  <c r="E206" i="2"/>
  <c r="I199" i="2"/>
  <c r="R199" i="2" s="1"/>
  <c r="T199" i="2" s="1"/>
  <c r="H199" i="2"/>
  <c r="E199" i="2"/>
  <c r="I197" i="2"/>
  <c r="R197" i="2" s="1"/>
  <c r="T197" i="2" s="1"/>
  <c r="H197" i="2"/>
  <c r="E197" i="2"/>
  <c r="I184" i="2"/>
  <c r="R184" i="2" s="1"/>
  <c r="T184" i="2" s="1"/>
  <c r="H184" i="2"/>
  <c r="E184" i="2"/>
  <c r="I191" i="2"/>
  <c r="R191" i="2" s="1"/>
  <c r="T191" i="2" s="1"/>
  <c r="H191" i="2"/>
  <c r="E191" i="2"/>
  <c r="I183" i="2"/>
  <c r="R183" i="2" s="1"/>
  <c r="T183" i="2" s="1"/>
  <c r="H183" i="2"/>
  <c r="E183" i="2"/>
  <c r="I180" i="2"/>
  <c r="R180" i="2" s="1"/>
  <c r="T180" i="2" s="1"/>
  <c r="H180" i="2"/>
  <c r="Q180" i="2"/>
  <c r="E180" i="2"/>
  <c r="I177" i="2"/>
  <c r="R177" i="2" s="1"/>
  <c r="T177" i="2" s="1"/>
  <c r="H177" i="2"/>
  <c r="Q177" i="2"/>
  <c r="E177" i="2"/>
  <c r="I144" i="2"/>
  <c r="R144" i="2" s="1"/>
  <c r="T144" i="2" s="1"/>
  <c r="H144" i="2"/>
  <c r="E144" i="2"/>
  <c r="I156" i="2"/>
  <c r="R156" i="2" s="1"/>
  <c r="T156" i="2" s="1"/>
  <c r="H156" i="2"/>
  <c r="E156" i="2"/>
  <c r="I142" i="2"/>
  <c r="R142" i="2" s="1"/>
  <c r="T142" i="2" s="1"/>
  <c r="H142" i="2"/>
  <c r="E142" i="2"/>
  <c r="I150" i="2"/>
  <c r="R150" i="2" s="1"/>
  <c r="T150" i="2" s="1"/>
  <c r="H150" i="2"/>
  <c r="E150" i="2"/>
  <c r="I162" i="2"/>
  <c r="R162" i="2" s="1"/>
  <c r="T162" i="2" s="1"/>
  <c r="H162" i="2"/>
  <c r="Q162" i="2"/>
  <c r="E162" i="2"/>
  <c r="I128" i="2"/>
  <c r="R128" i="2" s="1"/>
  <c r="T128" i="2" s="1"/>
  <c r="H128" i="2"/>
  <c r="E128" i="2"/>
  <c r="I135" i="2"/>
  <c r="R135" i="2" s="1"/>
  <c r="T135" i="2" s="1"/>
  <c r="H135" i="2"/>
  <c r="E135" i="2"/>
  <c r="I125" i="2"/>
  <c r="R125" i="2" s="1"/>
  <c r="T125" i="2" s="1"/>
  <c r="H125" i="2"/>
  <c r="E125" i="2"/>
  <c r="I122" i="2"/>
  <c r="R122" i="2" s="1"/>
  <c r="T122" i="2" s="1"/>
  <c r="H122" i="2"/>
  <c r="E122" i="2"/>
  <c r="I136" i="2"/>
  <c r="R136" i="2" s="1"/>
  <c r="T136" i="2" s="1"/>
  <c r="H136" i="2"/>
  <c r="E136" i="2"/>
  <c r="I113" i="2"/>
  <c r="R113" i="2" s="1"/>
  <c r="T113" i="2" s="1"/>
  <c r="H113" i="2"/>
  <c r="E113" i="2"/>
  <c r="I112" i="2"/>
  <c r="R112" i="2" s="1"/>
  <c r="T112" i="2" s="1"/>
  <c r="H112" i="2"/>
  <c r="E112" i="2"/>
  <c r="I105" i="2"/>
  <c r="R105" i="2" s="1"/>
  <c r="T105" i="2" s="1"/>
  <c r="H105" i="2"/>
  <c r="E105" i="2"/>
  <c r="I99" i="2"/>
  <c r="R99" i="2" s="1"/>
  <c r="T99" i="2" s="1"/>
  <c r="H99" i="2"/>
  <c r="E99" i="2"/>
  <c r="I97" i="2"/>
  <c r="R97" i="2" s="1"/>
  <c r="T97" i="2" s="1"/>
  <c r="H97" i="2"/>
  <c r="E97" i="2"/>
  <c r="I96" i="2"/>
  <c r="R96" i="2" s="1"/>
  <c r="T96" i="2" s="1"/>
  <c r="H96" i="2"/>
  <c r="E96" i="2"/>
  <c r="I89" i="2"/>
  <c r="R89" i="2" s="1"/>
  <c r="T89" i="2" s="1"/>
  <c r="H89" i="2"/>
  <c r="E89" i="2"/>
  <c r="I90" i="2"/>
  <c r="R90" i="2" s="1"/>
  <c r="T90" i="2" s="1"/>
  <c r="H90" i="2"/>
  <c r="E90" i="2"/>
  <c r="I84" i="2"/>
  <c r="R84" i="2" s="1"/>
  <c r="T84" i="2" s="1"/>
  <c r="H84" i="2"/>
  <c r="E84" i="2"/>
  <c r="I62" i="2"/>
  <c r="R62" i="2" s="1"/>
  <c r="T62" i="2" s="1"/>
  <c r="H62" i="2"/>
  <c r="E62" i="2"/>
  <c r="I69" i="2"/>
  <c r="R69" i="2" s="1"/>
  <c r="T69" i="2" s="1"/>
  <c r="H69" i="2"/>
  <c r="E69" i="2"/>
  <c r="I58" i="2"/>
  <c r="R58" i="2" s="1"/>
  <c r="T58" i="2" s="1"/>
  <c r="H58" i="2"/>
  <c r="E58" i="2"/>
  <c r="I64" i="2"/>
  <c r="R64" i="2" s="1"/>
  <c r="T64" i="2" s="1"/>
  <c r="H64" i="2"/>
  <c r="E64" i="2"/>
  <c r="I52" i="2"/>
  <c r="R52" i="2" s="1"/>
  <c r="T52" i="2" s="1"/>
  <c r="H52" i="2"/>
  <c r="E52" i="2"/>
  <c r="I75" i="2"/>
  <c r="R75" i="2" s="1"/>
  <c r="T75" i="2" s="1"/>
  <c r="H75" i="2"/>
  <c r="E75" i="2"/>
  <c r="I42" i="2"/>
  <c r="R42" i="2" s="1"/>
  <c r="T42" i="2" s="1"/>
  <c r="H42" i="2"/>
  <c r="E42" i="2"/>
  <c r="I38" i="2"/>
  <c r="R38" i="2" s="1"/>
  <c r="T38" i="2" s="1"/>
  <c r="H38" i="2"/>
  <c r="E38" i="2"/>
  <c r="I37" i="2"/>
  <c r="R37" i="2" s="1"/>
  <c r="T37" i="2" s="1"/>
  <c r="H37" i="2"/>
  <c r="E37" i="2"/>
  <c r="I24" i="2"/>
  <c r="R24" i="2" s="1"/>
  <c r="T24" i="2" s="1"/>
  <c r="H24" i="2"/>
  <c r="E24" i="2"/>
  <c r="I33" i="2"/>
  <c r="R33" i="2" s="1"/>
  <c r="T33" i="2" s="1"/>
  <c r="H33" i="2"/>
  <c r="E33" i="2"/>
  <c r="I20" i="2"/>
  <c r="R20" i="2" s="1"/>
  <c r="T20" i="2" s="1"/>
  <c r="H20" i="2"/>
  <c r="E20" i="2"/>
  <c r="I14" i="2"/>
  <c r="R14" i="2" s="1"/>
  <c r="T14" i="2" s="1"/>
  <c r="H14" i="2"/>
  <c r="E14" i="2"/>
  <c r="I10" i="2"/>
  <c r="R10" i="2" s="1"/>
  <c r="T10" i="2" s="1"/>
  <c r="H10" i="2"/>
  <c r="E10" i="2"/>
  <c r="I9" i="2"/>
  <c r="R9" i="2" s="1"/>
  <c r="T9" i="2" s="1"/>
  <c r="H9" i="2"/>
  <c r="E9" i="2"/>
  <c r="I3" i="2"/>
  <c r="R3" i="2" s="1"/>
  <c r="T3" i="2" s="1"/>
  <c r="H3" i="2"/>
  <c r="E3" i="2"/>
  <c r="I512" i="2"/>
  <c r="R512" i="2" s="1"/>
  <c r="T512" i="2" s="1"/>
  <c r="H512" i="2"/>
  <c r="E512" i="2"/>
  <c r="I516" i="2"/>
  <c r="R516" i="2" s="1"/>
  <c r="T516" i="2" s="1"/>
  <c r="H516" i="2"/>
  <c r="E516" i="2"/>
  <c r="I502" i="2"/>
  <c r="R502" i="2" s="1"/>
  <c r="T502" i="2" s="1"/>
  <c r="E502" i="2"/>
  <c r="H502" i="2"/>
  <c r="H507" i="2"/>
  <c r="I507" i="2"/>
  <c r="R507" i="2" s="1"/>
  <c r="T507" i="2" s="1"/>
  <c r="E507" i="2"/>
  <c r="I489" i="2"/>
  <c r="R489" i="2" s="1"/>
  <c r="T489" i="2" s="1"/>
  <c r="H489" i="2"/>
  <c r="E489" i="2"/>
  <c r="I494" i="2"/>
  <c r="R494" i="2" s="1"/>
  <c r="T494" i="2" s="1"/>
  <c r="E494" i="2"/>
  <c r="H494" i="2"/>
  <c r="I469" i="2"/>
  <c r="R469" i="2" s="1"/>
  <c r="T469" i="2" s="1"/>
  <c r="H469" i="2"/>
  <c r="E469" i="2"/>
  <c r="I491" i="2"/>
  <c r="R491" i="2" s="1"/>
  <c r="T491" i="2" s="1"/>
  <c r="H491" i="2"/>
  <c r="E491" i="2"/>
  <c r="I493" i="2"/>
  <c r="R493" i="2" s="1"/>
  <c r="T493" i="2" s="1"/>
  <c r="H493" i="2"/>
  <c r="E493" i="2"/>
  <c r="I485" i="2"/>
  <c r="R485" i="2" s="1"/>
  <c r="T485" i="2" s="1"/>
  <c r="E485" i="2"/>
  <c r="H485" i="2"/>
  <c r="I482" i="2"/>
  <c r="R482" i="2" s="1"/>
  <c r="T482" i="2" s="1"/>
  <c r="H482" i="2"/>
  <c r="E482" i="2"/>
  <c r="I486" i="2"/>
  <c r="R486" i="2" s="1"/>
  <c r="T486" i="2" s="1"/>
  <c r="E486" i="2"/>
  <c r="H486" i="2"/>
  <c r="I487" i="2"/>
  <c r="R487" i="2" s="1"/>
  <c r="T487" i="2" s="1"/>
  <c r="H487" i="2"/>
  <c r="E487" i="2"/>
  <c r="I464" i="2"/>
  <c r="R464" i="2" s="1"/>
  <c r="T464" i="2" s="1"/>
  <c r="H464" i="2"/>
  <c r="E464" i="2"/>
  <c r="H459" i="2"/>
  <c r="E459" i="2"/>
  <c r="I459" i="2"/>
  <c r="R459" i="2" s="1"/>
  <c r="T459" i="2" s="1"/>
  <c r="I460" i="2"/>
  <c r="R460" i="2" s="1"/>
  <c r="T460" i="2" s="1"/>
  <c r="H460" i="2"/>
  <c r="E460" i="2"/>
  <c r="I462" i="2"/>
  <c r="R462" i="2" s="1"/>
  <c r="T462" i="2" s="1"/>
  <c r="H462" i="2"/>
  <c r="E462" i="2"/>
  <c r="H451" i="2"/>
  <c r="E451" i="2"/>
  <c r="I451" i="2"/>
  <c r="R451" i="2" s="1"/>
  <c r="T451" i="2" s="1"/>
  <c r="I453" i="2"/>
  <c r="R453" i="2" s="1"/>
  <c r="T453" i="2" s="1"/>
  <c r="H453" i="2"/>
  <c r="E453" i="2"/>
  <c r="I436" i="2"/>
  <c r="R436" i="2" s="1"/>
  <c r="T436" i="2" s="1"/>
  <c r="E436" i="2"/>
  <c r="H436" i="2"/>
  <c r="I445" i="2"/>
  <c r="R445" i="2" s="1"/>
  <c r="T445" i="2" s="1"/>
  <c r="H445" i="2"/>
  <c r="E445" i="2"/>
  <c r="H447" i="2"/>
  <c r="E447" i="2"/>
  <c r="I447" i="2"/>
  <c r="R447" i="2" s="1"/>
  <c r="T447" i="2" s="1"/>
  <c r="I429" i="2"/>
  <c r="R429" i="2" s="1"/>
  <c r="T429" i="2" s="1"/>
  <c r="H429" i="2"/>
  <c r="E429" i="2"/>
  <c r="I428" i="2"/>
  <c r="R428" i="2" s="1"/>
  <c r="T428" i="2" s="1"/>
  <c r="H428" i="2"/>
  <c r="E428" i="2"/>
  <c r="E417" i="2"/>
  <c r="I417" i="2"/>
  <c r="R417" i="2" s="1"/>
  <c r="T417" i="2" s="1"/>
  <c r="H417" i="2"/>
  <c r="I416" i="2"/>
  <c r="R416" i="2" s="1"/>
  <c r="T416" i="2" s="1"/>
  <c r="H416" i="2"/>
  <c r="E416" i="2"/>
  <c r="I420" i="2"/>
  <c r="R420" i="2" s="1"/>
  <c r="T420" i="2" s="1"/>
  <c r="E420" i="2"/>
  <c r="H420" i="2"/>
  <c r="H414" i="2"/>
  <c r="E414" i="2"/>
  <c r="I414" i="2"/>
  <c r="R414" i="2" s="1"/>
  <c r="T414" i="2" s="1"/>
  <c r="I408" i="2"/>
  <c r="R408" i="2" s="1"/>
  <c r="T408" i="2" s="1"/>
  <c r="H408" i="2"/>
  <c r="E408" i="2"/>
  <c r="I404" i="2"/>
  <c r="R404" i="2" s="1"/>
  <c r="T404" i="2" s="1"/>
  <c r="H404" i="2"/>
  <c r="E404" i="2"/>
  <c r="I400" i="2"/>
  <c r="R400" i="2" s="1"/>
  <c r="T400" i="2" s="1"/>
  <c r="H400" i="2"/>
  <c r="E400" i="2"/>
  <c r="I382" i="2"/>
  <c r="R382" i="2" s="1"/>
  <c r="T382" i="2" s="1"/>
  <c r="H382" i="2"/>
  <c r="E382" i="2"/>
  <c r="H389" i="2"/>
  <c r="I389" i="2"/>
  <c r="R389" i="2" s="1"/>
  <c r="T389" i="2" s="1"/>
  <c r="E389" i="2"/>
  <c r="I383" i="2"/>
  <c r="R383" i="2" s="1"/>
  <c r="T383" i="2" s="1"/>
  <c r="H383" i="2"/>
  <c r="E383" i="2"/>
  <c r="I370" i="2"/>
  <c r="R370" i="2" s="1"/>
  <c r="T370" i="2" s="1"/>
  <c r="E370" i="2"/>
  <c r="H370" i="2"/>
  <c r="I390" i="2"/>
  <c r="R390" i="2" s="1"/>
  <c r="T390" i="2" s="1"/>
  <c r="H390" i="2"/>
  <c r="E390" i="2"/>
  <c r="H388" i="2"/>
  <c r="I388" i="2"/>
  <c r="R388" i="2" s="1"/>
  <c r="T388" i="2" s="1"/>
  <c r="E388" i="2"/>
  <c r="I403" i="2"/>
  <c r="R403" i="2" s="1"/>
  <c r="T403" i="2" s="1"/>
  <c r="E403" i="2"/>
  <c r="H403" i="2"/>
  <c r="I377" i="2"/>
  <c r="R377" i="2" s="1"/>
  <c r="T377" i="2" s="1"/>
  <c r="H377" i="2"/>
  <c r="E377" i="2"/>
  <c r="I365" i="2"/>
  <c r="R365" i="2" s="1"/>
  <c r="T365" i="2" s="1"/>
  <c r="H365" i="2"/>
  <c r="E365" i="2"/>
  <c r="H361" i="2"/>
  <c r="I361" i="2"/>
  <c r="R361" i="2" s="1"/>
  <c r="T361" i="2" s="1"/>
  <c r="E361" i="2"/>
  <c r="I363" i="2"/>
  <c r="R363" i="2" s="1"/>
  <c r="T363" i="2" s="1"/>
  <c r="H363" i="2"/>
  <c r="E363" i="2"/>
  <c r="I359" i="2"/>
  <c r="R359" i="2" s="1"/>
  <c r="T359" i="2" s="1"/>
  <c r="H359" i="2"/>
  <c r="E359" i="2"/>
  <c r="I338" i="2"/>
  <c r="R338" i="2" s="1"/>
  <c r="T338" i="2" s="1"/>
  <c r="H338" i="2"/>
  <c r="E338" i="2"/>
  <c r="I331" i="2"/>
  <c r="R331" i="2" s="1"/>
  <c r="T331" i="2" s="1"/>
  <c r="H331" i="2"/>
  <c r="E331" i="2"/>
  <c r="H343" i="2"/>
  <c r="E343" i="2"/>
  <c r="I343" i="2"/>
  <c r="R343" i="2" s="1"/>
  <c r="T343" i="2" s="1"/>
  <c r="I344" i="2"/>
  <c r="R344" i="2" s="1"/>
  <c r="T344" i="2" s="1"/>
  <c r="H344" i="2"/>
  <c r="E344" i="2"/>
  <c r="I328" i="2"/>
  <c r="R328" i="2" s="1"/>
  <c r="T328" i="2" s="1"/>
  <c r="E328" i="2"/>
  <c r="H328" i="2"/>
  <c r="H310" i="2"/>
  <c r="I310" i="2"/>
  <c r="R310" i="2" s="1"/>
  <c r="T310" i="2" s="1"/>
  <c r="E310" i="2"/>
  <c r="I307" i="2"/>
  <c r="R307" i="2" s="1"/>
  <c r="T307" i="2" s="1"/>
  <c r="H307" i="2"/>
  <c r="E307" i="2"/>
  <c r="I320" i="2"/>
  <c r="R320" i="2" s="1"/>
  <c r="T320" i="2" s="1"/>
  <c r="H320" i="2"/>
  <c r="E320" i="2"/>
  <c r="E314" i="2"/>
  <c r="I314" i="2"/>
  <c r="R314" i="2" s="1"/>
  <c r="T314" i="2" s="1"/>
  <c r="H314" i="2"/>
  <c r="H319" i="2"/>
  <c r="I319" i="2"/>
  <c r="R319" i="2" s="1"/>
  <c r="T319" i="2" s="1"/>
  <c r="E319" i="2"/>
  <c r="I324" i="2"/>
  <c r="R324" i="2" s="1"/>
  <c r="T324" i="2" s="1"/>
  <c r="H324" i="2"/>
  <c r="E324" i="2"/>
  <c r="I309" i="2"/>
  <c r="R309" i="2" s="1"/>
  <c r="T309" i="2" s="1"/>
  <c r="E309" i="2"/>
  <c r="H309" i="2"/>
  <c r="H295" i="2"/>
  <c r="I295" i="2"/>
  <c r="R295" i="2" s="1"/>
  <c r="T295" i="2" s="1"/>
  <c r="E295" i="2"/>
  <c r="I289" i="2"/>
  <c r="R289" i="2" s="1"/>
  <c r="T289" i="2" s="1"/>
  <c r="H289" i="2"/>
  <c r="E289" i="2"/>
  <c r="I283" i="2"/>
  <c r="R283" i="2" s="1"/>
  <c r="T283" i="2" s="1"/>
  <c r="H283" i="2"/>
  <c r="E283" i="2"/>
  <c r="I281" i="2"/>
  <c r="R281" i="2" s="1"/>
  <c r="T281" i="2" s="1"/>
  <c r="E281" i="2"/>
  <c r="H281" i="2"/>
  <c r="I286" i="2"/>
  <c r="R286" i="2" s="1"/>
  <c r="T286" i="2" s="1"/>
  <c r="H286" i="2"/>
  <c r="E286" i="2"/>
  <c r="H278" i="2"/>
  <c r="I278" i="2"/>
  <c r="R278" i="2" s="1"/>
  <c r="T278" i="2" s="1"/>
  <c r="E278" i="2"/>
  <c r="I273" i="2"/>
  <c r="R273" i="2" s="1"/>
  <c r="T273" i="2" s="1"/>
  <c r="E273" i="2"/>
  <c r="H273" i="2"/>
  <c r="I266" i="2"/>
  <c r="R266" i="2" s="1"/>
  <c r="T266" i="2" s="1"/>
  <c r="H266" i="2"/>
  <c r="E266" i="2"/>
  <c r="H271" i="2"/>
  <c r="I271" i="2"/>
  <c r="R271" i="2" s="1"/>
  <c r="T271" i="2" s="1"/>
  <c r="E271" i="2"/>
  <c r="I261" i="2"/>
  <c r="R261" i="2" s="1"/>
  <c r="T261" i="2" s="1"/>
  <c r="H261" i="2"/>
  <c r="E261" i="2"/>
  <c r="I264" i="2"/>
  <c r="R264" i="2" s="1"/>
  <c r="T264" i="2" s="1"/>
  <c r="H264" i="2"/>
  <c r="E264" i="2"/>
  <c r="H242" i="2"/>
  <c r="I242" i="2"/>
  <c r="R242" i="2" s="1"/>
  <c r="T242" i="2" s="1"/>
  <c r="E242" i="2"/>
  <c r="H249" i="2"/>
  <c r="I249" i="2"/>
  <c r="R249" i="2" s="1"/>
  <c r="T249" i="2" s="1"/>
  <c r="E249" i="2"/>
  <c r="I247" i="2"/>
  <c r="R247" i="2" s="1"/>
  <c r="T247" i="2" s="1"/>
  <c r="H247" i="2"/>
  <c r="E247" i="2"/>
  <c r="I251" i="2"/>
  <c r="R251" i="2" s="1"/>
  <c r="T251" i="2" s="1"/>
  <c r="H251" i="2"/>
  <c r="E251" i="2"/>
  <c r="I258" i="2"/>
  <c r="R258" i="2" s="1"/>
  <c r="T258" i="2" s="1"/>
  <c r="H258" i="2"/>
  <c r="E258" i="2"/>
  <c r="I253" i="2"/>
  <c r="R253" i="2" s="1"/>
  <c r="T253" i="2" s="1"/>
  <c r="H253" i="2"/>
  <c r="E253" i="2"/>
  <c r="I228" i="2"/>
  <c r="R228" i="2" s="1"/>
  <c r="T228" i="2" s="1"/>
  <c r="H228" i="2"/>
  <c r="E228" i="2"/>
  <c r="H230" i="2"/>
  <c r="E230" i="2"/>
  <c r="I230" i="2"/>
  <c r="R230" i="2" s="1"/>
  <c r="T230" i="2" s="1"/>
  <c r="I215" i="2"/>
  <c r="R215" i="2" s="1"/>
  <c r="T215" i="2" s="1"/>
  <c r="H215" i="2"/>
  <c r="E215" i="2"/>
  <c r="I214" i="2"/>
  <c r="R214" i="2" s="1"/>
  <c r="T214" i="2" s="1"/>
  <c r="H214" i="2"/>
  <c r="E214" i="2"/>
  <c r="I218" i="2"/>
  <c r="R218" i="2" s="1"/>
  <c r="T218" i="2" s="1"/>
  <c r="E218" i="2"/>
  <c r="H218" i="2"/>
  <c r="H211" i="2"/>
  <c r="E211" i="2"/>
  <c r="I211" i="2"/>
  <c r="R211" i="2" s="1"/>
  <c r="T211" i="2" s="1"/>
  <c r="I200" i="2"/>
  <c r="R200" i="2" s="1"/>
  <c r="T200" i="2" s="1"/>
  <c r="H200" i="2"/>
  <c r="E200" i="2"/>
  <c r="I202" i="2"/>
  <c r="R202" i="2" s="1"/>
  <c r="T202" i="2" s="1"/>
  <c r="E202" i="2"/>
  <c r="H202" i="2"/>
  <c r="H205" i="2"/>
  <c r="E205" i="2"/>
  <c r="I205" i="2"/>
  <c r="R205" i="2" s="1"/>
  <c r="T205" i="2" s="1"/>
  <c r="I187" i="2"/>
  <c r="R187" i="2" s="1"/>
  <c r="T187" i="2" s="1"/>
  <c r="H187" i="2"/>
  <c r="E187" i="2"/>
  <c r="I194" i="2"/>
  <c r="R194" i="2" s="1"/>
  <c r="T194" i="2" s="1"/>
  <c r="H194" i="2"/>
  <c r="E194" i="2"/>
  <c r="I188" i="2"/>
  <c r="R188" i="2" s="1"/>
  <c r="T188" i="2" s="1"/>
  <c r="E188" i="2"/>
  <c r="H188" i="2"/>
  <c r="I190" i="2"/>
  <c r="R190" i="2" s="1"/>
  <c r="T190" i="2" s="1"/>
  <c r="H190" i="2"/>
  <c r="E190" i="2"/>
  <c r="H166" i="2"/>
  <c r="I166" i="2"/>
  <c r="R166" i="2" s="1"/>
  <c r="T166" i="2" s="1"/>
  <c r="E166" i="2"/>
  <c r="I168" i="2"/>
  <c r="R168" i="2" s="1"/>
  <c r="T168" i="2" s="1"/>
  <c r="H168" i="2"/>
  <c r="E168" i="2"/>
  <c r="I175" i="2"/>
  <c r="R175" i="2" s="1"/>
  <c r="T175" i="2" s="1"/>
  <c r="E175" i="2"/>
  <c r="H175" i="2"/>
  <c r="H173" i="2"/>
  <c r="I173" i="2"/>
  <c r="R173" i="2" s="1"/>
  <c r="T173" i="2" s="1"/>
  <c r="E173" i="2"/>
  <c r="I148" i="2"/>
  <c r="R148" i="2" s="1"/>
  <c r="T148" i="2" s="1"/>
  <c r="E148" i="2"/>
  <c r="H148" i="2"/>
  <c r="I147" i="2"/>
  <c r="R147" i="2" s="1"/>
  <c r="T147" i="2" s="1"/>
  <c r="H147" i="2"/>
  <c r="E147" i="2"/>
  <c r="I145" i="2"/>
  <c r="R145" i="2" s="1"/>
  <c r="T145" i="2" s="1"/>
  <c r="H145" i="2"/>
  <c r="E145" i="2"/>
  <c r="H153" i="2"/>
  <c r="I153" i="2"/>
  <c r="R153" i="2" s="1"/>
  <c r="T153" i="2" s="1"/>
  <c r="E153" i="2"/>
  <c r="H149" i="2"/>
  <c r="E149" i="2"/>
  <c r="I149" i="2"/>
  <c r="R149" i="2" s="1"/>
  <c r="T149" i="2" s="1"/>
  <c r="I139" i="2"/>
  <c r="R139" i="2" s="1"/>
  <c r="T139" i="2" s="1"/>
  <c r="E139" i="2"/>
  <c r="H139" i="2"/>
  <c r="I164" i="2"/>
  <c r="R164" i="2" s="1"/>
  <c r="T164" i="2" s="1"/>
  <c r="H164" i="2"/>
  <c r="E164" i="2"/>
  <c r="H127" i="2"/>
  <c r="I127" i="2"/>
  <c r="R127" i="2" s="1"/>
  <c r="T127" i="2" s="1"/>
  <c r="E127" i="2"/>
  <c r="I134" i="2"/>
  <c r="R134" i="2" s="1"/>
  <c r="T134" i="2" s="1"/>
  <c r="H134" i="2"/>
  <c r="E134" i="2"/>
  <c r="I126" i="2"/>
  <c r="R126" i="2" s="1"/>
  <c r="T126" i="2" s="1"/>
  <c r="H126" i="2"/>
  <c r="E126" i="2"/>
  <c r="I130" i="2"/>
  <c r="R130" i="2" s="1"/>
  <c r="T130" i="2" s="1"/>
  <c r="E130" i="2"/>
  <c r="H130" i="2"/>
  <c r="I120" i="2"/>
  <c r="R120" i="2" s="1"/>
  <c r="T120" i="2" s="1"/>
  <c r="H120" i="2"/>
  <c r="E120" i="2"/>
  <c r="I117" i="2"/>
  <c r="R117" i="2" s="1"/>
  <c r="T117" i="2" s="1"/>
  <c r="E117" i="2"/>
  <c r="H117" i="2"/>
  <c r="I111" i="2"/>
  <c r="R111" i="2" s="1"/>
  <c r="T111" i="2" s="1"/>
  <c r="H111" i="2"/>
  <c r="E111" i="2"/>
  <c r="I107" i="2"/>
  <c r="R107" i="2" s="1"/>
  <c r="T107" i="2" s="1"/>
  <c r="E107" i="2"/>
  <c r="H107" i="2"/>
  <c r="H103" i="2"/>
  <c r="I103" i="2"/>
  <c r="R103" i="2" s="1"/>
  <c r="T103" i="2" s="1"/>
  <c r="E103" i="2"/>
  <c r="I101" i="2"/>
  <c r="R101" i="2" s="1"/>
  <c r="T101" i="2" s="1"/>
  <c r="H101" i="2"/>
  <c r="E101" i="2"/>
  <c r="I95" i="2"/>
  <c r="R95" i="2" s="1"/>
  <c r="T95" i="2" s="1"/>
  <c r="E95" i="2"/>
  <c r="H95" i="2"/>
  <c r="I82" i="2"/>
  <c r="R82" i="2" s="1"/>
  <c r="T82" i="2" s="1"/>
  <c r="H82" i="2"/>
  <c r="E82" i="2"/>
  <c r="H91" i="2"/>
  <c r="E91" i="2"/>
  <c r="I91" i="2"/>
  <c r="R91" i="2" s="1"/>
  <c r="T91" i="2" s="1"/>
  <c r="I87" i="2"/>
  <c r="R87" i="2" s="1"/>
  <c r="T87" i="2" s="1"/>
  <c r="H87" i="2"/>
  <c r="E87" i="2"/>
  <c r="I83" i="2"/>
  <c r="R83" i="2" s="1"/>
  <c r="T83" i="2" s="1"/>
  <c r="E83" i="2"/>
  <c r="H83" i="2"/>
  <c r="I81" i="2"/>
  <c r="R81" i="2" s="1"/>
  <c r="T81" i="2" s="1"/>
  <c r="H81" i="2"/>
  <c r="E81" i="2"/>
  <c r="I66" i="2"/>
  <c r="R66" i="2" s="1"/>
  <c r="T66" i="2" s="1"/>
  <c r="H66" i="2"/>
  <c r="E66" i="2"/>
  <c r="I77" i="2"/>
  <c r="R77" i="2" s="1"/>
  <c r="T77" i="2" s="1"/>
  <c r="H77" i="2"/>
  <c r="E77" i="2"/>
  <c r="I65" i="2"/>
  <c r="R65" i="2" s="1"/>
  <c r="T65" i="2" s="1"/>
  <c r="E65" i="2"/>
  <c r="H65" i="2"/>
  <c r="H57" i="2"/>
  <c r="E57" i="2"/>
  <c r="I57" i="2"/>
  <c r="R57" i="2" s="1"/>
  <c r="T57" i="2" s="1"/>
  <c r="I54" i="2"/>
  <c r="R54" i="2" s="1"/>
  <c r="T54" i="2" s="1"/>
  <c r="H54" i="2"/>
  <c r="E54" i="2"/>
  <c r="H76" i="2"/>
  <c r="I76" i="2"/>
  <c r="R76" i="2" s="1"/>
  <c r="T76" i="2" s="1"/>
  <c r="E76" i="2"/>
  <c r="I78" i="2"/>
  <c r="R78" i="2" s="1"/>
  <c r="T78" i="2" s="1"/>
  <c r="H78" i="2"/>
  <c r="E78" i="2"/>
  <c r="H40" i="2"/>
  <c r="I40" i="2"/>
  <c r="R40" i="2" s="1"/>
  <c r="T40" i="2" s="1"/>
  <c r="E40" i="2"/>
  <c r="H49" i="2"/>
  <c r="I49" i="2"/>
  <c r="R49" i="2" s="1"/>
  <c r="T49" i="2" s="1"/>
  <c r="E49" i="2"/>
  <c r="H43" i="2"/>
  <c r="I43" i="2"/>
  <c r="R43" i="2" s="1"/>
  <c r="T43" i="2" s="1"/>
  <c r="E43" i="2"/>
  <c r="I26" i="2"/>
  <c r="R26" i="2" s="1"/>
  <c r="T26" i="2" s="1"/>
  <c r="H26" i="2"/>
  <c r="E26" i="2"/>
  <c r="I32" i="2"/>
  <c r="R32" i="2" s="1"/>
  <c r="T32" i="2" s="1"/>
  <c r="H32" i="2"/>
  <c r="E32" i="2"/>
  <c r="H30" i="2"/>
  <c r="I30" i="2"/>
  <c r="R30" i="2" s="1"/>
  <c r="T30" i="2" s="1"/>
  <c r="E30" i="2"/>
  <c r="I19" i="2"/>
  <c r="R19" i="2" s="1"/>
  <c r="T19" i="2" s="1"/>
  <c r="E19" i="2"/>
  <c r="H19" i="2"/>
  <c r="I16" i="2"/>
  <c r="R16" i="2" s="1"/>
  <c r="T16" i="2" s="1"/>
  <c r="H16" i="2"/>
  <c r="E16" i="2"/>
  <c r="H13" i="2"/>
  <c r="E13" i="2"/>
  <c r="I13" i="2"/>
  <c r="R13" i="2" s="1"/>
  <c r="T13" i="2" s="1"/>
  <c r="I8" i="2"/>
  <c r="R8" i="2" s="1"/>
  <c r="T8" i="2" s="1"/>
  <c r="H8" i="2"/>
  <c r="E8" i="2"/>
  <c r="I561" i="2"/>
  <c r="R561" i="2" s="1"/>
  <c r="T561" i="2" s="1"/>
  <c r="Q561" i="2"/>
  <c r="H561" i="2"/>
  <c r="E561" i="2"/>
  <c r="I558" i="2"/>
  <c r="R558" i="2" s="1"/>
  <c r="T558" i="2" s="1"/>
  <c r="H558" i="2"/>
  <c r="E558" i="2"/>
  <c r="I542" i="2"/>
  <c r="R542" i="2" s="1"/>
  <c r="T542" i="2" s="1"/>
  <c r="E542" i="2"/>
  <c r="H542" i="2"/>
  <c r="H548" i="2"/>
  <c r="I548" i="2"/>
  <c r="R548" i="2" s="1"/>
  <c r="T548" i="2" s="1"/>
  <c r="E548" i="2"/>
  <c r="I541" i="2"/>
  <c r="R541" i="2" s="1"/>
  <c r="T541" i="2" s="1"/>
  <c r="H541" i="2"/>
  <c r="E541" i="2"/>
  <c r="I535" i="2"/>
  <c r="R535" i="2" s="1"/>
  <c r="T535" i="2" s="1"/>
  <c r="E535" i="2"/>
  <c r="H535" i="2"/>
  <c r="I536" i="2"/>
  <c r="R536" i="2" s="1"/>
  <c r="T536" i="2" s="1"/>
  <c r="E536" i="2"/>
  <c r="H536" i="2"/>
  <c r="I506" i="2"/>
  <c r="R506" i="2" s="1"/>
  <c r="T506" i="2" s="1"/>
  <c r="H506" i="2"/>
  <c r="E506" i="2"/>
  <c r="I522" i="2"/>
  <c r="R522" i="2" s="1"/>
  <c r="T522" i="2" s="1"/>
  <c r="H522" i="2"/>
  <c r="E522" i="2"/>
  <c r="I526" i="2"/>
  <c r="R526" i="2" s="1"/>
  <c r="T526" i="2" s="1"/>
  <c r="H526" i="2"/>
  <c r="E526" i="2"/>
  <c r="I520" i="2"/>
  <c r="R520" i="2" s="1"/>
  <c r="T520" i="2" s="1"/>
  <c r="E520" i="2"/>
  <c r="H520" i="2"/>
  <c r="H514" i="2"/>
  <c r="E514" i="2"/>
  <c r="I514" i="2"/>
  <c r="R514" i="2" s="1"/>
  <c r="T514" i="2" s="1"/>
  <c r="I505" i="2"/>
  <c r="R505" i="2" s="1"/>
  <c r="T505" i="2" s="1"/>
  <c r="E505" i="2"/>
  <c r="H505" i="2"/>
  <c r="I504" i="2"/>
  <c r="R504" i="2" s="1"/>
  <c r="T504" i="2" s="1"/>
  <c r="E504" i="2"/>
  <c r="H504" i="2"/>
  <c r="I501" i="2"/>
  <c r="R501" i="2" s="1"/>
  <c r="T501" i="2" s="1"/>
  <c r="H501" i="2"/>
  <c r="E501" i="2"/>
  <c r="I470" i="2"/>
  <c r="R470" i="2" s="1"/>
  <c r="T470" i="2" s="1"/>
  <c r="E470" i="2"/>
  <c r="H470" i="2"/>
  <c r="H496" i="2"/>
  <c r="E496" i="2"/>
  <c r="I496" i="2"/>
  <c r="R496" i="2" s="1"/>
  <c r="T496" i="2" s="1"/>
  <c r="I471" i="2"/>
  <c r="R471" i="2" s="1"/>
  <c r="T471" i="2" s="1"/>
  <c r="H471" i="2"/>
  <c r="E471" i="2"/>
  <c r="I475" i="2"/>
  <c r="R475" i="2" s="1"/>
  <c r="T475" i="2" s="1"/>
  <c r="E475" i="2"/>
  <c r="H475" i="2"/>
  <c r="I476" i="2"/>
  <c r="R476" i="2" s="1"/>
  <c r="T476" i="2" s="1"/>
  <c r="E476" i="2"/>
  <c r="H476" i="2"/>
  <c r="H490" i="2"/>
  <c r="I490" i="2"/>
  <c r="R490" i="2" s="1"/>
  <c r="T490" i="2" s="1"/>
  <c r="E490" i="2"/>
  <c r="I473" i="2"/>
  <c r="R473" i="2" s="1"/>
  <c r="T473" i="2" s="1"/>
  <c r="H473" i="2"/>
  <c r="E473" i="2"/>
  <c r="I461" i="2"/>
  <c r="R461" i="2" s="1"/>
  <c r="T461" i="2" s="1"/>
  <c r="H461" i="2"/>
  <c r="E461" i="2"/>
  <c r="I450" i="2"/>
  <c r="R450" i="2" s="1"/>
  <c r="T450" i="2" s="1"/>
  <c r="E450" i="2"/>
  <c r="H450" i="2"/>
  <c r="I437" i="2"/>
  <c r="R437" i="2" s="1"/>
  <c r="T437" i="2" s="1"/>
  <c r="H437" i="2"/>
  <c r="E437" i="2"/>
  <c r="I446" i="2"/>
  <c r="R446" i="2" s="1"/>
  <c r="T446" i="2" s="1"/>
  <c r="Q446" i="2"/>
  <c r="H446" i="2"/>
  <c r="E446" i="2"/>
  <c r="I449" i="2"/>
  <c r="R449" i="2" s="1"/>
  <c r="T449" i="2" s="1"/>
  <c r="H449" i="2"/>
  <c r="E449" i="2"/>
  <c r="I439" i="2"/>
  <c r="R439" i="2" s="1"/>
  <c r="T439" i="2" s="1"/>
  <c r="E439" i="2"/>
  <c r="H439" i="2"/>
  <c r="H432" i="2"/>
  <c r="I432" i="2"/>
  <c r="R432" i="2" s="1"/>
  <c r="T432" i="2" s="1"/>
  <c r="E432" i="2"/>
  <c r="I430" i="2"/>
  <c r="R430" i="2" s="1"/>
  <c r="T430" i="2" s="1"/>
  <c r="H430" i="2"/>
  <c r="E430" i="2"/>
  <c r="I419" i="2"/>
  <c r="R419" i="2" s="1"/>
  <c r="T419" i="2" s="1"/>
  <c r="E419" i="2"/>
  <c r="H419" i="2"/>
  <c r="I423" i="2"/>
  <c r="R423" i="2" s="1"/>
  <c r="T423" i="2" s="1"/>
  <c r="H423" i="2"/>
  <c r="E423" i="2"/>
  <c r="I415" i="2"/>
  <c r="R415" i="2" s="1"/>
  <c r="T415" i="2" s="1"/>
  <c r="H415" i="2"/>
  <c r="E415" i="2"/>
  <c r="I413" i="2"/>
  <c r="R413" i="2" s="1"/>
  <c r="T413" i="2" s="1"/>
  <c r="H413" i="2"/>
  <c r="E413" i="2"/>
  <c r="I397" i="2"/>
  <c r="R397" i="2" s="1"/>
  <c r="T397" i="2" s="1"/>
  <c r="E397" i="2"/>
  <c r="H397" i="2"/>
  <c r="I402" i="2"/>
  <c r="R402" i="2" s="1"/>
  <c r="T402" i="2" s="1"/>
  <c r="H402" i="2"/>
  <c r="E402" i="2"/>
  <c r="I409" i="2"/>
  <c r="R409" i="2" s="1"/>
  <c r="T409" i="2" s="1"/>
  <c r="E409" i="2"/>
  <c r="H409" i="2"/>
  <c r="I393" i="2"/>
  <c r="R393" i="2" s="1"/>
  <c r="T393" i="2" s="1"/>
  <c r="E393" i="2"/>
  <c r="H393" i="2"/>
  <c r="I386" i="2"/>
  <c r="R386" i="2" s="1"/>
  <c r="T386" i="2" s="1"/>
  <c r="H386" i="2"/>
  <c r="E386" i="2"/>
  <c r="H394" i="2"/>
  <c r="E394" i="2"/>
  <c r="I394" i="2"/>
  <c r="R394" i="2" s="1"/>
  <c r="T394" i="2" s="1"/>
  <c r="I374" i="2"/>
  <c r="R374" i="2" s="1"/>
  <c r="T374" i="2" s="1"/>
  <c r="H374" i="2"/>
  <c r="E374" i="2"/>
  <c r="I405" i="2"/>
  <c r="R405" i="2" s="1"/>
  <c r="T405" i="2" s="1"/>
  <c r="H405" i="2"/>
  <c r="E405" i="2"/>
  <c r="H380" i="2"/>
  <c r="E380" i="2"/>
  <c r="I380" i="2"/>
  <c r="R380" i="2" s="1"/>
  <c r="T380" i="2" s="1"/>
  <c r="I369" i="2"/>
  <c r="R369" i="2" s="1"/>
  <c r="T369" i="2" s="1"/>
  <c r="E369" i="2"/>
  <c r="H369" i="2"/>
  <c r="I362" i="2"/>
  <c r="R362" i="2" s="1"/>
  <c r="T362" i="2" s="1"/>
  <c r="H362" i="2"/>
  <c r="E362" i="2"/>
  <c r="H349" i="2"/>
  <c r="E349" i="2"/>
  <c r="I349" i="2"/>
  <c r="R349" i="2" s="1"/>
  <c r="T349" i="2" s="1"/>
  <c r="I356" i="2"/>
  <c r="R356" i="2" s="1"/>
  <c r="T356" i="2" s="1"/>
  <c r="H356" i="2"/>
  <c r="E356" i="2"/>
  <c r="I357" i="2"/>
  <c r="R357" i="2" s="1"/>
  <c r="T357" i="2" s="1"/>
  <c r="H357" i="2"/>
  <c r="E357" i="2"/>
  <c r="H330" i="2"/>
  <c r="I330" i="2"/>
  <c r="R330" i="2" s="1"/>
  <c r="T330" i="2" s="1"/>
  <c r="E330" i="2"/>
  <c r="I340" i="2"/>
  <c r="R340" i="2" s="1"/>
  <c r="T340" i="2" s="1"/>
  <c r="H340" i="2"/>
  <c r="E340" i="2"/>
  <c r="I348" i="2"/>
  <c r="R348" i="2" s="1"/>
  <c r="T348" i="2" s="1"/>
  <c r="E348" i="2"/>
  <c r="H348" i="2"/>
  <c r="H329" i="2"/>
  <c r="E329" i="2"/>
  <c r="I329" i="2"/>
  <c r="R329" i="2" s="1"/>
  <c r="T329" i="2" s="1"/>
  <c r="I333" i="2"/>
  <c r="R333" i="2" s="1"/>
  <c r="T333" i="2" s="1"/>
  <c r="H333" i="2"/>
  <c r="E333" i="2"/>
  <c r="I327" i="2"/>
  <c r="R327" i="2" s="1"/>
  <c r="T327" i="2" s="1"/>
  <c r="E327" i="2"/>
  <c r="H327" i="2"/>
  <c r="I317" i="2"/>
  <c r="R317" i="2" s="1"/>
  <c r="T317" i="2" s="1"/>
  <c r="H317" i="2"/>
  <c r="E317" i="2"/>
  <c r="H303" i="2"/>
  <c r="I303" i="2"/>
  <c r="R303" i="2" s="1"/>
  <c r="T303" i="2" s="1"/>
  <c r="E303" i="2"/>
  <c r="I321" i="2"/>
  <c r="R321" i="2" s="1"/>
  <c r="T321" i="2" s="1"/>
  <c r="E321" i="2"/>
  <c r="H321" i="2"/>
  <c r="I322" i="2"/>
  <c r="R322" i="2" s="1"/>
  <c r="T322" i="2" s="1"/>
  <c r="H322" i="2"/>
  <c r="E322" i="2"/>
  <c r="I306" i="2"/>
  <c r="R306" i="2" s="1"/>
  <c r="T306" i="2" s="1"/>
  <c r="E306" i="2"/>
  <c r="H306" i="2"/>
  <c r="H301" i="2"/>
  <c r="I301" i="2"/>
  <c r="R301" i="2" s="1"/>
  <c r="T301" i="2" s="1"/>
  <c r="E301" i="2"/>
  <c r="I302" i="2"/>
  <c r="R302" i="2" s="1"/>
  <c r="T302" i="2" s="1"/>
  <c r="E302" i="2"/>
  <c r="H302" i="2"/>
  <c r="I296" i="2"/>
  <c r="R296" i="2" s="1"/>
  <c r="T296" i="2" s="1"/>
  <c r="H296" i="2"/>
  <c r="E296" i="2"/>
  <c r="I291" i="2"/>
  <c r="R291" i="2" s="1"/>
  <c r="T291" i="2" s="1"/>
  <c r="H291" i="2"/>
  <c r="E291" i="2"/>
  <c r="H288" i="2"/>
  <c r="I288" i="2"/>
  <c r="R288" i="2" s="1"/>
  <c r="T288" i="2" s="1"/>
  <c r="E288" i="2"/>
  <c r="H285" i="2"/>
  <c r="E285" i="2"/>
  <c r="I285" i="2"/>
  <c r="R285" i="2" s="1"/>
  <c r="T285" i="2" s="1"/>
  <c r="I276" i="2"/>
  <c r="R276" i="2" s="1"/>
  <c r="T276" i="2" s="1"/>
  <c r="H276" i="2"/>
  <c r="E276" i="2"/>
  <c r="I263" i="2"/>
  <c r="R263" i="2" s="1"/>
  <c r="T263" i="2" s="1"/>
  <c r="H263" i="2"/>
  <c r="E263" i="2"/>
  <c r="Q263" i="2"/>
  <c r="I265" i="2"/>
  <c r="R265" i="2" s="1"/>
  <c r="T265" i="2" s="1"/>
  <c r="H265" i="2"/>
  <c r="E265" i="2"/>
  <c r="H270" i="2"/>
  <c r="E270" i="2"/>
  <c r="I270" i="2"/>
  <c r="R270" i="2" s="1"/>
  <c r="T270" i="2" s="1"/>
  <c r="I260" i="2"/>
  <c r="R260" i="2" s="1"/>
  <c r="T260" i="2" s="1"/>
  <c r="E260" i="2"/>
  <c r="H260" i="2"/>
  <c r="I245" i="2"/>
  <c r="R245" i="2" s="1"/>
  <c r="T245" i="2" s="1"/>
  <c r="H245" i="2"/>
  <c r="E245" i="2"/>
  <c r="I246" i="2"/>
  <c r="R246" i="2" s="1"/>
  <c r="T246" i="2" s="1"/>
  <c r="E246" i="2"/>
  <c r="H246" i="2"/>
  <c r="H239" i="2"/>
  <c r="I239" i="2"/>
  <c r="R239" i="2" s="1"/>
  <c r="T239" i="2" s="1"/>
  <c r="E239" i="2"/>
  <c r="I238" i="2"/>
  <c r="R238" i="2" s="1"/>
  <c r="T238" i="2" s="1"/>
  <c r="H238" i="2"/>
  <c r="E238" i="2"/>
  <c r="I240" i="2"/>
  <c r="R240" i="2" s="1"/>
  <c r="T240" i="2" s="1"/>
  <c r="H240" i="2"/>
  <c r="E240" i="2"/>
  <c r="E237" i="2"/>
  <c r="H237" i="2"/>
  <c r="I237" i="2"/>
  <c r="R237" i="2" s="1"/>
  <c r="T237" i="2" s="1"/>
  <c r="H234" i="2"/>
  <c r="I234" i="2"/>
  <c r="R234" i="2" s="1"/>
  <c r="T234" i="2" s="1"/>
  <c r="E234" i="2"/>
  <c r="I233" i="2"/>
  <c r="R233" i="2" s="1"/>
  <c r="T233" i="2" s="1"/>
  <c r="H233" i="2"/>
  <c r="E233" i="2"/>
  <c r="I229" i="2"/>
  <c r="R229" i="2" s="1"/>
  <c r="T229" i="2" s="1"/>
  <c r="E229" i="2"/>
  <c r="H229" i="2"/>
  <c r="H231" i="2"/>
  <c r="I231" i="2"/>
  <c r="R231" i="2" s="1"/>
  <c r="T231" i="2" s="1"/>
  <c r="E231" i="2"/>
  <c r="I226" i="2"/>
  <c r="R226" i="2" s="1"/>
  <c r="T226" i="2" s="1"/>
  <c r="H226" i="2"/>
  <c r="E226" i="2"/>
  <c r="I219" i="2"/>
  <c r="R219" i="2" s="1"/>
  <c r="T219" i="2" s="1"/>
  <c r="H219" i="2"/>
  <c r="E219" i="2"/>
  <c r="I213" i="2"/>
  <c r="R213" i="2" s="1"/>
  <c r="T213" i="2" s="1"/>
  <c r="E213" i="2"/>
  <c r="H213" i="2"/>
  <c r="I210" i="2"/>
  <c r="R210" i="2" s="1"/>
  <c r="T210" i="2" s="1"/>
  <c r="H210" i="2"/>
  <c r="E210" i="2"/>
  <c r="I196" i="2"/>
  <c r="R196" i="2" s="1"/>
  <c r="T196" i="2" s="1"/>
  <c r="E196" i="2"/>
  <c r="H196" i="2"/>
  <c r="H195" i="2"/>
  <c r="I195" i="2"/>
  <c r="R195" i="2" s="1"/>
  <c r="T195" i="2" s="1"/>
  <c r="E195" i="2"/>
  <c r="I208" i="2"/>
  <c r="R208" i="2" s="1"/>
  <c r="T208" i="2" s="1"/>
  <c r="E208" i="2"/>
  <c r="H208" i="2"/>
  <c r="I204" i="2"/>
  <c r="R204" i="2" s="1"/>
  <c r="T204" i="2" s="1"/>
  <c r="H204" i="2"/>
  <c r="E204" i="2"/>
  <c r="I185" i="2"/>
  <c r="R185" i="2" s="1"/>
  <c r="T185" i="2" s="1"/>
  <c r="H185" i="2"/>
  <c r="E185" i="2"/>
  <c r="H192" i="2"/>
  <c r="I192" i="2"/>
  <c r="R192" i="2" s="1"/>
  <c r="T192" i="2" s="1"/>
  <c r="E192" i="2"/>
  <c r="H189" i="2"/>
  <c r="E189" i="2"/>
  <c r="I189" i="2"/>
  <c r="R189" i="2" s="1"/>
  <c r="T189" i="2" s="1"/>
  <c r="I171" i="2"/>
  <c r="R171" i="2" s="1"/>
  <c r="T171" i="2" s="1"/>
  <c r="E171" i="2"/>
  <c r="H171" i="2"/>
  <c r="I182" i="2"/>
  <c r="R182" i="2" s="1"/>
  <c r="T182" i="2" s="1"/>
  <c r="H182" i="2"/>
  <c r="E182" i="2"/>
  <c r="H178" i="2"/>
  <c r="E178" i="2"/>
  <c r="I178" i="2"/>
  <c r="R178" i="2" s="1"/>
  <c r="T178" i="2" s="1"/>
  <c r="I176" i="2"/>
  <c r="R176" i="2" s="1"/>
  <c r="T176" i="2" s="1"/>
  <c r="H176" i="2"/>
  <c r="E176" i="2"/>
  <c r="I152" i="2"/>
  <c r="R152" i="2" s="1"/>
  <c r="T152" i="2" s="1"/>
  <c r="H152" i="2"/>
  <c r="E152" i="2"/>
  <c r="H160" i="2"/>
  <c r="E160" i="2"/>
  <c r="I160" i="2"/>
  <c r="R160" i="2" s="1"/>
  <c r="T160" i="2" s="1"/>
  <c r="I154" i="2"/>
  <c r="R154" i="2" s="1"/>
  <c r="T154" i="2" s="1"/>
  <c r="E154" i="2"/>
  <c r="H154" i="2"/>
  <c r="I161" i="2"/>
  <c r="R161" i="2" s="1"/>
  <c r="T161" i="2" s="1"/>
  <c r="H161" i="2"/>
  <c r="E161" i="2"/>
  <c r="I146" i="2"/>
  <c r="R146" i="2" s="1"/>
  <c r="T146" i="2" s="1"/>
  <c r="E146" i="2"/>
  <c r="H146" i="2"/>
  <c r="H157" i="2"/>
  <c r="E157" i="2"/>
  <c r="I157" i="2"/>
  <c r="R157" i="2" s="1"/>
  <c r="T157" i="2" s="1"/>
  <c r="I138" i="2"/>
  <c r="R138" i="2" s="1"/>
  <c r="T138" i="2" s="1"/>
  <c r="H138" i="2"/>
  <c r="E138" i="2"/>
  <c r="I163" i="2"/>
  <c r="R163" i="2" s="1"/>
  <c r="T163" i="2" s="1"/>
  <c r="H163" i="2"/>
  <c r="E163" i="2"/>
  <c r="I123" i="2"/>
  <c r="R123" i="2" s="1"/>
  <c r="T123" i="2" s="1"/>
  <c r="E123" i="2"/>
  <c r="H123" i="2"/>
  <c r="H132" i="2"/>
  <c r="E132" i="2"/>
  <c r="I132" i="2"/>
  <c r="R132" i="2" s="1"/>
  <c r="T132" i="2" s="1"/>
  <c r="I124" i="2"/>
  <c r="R124" i="2" s="1"/>
  <c r="T124" i="2" s="1"/>
  <c r="H124" i="2"/>
  <c r="E124" i="2"/>
  <c r="H119" i="2"/>
  <c r="E119" i="2"/>
  <c r="I119" i="2"/>
  <c r="R119" i="2" s="1"/>
  <c r="T119" i="2" s="1"/>
  <c r="I116" i="2"/>
  <c r="R116" i="2" s="1"/>
  <c r="T116" i="2" s="1"/>
  <c r="E116" i="2"/>
  <c r="H116" i="2"/>
  <c r="H118" i="2"/>
  <c r="I118" i="2"/>
  <c r="R118" i="2" s="1"/>
  <c r="T118" i="2" s="1"/>
  <c r="E118" i="2"/>
  <c r="I115" i="2"/>
  <c r="R115" i="2" s="1"/>
  <c r="T115" i="2" s="1"/>
  <c r="H115" i="2"/>
  <c r="E115" i="2"/>
  <c r="I110" i="2"/>
  <c r="R110" i="2" s="1"/>
  <c r="T110" i="2" s="1"/>
  <c r="E110" i="2"/>
  <c r="H110" i="2"/>
  <c r="I108" i="2"/>
  <c r="R108" i="2" s="1"/>
  <c r="T108" i="2" s="1"/>
  <c r="H108" i="2"/>
  <c r="E108" i="2"/>
  <c r="I102" i="2"/>
  <c r="R102" i="2" s="1"/>
  <c r="T102" i="2" s="1"/>
  <c r="E102" i="2"/>
  <c r="H102" i="2"/>
  <c r="H88" i="2"/>
  <c r="I88" i="2"/>
  <c r="R88" i="2" s="1"/>
  <c r="T88" i="2" s="1"/>
  <c r="E88" i="2"/>
  <c r="I93" i="2"/>
  <c r="R93" i="2" s="1"/>
  <c r="T93" i="2" s="1"/>
  <c r="E93" i="2"/>
  <c r="H93" i="2"/>
  <c r="I94" i="2"/>
  <c r="R94" i="2" s="1"/>
  <c r="T94" i="2" s="1"/>
  <c r="H94" i="2"/>
  <c r="E94" i="2"/>
  <c r="I85" i="2"/>
  <c r="R85" i="2" s="1"/>
  <c r="T85" i="2" s="1"/>
  <c r="H85" i="2"/>
  <c r="E85" i="2"/>
  <c r="I68" i="2"/>
  <c r="R68" i="2" s="1"/>
  <c r="T68" i="2" s="1"/>
  <c r="E68" i="2"/>
  <c r="H68" i="2"/>
  <c r="H72" i="2"/>
  <c r="I72" i="2"/>
  <c r="R72" i="2" s="1"/>
  <c r="T72" i="2" s="1"/>
  <c r="E72" i="2"/>
  <c r="I60" i="2"/>
  <c r="R60" i="2" s="1"/>
  <c r="T60" i="2" s="1"/>
  <c r="H60" i="2"/>
  <c r="E60" i="2"/>
  <c r="I73" i="2"/>
  <c r="R73" i="2" s="1"/>
  <c r="T73" i="2" s="1"/>
  <c r="H73" i="2"/>
  <c r="E73" i="2"/>
  <c r="I59" i="2"/>
  <c r="R59" i="2" s="1"/>
  <c r="T59" i="2" s="1"/>
  <c r="H59" i="2"/>
  <c r="E59" i="2"/>
  <c r="I71" i="2"/>
  <c r="R71" i="2" s="1"/>
  <c r="T71" i="2" s="1"/>
  <c r="H71" i="2"/>
  <c r="E71" i="2"/>
  <c r="I79" i="2"/>
  <c r="R79" i="2" s="1"/>
  <c r="T79" i="2" s="1"/>
  <c r="E79" i="2"/>
  <c r="H79" i="2"/>
  <c r="I51" i="2"/>
  <c r="R51" i="2" s="1"/>
  <c r="T51" i="2" s="1"/>
  <c r="E51" i="2"/>
  <c r="H51" i="2"/>
  <c r="I45" i="2"/>
  <c r="R45" i="2" s="1"/>
  <c r="T45" i="2" s="1"/>
  <c r="H45" i="2"/>
  <c r="E45" i="2"/>
  <c r="H48" i="2"/>
  <c r="I48" i="2"/>
  <c r="R48" i="2" s="1"/>
  <c r="T48" i="2" s="1"/>
  <c r="E48" i="2"/>
  <c r="I46" i="2"/>
  <c r="R46" i="2" s="1"/>
  <c r="T46" i="2" s="1"/>
  <c r="H46" i="2"/>
  <c r="E46" i="2"/>
  <c r="I41" i="2"/>
  <c r="R41" i="2" s="1"/>
  <c r="T41" i="2" s="1"/>
  <c r="H41" i="2"/>
  <c r="E41" i="2"/>
  <c r="I28" i="2"/>
  <c r="R28" i="2" s="1"/>
  <c r="T28" i="2" s="1"/>
  <c r="E28" i="2"/>
  <c r="H28" i="2"/>
  <c r="I25" i="2"/>
  <c r="R25" i="2" s="1"/>
  <c r="T25" i="2" s="1"/>
  <c r="H25" i="2"/>
  <c r="E25" i="2"/>
  <c r="I29" i="2"/>
  <c r="R29" i="2" s="1"/>
  <c r="T29" i="2" s="1"/>
  <c r="E29" i="2"/>
  <c r="H29" i="2"/>
  <c r="I18" i="2"/>
  <c r="R18" i="2" s="1"/>
  <c r="T18" i="2" s="1"/>
  <c r="E18" i="2"/>
  <c r="H18" i="2"/>
  <c r="H22" i="2"/>
  <c r="I22" i="2"/>
  <c r="R22" i="2" s="1"/>
  <c r="T22" i="2" s="1"/>
  <c r="E22" i="2"/>
  <c r="E12" i="2"/>
  <c r="H12" i="2"/>
  <c r="I12" i="2"/>
  <c r="R12" i="2" s="1"/>
  <c r="T12" i="2" s="1"/>
  <c r="H7" i="2"/>
  <c r="E7" i="2"/>
  <c r="I7" i="2"/>
  <c r="R7" i="2" s="1"/>
  <c r="T7" i="2" s="1"/>
  <c r="I5" i="2"/>
  <c r="R5" i="2" s="1"/>
  <c r="T5" i="2" s="1"/>
  <c r="E5" i="2"/>
  <c r="H5" i="2"/>
  <c r="I612" i="2"/>
  <c r="R612" i="2" s="1"/>
  <c r="T612" i="2" s="1"/>
  <c r="H612" i="2"/>
  <c r="E612" i="2"/>
  <c r="I607" i="2"/>
  <c r="R607" i="2" s="1"/>
  <c r="T607" i="2" s="1"/>
  <c r="H607" i="2"/>
  <c r="E607" i="2"/>
  <c r="I605" i="2"/>
  <c r="R605" i="2" s="1"/>
  <c r="T605" i="2" s="1"/>
  <c r="H605" i="2"/>
  <c r="E605" i="2"/>
  <c r="I582" i="2"/>
  <c r="R582" i="2" s="1"/>
  <c r="T582" i="2" s="1"/>
  <c r="H582" i="2"/>
  <c r="E582" i="2"/>
  <c r="I589" i="2"/>
  <c r="R589" i="2" s="1"/>
  <c r="T589" i="2" s="1"/>
  <c r="H589" i="2"/>
  <c r="E589" i="2"/>
  <c r="I593" i="2"/>
  <c r="R593" i="2" s="1"/>
  <c r="T593" i="2" s="1"/>
  <c r="H593" i="2"/>
  <c r="E593" i="2"/>
  <c r="H576" i="2"/>
  <c r="I576" i="2"/>
  <c r="R576" i="2" s="1"/>
  <c r="T576" i="2" s="1"/>
  <c r="E576" i="2"/>
  <c r="I574" i="2"/>
  <c r="R574" i="2" s="1"/>
  <c r="T574" i="2" s="1"/>
  <c r="H574" i="2"/>
  <c r="E574" i="2"/>
  <c r="I580" i="2"/>
  <c r="R580" i="2" s="1"/>
  <c r="T580" i="2" s="1"/>
  <c r="H580" i="2"/>
  <c r="E580" i="2"/>
  <c r="I596" i="2"/>
  <c r="R596" i="2" s="1"/>
  <c r="T596" i="2" s="1"/>
  <c r="H596" i="2"/>
  <c r="E596" i="2"/>
  <c r="I572" i="2"/>
  <c r="R572" i="2" s="1"/>
  <c r="T572" i="2" s="1"/>
  <c r="H572" i="2"/>
  <c r="E572" i="2"/>
  <c r="I555" i="2"/>
  <c r="R555" i="2" s="1"/>
  <c r="T555" i="2" s="1"/>
  <c r="H555" i="2"/>
  <c r="E555" i="2"/>
  <c r="I560" i="2"/>
  <c r="R560" i="2" s="1"/>
  <c r="T560" i="2" s="1"/>
  <c r="H560" i="2"/>
  <c r="E560" i="2"/>
  <c r="I562" i="2"/>
  <c r="R562" i="2" s="1"/>
  <c r="T562" i="2" s="1"/>
  <c r="H562" i="2"/>
  <c r="E562" i="2"/>
  <c r="I549" i="2"/>
  <c r="R549" i="2" s="1"/>
  <c r="T549" i="2" s="1"/>
  <c r="H549" i="2"/>
  <c r="E549" i="2"/>
  <c r="H543" i="2"/>
  <c r="I543" i="2"/>
  <c r="R543" i="2" s="1"/>
  <c r="T543" i="2" s="1"/>
  <c r="E543" i="2"/>
  <c r="I554" i="2"/>
  <c r="R554" i="2" s="1"/>
  <c r="T554" i="2" s="1"/>
  <c r="H554" i="2"/>
  <c r="E554" i="2"/>
  <c r="I547" i="2"/>
  <c r="R547" i="2" s="1"/>
  <c r="T547" i="2" s="1"/>
  <c r="H547" i="2"/>
  <c r="E547" i="2"/>
  <c r="I544" i="2"/>
  <c r="R544" i="2" s="1"/>
  <c r="T544" i="2" s="1"/>
  <c r="H544" i="2"/>
  <c r="E544" i="2"/>
  <c r="H533" i="2"/>
  <c r="I533" i="2"/>
  <c r="R533" i="2" s="1"/>
  <c r="T533" i="2" s="1"/>
  <c r="E533" i="2"/>
  <c r="I530" i="2"/>
  <c r="R530" i="2" s="1"/>
  <c r="T530" i="2" s="1"/>
  <c r="H530" i="2"/>
  <c r="E530" i="2"/>
  <c r="H528" i="2"/>
  <c r="I528" i="2"/>
  <c r="R528" i="2" s="1"/>
  <c r="T528" i="2" s="1"/>
  <c r="E528" i="2"/>
  <c r="I524" i="2"/>
  <c r="R524" i="2" s="1"/>
  <c r="T524" i="2" s="1"/>
  <c r="H524" i="2"/>
  <c r="E524" i="2"/>
  <c r="I523" i="2"/>
  <c r="R523" i="2" s="1"/>
  <c r="T523" i="2" s="1"/>
  <c r="H523" i="2"/>
  <c r="E523" i="2"/>
  <c r="I511" i="2"/>
  <c r="R511" i="2" s="1"/>
  <c r="T511" i="2" s="1"/>
  <c r="H511" i="2"/>
  <c r="E511" i="2"/>
  <c r="H519" i="2"/>
  <c r="I519" i="2"/>
  <c r="R519" i="2" s="1"/>
  <c r="T519" i="2" s="1"/>
  <c r="E519" i="2"/>
  <c r="I510" i="2"/>
  <c r="R510" i="2" s="1"/>
  <c r="T510" i="2" s="1"/>
  <c r="H510" i="2"/>
  <c r="E510" i="2"/>
  <c r="I503" i="2"/>
  <c r="R503" i="2" s="1"/>
  <c r="T503" i="2" s="1"/>
  <c r="H503" i="2"/>
  <c r="E503" i="2"/>
  <c r="I500" i="2"/>
  <c r="R500" i="2" s="1"/>
  <c r="T500" i="2" s="1"/>
  <c r="H500" i="2"/>
  <c r="E500" i="2"/>
  <c r="I478" i="2"/>
  <c r="R478" i="2" s="1"/>
  <c r="T478" i="2" s="1"/>
  <c r="H478" i="2"/>
  <c r="E478" i="2"/>
  <c r="I492" i="2"/>
  <c r="R492" i="2" s="1"/>
  <c r="T492" i="2" s="1"/>
  <c r="H492" i="2"/>
  <c r="E492" i="2"/>
  <c r="I499" i="2"/>
  <c r="R499" i="2" s="1"/>
  <c r="T499" i="2" s="1"/>
  <c r="H499" i="2"/>
  <c r="E499" i="2"/>
  <c r="H472" i="2"/>
  <c r="I472" i="2"/>
  <c r="R472" i="2" s="1"/>
  <c r="T472" i="2" s="1"/>
  <c r="Q472" i="2"/>
  <c r="E472" i="2"/>
  <c r="I484" i="2"/>
  <c r="R484" i="2" s="1"/>
  <c r="T484" i="2" s="1"/>
  <c r="H484" i="2"/>
  <c r="E484" i="2"/>
  <c r="I466" i="2"/>
  <c r="R466" i="2" s="1"/>
  <c r="T466" i="2" s="1"/>
  <c r="Q466" i="2"/>
  <c r="H466" i="2"/>
  <c r="E466" i="2"/>
  <c r="I468" i="2"/>
  <c r="R468" i="2" s="1"/>
  <c r="T468" i="2" s="1"/>
  <c r="Q468" i="2"/>
  <c r="H468" i="2"/>
  <c r="E468" i="2"/>
  <c r="I474" i="2"/>
  <c r="R474" i="2" s="1"/>
  <c r="T474" i="2" s="1"/>
  <c r="H474" i="2"/>
  <c r="E474" i="2"/>
  <c r="I465" i="2"/>
  <c r="R465" i="2" s="1"/>
  <c r="T465" i="2" s="1"/>
  <c r="H465" i="2"/>
  <c r="E465" i="2"/>
  <c r="I458" i="2"/>
  <c r="R458" i="2" s="1"/>
  <c r="T458" i="2" s="1"/>
  <c r="H458" i="2"/>
  <c r="E458" i="2"/>
  <c r="I454" i="2"/>
  <c r="R454" i="2" s="1"/>
  <c r="T454" i="2" s="1"/>
  <c r="H454" i="2"/>
  <c r="E454" i="2"/>
  <c r="I455" i="2"/>
  <c r="R455" i="2" s="1"/>
  <c r="T455" i="2" s="1"/>
  <c r="H455" i="2"/>
  <c r="E455" i="2"/>
  <c r="I452" i="2"/>
  <c r="R452" i="2" s="1"/>
  <c r="T452" i="2" s="1"/>
  <c r="H452" i="2"/>
  <c r="E452" i="2"/>
  <c r="I448" i="2"/>
  <c r="R448" i="2" s="1"/>
  <c r="T448" i="2" s="1"/>
  <c r="H448" i="2"/>
  <c r="E448" i="2"/>
  <c r="I444" i="2"/>
  <c r="R444" i="2" s="1"/>
  <c r="T444" i="2" s="1"/>
  <c r="H444" i="2"/>
  <c r="E444" i="2"/>
  <c r="H442" i="2"/>
  <c r="I442" i="2"/>
  <c r="R442" i="2" s="1"/>
  <c r="T442" i="2" s="1"/>
  <c r="E442" i="2"/>
  <c r="I435" i="2"/>
  <c r="R435" i="2" s="1"/>
  <c r="T435" i="2" s="1"/>
  <c r="H435" i="2"/>
  <c r="E435" i="2"/>
  <c r="I431" i="2"/>
  <c r="R431" i="2" s="1"/>
  <c r="T431" i="2" s="1"/>
  <c r="H431" i="2"/>
  <c r="E431" i="2"/>
  <c r="I434" i="2"/>
  <c r="R434" i="2" s="1"/>
  <c r="T434" i="2" s="1"/>
  <c r="H434" i="2"/>
  <c r="E434" i="2"/>
  <c r="H426" i="2"/>
  <c r="I426" i="2"/>
  <c r="R426" i="2" s="1"/>
  <c r="T426" i="2" s="1"/>
  <c r="E426" i="2"/>
  <c r="I418" i="2"/>
  <c r="R418" i="2" s="1"/>
  <c r="T418" i="2" s="1"/>
  <c r="H418" i="2"/>
  <c r="E418" i="2"/>
  <c r="I422" i="2"/>
  <c r="R422" i="2" s="1"/>
  <c r="T422" i="2" s="1"/>
  <c r="H422" i="2"/>
  <c r="E422" i="2"/>
  <c r="H424" i="2"/>
  <c r="I424" i="2"/>
  <c r="R424" i="2" s="1"/>
  <c r="T424" i="2" s="1"/>
  <c r="E424" i="2"/>
  <c r="I411" i="2"/>
  <c r="R411" i="2" s="1"/>
  <c r="T411" i="2" s="1"/>
  <c r="H411" i="2"/>
  <c r="E411" i="2"/>
  <c r="I392" i="2"/>
  <c r="R392" i="2" s="1"/>
  <c r="T392" i="2" s="1"/>
  <c r="H392" i="2"/>
  <c r="E392" i="2"/>
  <c r="H372" i="2"/>
  <c r="I372" i="2"/>
  <c r="R372" i="2" s="1"/>
  <c r="T372" i="2" s="1"/>
  <c r="E372" i="2"/>
  <c r="I387" i="2"/>
  <c r="R387" i="2" s="1"/>
  <c r="T387" i="2" s="1"/>
  <c r="H387" i="2"/>
  <c r="E387" i="2"/>
  <c r="I371" i="2"/>
  <c r="R371" i="2" s="1"/>
  <c r="T371" i="2" s="1"/>
  <c r="H371" i="2"/>
  <c r="E371" i="2"/>
  <c r="I396" i="2"/>
  <c r="R396" i="2" s="1"/>
  <c r="T396" i="2" s="1"/>
  <c r="H396" i="2"/>
  <c r="E396" i="2"/>
  <c r="I376" i="2"/>
  <c r="R376" i="2" s="1"/>
  <c r="T376" i="2" s="1"/>
  <c r="H376" i="2"/>
  <c r="E376" i="2"/>
  <c r="I375" i="2"/>
  <c r="R375" i="2" s="1"/>
  <c r="T375" i="2" s="1"/>
  <c r="H375" i="2"/>
  <c r="E375" i="2"/>
  <c r="I378" i="2"/>
  <c r="R378" i="2" s="1"/>
  <c r="T378" i="2" s="1"/>
  <c r="H378" i="2"/>
  <c r="E378" i="2"/>
  <c r="H368" i="2"/>
  <c r="I368" i="2"/>
  <c r="R368" i="2" s="1"/>
  <c r="T368" i="2" s="1"/>
  <c r="E368" i="2"/>
  <c r="I410" i="2"/>
  <c r="R410" i="2" s="1"/>
  <c r="T410" i="2" s="1"/>
  <c r="H410" i="2"/>
  <c r="E410" i="2"/>
  <c r="I364" i="2"/>
  <c r="R364" i="2" s="1"/>
  <c r="T364" i="2" s="1"/>
  <c r="H364" i="2"/>
  <c r="E364" i="2"/>
  <c r="I366" i="2"/>
  <c r="R366" i="2" s="1"/>
  <c r="T366" i="2" s="1"/>
  <c r="H366" i="2"/>
  <c r="E366" i="2"/>
  <c r="H360" i="2"/>
  <c r="I360" i="2"/>
  <c r="R360" i="2" s="1"/>
  <c r="T360" i="2" s="1"/>
  <c r="E360" i="2"/>
  <c r="I367" i="2"/>
  <c r="R367" i="2" s="1"/>
  <c r="T367" i="2" s="1"/>
  <c r="H367" i="2"/>
  <c r="E367" i="2"/>
  <c r="I353" i="2"/>
  <c r="R353" i="2" s="1"/>
  <c r="T353" i="2" s="1"/>
  <c r="H353" i="2"/>
  <c r="Q353" i="2"/>
  <c r="E353" i="2"/>
  <c r="I346" i="2"/>
  <c r="R346" i="2" s="1"/>
  <c r="T346" i="2" s="1"/>
  <c r="H346" i="2"/>
  <c r="E346" i="2"/>
  <c r="H345" i="2"/>
  <c r="I345" i="2"/>
  <c r="R345" i="2" s="1"/>
  <c r="T345" i="2" s="1"/>
  <c r="E345" i="2"/>
  <c r="I347" i="2"/>
  <c r="R347" i="2" s="1"/>
  <c r="T347" i="2" s="1"/>
  <c r="H347" i="2"/>
  <c r="E347" i="2"/>
  <c r="I342" i="2"/>
  <c r="R342" i="2" s="1"/>
  <c r="T342" i="2" s="1"/>
  <c r="H342" i="2"/>
  <c r="E342" i="2"/>
  <c r="I335" i="2"/>
  <c r="R335" i="2" s="1"/>
  <c r="T335" i="2" s="1"/>
  <c r="H335" i="2"/>
  <c r="E335" i="2"/>
  <c r="H339" i="2"/>
  <c r="I339" i="2"/>
  <c r="R339" i="2" s="1"/>
  <c r="T339" i="2" s="1"/>
  <c r="E339" i="2"/>
  <c r="H326" i="2"/>
  <c r="I326" i="2"/>
  <c r="R326" i="2" s="1"/>
  <c r="T326" i="2" s="1"/>
  <c r="E326" i="2"/>
  <c r="I316" i="2"/>
  <c r="R316" i="2" s="1"/>
  <c r="T316" i="2" s="1"/>
  <c r="H316" i="2"/>
  <c r="E316" i="2"/>
  <c r="I305" i="2"/>
  <c r="R305" i="2" s="1"/>
  <c r="T305" i="2" s="1"/>
  <c r="H305" i="2"/>
  <c r="E305" i="2"/>
  <c r="I325" i="2"/>
  <c r="R325" i="2" s="1"/>
  <c r="T325" i="2" s="1"/>
  <c r="H325" i="2"/>
  <c r="E325" i="2"/>
  <c r="H297" i="2"/>
  <c r="I297" i="2"/>
  <c r="R297" i="2" s="1"/>
  <c r="T297" i="2" s="1"/>
  <c r="E297" i="2"/>
  <c r="I304" i="2"/>
  <c r="R304" i="2" s="1"/>
  <c r="T304" i="2" s="1"/>
  <c r="H304" i="2"/>
  <c r="E304" i="2"/>
  <c r="I311" i="2"/>
  <c r="R311" i="2" s="1"/>
  <c r="T311" i="2" s="1"/>
  <c r="H311" i="2"/>
  <c r="E311" i="2"/>
  <c r="H312" i="2"/>
  <c r="I312" i="2"/>
  <c r="R312" i="2" s="1"/>
  <c r="T312" i="2" s="1"/>
  <c r="E312" i="2"/>
  <c r="I294" i="2"/>
  <c r="R294" i="2" s="1"/>
  <c r="T294" i="2" s="1"/>
  <c r="H294" i="2"/>
  <c r="E294" i="2"/>
  <c r="I290" i="2"/>
  <c r="R290" i="2" s="1"/>
  <c r="T290" i="2" s="1"/>
  <c r="H290" i="2"/>
  <c r="E290" i="2"/>
  <c r="I287" i="2"/>
  <c r="R287" i="2" s="1"/>
  <c r="T287" i="2" s="1"/>
  <c r="H287" i="2"/>
  <c r="E287" i="2"/>
  <c r="H280" i="2"/>
  <c r="I280" i="2"/>
  <c r="R280" i="2" s="1"/>
  <c r="T280" i="2" s="1"/>
  <c r="E280" i="2"/>
  <c r="I284" i="2"/>
  <c r="R284" i="2" s="1"/>
  <c r="T284" i="2" s="1"/>
  <c r="H284" i="2"/>
  <c r="E284" i="2"/>
  <c r="I274" i="2"/>
  <c r="R274" i="2" s="1"/>
  <c r="T274" i="2" s="1"/>
  <c r="H274" i="2"/>
  <c r="E274" i="2"/>
  <c r="I262" i="2"/>
  <c r="R262" i="2" s="1"/>
  <c r="T262" i="2" s="1"/>
  <c r="H262" i="2"/>
  <c r="E262" i="2"/>
  <c r="I272" i="2"/>
  <c r="R272" i="2" s="1"/>
  <c r="T272" i="2" s="1"/>
  <c r="H272" i="2"/>
  <c r="E272" i="2"/>
  <c r="I269" i="2"/>
  <c r="R269" i="2" s="1"/>
  <c r="T269" i="2" s="1"/>
  <c r="H269" i="2"/>
  <c r="E269" i="2"/>
  <c r="I243" i="2"/>
  <c r="R243" i="2" s="1"/>
  <c r="T243" i="2" s="1"/>
  <c r="H243" i="2"/>
  <c r="E243" i="2"/>
  <c r="H244" i="2"/>
  <c r="I244" i="2"/>
  <c r="R244" i="2" s="1"/>
  <c r="T244" i="2" s="1"/>
  <c r="E244" i="2"/>
  <c r="I250" i="2"/>
  <c r="R250" i="2" s="1"/>
  <c r="T250" i="2" s="1"/>
  <c r="H250" i="2"/>
  <c r="E250" i="2"/>
  <c r="I235" i="2"/>
  <c r="R235" i="2" s="1"/>
  <c r="T235" i="2" s="1"/>
  <c r="H235" i="2"/>
  <c r="E235" i="2"/>
  <c r="H254" i="2"/>
  <c r="I254" i="2"/>
  <c r="R254" i="2" s="1"/>
  <c r="T254" i="2" s="1"/>
  <c r="E254" i="2"/>
  <c r="I227" i="2"/>
  <c r="R227" i="2" s="1"/>
  <c r="T227" i="2" s="1"/>
  <c r="H227" i="2"/>
  <c r="E227" i="2"/>
  <c r="I209" i="2"/>
  <c r="R209" i="2" s="1"/>
  <c r="T209" i="2" s="1"/>
  <c r="H209" i="2"/>
  <c r="E209" i="2"/>
  <c r="I221" i="2"/>
  <c r="R221" i="2" s="1"/>
  <c r="T221" i="2" s="1"/>
  <c r="H221" i="2"/>
  <c r="E221" i="2"/>
  <c r="H222" i="2"/>
  <c r="I222" i="2"/>
  <c r="R222" i="2" s="1"/>
  <c r="T222" i="2" s="1"/>
  <c r="E222" i="2"/>
  <c r="H212" i="2"/>
  <c r="I212" i="2"/>
  <c r="R212" i="2" s="1"/>
  <c r="T212" i="2" s="1"/>
  <c r="E212" i="2"/>
  <c r="I220" i="2"/>
  <c r="R220" i="2" s="1"/>
  <c r="T220" i="2" s="1"/>
  <c r="H220" i="2"/>
  <c r="E220" i="2"/>
  <c r="I207" i="2"/>
  <c r="R207" i="2" s="1"/>
  <c r="T207" i="2" s="1"/>
  <c r="H207" i="2"/>
  <c r="E207" i="2"/>
  <c r="H198" i="2"/>
  <c r="I198" i="2"/>
  <c r="R198" i="2" s="1"/>
  <c r="T198" i="2" s="1"/>
  <c r="E198" i="2"/>
  <c r="I203" i="2"/>
  <c r="R203" i="2" s="1"/>
  <c r="T203" i="2" s="1"/>
  <c r="Q203" i="2"/>
  <c r="H203" i="2"/>
  <c r="E203" i="2"/>
  <c r="I186" i="2"/>
  <c r="R186" i="2" s="1"/>
  <c r="T186" i="2" s="1"/>
  <c r="H186" i="2"/>
  <c r="E186" i="2"/>
  <c r="I193" i="2"/>
  <c r="R193" i="2" s="1"/>
  <c r="T193" i="2" s="1"/>
  <c r="H193" i="2"/>
  <c r="E193" i="2"/>
  <c r="I181" i="2"/>
  <c r="R181" i="2" s="1"/>
  <c r="T181" i="2" s="1"/>
  <c r="H181" i="2"/>
  <c r="E181" i="2"/>
  <c r="I167" i="2"/>
  <c r="R167" i="2" s="1"/>
  <c r="T167" i="2" s="1"/>
  <c r="H167" i="2"/>
  <c r="E167" i="2"/>
  <c r="H179" i="2"/>
  <c r="I179" i="2"/>
  <c r="R179" i="2" s="1"/>
  <c r="T179" i="2" s="1"/>
  <c r="E179" i="2"/>
  <c r="H172" i="2"/>
  <c r="I172" i="2"/>
  <c r="R172" i="2" s="1"/>
  <c r="T172" i="2" s="1"/>
  <c r="E172" i="2"/>
  <c r="I174" i="2"/>
  <c r="R174" i="2" s="1"/>
  <c r="T174" i="2" s="1"/>
  <c r="H174" i="2"/>
  <c r="E174" i="2"/>
  <c r="I151" i="2"/>
  <c r="R151" i="2" s="1"/>
  <c r="T151" i="2" s="1"/>
  <c r="H151" i="2"/>
  <c r="E151" i="2"/>
  <c r="H143" i="2"/>
  <c r="I143" i="2"/>
  <c r="R143" i="2" s="1"/>
  <c r="T143" i="2" s="1"/>
  <c r="E143" i="2"/>
  <c r="I155" i="2"/>
  <c r="R155" i="2" s="1"/>
  <c r="T155" i="2" s="1"/>
  <c r="H155" i="2"/>
  <c r="E155" i="2"/>
  <c r="I141" i="2"/>
  <c r="R141" i="2" s="1"/>
  <c r="T141" i="2" s="1"/>
  <c r="H141" i="2"/>
  <c r="E141" i="2"/>
  <c r="I158" i="2"/>
  <c r="R158" i="2" s="1"/>
  <c r="T158" i="2" s="1"/>
  <c r="H158" i="2"/>
  <c r="E158" i="2"/>
  <c r="I140" i="2"/>
  <c r="R140" i="2" s="1"/>
  <c r="T140" i="2" s="1"/>
  <c r="H140" i="2"/>
  <c r="E140" i="2"/>
  <c r="I165" i="2"/>
  <c r="R165" i="2" s="1"/>
  <c r="T165" i="2" s="1"/>
  <c r="H165" i="2"/>
  <c r="E165" i="2"/>
  <c r="I159" i="2"/>
  <c r="R159" i="2" s="1"/>
  <c r="T159" i="2" s="1"/>
  <c r="H159" i="2"/>
  <c r="E159" i="2"/>
  <c r="I133" i="2"/>
  <c r="R133" i="2" s="1"/>
  <c r="T133" i="2" s="1"/>
  <c r="H133" i="2"/>
  <c r="E133" i="2"/>
  <c r="I121" i="2"/>
  <c r="R121" i="2" s="1"/>
  <c r="T121" i="2" s="1"/>
  <c r="H121" i="2"/>
  <c r="E121" i="2"/>
  <c r="I131" i="2"/>
  <c r="R131" i="2" s="1"/>
  <c r="T131" i="2" s="1"/>
  <c r="H131" i="2"/>
  <c r="E131" i="2"/>
  <c r="I129" i="2"/>
  <c r="R129" i="2" s="1"/>
  <c r="T129" i="2" s="1"/>
  <c r="H129" i="2"/>
  <c r="E129" i="2"/>
  <c r="H114" i="2"/>
  <c r="Q114" i="2"/>
  <c r="I114" i="2"/>
  <c r="R114" i="2" s="1"/>
  <c r="T114" i="2" s="1"/>
  <c r="E114" i="2"/>
  <c r="I106" i="2"/>
  <c r="R106" i="2" s="1"/>
  <c r="T106" i="2" s="1"/>
  <c r="H106" i="2"/>
  <c r="E106" i="2"/>
  <c r="H109" i="2"/>
  <c r="I109" i="2"/>
  <c r="R109" i="2" s="1"/>
  <c r="T109" i="2" s="1"/>
  <c r="E109" i="2"/>
  <c r="H104" i="2"/>
  <c r="I104" i="2"/>
  <c r="R104" i="2" s="1"/>
  <c r="T104" i="2" s="1"/>
  <c r="E104" i="2"/>
  <c r="I92" i="2"/>
  <c r="R92" i="2" s="1"/>
  <c r="T92" i="2" s="1"/>
  <c r="H92" i="2"/>
  <c r="E92" i="2"/>
  <c r="I100" i="2"/>
  <c r="R100" i="2" s="1"/>
  <c r="T100" i="2" s="1"/>
  <c r="H100" i="2"/>
  <c r="E100" i="2"/>
  <c r="I98" i="2"/>
  <c r="R98" i="2" s="1"/>
  <c r="T98" i="2" s="1"/>
  <c r="H98" i="2"/>
  <c r="E98" i="2"/>
  <c r="I80" i="2"/>
  <c r="R80" i="2" s="1"/>
  <c r="T80" i="2" s="1"/>
  <c r="H80" i="2"/>
  <c r="E80" i="2"/>
  <c r="H86" i="2"/>
  <c r="I86" i="2"/>
  <c r="R86" i="2" s="1"/>
  <c r="T86" i="2" s="1"/>
  <c r="E86" i="2"/>
  <c r="I67" i="2"/>
  <c r="R67" i="2" s="1"/>
  <c r="T67" i="2" s="1"/>
  <c r="H67" i="2"/>
  <c r="E67" i="2"/>
  <c r="I63" i="2"/>
  <c r="R63" i="2" s="1"/>
  <c r="T63" i="2" s="1"/>
  <c r="H63" i="2"/>
  <c r="E63" i="2"/>
  <c r="I70" i="2"/>
  <c r="R70" i="2" s="1"/>
  <c r="T70" i="2" s="1"/>
  <c r="H70" i="2"/>
  <c r="E70" i="2"/>
  <c r="I61" i="2"/>
  <c r="R61" i="2" s="1"/>
  <c r="T61" i="2" s="1"/>
  <c r="H61" i="2"/>
  <c r="E61" i="2"/>
  <c r="I74" i="2"/>
  <c r="R74" i="2" s="1"/>
  <c r="T74" i="2" s="1"/>
  <c r="H74" i="2"/>
  <c r="E74" i="2"/>
  <c r="I56" i="2"/>
  <c r="R56" i="2" s="1"/>
  <c r="T56" i="2" s="1"/>
  <c r="H56" i="2"/>
  <c r="E56" i="2"/>
  <c r="H55" i="2"/>
  <c r="I55" i="2"/>
  <c r="R55" i="2" s="1"/>
  <c r="T55" i="2" s="1"/>
  <c r="E55" i="2"/>
  <c r="H53" i="2"/>
  <c r="I53" i="2"/>
  <c r="R53" i="2" s="1"/>
  <c r="T53" i="2" s="1"/>
  <c r="E53" i="2"/>
  <c r="I50" i="2"/>
  <c r="R50" i="2" s="1"/>
  <c r="T50" i="2" s="1"/>
  <c r="H50" i="2"/>
  <c r="E50" i="2"/>
  <c r="I39" i="2"/>
  <c r="R39" i="2" s="1"/>
  <c r="T39" i="2" s="1"/>
  <c r="H39" i="2"/>
  <c r="E39" i="2"/>
  <c r="I47" i="2"/>
  <c r="R47" i="2" s="1"/>
  <c r="T47" i="2" s="1"/>
  <c r="E47" i="2"/>
  <c r="H47" i="2"/>
  <c r="H44" i="2"/>
  <c r="E44" i="2"/>
  <c r="I44" i="2"/>
  <c r="R44" i="2" s="1"/>
  <c r="T44" i="2" s="1"/>
  <c r="I34" i="2"/>
  <c r="R34" i="2" s="1"/>
  <c r="T34" i="2" s="1"/>
  <c r="H34" i="2"/>
  <c r="E34" i="2"/>
  <c r="I27" i="2"/>
  <c r="R27" i="2" s="1"/>
  <c r="T27" i="2" s="1"/>
  <c r="H27" i="2"/>
  <c r="E27" i="2"/>
  <c r="I36" i="2"/>
  <c r="R36" i="2" s="1"/>
  <c r="T36" i="2" s="1"/>
  <c r="H36" i="2"/>
  <c r="E36" i="2"/>
  <c r="I35" i="2"/>
  <c r="R35" i="2" s="1"/>
  <c r="T35" i="2" s="1"/>
  <c r="H35" i="2"/>
  <c r="E35" i="2"/>
  <c r="I17" i="2"/>
  <c r="R17" i="2" s="1"/>
  <c r="T17" i="2" s="1"/>
  <c r="H17" i="2"/>
  <c r="E17" i="2"/>
  <c r="I23" i="2"/>
  <c r="R23" i="2" s="1"/>
  <c r="T23" i="2" s="1"/>
  <c r="E23" i="2"/>
  <c r="H23" i="2"/>
  <c r="H21" i="2"/>
  <c r="I21" i="2"/>
  <c r="R21" i="2" s="1"/>
  <c r="T21" i="2" s="1"/>
  <c r="E21" i="2"/>
  <c r="I15" i="2"/>
  <c r="R15" i="2" s="1"/>
  <c r="T15" i="2" s="1"/>
  <c r="H15" i="2"/>
  <c r="E15" i="2"/>
  <c r="I11" i="2"/>
  <c r="R11" i="2" s="1"/>
  <c r="T11" i="2" s="1"/>
  <c r="H11" i="2"/>
  <c r="E11" i="2"/>
  <c r="I6" i="2"/>
  <c r="R6" i="2" s="1"/>
  <c r="T6" i="2" s="1"/>
  <c r="H6" i="2"/>
  <c r="E6" i="2"/>
  <c r="I4" i="2"/>
  <c r="R4" i="2" s="1"/>
  <c r="T4" i="2" s="1"/>
  <c r="H4" i="2"/>
  <c r="E4" i="2"/>
  <c r="P558" i="2"/>
  <c r="P450" i="2"/>
  <c r="P440" i="2"/>
  <c r="P526" i="2"/>
  <c r="P437" i="2"/>
  <c r="P238" i="2"/>
  <c r="P186" i="2"/>
  <c r="P99" i="2"/>
  <c r="P242" i="2"/>
  <c r="P417" i="2"/>
  <c r="P431" i="2"/>
  <c r="P423" i="2"/>
  <c r="P187" i="2"/>
  <c r="P166" i="2"/>
  <c r="P155" i="2"/>
  <c r="P156" i="2"/>
  <c r="P162" i="2"/>
  <c r="P136" i="2"/>
  <c r="P113" i="2"/>
  <c r="P105" i="2"/>
  <c r="P96" i="2"/>
  <c r="P72" i="2"/>
  <c r="P397" i="2"/>
  <c r="P393" i="2"/>
  <c r="P394" i="2"/>
  <c r="P405" i="2"/>
  <c r="P369" i="2"/>
  <c r="P356" i="2"/>
  <c r="P340" i="2"/>
  <c r="P329" i="2"/>
  <c r="P317" i="2"/>
  <c r="P321" i="2"/>
  <c r="P306" i="2"/>
  <c r="P302" i="2"/>
  <c r="P291" i="2"/>
  <c r="P285" i="2"/>
  <c r="P276" i="2"/>
  <c r="P228" i="2"/>
  <c r="P194" i="2"/>
  <c r="P168" i="2"/>
  <c r="P179" i="2"/>
  <c r="P125" i="2"/>
  <c r="P90" i="2"/>
  <c r="P188" i="2"/>
  <c r="P128" i="2"/>
  <c r="P122" i="2"/>
  <c r="P112" i="2"/>
  <c r="P89" i="2"/>
  <c r="P457" i="2"/>
  <c r="P463" i="2"/>
  <c r="P456" i="2"/>
  <c r="P402" i="2"/>
  <c r="P409" i="2"/>
  <c r="P386" i="2"/>
  <c r="P374" i="2"/>
  <c r="P380" i="2"/>
  <c r="P362" i="2"/>
  <c r="P349" i="2"/>
  <c r="P357" i="2"/>
  <c r="P330" i="2"/>
  <c r="P348" i="2"/>
  <c r="P333" i="2"/>
  <c r="P327" i="2"/>
  <c r="P303" i="2"/>
  <c r="P322" i="2"/>
  <c r="P301" i="2"/>
  <c r="P296" i="2"/>
  <c r="P288" i="2"/>
  <c r="P263" i="2"/>
  <c r="P236" i="2"/>
  <c r="P231" i="2"/>
  <c r="P221" i="2"/>
  <c r="P219" i="2"/>
  <c r="P222" i="2"/>
  <c r="P202" i="2"/>
  <c r="P205" i="2"/>
  <c r="P203" i="2"/>
  <c r="P190" i="2"/>
  <c r="P181" i="2"/>
  <c r="P174" i="2"/>
  <c r="P150" i="2"/>
  <c r="P135" i="2"/>
  <c r="P97" i="2"/>
  <c r="P732" i="2"/>
  <c r="P733" i="2"/>
  <c r="P691" i="2"/>
  <c r="P667" i="2"/>
  <c r="P653" i="2"/>
  <c r="P626" i="2"/>
  <c r="P613" i="2"/>
  <c r="P602" i="2"/>
  <c r="P611" i="2"/>
  <c r="P588" i="2"/>
  <c r="P571" i="2"/>
  <c r="P680" i="2"/>
  <c r="P735" i="2"/>
  <c r="P725" i="2"/>
  <c r="P726" i="2"/>
  <c r="P711" i="2"/>
  <c r="P700" i="2"/>
  <c r="P688" i="2"/>
  <c r="P675" i="2"/>
  <c r="P656" i="2"/>
  <c r="P658" i="2"/>
  <c r="P636" i="2"/>
  <c r="P638" i="2"/>
  <c r="P646" i="2"/>
  <c r="P633" i="2"/>
  <c r="P599" i="2"/>
  <c r="P610" i="2"/>
  <c r="P603" i="2"/>
  <c r="P577" i="2"/>
  <c r="P578" i="2"/>
  <c r="P692" i="2"/>
  <c r="P676" i="2"/>
  <c r="P634" i="2"/>
  <c r="P617" i="2"/>
  <c r="P716" i="2"/>
  <c r="P697" i="2"/>
  <c r="P673" i="2"/>
  <c r="P650" i="2"/>
  <c r="P648" i="2"/>
  <c r="P632" i="2"/>
  <c r="P616" i="2"/>
  <c r="P622" i="2"/>
  <c r="P597" i="2"/>
  <c r="P583" i="2"/>
  <c r="P590" i="2"/>
  <c r="P584" i="2"/>
  <c r="P614" i="2"/>
  <c r="P595" i="2"/>
  <c r="P706" i="2"/>
  <c r="P684" i="2"/>
  <c r="P657" i="2"/>
  <c r="P642" i="2"/>
  <c r="P625" i="2"/>
  <c r="P707" i="2"/>
  <c r="P717" i="2"/>
  <c r="P722" i="2"/>
  <c r="P702" i="2"/>
  <c r="P685" i="2"/>
  <c r="P662" i="2"/>
  <c r="P681" i="2"/>
  <c r="P659" i="2"/>
  <c r="P730" i="2"/>
  <c r="P729" i="2"/>
  <c r="P713" i="2"/>
  <c r="P712" i="2"/>
  <c r="P696" i="2"/>
  <c r="P694" i="2"/>
  <c r="P689" i="2"/>
  <c r="P679" i="2"/>
  <c r="P670" i="2"/>
  <c r="P668" i="2"/>
  <c r="P651" i="2"/>
  <c r="P643" i="2"/>
  <c r="P639" i="2"/>
  <c r="P630" i="2"/>
  <c r="P629" i="2"/>
  <c r="P628" i="2"/>
  <c r="P609" i="2"/>
  <c r="P587" i="2"/>
  <c r="P598" i="2"/>
  <c r="P579" i="2"/>
  <c r="P581" i="2"/>
  <c r="P556" i="2"/>
  <c r="P538" i="2"/>
  <c r="P529" i="2"/>
  <c r="P516" i="2"/>
  <c r="P507" i="2"/>
  <c r="P491" i="2"/>
  <c r="P486" i="2"/>
  <c r="P428" i="2"/>
  <c r="P234" i="2"/>
  <c r="P196" i="2"/>
  <c r="P195" i="2"/>
  <c r="P208" i="2"/>
  <c r="P204" i="2"/>
  <c r="P185" i="2"/>
  <c r="P192" i="2"/>
  <c r="P189" i="2"/>
  <c r="P171" i="2"/>
  <c r="P182" i="2"/>
  <c r="P178" i="2"/>
  <c r="P176" i="2"/>
  <c r="P153" i="2"/>
  <c r="P127" i="2"/>
  <c r="P103" i="2"/>
  <c r="P91" i="2"/>
  <c r="P87" i="2"/>
  <c r="P62" i="2"/>
  <c r="P59" i="2"/>
  <c r="P78" i="2"/>
  <c r="P39" i="2"/>
  <c r="P33" i="2"/>
  <c r="P11" i="2"/>
  <c r="P666" i="2"/>
  <c r="P734" i="2"/>
  <c r="P723" i="2"/>
  <c r="P724" i="2"/>
  <c r="P721" i="2"/>
  <c r="P708" i="2"/>
  <c r="P709" i="2"/>
  <c r="P710" i="2"/>
  <c r="P703" i="2"/>
  <c r="P693" i="2"/>
  <c r="P701" i="2"/>
  <c r="P698" i="2"/>
  <c r="P686" i="2"/>
  <c r="P661" i="2"/>
  <c r="P682" i="2"/>
  <c r="P678" i="2"/>
  <c r="P655" i="2"/>
  <c r="P660" i="2"/>
  <c r="P683" i="2"/>
  <c r="P652" i="2"/>
  <c r="P641" i="2"/>
  <c r="P649" i="2"/>
  <c r="P644" i="2"/>
  <c r="P631" i="2"/>
  <c r="P619" i="2"/>
  <c r="P623" i="2"/>
  <c r="P604" i="2"/>
  <c r="P612" i="2"/>
  <c r="P607" i="2"/>
  <c r="P605" i="2"/>
  <c r="P582" i="2"/>
  <c r="P589" i="2"/>
  <c r="P593" i="2"/>
  <c r="P576" i="2"/>
  <c r="P574" i="2"/>
  <c r="P580" i="2"/>
  <c r="P596" i="2"/>
  <c r="P555" i="2"/>
  <c r="P565" i="2"/>
  <c r="P562" i="2"/>
  <c r="P563" i="2"/>
  <c r="P543" i="2"/>
  <c r="P545" i="2"/>
  <c r="P547" i="2"/>
  <c r="P540" i="2"/>
  <c r="P533" i="2"/>
  <c r="P531" i="2"/>
  <c r="P508" i="2"/>
  <c r="P524" i="2"/>
  <c r="P525" i="2"/>
  <c r="P511" i="2"/>
  <c r="P521" i="2"/>
  <c r="P510" i="2"/>
  <c r="P509" i="2"/>
  <c r="P500" i="2"/>
  <c r="P488" i="2"/>
  <c r="P492" i="2"/>
  <c r="P477" i="2"/>
  <c r="P472" i="2"/>
  <c r="P480" i="2"/>
  <c r="P466" i="2"/>
  <c r="P483" i="2"/>
  <c r="P474" i="2"/>
  <c r="P465" i="2"/>
  <c r="P458" i="2"/>
  <c r="P454" i="2"/>
  <c r="P455" i="2"/>
  <c r="P452" i="2"/>
  <c r="P448" i="2"/>
  <c r="P444" i="2"/>
  <c r="P442" i="2"/>
  <c r="P435" i="2"/>
  <c r="P416" i="2"/>
  <c r="P420" i="2"/>
  <c r="P260" i="2"/>
  <c r="P264" i="2"/>
  <c r="P551" i="2"/>
  <c r="P553" i="2"/>
  <c r="P493" i="2"/>
  <c r="P482" i="2"/>
  <c r="P429" i="2"/>
  <c r="P569" i="2"/>
  <c r="P567" i="2"/>
  <c r="P559" i="2"/>
  <c r="P557" i="2"/>
  <c r="P534" i="2"/>
  <c r="P513" i="2"/>
  <c r="P512" i="2"/>
  <c r="P502" i="2"/>
  <c r="P489" i="2"/>
  <c r="P469" i="2"/>
  <c r="P485" i="2"/>
  <c r="P487" i="2"/>
  <c r="P418" i="2"/>
  <c r="P261" i="2"/>
  <c r="P539" i="2"/>
  <c r="P518" i="2"/>
  <c r="P494" i="2"/>
  <c r="P572" i="2"/>
  <c r="P560" i="2"/>
  <c r="P549" i="2"/>
  <c r="P554" i="2"/>
  <c r="P544" i="2"/>
  <c r="P530" i="2"/>
  <c r="P528" i="2"/>
  <c r="P523" i="2"/>
  <c r="P519" i="2"/>
  <c r="P503" i="2"/>
  <c r="P478" i="2"/>
  <c r="P499" i="2"/>
  <c r="P484" i="2"/>
  <c r="P468" i="2"/>
  <c r="P432" i="2"/>
  <c r="P464" i="2"/>
  <c r="P459" i="2"/>
  <c r="P460" i="2"/>
  <c r="P462" i="2"/>
  <c r="P451" i="2"/>
  <c r="P453" i="2"/>
  <c r="P436" i="2"/>
  <c r="P445" i="2"/>
  <c r="P447" i="2"/>
  <c r="P433" i="2"/>
  <c r="P430" i="2"/>
  <c r="P411" i="2"/>
  <c r="P392" i="2"/>
  <c r="P372" i="2"/>
  <c r="P387" i="2"/>
  <c r="P371" i="2"/>
  <c r="P396" i="2"/>
  <c r="P376" i="2"/>
  <c r="P375" i="2"/>
  <c r="P378" i="2"/>
  <c r="P368" i="2"/>
  <c r="P410" i="2"/>
  <c r="P364" i="2"/>
  <c r="P366" i="2"/>
  <c r="P360" i="2"/>
  <c r="P367" i="2"/>
  <c r="P353" i="2"/>
  <c r="P346" i="2"/>
  <c r="P345" i="2"/>
  <c r="P347" i="2"/>
  <c r="P342" i="2"/>
  <c r="P335" i="2"/>
  <c r="P339" i="2"/>
  <c r="P326" i="2"/>
  <c r="P316" i="2"/>
  <c r="P305" i="2"/>
  <c r="P325" i="2"/>
  <c r="P297" i="2"/>
  <c r="P304" i="2"/>
  <c r="P311" i="2"/>
  <c r="P312" i="2"/>
  <c r="P294" i="2"/>
  <c r="P290" i="2"/>
  <c r="P287" i="2"/>
  <c r="P280" i="2"/>
  <c r="P284" i="2"/>
  <c r="P274" i="2"/>
  <c r="P262" i="2"/>
  <c r="P249" i="2"/>
  <c r="P248" i="2"/>
  <c r="P258" i="2"/>
  <c r="P253" i="2"/>
  <c r="P216" i="2"/>
  <c r="P211" i="2"/>
  <c r="P200" i="2"/>
  <c r="P414" i="2"/>
  <c r="P259" i="2"/>
  <c r="P270" i="2"/>
  <c r="P243" i="2"/>
  <c r="P226" i="2"/>
  <c r="P424" i="2"/>
  <c r="P241" i="2"/>
  <c r="P239" i="2"/>
  <c r="P247" i="2"/>
  <c r="P255" i="2"/>
  <c r="P230" i="2"/>
  <c r="P215" i="2"/>
  <c r="P214" i="2"/>
  <c r="P408" i="2"/>
  <c r="P404" i="2"/>
  <c r="P400" i="2"/>
  <c r="P382" i="2"/>
  <c r="P389" i="2"/>
  <c r="P383" i="2"/>
  <c r="P370" i="2"/>
  <c r="P390" i="2"/>
  <c r="P388" i="2"/>
  <c r="P403" i="2"/>
  <c r="P377" i="2"/>
  <c r="P365" i="2"/>
  <c r="P361" i="2"/>
  <c r="P363" i="2"/>
  <c r="P359" i="2"/>
  <c r="P338" i="2"/>
  <c r="P331" i="2"/>
  <c r="P343" i="2"/>
  <c r="P344" i="2"/>
  <c r="P328" i="2"/>
  <c r="P310" i="2"/>
  <c r="P307" i="2"/>
  <c r="P320" i="2"/>
  <c r="P314" i="2"/>
  <c r="P319" i="2"/>
  <c r="P324" i="2"/>
  <c r="P309" i="2"/>
  <c r="P295" i="2"/>
  <c r="P289" i="2"/>
  <c r="P283" i="2"/>
  <c r="P281" i="2"/>
  <c r="P286" i="2"/>
  <c r="P278" i="2"/>
  <c r="P273" i="2"/>
  <c r="P266" i="2"/>
  <c r="P265" i="2"/>
  <c r="P268" i="2"/>
  <c r="P245" i="2"/>
  <c r="P240" i="2"/>
  <c r="P229" i="2"/>
  <c r="P213" i="2"/>
  <c r="P160" i="2"/>
  <c r="P145" i="2"/>
  <c r="P164" i="2"/>
  <c r="P117" i="2"/>
  <c r="P107" i="2"/>
  <c r="P82" i="2"/>
  <c r="P139" i="2"/>
  <c r="P126" i="2"/>
  <c r="P120" i="2"/>
  <c r="P111" i="2"/>
  <c r="P95" i="2"/>
  <c r="P206" i="2"/>
  <c r="P199" i="2"/>
  <c r="P197" i="2"/>
  <c r="P184" i="2"/>
  <c r="P191" i="2"/>
  <c r="P183" i="2"/>
  <c r="P180" i="2"/>
  <c r="P148" i="2"/>
  <c r="P143" i="2"/>
  <c r="P149" i="2"/>
  <c r="P134" i="2"/>
  <c r="P130" i="2"/>
  <c r="P101" i="2"/>
  <c r="P141" i="2"/>
  <c r="P158" i="2"/>
  <c r="P140" i="2"/>
  <c r="P165" i="2"/>
  <c r="P159" i="2"/>
  <c r="P133" i="2"/>
  <c r="P121" i="2"/>
  <c r="P131" i="2"/>
  <c r="P129" i="2"/>
  <c r="P114" i="2"/>
  <c r="P106" i="2"/>
  <c r="P109" i="2"/>
  <c r="P104" i="2"/>
  <c r="P92" i="2"/>
  <c r="P100" i="2"/>
  <c r="P98" i="2"/>
  <c r="P80" i="2"/>
  <c r="P60" i="2"/>
  <c r="P14" i="2"/>
  <c r="P144" i="2"/>
  <c r="P147" i="2"/>
  <c r="P77" i="2"/>
  <c r="P61" i="2"/>
  <c r="P52" i="2"/>
  <c r="P46" i="2"/>
  <c r="P25" i="2"/>
  <c r="P22" i="2"/>
  <c r="P63" i="2"/>
  <c r="P26" i="2"/>
  <c r="P17" i="2"/>
  <c r="P19" i="2"/>
  <c r="P67" i="2"/>
  <c r="P57" i="2"/>
  <c r="P55" i="2"/>
  <c r="P79" i="2"/>
  <c r="P50" i="2"/>
  <c r="P45" i="2"/>
  <c r="P49" i="2"/>
  <c r="P34" i="2"/>
  <c r="P28" i="2"/>
  <c r="P35" i="2"/>
  <c r="P18" i="2"/>
  <c r="P15" i="2"/>
  <c r="P12" i="2"/>
  <c r="P83" i="2"/>
  <c r="P86" i="2"/>
  <c r="P68" i="2"/>
  <c r="P66" i="2"/>
  <c r="P56" i="2"/>
  <c r="P71" i="2"/>
  <c r="P76" i="2"/>
  <c r="P51" i="2"/>
  <c r="P40" i="2"/>
  <c r="P44" i="2"/>
  <c r="P41" i="2"/>
  <c r="P36" i="2"/>
  <c r="P29" i="2"/>
  <c r="P30" i="2"/>
  <c r="P21" i="2"/>
  <c r="P13" i="2"/>
  <c r="P81" i="2"/>
  <c r="P70" i="2"/>
  <c r="P65" i="2"/>
  <c r="P74" i="2"/>
  <c r="P54" i="2"/>
  <c r="P53" i="2"/>
  <c r="P47" i="2"/>
  <c r="P43" i="2"/>
  <c r="P27" i="2"/>
  <c r="P32" i="2"/>
  <c r="P23" i="2"/>
  <c r="P16" i="2"/>
  <c r="Q48" i="2" l="1"/>
  <c r="Q260" i="2"/>
  <c r="Q505" i="2"/>
  <c r="Q543" i="2"/>
  <c r="Q94" i="2"/>
  <c r="W94" i="2"/>
  <c r="Q63" i="2"/>
  <c r="W63" i="2"/>
  <c r="Q33" i="2"/>
  <c r="W33" i="2"/>
  <c r="Q358" i="2"/>
  <c r="W358" i="2"/>
  <c r="Q494" i="2"/>
  <c r="W494" i="2"/>
  <c r="Q440" i="2"/>
  <c r="W440" i="2"/>
  <c r="Q383" i="2"/>
  <c r="W383" i="2"/>
  <c r="Q351" i="2"/>
  <c r="W351" i="2"/>
  <c r="Q322" i="2"/>
  <c r="W322" i="2"/>
  <c r="Q279" i="2"/>
  <c r="W279" i="2"/>
  <c r="Q250" i="2"/>
  <c r="W250" i="2"/>
  <c r="Q221" i="2"/>
  <c r="W221" i="2"/>
  <c r="Q182" i="2"/>
  <c r="W182" i="2"/>
  <c r="Q144" i="2"/>
  <c r="W144" i="2"/>
  <c r="Q108" i="2"/>
  <c r="W108" i="2"/>
  <c r="Q76" i="2"/>
  <c r="W76" i="2"/>
  <c r="Q46" i="2"/>
  <c r="W46" i="2"/>
  <c r="Q10" i="2"/>
  <c r="W10" i="2"/>
  <c r="Q361" i="2"/>
  <c r="W361" i="2"/>
  <c r="Q321" i="2"/>
  <c r="W321" i="2"/>
  <c r="Q257" i="2"/>
  <c r="W257" i="2"/>
  <c r="Q167" i="2"/>
  <c r="W167" i="2"/>
  <c r="Q57" i="2"/>
  <c r="W57" i="2"/>
  <c r="Q161" i="2"/>
  <c r="W161" i="2"/>
  <c r="Q498" i="2"/>
  <c r="W498" i="2"/>
  <c r="Q456" i="2"/>
  <c r="W456" i="2"/>
  <c r="Q366" i="2"/>
  <c r="W366" i="2"/>
  <c r="Q50" i="2"/>
  <c r="W50" i="2"/>
  <c r="Q131" i="2"/>
  <c r="W131" i="2"/>
  <c r="Q107" i="2"/>
  <c r="W107" i="2"/>
  <c r="Q73" i="2"/>
  <c r="W73" i="2"/>
  <c r="Q141" i="2"/>
  <c r="W141" i="2"/>
  <c r="Q106" i="2"/>
  <c r="W106" i="2"/>
  <c r="Q51" i="2"/>
  <c r="W51" i="2"/>
  <c r="Q15" i="2"/>
  <c r="W15" i="2"/>
  <c r="Q479" i="2"/>
  <c r="W479" i="2"/>
  <c r="Q428" i="2"/>
  <c r="W428" i="2"/>
  <c r="Q347" i="2"/>
  <c r="W347" i="2"/>
  <c r="Q314" i="2"/>
  <c r="W314" i="2"/>
  <c r="Q275" i="2"/>
  <c r="W275" i="2"/>
  <c r="Q233" i="2"/>
  <c r="W233" i="2"/>
  <c r="Q197" i="2"/>
  <c r="W197" i="2"/>
  <c r="Q164" i="2"/>
  <c r="W164" i="2"/>
  <c r="Q136" i="2"/>
  <c r="W136" i="2"/>
  <c r="Q105" i="2"/>
  <c r="W105" i="2"/>
  <c r="Q64" i="2"/>
  <c r="W64" i="2"/>
  <c r="Q32" i="2"/>
  <c r="W32" i="2"/>
  <c r="Q346" i="2"/>
  <c r="W346" i="2"/>
  <c r="Q431" i="2"/>
  <c r="W431" i="2"/>
  <c r="Q382" i="2"/>
  <c r="W382" i="2"/>
  <c r="Q344" i="2"/>
  <c r="W344" i="2"/>
  <c r="Q309" i="2"/>
  <c r="W309" i="2"/>
  <c r="Q232" i="2"/>
  <c r="W232" i="2"/>
  <c r="Q155" i="2"/>
  <c r="W155" i="2"/>
  <c r="Q9" i="2"/>
  <c r="W9" i="2"/>
  <c r="Q6" i="2"/>
  <c r="W6" i="2"/>
  <c r="Q271" i="2"/>
  <c r="W271" i="2"/>
  <c r="Q174" i="2"/>
  <c r="W174" i="2"/>
  <c r="Q101" i="2"/>
  <c r="W101" i="2"/>
  <c r="Q432" i="2"/>
  <c r="W432" i="2"/>
  <c r="Q313" i="2"/>
  <c r="W313" i="2"/>
  <c r="Q249" i="2"/>
  <c r="W249" i="2"/>
  <c r="Q121" i="2"/>
  <c r="W121" i="2"/>
  <c r="Q87" i="2"/>
  <c r="W87" i="2"/>
  <c r="Q49" i="2"/>
  <c r="W49" i="2"/>
  <c r="Q204" i="2"/>
  <c r="W204" i="2"/>
  <c r="Q237" i="2"/>
  <c r="W237" i="2"/>
  <c r="Q268" i="2"/>
  <c r="W268" i="2"/>
  <c r="Q303" i="2"/>
  <c r="W303" i="2"/>
  <c r="Q338" i="2"/>
  <c r="W338" i="2"/>
  <c r="Q377" i="2"/>
  <c r="W377" i="2"/>
  <c r="Q408" i="2"/>
  <c r="W408" i="2"/>
  <c r="Q40" i="2"/>
  <c r="W40" i="2"/>
  <c r="Q80" i="2"/>
  <c r="W80" i="2"/>
  <c r="Q150" i="2"/>
  <c r="W150" i="2"/>
  <c r="Q352" i="2"/>
  <c r="W352" i="2"/>
  <c r="Q53" i="2"/>
  <c r="W53" i="2"/>
  <c r="Q12" i="2"/>
  <c r="W12" i="2"/>
  <c r="Q44" i="2"/>
  <c r="W44" i="2"/>
  <c r="Q82" i="2"/>
  <c r="W82" i="2"/>
  <c r="Q154" i="2"/>
  <c r="W154" i="2"/>
  <c r="Q277" i="2"/>
  <c r="W277" i="2"/>
  <c r="Q308" i="2"/>
  <c r="W308" i="2"/>
  <c r="Q339" i="2"/>
  <c r="W339" i="2"/>
  <c r="Q374" i="2"/>
  <c r="W374" i="2"/>
  <c r="Q409" i="2"/>
  <c r="W409" i="2"/>
  <c r="Q438" i="2"/>
  <c r="W438" i="2"/>
  <c r="Q469" i="2"/>
  <c r="W469" i="2"/>
  <c r="Q433" i="2"/>
  <c r="W433" i="2"/>
  <c r="Q462" i="2"/>
  <c r="W462" i="2"/>
  <c r="Q488" i="2"/>
  <c r="W488" i="2"/>
  <c r="Q519" i="2"/>
  <c r="W519" i="2"/>
  <c r="Q548" i="2"/>
  <c r="W548" i="2"/>
  <c r="Q610" i="2"/>
  <c r="W610" i="2"/>
  <c r="Q648" i="2"/>
  <c r="W648" i="2"/>
  <c r="Q677" i="2"/>
  <c r="W677" i="2"/>
  <c r="Q709" i="2"/>
  <c r="W709" i="2"/>
  <c r="Q496" i="2"/>
  <c r="W496" i="2"/>
  <c r="Q534" i="2"/>
  <c r="W534" i="2"/>
  <c r="Q565" i="2"/>
  <c r="W565" i="2"/>
  <c r="Q595" i="2"/>
  <c r="W595" i="2"/>
  <c r="Q641" i="2"/>
  <c r="W641" i="2"/>
  <c r="Q125" i="2"/>
  <c r="W125" i="2"/>
  <c r="Q165" i="2"/>
  <c r="W165" i="2"/>
  <c r="Q202" i="2"/>
  <c r="W202" i="2"/>
  <c r="Q230" i="2"/>
  <c r="W230" i="2"/>
  <c r="Q272" i="2"/>
  <c r="W272" i="2"/>
  <c r="Q307" i="2"/>
  <c r="W307" i="2"/>
  <c r="Q348" i="2"/>
  <c r="W348" i="2"/>
  <c r="Q380" i="2"/>
  <c r="W380" i="2"/>
  <c r="Q88" i="2"/>
  <c r="W88" i="2"/>
  <c r="Q52" i="2"/>
  <c r="W52" i="2"/>
  <c r="Q89" i="2"/>
  <c r="W89" i="2"/>
  <c r="Q126" i="2"/>
  <c r="W126" i="2"/>
  <c r="Q194" i="2"/>
  <c r="W194" i="2"/>
  <c r="Q256" i="2"/>
  <c r="W256" i="2"/>
  <c r="Q441" i="2"/>
  <c r="W441" i="2"/>
  <c r="Q527" i="2"/>
  <c r="W527" i="2"/>
  <c r="Q586" i="2"/>
  <c r="W586" i="2"/>
  <c r="Q318" i="2"/>
  <c r="W318" i="2"/>
  <c r="Q34" i="2"/>
  <c r="W34" i="2"/>
  <c r="Q99" i="2"/>
  <c r="W99" i="2"/>
  <c r="Q281" i="2"/>
  <c r="W281" i="2"/>
  <c r="Q312" i="2"/>
  <c r="W312" i="2"/>
  <c r="Q385" i="2"/>
  <c r="W385" i="2"/>
  <c r="Q421" i="2"/>
  <c r="W421" i="2"/>
  <c r="Q450" i="2"/>
  <c r="W450" i="2"/>
  <c r="Q493" i="2"/>
  <c r="W493" i="2"/>
  <c r="Q445" i="2"/>
  <c r="W445" i="2"/>
  <c r="Q484" i="2"/>
  <c r="W484" i="2"/>
  <c r="Q515" i="2"/>
  <c r="W515" i="2"/>
  <c r="Q583" i="2"/>
  <c r="W583" i="2"/>
  <c r="Q644" i="2"/>
  <c r="W644" i="2"/>
  <c r="Q673" i="2"/>
  <c r="W673" i="2"/>
  <c r="Q705" i="2"/>
  <c r="W705" i="2"/>
  <c r="Q737" i="2"/>
  <c r="W737" i="2"/>
  <c r="Q524" i="2"/>
  <c r="W524" i="2"/>
  <c r="Q553" i="2"/>
  <c r="W553" i="2"/>
  <c r="Q584" i="2"/>
  <c r="W584" i="2"/>
  <c r="Q619" i="2"/>
  <c r="W619" i="2"/>
  <c r="Q486" i="2"/>
  <c r="W486" i="2"/>
  <c r="Q652" i="2"/>
  <c r="W652" i="2"/>
  <c r="Q683" i="2"/>
  <c r="W683" i="2"/>
  <c r="Q715" i="2"/>
  <c r="W715" i="2"/>
  <c r="Q315" i="2"/>
  <c r="W315" i="2"/>
  <c r="Q702" i="2"/>
  <c r="W702" i="2"/>
  <c r="Q447" i="2"/>
  <c r="W447" i="2"/>
  <c r="Q476" i="2"/>
  <c r="W476" i="2"/>
  <c r="Q509" i="2"/>
  <c r="W509" i="2"/>
  <c r="Q542" i="2"/>
  <c r="W542" i="2"/>
  <c r="Q574" i="2"/>
  <c r="W574" i="2"/>
  <c r="Q604" i="2"/>
  <c r="W604" i="2"/>
  <c r="Q575" i="2"/>
  <c r="W575" i="2"/>
  <c r="Q609" i="2"/>
  <c r="W609" i="2"/>
  <c r="Q639" i="2"/>
  <c r="W639" i="2"/>
  <c r="Q676" i="2"/>
  <c r="W676" i="2"/>
  <c r="Q708" i="2"/>
  <c r="W708" i="2"/>
  <c r="Q671" i="2"/>
  <c r="W671" i="2"/>
  <c r="Q703" i="2"/>
  <c r="W703" i="2"/>
  <c r="Q631" i="2"/>
  <c r="W631" i="2"/>
  <c r="Q670" i="2"/>
  <c r="W670" i="2"/>
  <c r="Q706" i="2"/>
  <c r="W706" i="2"/>
  <c r="Q451" i="2"/>
  <c r="W451" i="2"/>
  <c r="Q546" i="2"/>
  <c r="W546" i="2"/>
  <c r="Q578" i="2"/>
  <c r="W578" i="2"/>
  <c r="Q616" i="2"/>
  <c r="W616" i="2"/>
  <c r="Q646" i="2"/>
  <c r="W646" i="2"/>
  <c r="Q675" i="2"/>
  <c r="W675" i="2"/>
  <c r="Q707" i="2"/>
  <c r="W707" i="2"/>
  <c r="Q522" i="2"/>
  <c r="W522" i="2"/>
  <c r="Q555" i="2"/>
  <c r="W555" i="2"/>
  <c r="Q589" i="2"/>
  <c r="W589" i="2"/>
  <c r="Q621" i="2"/>
  <c r="W621" i="2"/>
  <c r="Q650" i="2"/>
  <c r="W650" i="2"/>
  <c r="Q688" i="2"/>
  <c r="W688" i="2"/>
  <c r="Q720" i="2"/>
  <c r="W720" i="2"/>
  <c r="Q84" i="2"/>
  <c r="W84" i="2"/>
  <c r="Q67" i="2"/>
  <c r="W67" i="2"/>
  <c r="Q117" i="2"/>
  <c r="W117" i="2"/>
  <c r="Q85" i="2"/>
  <c r="W85" i="2"/>
  <c r="Q55" i="2"/>
  <c r="W55" i="2"/>
  <c r="Q23" i="2"/>
  <c r="W23" i="2"/>
  <c r="Q483" i="2"/>
  <c r="W483" i="2"/>
  <c r="Q422" i="2"/>
  <c r="W422" i="2"/>
  <c r="Q372" i="2"/>
  <c r="W372" i="2"/>
  <c r="Q345" i="2"/>
  <c r="W345" i="2"/>
  <c r="Q310" i="2"/>
  <c r="W310" i="2"/>
  <c r="Q244" i="2"/>
  <c r="W244" i="2"/>
  <c r="Q213" i="2"/>
  <c r="W213" i="2"/>
  <c r="Q138" i="2"/>
  <c r="W138" i="2"/>
  <c r="Q68" i="2"/>
  <c r="W68" i="2"/>
  <c r="Q38" i="2"/>
  <c r="W38" i="2"/>
  <c r="Q418" i="2"/>
  <c r="W418" i="2"/>
  <c r="Q435" i="2"/>
  <c r="W435" i="2"/>
  <c r="Q386" i="2"/>
  <c r="W386" i="2"/>
  <c r="Q350" i="2"/>
  <c r="W350" i="2"/>
  <c r="Q278" i="2"/>
  <c r="W278" i="2"/>
  <c r="Q195" i="2"/>
  <c r="W195" i="2"/>
  <c r="Q159" i="2"/>
  <c r="W159" i="2"/>
  <c r="Q143" i="2"/>
  <c r="W143" i="2"/>
  <c r="Q436" i="2"/>
  <c r="W436" i="2"/>
  <c r="Q387" i="2"/>
  <c r="W387" i="2"/>
  <c r="Q355" i="2"/>
  <c r="W355" i="2"/>
  <c r="Q116" i="2"/>
  <c r="W116" i="2"/>
  <c r="Q514" i="2"/>
  <c r="W514" i="2"/>
  <c r="Q123" i="2"/>
  <c r="W123" i="2"/>
  <c r="Q96" i="2"/>
  <c r="W96" i="2"/>
  <c r="Q13" i="2"/>
  <c r="W13" i="2"/>
  <c r="Q98" i="2"/>
  <c r="W98" i="2"/>
  <c r="Q45" i="2"/>
  <c r="W45" i="2"/>
  <c r="Q7" i="2"/>
  <c r="W7" i="2"/>
  <c r="Q506" i="2"/>
  <c r="W506" i="2"/>
  <c r="Q415" i="2"/>
  <c r="W415" i="2"/>
  <c r="Q368" i="2"/>
  <c r="W368" i="2"/>
  <c r="Q306" i="2"/>
  <c r="W306" i="2"/>
  <c r="Q261" i="2"/>
  <c r="W261" i="2"/>
  <c r="Q225" i="2"/>
  <c r="W225" i="2"/>
  <c r="Q196" i="2"/>
  <c r="W196" i="2"/>
  <c r="Q156" i="2"/>
  <c r="W156" i="2"/>
  <c r="Q128" i="2"/>
  <c r="W128" i="2"/>
  <c r="Q58" i="2"/>
  <c r="W58" i="2"/>
  <c r="Q26" i="2"/>
  <c r="W26" i="2"/>
  <c r="Q153" i="2"/>
  <c r="W153" i="2"/>
  <c r="Q414" i="2"/>
  <c r="W414" i="2"/>
  <c r="Q336" i="2"/>
  <c r="W336" i="2"/>
  <c r="Q297" i="2"/>
  <c r="W297" i="2"/>
  <c r="Q185" i="2"/>
  <c r="W185" i="2"/>
  <c r="Q147" i="2"/>
  <c r="W147" i="2"/>
  <c r="Q75" i="2"/>
  <c r="W75" i="2"/>
  <c r="Q461" i="2"/>
  <c r="W461" i="2"/>
  <c r="Q149" i="2"/>
  <c r="W149" i="2"/>
  <c r="Q132" i="2"/>
  <c r="W132" i="2"/>
  <c r="Q290" i="2"/>
  <c r="W290" i="2"/>
  <c r="Q427" i="2"/>
  <c r="W427" i="2"/>
  <c r="Q301" i="2"/>
  <c r="W301" i="2"/>
  <c r="Q111" i="2"/>
  <c r="W111" i="2"/>
  <c r="Q37" i="2"/>
  <c r="W37" i="2"/>
  <c r="Q411" i="2"/>
  <c r="W411" i="2"/>
  <c r="Q175" i="2"/>
  <c r="W175" i="2"/>
  <c r="Q210" i="2"/>
  <c r="W210" i="2"/>
  <c r="Q245" i="2"/>
  <c r="W245" i="2"/>
  <c r="Q280" i="2"/>
  <c r="W280" i="2"/>
  <c r="Q311" i="2"/>
  <c r="W311" i="2"/>
  <c r="Q384" i="2"/>
  <c r="W384" i="2"/>
  <c r="Q179" i="2"/>
  <c r="W179" i="2"/>
  <c r="Q158" i="2"/>
  <c r="W158" i="2"/>
  <c r="Q231" i="2"/>
  <c r="W231" i="2"/>
  <c r="Q220" i="2"/>
  <c r="W220" i="2"/>
  <c r="Q20" i="2"/>
  <c r="W20" i="2"/>
  <c r="Q227" i="2"/>
  <c r="W227" i="2"/>
  <c r="Q285" i="2"/>
  <c r="W285" i="2"/>
  <c r="Q316" i="2"/>
  <c r="W316" i="2"/>
  <c r="Q349" i="2"/>
  <c r="W349" i="2"/>
  <c r="Q381" i="2"/>
  <c r="W381" i="2"/>
  <c r="Q417" i="2"/>
  <c r="W417" i="2"/>
  <c r="Q475" i="2"/>
  <c r="W475" i="2"/>
  <c r="Q495" i="2"/>
  <c r="W495" i="2"/>
  <c r="Q556" i="2"/>
  <c r="W556" i="2"/>
  <c r="Q618" i="2"/>
  <c r="W618" i="2"/>
  <c r="Q654" i="2"/>
  <c r="W654" i="2"/>
  <c r="Q685" i="2"/>
  <c r="W685" i="2"/>
  <c r="Q717" i="2"/>
  <c r="W717" i="2"/>
  <c r="Q504" i="2"/>
  <c r="W504" i="2"/>
  <c r="Q541" i="2"/>
  <c r="W541" i="2"/>
  <c r="Q573" i="2"/>
  <c r="W573" i="2"/>
  <c r="Q603" i="2"/>
  <c r="W603" i="2"/>
  <c r="Q658" i="2"/>
  <c r="W658" i="2"/>
  <c r="Q139" i="2"/>
  <c r="W139" i="2"/>
  <c r="Q171" i="2"/>
  <c r="W171" i="2"/>
  <c r="Q208" i="2"/>
  <c r="W208" i="2"/>
  <c r="Q241" i="2"/>
  <c r="W241" i="2"/>
  <c r="Q284" i="2"/>
  <c r="W284" i="2"/>
  <c r="Q319" i="2"/>
  <c r="W319" i="2"/>
  <c r="Q356" i="2"/>
  <c r="W356" i="2"/>
  <c r="Q388" i="2"/>
  <c r="W388" i="2"/>
  <c r="Q443" i="2"/>
  <c r="W443" i="2"/>
  <c r="Q28" i="2"/>
  <c r="W28" i="2"/>
  <c r="Q95" i="2"/>
  <c r="W95" i="2"/>
  <c r="Q168" i="2"/>
  <c r="W168" i="2"/>
  <c r="Q661" i="2"/>
  <c r="W661" i="2"/>
  <c r="Q725" i="2"/>
  <c r="W725" i="2"/>
  <c r="Q682" i="2"/>
  <c r="W682" i="2"/>
  <c r="Q327" i="2"/>
  <c r="W327" i="2"/>
  <c r="Q8" i="2"/>
  <c r="W8" i="2"/>
  <c r="Q252" i="2"/>
  <c r="W252" i="2"/>
  <c r="Q288" i="2"/>
  <c r="W288" i="2"/>
  <c r="Q320" i="2"/>
  <c r="W320" i="2"/>
  <c r="Q360" i="2"/>
  <c r="W360" i="2"/>
  <c r="Q393" i="2"/>
  <c r="W393" i="2"/>
  <c r="Q426" i="2"/>
  <c r="W426" i="2"/>
  <c r="Q471" i="2"/>
  <c r="W471" i="2"/>
  <c r="Q420" i="2"/>
  <c r="W420" i="2"/>
  <c r="Q453" i="2"/>
  <c r="W453" i="2"/>
  <c r="Q492" i="2"/>
  <c r="W492" i="2"/>
  <c r="Q523" i="2"/>
  <c r="W523" i="2"/>
  <c r="Q560" i="2"/>
  <c r="W560" i="2"/>
  <c r="Q590" i="2"/>
  <c r="W590" i="2"/>
  <c r="Q622" i="2"/>
  <c r="W622" i="2"/>
  <c r="Q651" i="2"/>
  <c r="W651" i="2"/>
  <c r="Q681" i="2"/>
  <c r="W681" i="2"/>
  <c r="Q713" i="2"/>
  <c r="W713" i="2"/>
  <c r="Q500" i="2"/>
  <c r="W500" i="2"/>
  <c r="Q530" i="2"/>
  <c r="W530" i="2"/>
  <c r="Q591" i="2"/>
  <c r="W591" i="2"/>
  <c r="Q666" i="2"/>
  <c r="W666" i="2"/>
  <c r="Q710" i="2"/>
  <c r="W710" i="2"/>
  <c r="Q455" i="2"/>
  <c r="W455" i="2"/>
  <c r="Q482" i="2"/>
  <c r="W482" i="2"/>
  <c r="Q521" i="2"/>
  <c r="W521" i="2"/>
  <c r="Q550" i="2"/>
  <c r="W550" i="2"/>
  <c r="Q581" i="2"/>
  <c r="W581" i="2"/>
  <c r="Q612" i="2"/>
  <c r="W612" i="2"/>
  <c r="Q642" i="2"/>
  <c r="W642" i="2"/>
  <c r="Q518" i="2"/>
  <c r="W518" i="2"/>
  <c r="Q551" i="2"/>
  <c r="W551" i="2"/>
  <c r="Q585" i="2"/>
  <c r="W585" i="2"/>
  <c r="Q617" i="2"/>
  <c r="W617" i="2"/>
  <c r="Q647" i="2"/>
  <c r="W647" i="2"/>
  <c r="Q684" i="2"/>
  <c r="W684" i="2"/>
  <c r="Q716" i="2"/>
  <c r="W716" i="2"/>
  <c r="Q649" i="2"/>
  <c r="W649" i="2"/>
  <c r="Q679" i="2"/>
  <c r="W679" i="2"/>
  <c r="Q711" i="2"/>
  <c r="W711" i="2"/>
  <c r="Q637" i="2"/>
  <c r="W637" i="2"/>
  <c r="Q714" i="2"/>
  <c r="W714" i="2"/>
  <c r="Q458" i="2"/>
  <c r="W458" i="2"/>
  <c r="Q525" i="2"/>
  <c r="W525" i="2"/>
  <c r="Q554" i="2"/>
  <c r="W554" i="2"/>
  <c r="Q592" i="2"/>
  <c r="W592" i="2"/>
  <c r="Q624" i="2"/>
  <c r="W624" i="2"/>
  <c r="Q529" i="2"/>
  <c r="W529" i="2"/>
  <c r="Q563" i="2"/>
  <c r="W563" i="2"/>
  <c r="Q597" i="2"/>
  <c r="W597" i="2"/>
  <c r="Q629" i="2"/>
  <c r="W629" i="2"/>
  <c r="Q656" i="2"/>
  <c r="W656" i="2"/>
  <c r="Q696" i="2"/>
  <c r="W696" i="2"/>
  <c r="Q728" i="2"/>
  <c r="W728" i="2"/>
  <c r="Q109" i="2"/>
  <c r="W109" i="2"/>
  <c r="Q79" i="2"/>
  <c r="W79" i="2"/>
  <c r="Q47" i="2"/>
  <c r="W47" i="2"/>
  <c r="Q11" i="2"/>
  <c r="W11" i="2"/>
  <c r="Q510" i="2"/>
  <c r="W510" i="2"/>
  <c r="Q465" i="2"/>
  <c r="W465" i="2"/>
  <c r="Q403" i="2"/>
  <c r="W403" i="2"/>
  <c r="Q367" i="2"/>
  <c r="W367" i="2"/>
  <c r="Q337" i="2"/>
  <c r="W337" i="2"/>
  <c r="Q302" i="2"/>
  <c r="W302" i="2"/>
  <c r="Q265" i="2"/>
  <c r="W265" i="2"/>
  <c r="Q236" i="2"/>
  <c r="W236" i="2"/>
  <c r="Q201" i="2"/>
  <c r="W201" i="2"/>
  <c r="Q160" i="2"/>
  <c r="W160" i="2"/>
  <c r="Q93" i="2"/>
  <c r="W93" i="2"/>
  <c r="Q62" i="2"/>
  <c r="W62" i="2"/>
  <c r="Q30" i="2"/>
  <c r="W30" i="2"/>
  <c r="Q247" i="2"/>
  <c r="W247" i="2"/>
  <c r="Q379" i="2"/>
  <c r="W379" i="2"/>
  <c r="Q340" i="2"/>
  <c r="W340" i="2"/>
  <c r="Q270" i="2"/>
  <c r="W270" i="2"/>
  <c r="Q239" i="2"/>
  <c r="W239" i="2"/>
  <c r="Q189" i="2"/>
  <c r="W189" i="2"/>
  <c r="Q151" i="2"/>
  <c r="W151" i="2"/>
  <c r="Q83" i="2"/>
  <c r="W83" i="2"/>
  <c r="Q192" i="2"/>
  <c r="W192" i="2"/>
  <c r="Q305" i="2"/>
  <c r="W305" i="2"/>
  <c r="Q376" i="2"/>
  <c r="W376" i="2"/>
  <c r="Q390" i="2"/>
  <c r="W390" i="2"/>
  <c r="Q274" i="2"/>
  <c r="W274" i="2"/>
  <c r="Q191" i="2"/>
  <c r="W191" i="2"/>
  <c r="Q119" i="2"/>
  <c r="W119" i="2"/>
  <c r="Q90" i="2"/>
  <c r="W90" i="2"/>
  <c r="Q41" i="2"/>
  <c r="W41" i="2"/>
  <c r="Q5" i="2"/>
  <c r="W5" i="2"/>
  <c r="Q69" i="2"/>
  <c r="W69" i="2"/>
  <c r="Q35" i="2"/>
  <c r="W35" i="2"/>
  <c r="Q419" i="2"/>
  <c r="W419" i="2"/>
  <c r="Q399" i="2"/>
  <c r="W399" i="2"/>
  <c r="Q334" i="2"/>
  <c r="W334" i="2"/>
  <c r="Q298" i="2"/>
  <c r="W298" i="2"/>
  <c r="Q254" i="2"/>
  <c r="W254" i="2"/>
  <c r="Q217" i="2"/>
  <c r="W217" i="2"/>
  <c r="Q186" i="2"/>
  <c r="W186" i="2"/>
  <c r="Q148" i="2"/>
  <c r="W148" i="2"/>
  <c r="Q120" i="2"/>
  <c r="W120" i="2"/>
  <c r="Q78" i="2"/>
  <c r="W78" i="2"/>
  <c r="Q14" i="2"/>
  <c r="W14" i="2"/>
  <c r="Q406" i="2"/>
  <c r="W406" i="2"/>
  <c r="Q365" i="2"/>
  <c r="W365" i="2"/>
  <c r="Q325" i="2"/>
  <c r="W325" i="2"/>
  <c r="Q289" i="2"/>
  <c r="W289" i="2"/>
  <c r="Q253" i="2"/>
  <c r="W253" i="2"/>
  <c r="Q212" i="2"/>
  <c r="W212" i="2"/>
  <c r="Q173" i="2"/>
  <c r="W173" i="2"/>
  <c r="Q276" i="2"/>
  <c r="W276" i="2"/>
  <c r="Q133" i="2"/>
  <c r="W133" i="2"/>
  <c r="Q398" i="2"/>
  <c r="W398" i="2"/>
  <c r="Q124" i="2"/>
  <c r="W124" i="2"/>
  <c r="Q112" i="2"/>
  <c r="W112" i="2"/>
  <c r="Q329" i="2"/>
  <c r="W329" i="2"/>
  <c r="Q135" i="2"/>
  <c r="W135" i="2"/>
  <c r="Q104" i="2"/>
  <c r="W104" i="2"/>
  <c r="Q71" i="2"/>
  <c r="W71" i="2"/>
  <c r="Q25" i="2"/>
  <c r="W25" i="2"/>
  <c r="Q234" i="2"/>
  <c r="W234" i="2"/>
  <c r="Q187" i="2"/>
  <c r="W187" i="2"/>
  <c r="Q218" i="2"/>
  <c r="W218" i="2"/>
  <c r="Q251" i="2"/>
  <c r="W251" i="2"/>
  <c r="Q287" i="2"/>
  <c r="W287" i="2"/>
  <c r="Q323" i="2"/>
  <c r="W323" i="2"/>
  <c r="Q359" i="2"/>
  <c r="W359" i="2"/>
  <c r="Q392" i="2"/>
  <c r="W392" i="2"/>
  <c r="Q407" i="2"/>
  <c r="W407" i="2"/>
  <c r="Q24" i="2"/>
  <c r="W24" i="2"/>
  <c r="Q56" i="2"/>
  <c r="W56" i="2"/>
  <c r="Q91" i="2"/>
  <c r="W91" i="2"/>
  <c r="Q166" i="2"/>
  <c r="W166" i="2"/>
  <c r="Q424" i="2"/>
  <c r="W424" i="2"/>
  <c r="Q60" i="2"/>
  <c r="W60" i="2"/>
  <c r="Q134" i="2"/>
  <c r="W134" i="2"/>
  <c r="Q205" i="2"/>
  <c r="W205" i="2"/>
  <c r="Q235" i="2"/>
  <c r="W235" i="2"/>
  <c r="Q292" i="2"/>
  <c r="W292" i="2"/>
  <c r="Q324" i="2"/>
  <c r="W324" i="2"/>
  <c r="Q357" i="2"/>
  <c r="W357" i="2"/>
  <c r="Q389" i="2"/>
  <c r="W389" i="2"/>
  <c r="Q423" i="2"/>
  <c r="W423" i="2"/>
  <c r="Q454" i="2"/>
  <c r="W454" i="2"/>
  <c r="Q489" i="2"/>
  <c r="W489" i="2"/>
  <c r="Q449" i="2"/>
  <c r="W449" i="2"/>
  <c r="Q474" i="2"/>
  <c r="W474" i="2"/>
  <c r="Q503" i="2"/>
  <c r="W503" i="2"/>
  <c r="Q533" i="2"/>
  <c r="W533" i="2"/>
  <c r="Q564" i="2"/>
  <c r="W564" i="2"/>
  <c r="Q594" i="2"/>
  <c r="W594" i="2"/>
  <c r="Q626" i="2"/>
  <c r="W626" i="2"/>
  <c r="Q693" i="2"/>
  <c r="W693" i="2"/>
  <c r="Q512" i="2"/>
  <c r="W512" i="2"/>
  <c r="Q549" i="2"/>
  <c r="W549" i="2"/>
  <c r="Q580" i="2"/>
  <c r="W580" i="2"/>
  <c r="Q611" i="2"/>
  <c r="W611" i="2"/>
  <c r="Q678" i="2"/>
  <c r="W678" i="2"/>
  <c r="Q145" i="2"/>
  <c r="W145" i="2"/>
  <c r="Q183" i="2"/>
  <c r="W183" i="2"/>
  <c r="Q214" i="2"/>
  <c r="W214" i="2"/>
  <c r="Q255" i="2"/>
  <c r="W255" i="2"/>
  <c r="Q291" i="2"/>
  <c r="W291" i="2"/>
  <c r="Q363" i="2"/>
  <c r="W363" i="2"/>
  <c r="Q396" i="2"/>
  <c r="W396" i="2"/>
  <c r="Q103" i="2"/>
  <c r="W103" i="2"/>
  <c r="Q211" i="2"/>
  <c r="W211" i="2"/>
  <c r="Q242" i="2"/>
  <c r="W242" i="2"/>
  <c r="Q416" i="2"/>
  <c r="W416" i="2"/>
  <c r="Q698" i="2"/>
  <c r="W698" i="2"/>
  <c r="Q299" i="2"/>
  <c r="W299" i="2"/>
  <c r="Q16" i="2"/>
  <c r="W16" i="2"/>
  <c r="Q86" i="2"/>
  <c r="W86" i="2"/>
  <c r="Q122" i="2"/>
  <c r="W122" i="2"/>
  <c r="Q188" i="2"/>
  <c r="W188" i="2"/>
  <c r="Q259" i="2"/>
  <c r="W259" i="2"/>
  <c r="Q296" i="2"/>
  <c r="W296" i="2"/>
  <c r="Q328" i="2"/>
  <c r="W328" i="2"/>
  <c r="Q370" i="2"/>
  <c r="W370" i="2"/>
  <c r="Q405" i="2"/>
  <c r="W405" i="2"/>
  <c r="Q434" i="2"/>
  <c r="W434" i="2"/>
  <c r="Q478" i="2"/>
  <c r="W478" i="2"/>
  <c r="Q429" i="2"/>
  <c r="W429" i="2"/>
  <c r="Q459" i="2"/>
  <c r="W459" i="2"/>
  <c r="Q499" i="2"/>
  <c r="W499" i="2"/>
  <c r="Q536" i="2"/>
  <c r="W536" i="2"/>
  <c r="Q568" i="2"/>
  <c r="W568" i="2"/>
  <c r="Q598" i="2"/>
  <c r="W598" i="2"/>
  <c r="Q630" i="2"/>
  <c r="W630" i="2"/>
  <c r="Q657" i="2"/>
  <c r="W657" i="2"/>
  <c r="Q689" i="2"/>
  <c r="W689" i="2"/>
  <c r="Q721" i="2"/>
  <c r="W721" i="2"/>
  <c r="Q508" i="2"/>
  <c r="W508" i="2"/>
  <c r="Q537" i="2"/>
  <c r="W537" i="2"/>
  <c r="Q569" i="2"/>
  <c r="W569" i="2"/>
  <c r="Q599" i="2"/>
  <c r="W599" i="2"/>
  <c r="Q686" i="2"/>
  <c r="W686" i="2"/>
  <c r="Q538" i="2"/>
  <c r="W538" i="2"/>
  <c r="Q608" i="2"/>
  <c r="W608" i="2"/>
  <c r="Q667" i="2"/>
  <c r="W667" i="2"/>
  <c r="Q699" i="2"/>
  <c r="W699" i="2"/>
  <c r="Q735" i="2"/>
  <c r="W735" i="2"/>
  <c r="Q643" i="2"/>
  <c r="W643" i="2"/>
  <c r="Q118" i="2"/>
  <c r="W118" i="2"/>
  <c r="Q722" i="2"/>
  <c r="W722" i="2"/>
  <c r="Q460" i="2"/>
  <c r="W460" i="2"/>
  <c r="Q490" i="2"/>
  <c r="W490" i="2"/>
  <c r="Q528" i="2"/>
  <c r="W528" i="2"/>
  <c r="Q558" i="2"/>
  <c r="W558" i="2"/>
  <c r="Q588" i="2"/>
  <c r="W588" i="2"/>
  <c r="Q620" i="2"/>
  <c r="W620" i="2"/>
  <c r="Q526" i="2"/>
  <c r="W526" i="2"/>
  <c r="Q559" i="2"/>
  <c r="W559" i="2"/>
  <c r="Q593" i="2"/>
  <c r="W593" i="2"/>
  <c r="Q625" i="2"/>
  <c r="W625" i="2"/>
  <c r="Q653" i="2"/>
  <c r="W653" i="2"/>
  <c r="Q692" i="2"/>
  <c r="W692" i="2"/>
  <c r="Q724" i="2"/>
  <c r="W724" i="2"/>
  <c r="Q342" i="2"/>
  <c r="W342" i="2"/>
  <c r="Q655" i="2"/>
  <c r="W655" i="2"/>
  <c r="Q687" i="2"/>
  <c r="W687" i="2"/>
  <c r="Q719" i="2"/>
  <c r="W719" i="2"/>
  <c r="Q567" i="2"/>
  <c r="W567" i="2"/>
  <c r="Q645" i="2"/>
  <c r="W645" i="2"/>
  <c r="Q690" i="2"/>
  <c r="W690" i="2"/>
  <c r="Q726" i="2"/>
  <c r="W726" i="2"/>
  <c r="Q464" i="2"/>
  <c r="W464" i="2"/>
  <c r="Q497" i="2"/>
  <c r="W497" i="2"/>
  <c r="Q531" i="2"/>
  <c r="W531" i="2"/>
  <c r="Q562" i="2"/>
  <c r="W562" i="2"/>
  <c r="Q600" i="2"/>
  <c r="W600" i="2"/>
  <c r="Q632" i="2"/>
  <c r="W632" i="2"/>
  <c r="Q659" i="2"/>
  <c r="W659" i="2"/>
  <c r="Q691" i="2"/>
  <c r="W691" i="2"/>
  <c r="Q723" i="2"/>
  <c r="W723" i="2"/>
  <c r="Q539" i="2"/>
  <c r="W539" i="2"/>
  <c r="Q571" i="2"/>
  <c r="W571" i="2"/>
  <c r="Q605" i="2"/>
  <c r="W605" i="2"/>
  <c r="Q635" i="2"/>
  <c r="W635" i="2"/>
  <c r="Q668" i="2"/>
  <c r="W668" i="2"/>
  <c r="Q704" i="2"/>
  <c r="W704" i="2"/>
  <c r="Q736" i="2"/>
  <c r="W736" i="2"/>
  <c r="Q102" i="2"/>
  <c r="W102" i="2"/>
  <c r="Q77" i="2"/>
  <c r="W77" i="2"/>
  <c r="Q39" i="2"/>
  <c r="W39" i="2"/>
  <c r="Q3" i="2"/>
  <c r="W3" i="2"/>
  <c r="Q502" i="2"/>
  <c r="W502" i="2"/>
  <c r="Q448" i="2"/>
  <c r="W448" i="2"/>
  <c r="Q395" i="2"/>
  <c r="W395" i="2"/>
  <c r="Q362" i="2"/>
  <c r="W362" i="2"/>
  <c r="Q330" i="2"/>
  <c r="W330" i="2"/>
  <c r="Q294" i="2"/>
  <c r="W294" i="2"/>
  <c r="Q258" i="2"/>
  <c r="W258" i="2"/>
  <c r="Q229" i="2"/>
  <c r="W229" i="2"/>
  <c r="Q190" i="2"/>
  <c r="W190" i="2"/>
  <c r="Q152" i="2"/>
  <c r="W152" i="2"/>
  <c r="Q81" i="2"/>
  <c r="W81" i="2"/>
  <c r="Q54" i="2"/>
  <c r="W54" i="2"/>
  <c r="Q22" i="2"/>
  <c r="W22" i="2"/>
  <c r="Q74" i="2"/>
  <c r="W74" i="2"/>
  <c r="Q410" i="2"/>
  <c r="W410" i="2"/>
  <c r="Q371" i="2"/>
  <c r="W371" i="2"/>
  <c r="Q293" i="2"/>
  <c r="W293" i="2"/>
  <c r="Q264" i="2"/>
  <c r="W264" i="2"/>
  <c r="Q228" i="2"/>
  <c r="W228" i="2"/>
  <c r="Q181" i="2"/>
  <c r="W181" i="2"/>
  <c r="Q21" i="2"/>
  <c r="W21" i="2"/>
  <c r="Q19" i="2"/>
  <c r="W19" i="2"/>
  <c r="Q473" i="2"/>
  <c r="W473" i="2"/>
  <c r="Q341" i="2"/>
  <c r="W341" i="2"/>
  <c r="Q97" i="2"/>
  <c r="W97" i="2"/>
  <c r="Q200" i="2"/>
  <c r="W200" i="2"/>
  <c r="Q375" i="2"/>
  <c r="W375" i="2"/>
  <c r="Q224" i="2"/>
  <c r="W224" i="2"/>
  <c r="Q115" i="2"/>
  <c r="W115" i="2"/>
  <c r="Q29" i="2"/>
  <c r="W29" i="2"/>
  <c r="Q333" i="2"/>
  <c r="W333" i="2"/>
  <c r="Q113" i="2"/>
  <c r="W113" i="2"/>
  <c r="Q59" i="2"/>
  <c r="W59" i="2"/>
  <c r="Q27" i="2"/>
  <c r="W27" i="2"/>
  <c r="Q43" i="2"/>
  <c r="W43" i="2"/>
  <c r="Q491" i="2"/>
  <c r="W491" i="2"/>
  <c r="Q444" i="2"/>
  <c r="W444" i="2"/>
  <c r="Q326" i="2"/>
  <c r="W326" i="2"/>
  <c r="Q283" i="2"/>
  <c r="W283" i="2"/>
  <c r="Q240" i="2"/>
  <c r="W240" i="2"/>
  <c r="Q209" i="2"/>
  <c r="W209" i="2"/>
  <c r="Q178" i="2"/>
  <c r="W178" i="2"/>
  <c r="Q142" i="2"/>
  <c r="W142" i="2"/>
  <c r="Q72" i="2"/>
  <c r="W72" i="2"/>
  <c r="Q42" i="2"/>
  <c r="W42" i="2"/>
  <c r="Q452" i="2"/>
  <c r="W452" i="2"/>
  <c r="Q439" i="2"/>
  <c r="W439" i="2"/>
  <c r="Q394" i="2"/>
  <c r="W394" i="2"/>
  <c r="Q354" i="2"/>
  <c r="W354" i="2"/>
  <c r="Q317" i="2"/>
  <c r="W317" i="2"/>
  <c r="Q282" i="2"/>
  <c r="W282" i="2"/>
  <c r="Q243" i="2"/>
  <c r="W243" i="2"/>
  <c r="Q206" i="2"/>
  <c r="W206" i="2"/>
  <c r="Q163" i="2"/>
  <c r="W163" i="2"/>
  <c r="Q17" i="2"/>
  <c r="W17" i="2"/>
  <c r="Q100" i="2"/>
  <c r="W100" i="2"/>
  <c r="Q207" i="2"/>
  <c r="W207" i="2"/>
  <c r="Q402" i="2"/>
  <c r="W402" i="2"/>
  <c r="Q286" i="2"/>
  <c r="W286" i="2"/>
  <c r="Q216" i="2"/>
  <c r="W216" i="2"/>
  <c r="Q127" i="2"/>
  <c r="W127" i="2"/>
  <c r="Q92" i="2"/>
  <c r="W92" i="2"/>
  <c r="Q61" i="2"/>
  <c r="W61" i="2"/>
  <c r="Q65" i="2"/>
  <c r="W65" i="2"/>
  <c r="Q198" i="2"/>
  <c r="W198" i="2"/>
  <c r="Q226" i="2"/>
  <c r="W226" i="2"/>
  <c r="Q262" i="2"/>
  <c r="W262" i="2"/>
  <c r="Q295" i="2"/>
  <c r="W295" i="2"/>
  <c r="Q331" i="2"/>
  <c r="W331" i="2"/>
  <c r="Q369" i="2"/>
  <c r="W369" i="2"/>
  <c r="Q400" i="2"/>
  <c r="W400" i="2"/>
  <c r="Q487" i="2"/>
  <c r="W487" i="2"/>
  <c r="Q70" i="2"/>
  <c r="W70" i="2"/>
  <c r="Q140" i="2"/>
  <c r="W140" i="2"/>
  <c r="Q172" i="2"/>
  <c r="W172" i="2"/>
  <c r="Q215" i="2"/>
  <c r="W215" i="2"/>
  <c r="Q246" i="2"/>
  <c r="W246" i="2"/>
  <c r="Q552" i="2"/>
  <c r="W552" i="2"/>
  <c r="Q614" i="2"/>
  <c r="W614" i="2"/>
  <c r="Q4" i="2"/>
  <c r="W4" i="2"/>
  <c r="Q36" i="2"/>
  <c r="W36" i="2"/>
  <c r="Q66" i="2"/>
  <c r="W66" i="2"/>
  <c r="Q146" i="2"/>
  <c r="W146" i="2"/>
  <c r="Q176" i="2"/>
  <c r="W176" i="2"/>
  <c r="Q269" i="2"/>
  <c r="W269" i="2"/>
  <c r="Q300" i="2"/>
  <c r="W300" i="2"/>
  <c r="Q332" i="2"/>
  <c r="W332" i="2"/>
  <c r="Q364" i="2"/>
  <c r="W364" i="2"/>
  <c r="Q397" i="2"/>
  <c r="W397" i="2"/>
  <c r="Q430" i="2"/>
  <c r="W430" i="2"/>
  <c r="Q463" i="2"/>
  <c r="W463" i="2"/>
  <c r="Q457" i="2"/>
  <c r="W457" i="2"/>
  <c r="Q480" i="2"/>
  <c r="W480" i="2"/>
  <c r="Q511" i="2"/>
  <c r="W511" i="2"/>
  <c r="Q540" i="2"/>
  <c r="W540" i="2"/>
  <c r="Q572" i="2"/>
  <c r="W572" i="2"/>
  <c r="Q602" i="2"/>
  <c r="W602" i="2"/>
  <c r="Q640" i="2"/>
  <c r="W640" i="2"/>
  <c r="Q669" i="2"/>
  <c r="W669" i="2"/>
  <c r="Q701" i="2"/>
  <c r="W701" i="2"/>
  <c r="Q733" i="2"/>
  <c r="W733" i="2"/>
  <c r="Q520" i="2"/>
  <c r="W520" i="2"/>
  <c r="Q557" i="2"/>
  <c r="W557" i="2"/>
  <c r="Q587" i="2"/>
  <c r="W587" i="2"/>
  <c r="Q627" i="2"/>
  <c r="W627" i="2"/>
  <c r="Q694" i="2"/>
  <c r="W694" i="2"/>
  <c r="Q157" i="2"/>
  <c r="W157" i="2"/>
  <c r="Q193" i="2"/>
  <c r="W193" i="2"/>
  <c r="Q222" i="2"/>
  <c r="W222" i="2"/>
  <c r="Q266" i="2"/>
  <c r="W266" i="2"/>
  <c r="Q335" i="2"/>
  <c r="W335" i="2"/>
  <c r="Q373" i="2"/>
  <c r="W373" i="2"/>
  <c r="Q404" i="2"/>
  <c r="W404" i="2"/>
  <c r="Q110" i="2"/>
  <c r="W110" i="2"/>
  <c r="Q184" i="2"/>
  <c r="W184" i="2"/>
  <c r="Q219" i="2"/>
  <c r="W219" i="2"/>
  <c r="Q248" i="2"/>
  <c r="W248" i="2"/>
  <c r="Q579" i="2"/>
  <c r="W579" i="2"/>
  <c r="Q129" i="2"/>
  <c r="W129" i="2"/>
  <c r="Q130" i="2"/>
  <c r="W130" i="2"/>
  <c r="Q199" i="2"/>
  <c r="W199" i="2"/>
  <c r="Q238" i="2"/>
  <c r="W238" i="2"/>
  <c r="Q273" i="2"/>
  <c r="W273" i="2"/>
  <c r="Q304" i="2"/>
  <c r="W304" i="2"/>
  <c r="Q343" i="2"/>
  <c r="W343" i="2"/>
  <c r="Q378" i="2"/>
  <c r="W378" i="2"/>
  <c r="Q413" i="2"/>
  <c r="W413" i="2"/>
  <c r="Q442" i="2"/>
  <c r="W442" i="2"/>
  <c r="Q485" i="2"/>
  <c r="W485" i="2"/>
  <c r="Q437" i="2"/>
  <c r="W437" i="2"/>
  <c r="Q477" i="2"/>
  <c r="W477" i="2"/>
  <c r="Q507" i="2"/>
  <c r="W507" i="2"/>
  <c r="Q544" i="2"/>
  <c r="W544" i="2"/>
  <c r="Q576" i="2"/>
  <c r="W576" i="2"/>
  <c r="Q606" i="2"/>
  <c r="W606" i="2"/>
  <c r="Q636" i="2"/>
  <c r="W636" i="2"/>
  <c r="Q665" i="2"/>
  <c r="W665" i="2"/>
  <c r="Q697" i="2"/>
  <c r="W697" i="2"/>
  <c r="Q729" i="2"/>
  <c r="W729" i="2"/>
  <c r="Q516" i="2"/>
  <c r="W516" i="2"/>
  <c r="Q545" i="2"/>
  <c r="W545" i="2"/>
  <c r="Q577" i="2"/>
  <c r="W577" i="2"/>
  <c r="Q607" i="2"/>
  <c r="W607" i="2"/>
  <c r="Q513" i="2"/>
  <c r="W513" i="2"/>
  <c r="Q18" i="2"/>
  <c r="W18" i="2"/>
  <c r="Q730" i="2"/>
  <c r="W730" i="2"/>
  <c r="Q470" i="2"/>
  <c r="W470" i="2"/>
  <c r="Q501" i="2"/>
  <c r="W501" i="2"/>
  <c r="Q535" i="2"/>
  <c r="W535" i="2"/>
  <c r="Q566" i="2"/>
  <c r="W566" i="2"/>
  <c r="Q596" i="2"/>
  <c r="W596" i="2"/>
  <c r="Q628" i="2"/>
  <c r="W628" i="2"/>
  <c r="Q532" i="2"/>
  <c r="W532" i="2"/>
  <c r="Q601" i="2"/>
  <c r="W601" i="2"/>
  <c r="Q633" i="2"/>
  <c r="W633" i="2"/>
  <c r="Q660" i="2"/>
  <c r="W660" i="2"/>
  <c r="Q700" i="2"/>
  <c r="W700" i="2"/>
  <c r="Q732" i="2"/>
  <c r="W732" i="2"/>
  <c r="Q634" i="2"/>
  <c r="W634" i="2"/>
  <c r="Q663" i="2"/>
  <c r="W663" i="2"/>
  <c r="Q695" i="2"/>
  <c r="W695" i="2"/>
  <c r="Q731" i="2"/>
  <c r="W731" i="2"/>
  <c r="Q623" i="2"/>
  <c r="W623" i="2"/>
  <c r="Q662" i="2"/>
  <c r="W662" i="2"/>
  <c r="Q734" i="2"/>
  <c r="W734" i="2"/>
  <c r="Q570" i="2"/>
  <c r="W570" i="2"/>
  <c r="Q638" i="2"/>
  <c r="W638" i="2"/>
  <c r="Q547" i="2"/>
  <c r="W547" i="2"/>
  <c r="Q582" i="2"/>
  <c r="W582" i="2"/>
  <c r="Q613" i="2"/>
  <c r="W613" i="2"/>
  <c r="Q680" i="2"/>
  <c r="W680" i="2"/>
  <c r="Q712" i="2"/>
  <c r="W712" i="2"/>
  <c r="L752" i="2"/>
  <c r="R752" i="2"/>
  <c r="T752" i="2" s="1"/>
  <c r="L749" i="2"/>
  <c r="R749" i="2"/>
  <c r="T749" i="2" s="1"/>
  <c r="L780" i="2"/>
  <c r="R780" i="2"/>
  <c r="T780" i="2" s="1"/>
  <c r="L808" i="2"/>
  <c r="R808" i="2"/>
  <c r="T808" i="2" s="1"/>
  <c r="L803" i="2"/>
  <c r="R803" i="2"/>
  <c r="T803" i="2" s="1"/>
  <c r="L793" i="2"/>
  <c r="R793" i="2"/>
  <c r="T793" i="2" s="1"/>
  <c r="L776" i="2"/>
  <c r="R776" i="2"/>
  <c r="T776" i="2" s="1"/>
  <c r="L767" i="2"/>
  <c r="R767" i="2"/>
  <c r="T767" i="2" s="1"/>
  <c r="L746" i="2"/>
  <c r="R746" i="2"/>
  <c r="T746" i="2" s="1"/>
  <c r="L787" i="2"/>
  <c r="R787" i="2"/>
  <c r="T787" i="2" s="1"/>
  <c r="L799" i="2"/>
  <c r="R799" i="2"/>
  <c r="T799" i="2" s="1"/>
  <c r="L738" i="2"/>
  <c r="R738" i="2"/>
  <c r="T738" i="2" s="1"/>
  <c r="L774" i="2"/>
  <c r="R774" i="2"/>
  <c r="T774" i="2" s="1"/>
  <c r="L745" i="2"/>
  <c r="R745" i="2"/>
  <c r="T745" i="2" s="1"/>
  <c r="L751" i="2"/>
  <c r="R751" i="2"/>
  <c r="T751" i="2" s="1"/>
  <c r="L789" i="2"/>
  <c r="R789" i="2"/>
  <c r="T789" i="2" s="1"/>
  <c r="L768" i="2"/>
  <c r="R768" i="2"/>
  <c r="T768" i="2" s="1"/>
  <c r="L763" i="2"/>
  <c r="R763" i="2"/>
  <c r="T763" i="2" s="1"/>
  <c r="L770" i="2"/>
  <c r="R770" i="2"/>
  <c r="T770" i="2" s="1"/>
  <c r="L765" i="2"/>
  <c r="R765" i="2"/>
  <c r="T765" i="2" s="1"/>
  <c r="L743" i="2"/>
  <c r="R743" i="2"/>
  <c r="T743" i="2" s="1"/>
  <c r="L760" i="2"/>
  <c r="R760" i="2"/>
  <c r="T760" i="2" s="1"/>
  <c r="L809" i="2"/>
  <c r="R809" i="2"/>
  <c r="T809" i="2" s="1"/>
  <c r="L796" i="2"/>
  <c r="R796" i="2"/>
  <c r="T796" i="2" s="1"/>
  <c r="L805" i="2"/>
  <c r="R805" i="2"/>
  <c r="T805" i="2" s="1"/>
  <c r="L750" i="2"/>
  <c r="R750" i="2"/>
  <c r="T750" i="2" s="1"/>
  <c r="L762" i="2"/>
  <c r="R762" i="2"/>
  <c r="T762" i="2" s="1"/>
  <c r="L786" i="2"/>
  <c r="R786" i="2"/>
  <c r="T786" i="2" s="1"/>
  <c r="L794" i="2"/>
  <c r="R794" i="2"/>
  <c r="T794" i="2" s="1"/>
  <c r="L759" i="2"/>
  <c r="R759" i="2"/>
  <c r="T759" i="2" s="1"/>
  <c r="L771" i="2"/>
  <c r="R771" i="2"/>
  <c r="T771" i="2" s="1"/>
  <c r="L766" i="2"/>
  <c r="R766" i="2"/>
  <c r="T766" i="2" s="1"/>
  <c r="L785" i="2"/>
  <c r="R785" i="2"/>
  <c r="T785" i="2" s="1"/>
  <c r="L807" i="2"/>
  <c r="R807" i="2"/>
  <c r="T807" i="2" s="1"/>
  <c r="L792" i="2"/>
  <c r="R792" i="2"/>
  <c r="T792" i="2" s="1"/>
  <c r="L781" i="2"/>
  <c r="R781" i="2"/>
  <c r="T781" i="2" s="1"/>
  <c r="L788" i="2"/>
  <c r="R788" i="2"/>
  <c r="T788" i="2" s="1"/>
  <c r="L797" i="2"/>
  <c r="R797" i="2"/>
  <c r="T797" i="2" s="1"/>
  <c r="L753" i="2"/>
  <c r="R753" i="2"/>
  <c r="T753" i="2" s="1"/>
  <c r="L739" i="2"/>
  <c r="R739" i="2"/>
  <c r="T739" i="2" s="1"/>
  <c r="L806" i="2"/>
  <c r="R806" i="2"/>
  <c r="T806" i="2" s="1"/>
  <c r="L783" i="2"/>
  <c r="R783" i="2"/>
  <c r="T783" i="2" s="1"/>
  <c r="L802" i="2"/>
  <c r="R802" i="2"/>
  <c r="T802" i="2" s="1"/>
  <c r="L754" i="2"/>
  <c r="R754" i="2"/>
  <c r="T754" i="2" s="1"/>
  <c r="L761" i="2"/>
  <c r="R761" i="2"/>
  <c r="T761" i="2" s="1"/>
  <c r="L810" i="2"/>
  <c r="R810" i="2"/>
  <c r="T810" i="2" s="1"/>
  <c r="L742" i="2"/>
  <c r="R742" i="2"/>
  <c r="T742" i="2" s="1"/>
  <c r="L804" i="2"/>
  <c r="R804" i="2"/>
  <c r="T804" i="2" s="1"/>
  <c r="L769" i="2"/>
  <c r="R769" i="2"/>
  <c r="T769" i="2" s="1"/>
  <c r="L791" i="2"/>
  <c r="R791" i="2"/>
  <c r="T791" i="2" s="1"/>
  <c r="L777" i="2"/>
  <c r="R777" i="2"/>
  <c r="T777" i="2" s="1"/>
  <c r="L773" i="2"/>
  <c r="R773" i="2"/>
  <c r="T773" i="2" s="1"/>
  <c r="L795" i="2"/>
  <c r="R795" i="2"/>
  <c r="T795" i="2" s="1"/>
  <c r="L755" i="2"/>
  <c r="R755" i="2"/>
  <c r="T755" i="2" s="1"/>
  <c r="L801" i="2"/>
  <c r="R801" i="2"/>
  <c r="T801" i="2" s="1"/>
  <c r="L782" i="2"/>
  <c r="R782" i="2"/>
  <c r="T782" i="2" s="1"/>
  <c r="L744" i="2"/>
  <c r="R744" i="2"/>
  <c r="T744" i="2" s="1"/>
  <c r="L758" i="2"/>
  <c r="R758" i="2"/>
  <c r="T758" i="2" s="1"/>
  <c r="L779" i="2"/>
  <c r="R779" i="2"/>
  <c r="T779" i="2" s="1"/>
  <c r="L790" i="2"/>
  <c r="R790" i="2"/>
  <c r="T790" i="2" s="1"/>
  <c r="L800" i="2"/>
  <c r="R800" i="2"/>
  <c r="T800" i="2" s="1"/>
  <c r="L775" i="2"/>
  <c r="R775" i="2"/>
  <c r="T775" i="2" s="1"/>
  <c r="L798" i="2"/>
  <c r="R798" i="2"/>
  <c r="T798" i="2" s="1"/>
  <c r="L6" i="2"/>
  <c r="L21" i="2"/>
  <c r="L17" i="2"/>
  <c r="L34" i="2"/>
  <c r="L50" i="2"/>
  <c r="L61" i="2"/>
  <c r="L92" i="2"/>
  <c r="L129" i="2"/>
  <c r="L159" i="2"/>
  <c r="L155" i="2"/>
  <c r="L172" i="2"/>
  <c r="L167" i="2"/>
  <c r="L207" i="2"/>
  <c r="L222" i="2"/>
  <c r="L221" i="2"/>
  <c r="L250" i="2"/>
  <c r="L272" i="2"/>
  <c r="L280" i="2"/>
  <c r="L294" i="2"/>
  <c r="L297" i="2"/>
  <c r="L305" i="2"/>
  <c r="L316" i="2"/>
  <c r="L342" i="2"/>
  <c r="L367" i="2"/>
  <c r="L368" i="2"/>
  <c r="L378" i="2"/>
  <c r="L418" i="2"/>
  <c r="L454" i="2"/>
  <c r="L458" i="2"/>
  <c r="L472" i="2"/>
  <c r="L499" i="2"/>
  <c r="L510" i="2"/>
  <c r="L524" i="2"/>
  <c r="L547" i="2"/>
  <c r="L555" i="2"/>
  <c r="L574" i="2"/>
  <c r="L582" i="2"/>
  <c r="L5" i="2"/>
  <c r="L29" i="2"/>
  <c r="L48" i="2"/>
  <c r="L45" i="2"/>
  <c r="L59" i="2"/>
  <c r="L72" i="2"/>
  <c r="L68" i="2"/>
  <c r="L115" i="2"/>
  <c r="L124" i="2"/>
  <c r="L213" i="2"/>
  <c r="L231" i="2"/>
  <c r="L229" i="2"/>
  <c r="L240" i="2"/>
  <c r="L265" i="2"/>
  <c r="L263" i="2"/>
  <c r="L285" i="2"/>
  <c r="L302" i="2"/>
  <c r="L348" i="2"/>
  <c r="L362" i="2"/>
  <c r="L380" i="2"/>
  <c r="L374" i="2"/>
  <c r="L409" i="2"/>
  <c r="L415" i="2"/>
  <c r="L450" i="2"/>
  <c r="L506" i="2"/>
  <c r="L13" i="2"/>
  <c r="L19" i="2"/>
  <c r="L57" i="2"/>
  <c r="L77" i="2"/>
  <c r="L87" i="2"/>
  <c r="L130" i="2"/>
  <c r="L153" i="2"/>
  <c r="L145" i="2"/>
  <c r="L147" i="2"/>
  <c r="L166" i="2"/>
  <c r="L188" i="2"/>
  <c r="L202" i="2"/>
  <c r="L211" i="2"/>
  <c r="L214" i="2"/>
  <c r="L230" i="2"/>
  <c r="L253" i="2"/>
  <c r="L271" i="2"/>
  <c r="L266" i="2"/>
  <c r="L281" i="2"/>
  <c r="L295" i="2"/>
  <c r="L309" i="2"/>
  <c r="L331" i="2"/>
  <c r="L388" i="2"/>
  <c r="L390" i="2"/>
  <c r="L389" i="2"/>
  <c r="L382" i="2"/>
  <c r="L417" i="2"/>
  <c r="L429" i="2"/>
  <c r="L464" i="2"/>
  <c r="L493" i="2"/>
  <c r="L489" i="2"/>
  <c r="L512" i="2"/>
  <c r="L14" i="2"/>
  <c r="L20" i="2"/>
  <c r="L42" i="2"/>
  <c r="L75" i="2"/>
  <c r="L62" i="2"/>
  <c r="L96" i="2"/>
  <c r="L112" i="2"/>
  <c r="L125" i="2"/>
  <c r="L142" i="2"/>
  <c r="L191" i="2"/>
  <c r="L206" i="2"/>
  <c r="L232" i="2"/>
  <c r="L256" i="2"/>
  <c r="L236" i="2"/>
  <c r="L277" i="2"/>
  <c r="L293" i="2"/>
  <c r="L308" i="2"/>
  <c r="L323" i="2"/>
  <c r="L334" i="2"/>
  <c r="L354" i="2"/>
  <c r="L379" i="2"/>
  <c r="L398" i="2"/>
  <c r="L399" i="2"/>
  <c r="L433" i="2"/>
  <c r="L441" i="2"/>
  <c r="L479" i="2"/>
  <c r="L477" i="2"/>
  <c r="L509" i="2"/>
  <c r="L521" i="2"/>
  <c r="L508" i="2"/>
  <c r="L540" i="2"/>
  <c r="L563" i="2"/>
  <c r="L595" i="2"/>
  <c r="L584" i="2"/>
  <c r="L583" i="2"/>
  <c r="L626" i="2"/>
  <c r="L634" i="2"/>
  <c r="L653" i="2"/>
  <c r="L667" i="2"/>
  <c r="L684" i="2"/>
  <c r="L692" i="2"/>
  <c r="L733" i="2"/>
  <c r="L707" i="2"/>
  <c r="L631" i="2"/>
  <c r="L652" i="2"/>
  <c r="L678" i="2"/>
  <c r="L698" i="2"/>
  <c r="L703" i="2"/>
  <c r="L710" i="2"/>
  <c r="L568" i="2"/>
  <c r="L578" i="2"/>
  <c r="L598" i="2"/>
  <c r="L609" i="2"/>
  <c r="L628" i="2"/>
  <c r="L633" i="2"/>
  <c r="L638" i="2"/>
  <c r="L658" i="2"/>
  <c r="L675" i="2"/>
  <c r="L694" i="2"/>
  <c r="L729" i="2"/>
  <c r="L518" i="2"/>
  <c r="L534" i="2"/>
  <c r="L556" i="2"/>
  <c r="L559" i="2"/>
  <c r="L551" i="2"/>
  <c r="L569" i="2"/>
  <c r="L591" i="2"/>
  <c r="L606" i="2"/>
  <c r="L621" i="2"/>
  <c r="L647" i="2"/>
  <c r="L640" i="2"/>
  <c r="L637" i="2"/>
  <c r="L671" i="2"/>
  <c r="L705" i="2"/>
  <c r="L736" i="2"/>
  <c r="L731" i="2"/>
  <c r="L720" i="2"/>
  <c r="L664" i="2"/>
  <c r="L718" i="2"/>
  <c r="L137" i="2"/>
  <c r="L740" i="2"/>
  <c r="L4" i="2"/>
  <c r="L23" i="2"/>
  <c r="L27" i="2"/>
  <c r="L44" i="2"/>
  <c r="L39" i="2"/>
  <c r="L55" i="2"/>
  <c r="L74" i="2"/>
  <c r="L67" i="2"/>
  <c r="L100" i="2"/>
  <c r="L109" i="2"/>
  <c r="L106" i="2"/>
  <c r="L133" i="2"/>
  <c r="L141" i="2"/>
  <c r="L186" i="2"/>
  <c r="L203" i="2"/>
  <c r="L212" i="2"/>
  <c r="L254" i="2"/>
  <c r="L235" i="2"/>
  <c r="L269" i="2"/>
  <c r="L287" i="2"/>
  <c r="L290" i="2"/>
  <c r="L325" i="2"/>
  <c r="L339" i="2"/>
  <c r="L335" i="2"/>
  <c r="L345" i="2"/>
  <c r="L346" i="2"/>
  <c r="L353" i="2"/>
  <c r="L410" i="2"/>
  <c r="L396" i="2"/>
  <c r="L371" i="2"/>
  <c r="L387" i="2"/>
  <c r="L424" i="2"/>
  <c r="L422" i="2"/>
  <c r="L435" i="2"/>
  <c r="L452" i="2"/>
  <c r="L455" i="2"/>
  <c r="L484" i="2"/>
  <c r="L503" i="2"/>
  <c r="L523" i="2"/>
  <c r="L533" i="2"/>
  <c r="L544" i="2"/>
  <c r="L543" i="2"/>
  <c r="L562" i="2"/>
  <c r="L560" i="2"/>
  <c r="L580" i="2"/>
  <c r="L589" i="2"/>
  <c r="L612" i="2"/>
  <c r="L7" i="2"/>
  <c r="L12" i="2"/>
  <c r="L22" i="2"/>
  <c r="L18" i="2"/>
  <c r="L46" i="2"/>
  <c r="L71" i="2"/>
  <c r="L93" i="2"/>
  <c r="L110" i="2"/>
  <c r="L132" i="2"/>
  <c r="L138" i="2"/>
  <c r="L154" i="2"/>
  <c r="L182" i="2"/>
  <c r="L171" i="2"/>
  <c r="L195" i="2"/>
  <c r="L196" i="2"/>
  <c r="L210" i="2"/>
  <c r="L234" i="2"/>
  <c r="L239" i="2"/>
  <c r="L296" i="2"/>
  <c r="L321" i="2"/>
  <c r="L330" i="2"/>
  <c r="L357" i="2"/>
  <c r="L356" i="2"/>
  <c r="L405" i="2"/>
  <c r="L394" i="2"/>
  <c r="L393" i="2"/>
  <c r="L413" i="2"/>
  <c r="L430" i="2"/>
  <c r="L437" i="2"/>
  <c r="L490" i="2"/>
  <c r="L476" i="2"/>
  <c r="L475" i="2"/>
  <c r="L471" i="2"/>
  <c r="L504" i="2"/>
  <c r="L505" i="2"/>
  <c r="L522" i="2"/>
  <c r="L541" i="2"/>
  <c r="L16" i="2"/>
  <c r="L26" i="2"/>
  <c r="L40" i="2"/>
  <c r="L78" i="2"/>
  <c r="L65" i="2"/>
  <c r="L83" i="2"/>
  <c r="L91" i="2"/>
  <c r="L101" i="2"/>
  <c r="L120" i="2"/>
  <c r="L127" i="2"/>
  <c r="L164" i="2"/>
  <c r="L139" i="2"/>
  <c r="L173" i="2"/>
  <c r="L190" i="2"/>
  <c r="L218" i="2"/>
  <c r="L228" i="2"/>
  <c r="L247" i="2"/>
  <c r="L278" i="2"/>
  <c r="L286" i="2"/>
  <c r="L314" i="2"/>
  <c r="L307" i="2"/>
  <c r="L363" i="2"/>
  <c r="L403" i="2"/>
  <c r="L408" i="2"/>
  <c r="L428" i="2"/>
  <c r="L447" i="2"/>
  <c r="L453" i="2"/>
  <c r="L485" i="2"/>
  <c r="L494" i="2"/>
  <c r="L516" i="2"/>
  <c r="L10" i="2"/>
  <c r="L38" i="2"/>
  <c r="L69" i="2"/>
  <c r="L89" i="2"/>
  <c r="L105" i="2"/>
  <c r="L122" i="2"/>
  <c r="L150" i="2"/>
  <c r="L183" i="2"/>
  <c r="L199" i="2"/>
  <c r="L216" i="2"/>
  <c r="L255" i="2"/>
  <c r="L241" i="2"/>
  <c r="L275" i="2"/>
  <c r="L292" i="2"/>
  <c r="L313" i="2"/>
  <c r="L318" i="2"/>
  <c r="L336" i="2"/>
  <c r="L355" i="2"/>
  <c r="L351" i="2"/>
  <c r="L385" i="2"/>
  <c r="L384" i="2"/>
  <c r="L421" i="2"/>
  <c r="L443" i="2"/>
  <c r="L457" i="2"/>
  <c r="L498" i="2"/>
  <c r="L497" i="2"/>
  <c r="L527" i="2"/>
  <c r="L537" i="2"/>
  <c r="L552" i="2"/>
  <c r="L573" i="2"/>
  <c r="L588" i="2"/>
  <c r="L602" i="2"/>
  <c r="L617" i="2"/>
  <c r="L622" i="2"/>
  <c r="L632" i="2"/>
  <c r="L650" i="2"/>
  <c r="L681" i="2"/>
  <c r="L673" i="2"/>
  <c r="L702" i="2"/>
  <c r="L722" i="2"/>
  <c r="L732" i="2"/>
  <c r="L619" i="2"/>
  <c r="L641" i="2"/>
  <c r="L655" i="2"/>
  <c r="L686" i="2"/>
  <c r="L721" i="2"/>
  <c r="L666" i="2"/>
  <c r="L564" i="2"/>
  <c r="L600" i="2"/>
  <c r="L581" i="2"/>
  <c r="L579" i="2"/>
  <c r="L629" i="2"/>
  <c r="L630" i="2"/>
  <c r="L639" i="2"/>
  <c r="L651" i="2"/>
  <c r="L656" i="2"/>
  <c r="L670" i="2"/>
  <c r="L688" i="2"/>
  <c r="L711" i="2"/>
  <c r="L680" i="2"/>
  <c r="L538" i="2"/>
  <c r="L585" i="2"/>
  <c r="L594" i="2"/>
  <c r="L592" i="2"/>
  <c r="L618" i="2"/>
  <c r="L620" i="2"/>
  <c r="L627" i="2"/>
  <c r="L654" i="2"/>
  <c r="L669" i="2"/>
  <c r="L677" i="2"/>
  <c r="L687" i="2"/>
  <c r="L719" i="2"/>
  <c r="L169" i="2"/>
  <c r="L412" i="2"/>
  <c r="L425" i="2"/>
  <c r="L467" i="2"/>
  <c r="L481" i="2"/>
  <c r="L784" i="2"/>
  <c r="L15" i="2"/>
  <c r="L36" i="2"/>
  <c r="L47" i="2"/>
  <c r="L53" i="2"/>
  <c r="L56" i="2"/>
  <c r="L63" i="2"/>
  <c r="L98" i="2"/>
  <c r="L104" i="2"/>
  <c r="L121" i="2"/>
  <c r="L140" i="2"/>
  <c r="L158" i="2"/>
  <c r="L174" i="2"/>
  <c r="L193" i="2"/>
  <c r="L244" i="2"/>
  <c r="L243" i="2"/>
  <c r="L274" i="2"/>
  <c r="L284" i="2"/>
  <c r="L312" i="2"/>
  <c r="L304" i="2"/>
  <c r="L326" i="2"/>
  <c r="L364" i="2"/>
  <c r="L376" i="2"/>
  <c r="L426" i="2"/>
  <c r="L431" i="2"/>
  <c r="L448" i="2"/>
  <c r="L474" i="2"/>
  <c r="L468" i="2"/>
  <c r="L466" i="2"/>
  <c r="L500" i="2"/>
  <c r="L519" i="2"/>
  <c r="L511" i="2"/>
  <c r="L528" i="2"/>
  <c r="L549" i="2"/>
  <c r="L596" i="2"/>
  <c r="L576" i="2"/>
  <c r="L593" i="2"/>
  <c r="L607" i="2"/>
  <c r="L41" i="2"/>
  <c r="L79" i="2"/>
  <c r="L60" i="2"/>
  <c r="L94" i="2"/>
  <c r="L108" i="2"/>
  <c r="L118" i="2"/>
  <c r="L116" i="2"/>
  <c r="L163" i="2"/>
  <c r="L157" i="2"/>
  <c r="L161" i="2"/>
  <c r="L160" i="2"/>
  <c r="L176" i="2"/>
  <c r="L189" i="2"/>
  <c r="L192" i="2"/>
  <c r="L204" i="2"/>
  <c r="L208" i="2"/>
  <c r="L226" i="2"/>
  <c r="L246" i="2"/>
  <c r="L245" i="2"/>
  <c r="L260" i="2"/>
  <c r="L288" i="2"/>
  <c r="L291" i="2"/>
  <c r="L301" i="2"/>
  <c r="L322" i="2"/>
  <c r="L333" i="2"/>
  <c r="L349" i="2"/>
  <c r="L386" i="2"/>
  <c r="L397" i="2"/>
  <c r="L419" i="2"/>
  <c r="L449" i="2"/>
  <c r="L446" i="2"/>
  <c r="L496" i="2"/>
  <c r="L501" i="2"/>
  <c r="L514" i="2"/>
  <c r="L526" i="2"/>
  <c r="L535" i="2"/>
  <c r="L558" i="2"/>
  <c r="L561" i="2"/>
  <c r="L8" i="2"/>
  <c r="L30" i="2"/>
  <c r="L32" i="2"/>
  <c r="L49" i="2"/>
  <c r="L81" i="2"/>
  <c r="L82" i="2"/>
  <c r="L95" i="2"/>
  <c r="L117" i="2"/>
  <c r="L134" i="2"/>
  <c r="L149" i="2"/>
  <c r="L175" i="2"/>
  <c r="L168" i="2"/>
  <c r="L187" i="2"/>
  <c r="L251" i="2"/>
  <c r="L242" i="2"/>
  <c r="L264" i="2"/>
  <c r="L261" i="2"/>
  <c r="L289" i="2"/>
  <c r="L319" i="2"/>
  <c r="L320" i="2"/>
  <c r="L344" i="2"/>
  <c r="L359" i="2"/>
  <c r="L377" i="2"/>
  <c r="L383" i="2"/>
  <c r="L404" i="2"/>
  <c r="L414" i="2"/>
  <c r="L416" i="2"/>
  <c r="L436" i="2"/>
  <c r="L451" i="2"/>
  <c r="L460" i="2"/>
  <c r="L486" i="2"/>
  <c r="L482" i="2"/>
  <c r="L469" i="2"/>
  <c r="L507" i="2"/>
  <c r="L502" i="2"/>
  <c r="L9" i="2"/>
  <c r="L24" i="2"/>
  <c r="L37" i="2"/>
  <c r="L64" i="2"/>
  <c r="L58" i="2"/>
  <c r="L90" i="2"/>
  <c r="L99" i="2"/>
  <c r="L136" i="2"/>
  <c r="L128" i="2"/>
  <c r="L162" i="2"/>
  <c r="L144" i="2"/>
  <c r="L177" i="2"/>
  <c r="L180" i="2"/>
  <c r="L197" i="2"/>
  <c r="L224" i="2"/>
  <c r="L223" i="2"/>
  <c r="L225" i="2"/>
  <c r="L248" i="2"/>
  <c r="L259" i="2"/>
  <c r="L282" i="2"/>
  <c r="L298" i="2"/>
  <c r="L300" i="2"/>
  <c r="L341" i="2"/>
  <c r="L358" i="2"/>
  <c r="L352" i="2"/>
  <c r="L381" i="2"/>
  <c r="L406" i="2"/>
  <c r="L427" i="2"/>
  <c r="L440" i="2"/>
  <c r="L463" i="2"/>
  <c r="L480" i="2"/>
  <c r="L488" i="2"/>
  <c r="L525" i="2"/>
  <c r="L531" i="2"/>
  <c r="L545" i="2"/>
  <c r="L565" i="2"/>
  <c r="L614" i="2"/>
  <c r="L590" i="2"/>
  <c r="L597" i="2"/>
  <c r="L625" i="2"/>
  <c r="L642" i="2"/>
  <c r="L657" i="2"/>
  <c r="L676" i="2"/>
  <c r="L691" i="2"/>
  <c r="L706" i="2"/>
  <c r="L716" i="2"/>
  <c r="L623" i="2"/>
  <c r="L649" i="2"/>
  <c r="L683" i="2"/>
  <c r="L660" i="2"/>
  <c r="L682" i="2"/>
  <c r="L661" i="2"/>
  <c r="L693" i="2"/>
  <c r="L708" i="2"/>
  <c r="L734" i="2"/>
  <c r="L566" i="2"/>
  <c r="L577" i="2"/>
  <c r="L587" i="2"/>
  <c r="L646" i="2"/>
  <c r="L636" i="2"/>
  <c r="L689" i="2"/>
  <c r="L696" i="2"/>
  <c r="L713" i="2"/>
  <c r="L730" i="2"/>
  <c r="L529" i="2"/>
  <c r="L557" i="2"/>
  <c r="L567" i="2"/>
  <c r="L575" i="2"/>
  <c r="L601" i="2"/>
  <c r="L608" i="2"/>
  <c r="L663" i="2"/>
  <c r="L665" i="2"/>
  <c r="L704" i="2"/>
  <c r="L715" i="2"/>
  <c r="L714" i="2"/>
  <c r="L170" i="2"/>
  <c r="L401" i="2"/>
  <c r="L517" i="2"/>
  <c r="L672" i="2"/>
  <c r="L11" i="2"/>
  <c r="L35" i="2"/>
  <c r="L70" i="2"/>
  <c r="L86" i="2"/>
  <c r="L80" i="2"/>
  <c r="L114" i="2"/>
  <c r="L131" i="2"/>
  <c r="L165" i="2"/>
  <c r="L143" i="2"/>
  <c r="L151" i="2"/>
  <c r="L179" i="2"/>
  <c r="L181" i="2"/>
  <c r="L198" i="2"/>
  <c r="L220" i="2"/>
  <c r="L209" i="2"/>
  <c r="L227" i="2"/>
  <c r="L262" i="2"/>
  <c r="L311" i="2"/>
  <c r="L347" i="2"/>
  <c r="L360" i="2"/>
  <c r="L366" i="2"/>
  <c r="L375" i="2"/>
  <c r="L372" i="2"/>
  <c r="L392" i="2"/>
  <c r="L411" i="2"/>
  <c r="L434" i="2"/>
  <c r="L442" i="2"/>
  <c r="L444" i="2"/>
  <c r="L465" i="2"/>
  <c r="L492" i="2"/>
  <c r="L478" i="2"/>
  <c r="L530" i="2"/>
  <c r="L554" i="2"/>
  <c r="L572" i="2"/>
  <c r="L605" i="2"/>
  <c r="L25" i="2"/>
  <c r="L28" i="2"/>
  <c r="L51" i="2"/>
  <c r="L73" i="2"/>
  <c r="L85" i="2"/>
  <c r="L88" i="2"/>
  <c r="L102" i="2"/>
  <c r="L119" i="2"/>
  <c r="L123" i="2"/>
  <c r="L146" i="2"/>
  <c r="L152" i="2"/>
  <c r="L178" i="2"/>
  <c r="L185" i="2"/>
  <c r="L219" i="2"/>
  <c r="L233" i="2"/>
  <c r="L237" i="2"/>
  <c r="L238" i="2"/>
  <c r="L270" i="2"/>
  <c r="L276" i="2"/>
  <c r="L306" i="2"/>
  <c r="L303" i="2"/>
  <c r="L317" i="2"/>
  <c r="L327" i="2"/>
  <c r="L329" i="2"/>
  <c r="L340" i="2"/>
  <c r="L369" i="2"/>
  <c r="L402" i="2"/>
  <c r="L423" i="2"/>
  <c r="L432" i="2"/>
  <c r="L439" i="2"/>
  <c r="L461" i="2"/>
  <c r="L473" i="2"/>
  <c r="L470" i="2"/>
  <c r="L520" i="2"/>
  <c r="L536" i="2"/>
  <c r="L548" i="2"/>
  <c r="L542" i="2"/>
  <c r="L43" i="2"/>
  <c r="L76" i="2"/>
  <c r="L54" i="2"/>
  <c r="L66" i="2"/>
  <c r="L103" i="2"/>
  <c r="L107" i="2"/>
  <c r="L111" i="2"/>
  <c r="L126" i="2"/>
  <c r="L148" i="2"/>
  <c r="L194" i="2"/>
  <c r="L205" i="2"/>
  <c r="L200" i="2"/>
  <c r="L215" i="2"/>
  <c r="L258" i="2"/>
  <c r="L249" i="2"/>
  <c r="L273" i="2"/>
  <c r="L283" i="2"/>
  <c r="L324" i="2"/>
  <c r="L310" i="2"/>
  <c r="L328" i="2"/>
  <c r="L343" i="2"/>
  <c r="L338" i="2"/>
  <c r="L361" i="2"/>
  <c r="L365" i="2"/>
  <c r="L370" i="2"/>
  <c r="L400" i="2"/>
  <c r="L420" i="2"/>
  <c r="L445" i="2"/>
  <c r="L462" i="2"/>
  <c r="L459" i="2"/>
  <c r="L487" i="2"/>
  <c r="L491" i="2"/>
  <c r="L3" i="2"/>
  <c r="L33" i="2"/>
  <c r="L52" i="2"/>
  <c r="L84" i="2"/>
  <c r="L97" i="2"/>
  <c r="L113" i="2"/>
  <c r="L135" i="2"/>
  <c r="L156" i="2"/>
  <c r="L184" i="2"/>
  <c r="L201" i="2"/>
  <c r="L217" i="2"/>
  <c r="L257" i="2"/>
  <c r="L252" i="2"/>
  <c r="L268" i="2"/>
  <c r="L279" i="2"/>
  <c r="L299" i="2"/>
  <c r="L315" i="2"/>
  <c r="L337" i="2"/>
  <c r="L332" i="2"/>
  <c r="L350" i="2"/>
  <c r="L373" i="2"/>
  <c r="L395" i="2"/>
  <c r="L407" i="2"/>
  <c r="L438" i="2"/>
  <c r="L456" i="2"/>
  <c r="L483" i="2"/>
  <c r="L495" i="2"/>
  <c r="L515" i="2"/>
  <c r="L532" i="2"/>
  <c r="L546" i="2"/>
  <c r="L550" i="2"/>
  <c r="L571" i="2"/>
  <c r="L611" i="2"/>
  <c r="L613" i="2"/>
  <c r="L616" i="2"/>
  <c r="L648" i="2"/>
  <c r="L659" i="2"/>
  <c r="L662" i="2"/>
  <c r="L685" i="2"/>
  <c r="L697" i="2"/>
  <c r="L717" i="2"/>
  <c r="L604" i="2"/>
  <c r="L644" i="2"/>
  <c r="L701" i="2"/>
  <c r="L709" i="2"/>
  <c r="L724" i="2"/>
  <c r="L723" i="2"/>
  <c r="L603" i="2"/>
  <c r="L610" i="2"/>
  <c r="L599" i="2"/>
  <c r="L643" i="2"/>
  <c r="L668" i="2"/>
  <c r="L679" i="2"/>
  <c r="L700" i="2"/>
  <c r="L712" i="2"/>
  <c r="L726" i="2"/>
  <c r="L725" i="2"/>
  <c r="L735" i="2"/>
  <c r="L513" i="2"/>
  <c r="L539" i="2"/>
  <c r="L553" i="2"/>
  <c r="L570" i="2"/>
  <c r="L586" i="2"/>
  <c r="L624" i="2"/>
  <c r="L635" i="2"/>
  <c r="L645" i="2"/>
  <c r="L695" i="2"/>
  <c r="L690" i="2"/>
  <c r="L699" i="2"/>
  <c r="L737" i="2"/>
  <c r="L728" i="2"/>
  <c r="R2" i="2"/>
  <c r="L2" i="2"/>
  <c r="L31" i="2"/>
  <c r="L267" i="2"/>
  <c r="L391" i="2"/>
  <c r="L615" i="2"/>
  <c r="L674" i="2"/>
  <c r="L727" i="2"/>
  <c r="L741" i="2"/>
  <c r="L756" i="2"/>
  <c r="L772" i="2"/>
  <c r="L764" i="2"/>
  <c r="Q785" i="2"/>
  <c r="Q779" i="2"/>
  <c r="Q773" i="2"/>
  <c r="Q744" i="2"/>
  <c r="Q759" i="2"/>
  <c r="Q761" i="2"/>
  <c r="Q740" i="2"/>
  <c r="Q778" i="2"/>
  <c r="Q757" i="2"/>
  <c r="Q748" i="2"/>
  <c r="Q758" i="2"/>
  <c r="Q789" i="2"/>
  <c r="Q806" i="2"/>
  <c r="Q790" i="2"/>
  <c r="Q800" i="2"/>
  <c r="Q755" i="2"/>
  <c r="Q738" i="2"/>
  <c r="Q750" i="2"/>
  <c r="Q774" i="2"/>
  <c r="Q786" i="2"/>
  <c r="Q801" i="2"/>
  <c r="Q780" i="2"/>
  <c r="Q768" i="2"/>
  <c r="Q764" i="2"/>
  <c r="Q807" i="2"/>
  <c r="Q796" i="2"/>
  <c r="Q767" i="2"/>
  <c r="Q742" i="2"/>
  <c r="Q775" i="2"/>
  <c r="Q754" i="2"/>
  <c r="Q753" i="2"/>
  <c r="Q739" i="2"/>
  <c r="Q766" i="2"/>
  <c r="Q752" i="2"/>
  <c r="Q749" i="2"/>
  <c r="Q804" i="2"/>
  <c r="Q810" i="2"/>
  <c r="Q805" i="2"/>
  <c r="Q777" i="2"/>
  <c r="Q747" i="2"/>
  <c r="Q751" i="2"/>
  <c r="Q783" i="2"/>
  <c r="Q792" i="2"/>
  <c r="Q741" i="2"/>
  <c r="Q772" i="2"/>
  <c r="Q787" i="2"/>
  <c r="Q760" i="2"/>
  <c r="Q776" i="2"/>
  <c r="Q803" i="2"/>
  <c r="Q794" i="2"/>
  <c r="Q797" i="2"/>
  <c r="Q746" i="2"/>
  <c r="Q793" i="2"/>
  <c r="Q763" i="2"/>
  <c r="Q765" i="2"/>
  <c r="Q808" i="2"/>
  <c r="Q771" i="2"/>
  <c r="Q809" i="2"/>
  <c r="Q769" i="2"/>
  <c r="Q743" i="2"/>
  <c r="Q798" i="2"/>
  <c r="Q756" i="2"/>
  <c r="Q745" i="2"/>
  <c r="Q802" i="2"/>
  <c r="Q791" i="2"/>
  <c r="Q799" i="2"/>
  <c r="Q762" i="2"/>
  <c r="Q784" i="2"/>
  <c r="Q781" i="2"/>
  <c r="Q795" i="2"/>
  <c r="Q770" i="2"/>
  <c r="Q782" i="2"/>
  <c r="Q788" i="2"/>
  <c r="Q137" i="2"/>
  <c r="Q674" i="2"/>
  <c r="Q718" i="2"/>
  <c r="Q672" i="2"/>
  <c r="Q727" i="2"/>
  <c r="Q664" i="2"/>
  <c r="Q517" i="2"/>
  <c r="Q481" i="2"/>
  <c r="Q615" i="2"/>
  <c r="Q467" i="2"/>
  <c r="Q425" i="2"/>
  <c r="Q391" i="2"/>
  <c r="Q412" i="2"/>
  <c r="Q401" i="2"/>
  <c r="Q267" i="2"/>
  <c r="Q170" i="2"/>
  <c r="Q169" i="2"/>
  <c r="Q31" i="2"/>
  <c r="Q2" i="2"/>
  <c r="Y3" i="3"/>
  <c r="Y7" i="3"/>
  <c r="Y11" i="3"/>
  <c r="Y15" i="3"/>
  <c r="Y19" i="3"/>
  <c r="Y23" i="3"/>
  <c r="Y27" i="3"/>
  <c r="Y31" i="3"/>
  <c r="Y35" i="3"/>
  <c r="Y39" i="3"/>
  <c r="Y43" i="3"/>
  <c r="Y47" i="3"/>
  <c r="Y51" i="3"/>
  <c r="Y55" i="3"/>
  <c r="Y59" i="3"/>
  <c r="Y63" i="3"/>
  <c r="Y67" i="3"/>
  <c r="Y71" i="3"/>
  <c r="Y75" i="3"/>
  <c r="Y79" i="3"/>
  <c r="Y83" i="3"/>
  <c r="Y87" i="3"/>
  <c r="Y91" i="3"/>
  <c r="Y95" i="3"/>
  <c r="Y99" i="3"/>
  <c r="Y103" i="3"/>
  <c r="Y107" i="3"/>
  <c r="Y111" i="3"/>
  <c r="Y115" i="3"/>
  <c r="Y119" i="3"/>
  <c r="Y123" i="3"/>
  <c r="Y127" i="3"/>
  <c r="Y131" i="3"/>
  <c r="Y135" i="3"/>
  <c r="Y139" i="3"/>
  <c r="Y143" i="3"/>
  <c r="Y147" i="3"/>
  <c r="Y151" i="3"/>
  <c r="Y155" i="3"/>
  <c r="Y159" i="3"/>
  <c r="Y163" i="3"/>
  <c r="Y167" i="3"/>
  <c r="Y171" i="3"/>
  <c r="Y175" i="3"/>
  <c r="Y179" i="3"/>
  <c r="Y183" i="3"/>
  <c r="Y187" i="3"/>
  <c r="Y191" i="3"/>
  <c r="Y195" i="3"/>
  <c r="Y199" i="3"/>
  <c r="Y203" i="3"/>
  <c r="Y207" i="3"/>
  <c r="Y211" i="3"/>
  <c r="Y215" i="3"/>
  <c r="Y219" i="3"/>
  <c r="Y223" i="3"/>
  <c r="Y227" i="3"/>
  <c r="Y231" i="3"/>
  <c r="Y235" i="3"/>
  <c r="Y239" i="3"/>
  <c r="Y243" i="3"/>
  <c r="Y247" i="3"/>
  <c r="Y251" i="3"/>
  <c r="Y255" i="3"/>
  <c r="Y259" i="3"/>
  <c r="Y263" i="3"/>
  <c r="Y267" i="3"/>
  <c r="Y271" i="3"/>
  <c r="Y275" i="3"/>
  <c r="Y279" i="3"/>
  <c r="Y283" i="3"/>
  <c r="Y287" i="3"/>
  <c r="Y291" i="3"/>
  <c r="Y295" i="3"/>
  <c r="Y299" i="3"/>
  <c r="Y303" i="3"/>
  <c r="Y307" i="3"/>
  <c r="Y311" i="3"/>
  <c r="Y315" i="3"/>
  <c r="Y319" i="3"/>
  <c r="Y323" i="3"/>
  <c r="Y327" i="3"/>
  <c r="Y331" i="3"/>
  <c r="Y335" i="3"/>
  <c r="Y339" i="3"/>
  <c r="Y343" i="3"/>
  <c r="Y347" i="3"/>
  <c r="Y351" i="3"/>
  <c r="Y355" i="3"/>
  <c r="Y359" i="3"/>
  <c r="Y363" i="3"/>
  <c r="Y367" i="3"/>
  <c r="Y371" i="3"/>
  <c r="Y375" i="3"/>
  <c r="Y379" i="3"/>
  <c r="Y383" i="3"/>
  <c r="Y387" i="3"/>
  <c r="Y391" i="3"/>
  <c r="Y395" i="3"/>
  <c r="Y399" i="3"/>
  <c r="Y403" i="3"/>
  <c r="Y407" i="3"/>
  <c r="Y411" i="3"/>
  <c r="Y415" i="3"/>
  <c r="Y419" i="3"/>
  <c r="Y423" i="3"/>
  <c r="Y427" i="3"/>
  <c r="Y431" i="3"/>
  <c r="Y435" i="3"/>
  <c r="Y439" i="3"/>
  <c r="Y443" i="3"/>
  <c r="Y447" i="3"/>
  <c r="Y451" i="3"/>
  <c r="Y455" i="3"/>
  <c r="Y459" i="3"/>
  <c r="Y463" i="3"/>
  <c r="Y467" i="3"/>
  <c r="Y471" i="3"/>
  <c r="Y475" i="3"/>
  <c r="Y479" i="3"/>
  <c r="Y483" i="3"/>
  <c r="Y487" i="3"/>
  <c r="Y491" i="3"/>
  <c r="Y495" i="3"/>
  <c r="Y499" i="3"/>
  <c r="Y503" i="3"/>
  <c r="Y507" i="3"/>
  <c r="Y511" i="3"/>
  <c r="Y515" i="3"/>
  <c r="Y519" i="3"/>
  <c r="Y523" i="3"/>
  <c r="Y527" i="3"/>
  <c r="Y531" i="3"/>
  <c r="Y4" i="3"/>
  <c r="Y8" i="3"/>
  <c r="Y12" i="3"/>
  <c r="Y16" i="3"/>
  <c r="Y20" i="3"/>
  <c r="Y24" i="3"/>
  <c r="Y28" i="3"/>
  <c r="Y32" i="3"/>
  <c r="Y36" i="3"/>
  <c r="Y40" i="3"/>
  <c r="Y44" i="3"/>
  <c r="Y48" i="3"/>
  <c r="Y52" i="3"/>
  <c r="Y56" i="3"/>
  <c r="Y60" i="3"/>
  <c r="Y64" i="3"/>
  <c r="Y68" i="3"/>
  <c r="Y72" i="3"/>
  <c r="Y76" i="3"/>
  <c r="Y80" i="3"/>
  <c r="Y84" i="3"/>
  <c r="Y88" i="3"/>
  <c r="Y92" i="3"/>
  <c r="Y96" i="3"/>
  <c r="Y100" i="3"/>
  <c r="Y104" i="3"/>
  <c r="Y108" i="3"/>
  <c r="Y112" i="3"/>
  <c r="Y116" i="3"/>
  <c r="Y120" i="3"/>
  <c r="Y124" i="3"/>
  <c r="Y128" i="3"/>
  <c r="Y132" i="3"/>
  <c r="Y136" i="3"/>
  <c r="Y140" i="3"/>
  <c r="Y144" i="3"/>
  <c r="Y148" i="3"/>
  <c r="Y152" i="3"/>
  <c r="Y156" i="3"/>
  <c r="Y160" i="3"/>
  <c r="Y164" i="3"/>
  <c r="Y168" i="3"/>
  <c r="Y172" i="3"/>
  <c r="Y176" i="3"/>
  <c r="Y180" i="3"/>
  <c r="Y184" i="3"/>
  <c r="Y188" i="3"/>
  <c r="Y192" i="3"/>
  <c r="Y196" i="3"/>
  <c r="Y200" i="3"/>
  <c r="Y204" i="3"/>
  <c r="Y208" i="3"/>
  <c r="Y212" i="3"/>
  <c r="Y216" i="3"/>
  <c r="Y220" i="3"/>
  <c r="Y224" i="3"/>
  <c r="Y228" i="3"/>
  <c r="Y232" i="3"/>
  <c r="Y236" i="3"/>
  <c r="Y240" i="3"/>
  <c r="Y244" i="3"/>
  <c r="Y248" i="3"/>
  <c r="Y252" i="3"/>
  <c r="Y256" i="3"/>
  <c r="Y260" i="3"/>
  <c r="Y264" i="3"/>
  <c r="Y268" i="3"/>
  <c r="Y272" i="3"/>
  <c r="Y276" i="3"/>
  <c r="Y280" i="3"/>
  <c r="Y284" i="3"/>
  <c r="Y288" i="3"/>
  <c r="Y292" i="3"/>
  <c r="Y296" i="3"/>
  <c r="Y300" i="3"/>
  <c r="Y304" i="3"/>
  <c r="Y308" i="3"/>
  <c r="Y312" i="3"/>
  <c r="Y316" i="3"/>
  <c r="Y320" i="3"/>
  <c r="Y324" i="3"/>
  <c r="Y328" i="3"/>
  <c r="Y332" i="3"/>
  <c r="Y336" i="3"/>
  <c r="Y340" i="3"/>
  <c r="Y344" i="3"/>
  <c r="Y348" i="3"/>
  <c r="Y352" i="3"/>
  <c r="Y356" i="3"/>
  <c r="Y360" i="3"/>
  <c r="Y364" i="3"/>
  <c r="Y368" i="3"/>
  <c r="Y372" i="3"/>
  <c r="Y376" i="3"/>
  <c r="Y380" i="3"/>
  <c r="Y384" i="3"/>
  <c r="Y388" i="3"/>
  <c r="Y392" i="3"/>
  <c r="Y396" i="3"/>
  <c r="Y400" i="3"/>
  <c r="Y404" i="3"/>
  <c r="Y408" i="3"/>
  <c r="Y412" i="3"/>
  <c r="Y416" i="3"/>
  <c r="Y420" i="3"/>
  <c r="Y424" i="3"/>
  <c r="Y428" i="3"/>
  <c r="Y432" i="3"/>
  <c r="Y436" i="3"/>
  <c r="Y440" i="3"/>
  <c r="Y444" i="3"/>
  <c r="Y448" i="3"/>
  <c r="Y452" i="3"/>
  <c r="Y456" i="3"/>
  <c r="Y460" i="3"/>
  <c r="Y464" i="3"/>
  <c r="Y468" i="3"/>
  <c r="Y472" i="3"/>
  <c r="Y476" i="3"/>
  <c r="Y5" i="3"/>
  <c r="Y9" i="3"/>
  <c r="Y13" i="3"/>
  <c r="Y17" i="3"/>
  <c r="Y21" i="3"/>
  <c r="Y25" i="3"/>
  <c r="Y29" i="3"/>
  <c r="Y33" i="3"/>
  <c r="Y37" i="3"/>
  <c r="Y41" i="3"/>
  <c r="Y45" i="3"/>
  <c r="Y49" i="3"/>
  <c r="Y53" i="3"/>
  <c r="Y57" i="3"/>
  <c r="Y61" i="3"/>
  <c r="Y65" i="3"/>
  <c r="Y69" i="3"/>
  <c r="Y73" i="3"/>
  <c r="Y77" i="3"/>
  <c r="Y81" i="3"/>
  <c r="Y85" i="3"/>
  <c r="Y89" i="3"/>
  <c r="Y93" i="3"/>
  <c r="Y97" i="3"/>
  <c r="Y101" i="3"/>
  <c r="Y105" i="3"/>
  <c r="Y109" i="3"/>
  <c r="Y113" i="3"/>
  <c r="Y117" i="3"/>
  <c r="Y121" i="3"/>
  <c r="Y125" i="3"/>
  <c r="Y129" i="3"/>
  <c r="Y133" i="3"/>
  <c r="Y137" i="3"/>
  <c r="Y141" i="3"/>
  <c r="Y145" i="3"/>
  <c r="Y149" i="3"/>
  <c r="Y153" i="3"/>
  <c r="Y157" i="3"/>
  <c r="Y161" i="3"/>
  <c r="Y165" i="3"/>
  <c r="Y169" i="3"/>
  <c r="Y173" i="3"/>
  <c r="Y177" i="3"/>
  <c r="Y181" i="3"/>
  <c r="Y185" i="3"/>
  <c r="Y189" i="3"/>
  <c r="Y193" i="3"/>
  <c r="Y197" i="3"/>
  <c r="Y201" i="3"/>
  <c r="Y205" i="3"/>
  <c r="Y209" i="3"/>
  <c r="Y213" i="3"/>
  <c r="Y217" i="3"/>
  <c r="Y221" i="3"/>
  <c r="Y225" i="3"/>
  <c r="Y229" i="3"/>
  <c r="Y233" i="3"/>
  <c r="Y237" i="3"/>
  <c r="Y241" i="3"/>
  <c r="Y245" i="3"/>
  <c r="Y249" i="3"/>
  <c r="Y253" i="3"/>
  <c r="Y257" i="3"/>
  <c r="Y261" i="3"/>
  <c r="Y265" i="3"/>
  <c r="Y269" i="3"/>
  <c r="Y273" i="3"/>
  <c r="Y277" i="3"/>
  <c r="Y281" i="3"/>
  <c r="Y285" i="3"/>
  <c r="Y289" i="3"/>
  <c r="Y293" i="3"/>
  <c r="Y297" i="3"/>
  <c r="Y301" i="3"/>
  <c r="Y305" i="3"/>
  <c r="Y309" i="3"/>
  <c r="Y313" i="3"/>
  <c r="Y317" i="3"/>
  <c r="Y321" i="3"/>
  <c r="Y325" i="3"/>
  <c r="Y329" i="3"/>
  <c r="Y333" i="3"/>
  <c r="Y337" i="3"/>
  <c r="Y341" i="3"/>
  <c r="Y6" i="3"/>
  <c r="Y22" i="3"/>
  <c r="Y38" i="3"/>
  <c r="Y54" i="3"/>
  <c r="Y70" i="3"/>
  <c r="Y86" i="3"/>
  <c r="Y102" i="3"/>
  <c r="Y118" i="3"/>
  <c r="Y134" i="3"/>
  <c r="Y150" i="3"/>
  <c r="Y166" i="3"/>
  <c r="Y182" i="3"/>
  <c r="Y198" i="3"/>
  <c r="Y214" i="3"/>
  <c r="Y230" i="3"/>
  <c r="Y246" i="3"/>
  <c r="Y262" i="3"/>
  <c r="Y278" i="3"/>
  <c r="Y294" i="3"/>
  <c r="Y310" i="3"/>
  <c r="Y326" i="3"/>
  <c r="Y342" i="3"/>
  <c r="Y350" i="3"/>
  <c r="Y358" i="3"/>
  <c r="Y366" i="3"/>
  <c r="Y374" i="3"/>
  <c r="Y382" i="3"/>
  <c r="Y390" i="3"/>
  <c r="Y398" i="3"/>
  <c r="Y406" i="3"/>
  <c r="Y414" i="3"/>
  <c r="Y422" i="3"/>
  <c r="Y430" i="3"/>
  <c r="Y438" i="3"/>
  <c r="Y446" i="3"/>
  <c r="Y454" i="3"/>
  <c r="Y462" i="3"/>
  <c r="Y470" i="3"/>
  <c r="Y478" i="3"/>
  <c r="Y484" i="3"/>
  <c r="Y489" i="3"/>
  <c r="Y494" i="3"/>
  <c r="Y500" i="3"/>
  <c r="Y505" i="3"/>
  <c r="Y510" i="3"/>
  <c r="Y516" i="3"/>
  <c r="Y521" i="3"/>
  <c r="Y526" i="3"/>
  <c r="Y532" i="3"/>
  <c r="Y536" i="3"/>
  <c r="Y540" i="3"/>
  <c r="Y544" i="3"/>
  <c r="Y548" i="3"/>
  <c r="Y552" i="3"/>
  <c r="Y556" i="3"/>
  <c r="Y560" i="3"/>
  <c r="Y564" i="3"/>
  <c r="Y568" i="3"/>
  <c r="Y572" i="3"/>
  <c r="Y576" i="3"/>
  <c r="Y580" i="3"/>
  <c r="Y584" i="3"/>
  <c r="Y588" i="3"/>
  <c r="Y592" i="3"/>
  <c r="Y596" i="3"/>
  <c r="Y600" i="3"/>
  <c r="Y604" i="3"/>
  <c r="Y608" i="3"/>
  <c r="Y612" i="3"/>
  <c r="Y616" i="3"/>
  <c r="Y620" i="3"/>
  <c r="Y624" i="3"/>
  <c r="Y628" i="3"/>
  <c r="Y632" i="3"/>
  <c r="Y636" i="3"/>
  <c r="Y640" i="3"/>
  <c r="Y644" i="3"/>
  <c r="Y648" i="3"/>
  <c r="Y652" i="3"/>
  <c r="Y656" i="3"/>
  <c r="Y660" i="3"/>
  <c r="Y664" i="3"/>
  <c r="Y668" i="3"/>
  <c r="Y672" i="3"/>
  <c r="Y676" i="3"/>
  <c r="Y680" i="3"/>
  <c r="Y684" i="3"/>
  <c r="Y688" i="3"/>
  <c r="Y692" i="3"/>
  <c r="Y696" i="3"/>
  <c r="Y700" i="3"/>
  <c r="Y704" i="3"/>
  <c r="Y708" i="3"/>
  <c r="Y712" i="3"/>
  <c r="Y716" i="3"/>
  <c r="Y720" i="3"/>
  <c r="Y724" i="3"/>
  <c r="Y728" i="3"/>
  <c r="Y732" i="3"/>
  <c r="Y736" i="3"/>
  <c r="Y740" i="3"/>
  <c r="Y744" i="3"/>
  <c r="Y748" i="3"/>
  <c r="Y752" i="3"/>
  <c r="Y756" i="3"/>
  <c r="Y760" i="3"/>
  <c r="Y764" i="3"/>
  <c r="Y768" i="3"/>
  <c r="Y772" i="3"/>
  <c r="Y776" i="3"/>
  <c r="Y780" i="3"/>
  <c r="Y784" i="3"/>
  <c r="Y788" i="3"/>
  <c r="Y792" i="3"/>
  <c r="Y796" i="3"/>
  <c r="Y800" i="3"/>
  <c r="Y804" i="3"/>
  <c r="Y10" i="3"/>
  <c r="Y26" i="3"/>
  <c r="Y42" i="3"/>
  <c r="Y58" i="3"/>
  <c r="Y74" i="3"/>
  <c r="Y90" i="3"/>
  <c r="Y106" i="3"/>
  <c r="Y122" i="3"/>
  <c r="Y138" i="3"/>
  <c r="Y154" i="3"/>
  <c r="Y170" i="3"/>
  <c r="Y186" i="3"/>
  <c r="Y202" i="3"/>
  <c r="Y218" i="3"/>
  <c r="Y234" i="3"/>
  <c r="Y250" i="3"/>
  <c r="Y266" i="3"/>
  <c r="Y282" i="3"/>
  <c r="Y298" i="3"/>
  <c r="Y314" i="3"/>
  <c r="Y330" i="3"/>
  <c r="Y345" i="3"/>
  <c r="Y353" i="3"/>
  <c r="Y361" i="3"/>
  <c r="Y369" i="3"/>
  <c r="Y377" i="3"/>
  <c r="Y385" i="3"/>
  <c r="Y393" i="3"/>
  <c r="Y401" i="3"/>
  <c r="Y409" i="3"/>
  <c r="Y417" i="3"/>
  <c r="Y425" i="3"/>
  <c r="Y433" i="3"/>
  <c r="Y441" i="3"/>
  <c r="Y449" i="3"/>
  <c r="Y457" i="3"/>
  <c r="Y465" i="3"/>
  <c r="Y473" i="3"/>
  <c r="Y480" i="3"/>
  <c r="Y485" i="3"/>
  <c r="Y490" i="3"/>
  <c r="Y496" i="3"/>
  <c r="Y501" i="3"/>
  <c r="Y506" i="3"/>
  <c r="Y512" i="3"/>
  <c r="Y517" i="3"/>
  <c r="Y522" i="3"/>
  <c r="Y528" i="3"/>
  <c r="Y533" i="3"/>
  <c r="Y537" i="3"/>
  <c r="Y541" i="3"/>
  <c r="Y545" i="3"/>
  <c r="Y549" i="3"/>
  <c r="Y553" i="3"/>
  <c r="Y557" i="3"/>
  <c r="Y561" i="3"/>
  <c r="Y565" i="3"/>
  <c r="Y569" i="3"/>
  <c r="Y573" i="3"/>
  <c r="Y577" i="3"/>
  <c r="Y581" i="3"/>
  <c r="Y585" i="3"/>
  <c r="Y589" i="3"/>
  <c r="Y593" i="3"/>
  <c r="Y597" i="3"/>
  <c r="Y601" i="3"/>
  <c r="Y605" i="3"/>
  <c r="Y609" i="3"/>
  <c r="Y613" i="3"/>
  <c r="Y617" i="3"/>
  <c r="Y621" i="3"/>
  <c r="Y625" i="3"/>
  <c r="Y629" i="3"/>
  <c r="Y633" i="3"/>
  <c r="Y637" i="3"/>
  <c r="Y641" i="3"/>
  <c r="Y645" i="3"/>
  <c r="Y649" i="3"/>
  <c r="Y653" i="3"/>
  <c r="Y657" i="3"/>
  <c r="Y661" i="3"/>
  <c r="Y665" i="3"/>
  <c r="Y669" i="3"/>
  <c r="Y673" i="3"/>
  <c r="Y677" i="3"/>
  <c r="Y681" i="3"/>
  <c r="Y685" i="3"/>
  <c r="Y689" i="3"/>
  <c r="Y693" i="3"/>
  <c r="Y697" i="3"/>
  <c r="Y701" i="3"/>
  <c r="Y705" i="3"/>
  <c r="Y709" i="3"/>
  <c r="Y713" i="3"/>
  <c r="Y717" i="3"/>
  <c r="Y721" i="3"/>
  <c r="Y725" i="3"/>
  <c r="Y729" i="3"/>
  <c r="Y733" i="3"/>
  <c r="Y737" i="3"/>
  <c r="Y741" i="3"/>
  <c r="Y745" i="3"/>
  <c r="Y749" i="3"/>
  <c r="Y753" i="3"/>
  <c r="Y757" i="3"/>
  <c r="Y761" i="3"/>
  <c r="Y765" i="3"/>
  <c r="Y769" i="3"/>
  <c r="Y773" i="3"/>
  <c r="Y777" i="3"/>
  <c r="Y781" i="3"/>
  <c r="Y785" i="3"/>
  <c r="Y789" i="3"/>
  <c r="Y793" i="3"/>
  <c r="Y797" i="3"/>
  <c r="Y801" i="3"/>
  <c r="Y805" i="3"/>
  <c r="Y14" i="3"/>
  <c r="Y30" i="3"/>
  <c r="Y46" i="3"/>
  <c r="Y62" i="3"/>
  <c r="Y78" i="3"/>
  <c r="Y94" i="3"/>
  <c r="Y110" i="3"/>
  <c r="Y126" i="3"/>
  <c r="Y142" i="3"/>
  <c r="Y158" i="3"/>
  <c r="Y174" i="3"/>
  <c r="Y190" i="3"/>
  <c r="Y206" i="3"/>
  <c r="Y222" i="3"/>
  <c r="Y238" i="3"/>
  <c r="Y254" i="3"/>
  <c r="Y270" i="3"/>
  <c r="Y286" i="3"/>
  <c r="Y302" i="3"/>
  <c r="Y318" i="3"/>
  <c r="Y334" i="3"/>
  <c r="Y346" i="3"/>
  <c r="Y354" i="3"/>
  <c r="Y362" i="3"/>
  <c r="Y370" i="3"/>
  <c r="Y378" i="3"/>
  <c r="Y386" i="3"/>
  <c r="Y394" i="3"/>
  <c r="Y402" i="3"/>
  <c r="Y410" i="3"/>
  <c r="Y418" i="3"/>
  <c r="Y426" i="3"/>
  <c r="Y434" i="3"/>
  <c r="Y442" i="3"/>
  <c r="Y450" i="3"/>
  <c r="Y458" i="3"/>
  <c r="Y466" i="3"/>
  <c r="Y474" i="3"/>
  <c r="Y481" i="3"/>
  <c r="Y486" i="3"/>
  <c r="Y492" i="3"/>
  <c r="Y497" i="3"/>
  <c r="Y502" i="3"/>
  <c r="Y508" i="3"/>
  <c r="Y513" i="3"/>
  <c r="Y518" i="3"/>
  <c r="Y524" i="3"/>
  <c r="Y529" i="3"/>
  <c r="Y534" i="3"/>
  <c r="Y538" i="3"/>
  <c r="Y542" i="3"/>
  <c r="Y546" i="3"/>
  <c r="Y550" i="3"/>
  <c r="Y554" i="3"/>
  <c r="Y558" i="3"/>
  <c r="Y562" i="3"/>
  <c r="Y566" i="3"/>
  <c r="Y570" i="3"/>
  <c r="Y574" i="3"/>
  <c r="Y578" i="3"/>
  <c r="Y582" i="3"/>
  <c r="Y586" i="3"/>
  <c r="Y590" i="3"/>
  <c r="Y594" i="3"/>
  <c r="Y598" i="3"/>
  <c r="Y602" i="3"/>
  <c r="Y606" i="3"/>
  <c r="Y610" i="3"/>
  <c r="Y614" i="3"/>
  <c r="Y618" i="3"/>
  <c r="Y622" i="3"/>
  <c r="Y626" i="3"/>
  <c r="Y630" i="3"/>
  <c r="Y634" i="3"/>
  <c r="Y638" i="3"/>
  <c r="Y642" i="3"/>
  <c r="Y646" i="3"/>
  <c r="Y650" i="3"/>
  <c r="Y654" i="3"/>
  <c r="Y658" i="3"/>
  <c r="Y662" i="3"/>
  <c r="Y666" i="3"/>
  <c r="Y670" i="3"/>
  <c r="Y674" i="3"/>
  <c r="Y678" i="3"/>
  <c r="Y682" i="3"/>
  <c r="Y686" i="3"/>
  <c r="Y690" i="3"/>
  <c r="Y694" i="3"/>
  <c r="Y698" i="3"/>
  <c r="Y702" i="3"/>
  <c r="Y706" i="3"/>
  <c r="Y710" i="3"/>
  <c r="Y714" i="3"/>
  <c r="Y718" i="3"/>
  <c r="Y722" i="3"/>
  <c r="Y726" i="3"/>
  <c r="Y730" i="3"/>
  <c r="Y734" i="3"/>
  <c r="Y738" i="3"/>
  <c r="Y742" i="3"/>
  <c r="Y746" i="3"/>
  <c r="Y750" i="3"/>
  <c r="Y754" i="3"/>
  <c r="Y758" i="3"/>
  <c r="Y762" i="3"/>
  <c r="Y766" i="3"/>
  <c r="Y770" i="3"/>
  <c r="Y774" i="3"/>
  <c r="Y778" i="3"/>
  <c r="Y782" i="3"/>
  <c r="Y786" i="3"/>
  <c r="Y790" i="3"/>
  <c r="Y794" i="3"/>
  <c r="Y798" i="3"/>
  <c r="Y802" i="3"/>
  <c r="Y806" i="3"/>
  <c r="Y18" i="3"/>
  <c r="Y82" i="3"/>
  <c r="Y146" i="3"/>
  <c r="Y210" i="3"/>
  <c r="Y274" i="3"/>
  <c r="Y338" i="3"/>
  <c r="Y373" i="3"/>
  <c r="Y405" i="3"/>
  <c r="Y437" i="3"/>
  <c r="Y469" i="3"/>
  <c r="Y493" i="3"/>
  <c r="Y514" i="3"/>
  <c r="Y535" i="3"/>
  <c r="Y551" i="3"/>
  <c r="Y567" i="3"/>
  <c r="Y583" i="3"/>
  <c r="Y599" i="3"/>
  <c r="Y615" i="3"/>
  <c r="Y631" i="3"/>
  <c r="Y647" i="3"/>
  <c r="Y663" i="3"/>
  <c r="Y679" i="3"/>
  <c r="Y695" i="3"/>
  <c r="Y711" i="3"/>
  <c r="Y727" i="3"/>
  <c r="Y743" i="3"/>
  <c r="Y759" i="3"/>
  <c r="Y775" i="3"/>
  <c r="Y791" i="3"/>
  <c r="Y34" i="3"/>
  <c r="Y98" i="3"/>
  <c r="Y162" i="3"/>
  <c r="Y226" i="3"/>
  <c r="Y290" i="3"/>
  <c r="Y349" i="3"/>
  <c r="Y381" i="3"/>
  <c r="Y413" i="3"/>
  <c r="Y445" i="3"/>
  <c r="Y477" i="3"/>
  <c r="Y498" i="3"/>
  <c r="Y520" i="3"/>
  <c r="Y539" i="3"/>
  <c r="Y555" i="3"/>
  <c r="Y571" i="3"/>
  <c r="Y587" i="3"/>
  <c r="Y603" i="3"/>
  <c r="Y619" i="3"/>
  <c r="Y635" i="3"/>
  <c r="Y651" i="3"/>
  <c r="Y667" i="3"/>
  <c r="Y683" i="3"/>
  <c r="Y699" i="3"/>
  <c r="Y715" i="3"/>
  <c r="Y731" i="3"/>
  <c r="Y747" i="3"/>
  <c r="Y763" i="3"/>
  <c r="Y779" i="3"/>
  <c r="Y795" i="3"/>
  <c r="Y50" i="3"/>
  <c r="Y114" i="3"/>
  <c r="Y178" i="3"/>
  <c r="Y242" i="3"/>
  <c r="Y306" i="3"/>
  <c r="Y357" i="3"/>
  <c r="Y389" i="3"/>
  <c r="Y421" i="3"/>
  <c r="Y453" i="3"/>
  <c r="Y482" i="3"/>
  <c r="Y504" i="3"/>
  <c r="Y525" i="3"/>
  <c r="Y543" i="3"/>
  <c r="Y559" i="3"/>
  <c r="Y575" i="3"/>
  <c r="Y591" i="3"/>
  <c r="Y607" i="3"/>
  <c r="Y623" i="3"/>
  <c r="Y639" i="3"/>
  <c r="Y655" i="3"/>
  <c r="Y671" i="3"/>
  <c r="Y687" i="3"/>
  <c r="Y703" i="3"/>
  <c r="Y719" i="3"/>
  <c r="Y735" i="3"/>
  <c r="Y751" i="3"/>
  <c r="Y767" i="3"/>
  <c r="Y783" i="3"/>
  <c r="Y799" i="3"/>
  <c r="Y66" i="3"/>
  <c r="Y130" i="3"/>
  <c r="Y194" i="3"/>
  <c r="Y258" i="3"/>
  <c r="Y322" i="3"/>
  <c r="Y365" i="3"/>
  <c r="Y397" i="3"/>
  <c r="Y429" i="3"/>
  <c r="Y461" i="3"/>
  <c r="Y488" i="3"/>
  <c r="Y509" i="3"/>
  <c r="Y530" i="3"/>
  <c r="Y547" i="3"/>
  <c r="Y563" i="3"/>
  <c r="Y579" i="3"/>
  <c r="Y595" i="3"/>
  <c r="Y611" i="3"/>
  <c r="Y627" i="3"/>
  <c r="Y643" i="3"/>
  <c r="Y659" i="3"/>
  <c r="Y675" i="3"/>
  <c r="Y691" i="3"/>
  <c r="Y707" i="3"/>
  <c r="Y723" i="3"/>
  <c r="Y739" i="3"/>
  <c r="Y755" i="3"/>
  <c r="Y771" i="3"/>
  <c r="Y787" i="3"/>
  <c r="Y803" i="3"/>
  <c r="X9" i="3"/>
  <c r="A9" i="3" s="1"/>
  <c r="X10" i="3"/>
  <c r="A10" i="3" s="1"/>
  <c r="X11" i="3"/>
  <c r="A11" i="3" s="1"/>
  <c r="X12" i="3"/>
  <c r="A12" i="3" s="1"/>
  <c r="X13" i="3"/>
  <c r="A13" i="3" s="1"/>
  <c r="X14" i="3"/>
  <c r="A14" i="3" s="1"/>
  <c r="X15" i="3"/>
  <c r="A15" i="3" s="1"/>
  <c r="X16" i="3"/>
  <c r="A16" i="3" s="1"/>
  <c r="X17" i="3"/>
  <c r="A17" i="3" s="1"/>
  <c r="X18" i="3"/>
  <c r="A18" i="3" s="1"/>
  <c r="X19" i="3"/>
  <c r="A19" i="3" s="1"/>
  <c r="X20" i="3"/>
  <c r="A20" i="3" s="1"/>
  <c r="X21" i="3"/>
  <c r="A21" i="3" s="1"/>
  <c r="X22" i="3"/>
  <c r="A22" i="3" s="1"/>
  <c r="X23" i="3"/>
  <c r="A23" i="3" s="1"/>
  <c r="X24" i="3"/>
  <c r="A24" i="3" s="1"/>
  <c r="X25" i="3"/>
  <c r="A25" i="3" s="1"/>
  <c r="X26" i="3"/>
  <c r="A26" i="3" s="1"/>
  <c r="X27" i="3"/>
  <c r="A27" i="3" s="1"/>
  <c r="X28" i="3"/>
  <c r="A28" i="3" s="1"/>
  <c r="X29" i="3"/>
  <c r="A29" i="3" s="1"/>
  <c r="X30" i="3"/>
  <c r="A30" i="3" s="1"/>
  <c r="X31" i="3"/>
  <c r="A31" i="3" s="1"/>
  <c r="X32" i="3"/>
  <c r="A32" i="3" s="1"/>
  <c r="X33" i="3"/>
  <c r="A33" i="3" s="1"/>
  <c r="X34" i="3"/>
  <c r="A34" i="3" s="1"/>
  <c r="X35" i="3"/>
  <c r="A35" i="3" s="1"/>
  <c r="X36" i="3"/>
  <c r="A36" i="3" s="1"/>
  <c r="X37" i="3"/>
  <c r="A37" i="3" s="1"/>
  <c r="X38" i="3"/>
  <c r="A38" i="3" s="1"/>
  <c r="X39" i="3"/>
  <c r="A39" i="3" s="1"/>
  <c r="X40" i="3"/>
  <c r="A40" i="3" s="1"/>
  <c r="X41" i="3"/>
  <c r="A41" i="3" s="1"/>
  <c r="X42" i="3"/>
  <c r="A42" i="3" s="1"/>
  <c r="X43" i="3"/>
  <c r="A43" i="3" s="1"/>
  <c r="X44" i="3"/>
  <c r="A44" i="3" s="1"/>
  <c r="X45" i="3"/>
  <c r="A45" i="3" s="1"/>
  <c r="X46" i="3"/>
  <c r="A46" i="3" s="1"/>
  <c r="X47" i="3"/>
  <c r="A47" i="3" s="1"/>
  <c r="X48" i="3"/>
  <c r="A48" i="3" s="1"/>
  <c r="X49" i="3"/>
  <c r="A49" i="3" s="1"/>
  <c r="X50" i="3"/>
  <c r="A50" i="3" s="1"/>
  <c r="X51" i="3"/>
  <c r="A51" i="3" s="1"/>
  <c r="X52" i="3"/>
  <c r="A52" i="3" s="1"/>
  <c r="X53" i="3"/>
  <c r="A53" i="3" s="1"/>
  <c r="X54" i="3"/>
  <c r="A54" i="3" s="1"/>
  <c r="X55" i="3"/>
  <c r="A55" i="3" s="1"/>
  <c r="X56" i="3"/>
  <c r="A56" i="3" s="1"/>
  <c r="X57" i="3"/>
  <c r="A57" i="3" s="1"/>
  <c r="X58" i="3"/>
  <c r="A58" i="3" s="1"/>
  <c r="X59" i="3"/>
  <c r="A59" i="3" s="1"/>
  <c r="X60" i="3"/>
  <c r="A60" i="3" s="1"/>
  <c r="X61" i="3"/>
  <c r="A61" i="3" s="1"/>
  <c r="X62" i="3"/>
  <c r="A62" i="3" s="1"/>
  <c r="X63" i="3"/>
  <c r="A63" i="3" s="1"/>
  <c r="X64" i="3"/>
  <c r="A64" i="3" s="1"/>
  <c r="X65" i="3"/>
  <c r="A65" i="3" s="1"/>
  <c r="X66" i="3"/>
  <c r="A66" i="3" s="1"/>
  <c r="X67" i="3"/>
  <c r="A67" i="3" s="1"/>
  <c r="X68" i="3"/>
  <c r="A68" i="3" s="1"/>
  <c r="X69" i="3"/>
  <c r="A69" i="3" s="1"/>
  <c r="X70" i="3"/>
  <c r="A70" i="3" s="1"/>
  <c r="X71" i="3"/>
  <c r="A71" i="3" s="1"/>
  <c r="X72" i="3"/>
  <c r="A72" i="3" s="1"/>
  <c r="X73" i="3"/>
  <c r="A73" i="3" s="1"/>
  <c r="X74" i="3"/>
  <c r="A74" i="3" s="1"/>
  <c r="X75" i="3"/>
  <c r="A75" i="3" s="1"/>
  <c r="X76" i="3"/>
  <c r="A76" i="3" s="1"/>
  <c r="X77" i="3"/>
  <c r="A77" i="3" s="1"/>
  <c r="X78" i="3"/>
  <c r="A78" i="3" s="1"/>
  <c r="X79" i="3"/>
  <c r="A79" i="3" s="1"/>
  <c r="X80" i="3"/>
  <c r="A80" i="3" s="1"/>
  <c r="X81" i="3"/>
  <c r="A81" i="3" s="1"/>
  <c r="X82" i="3"/>
  <c r="A82" i="3" s="1"/>
  <c r="X83" i="3"/>
  <c r="A83" i="3" s="1"/>
  <c r="X84" i="3"/>
  <c r="A84" i="3" s="1"/>
  <c r="X85" i="3"/>
  <c r="A85" i="3" s="1"/>
  <c r="X86" i="3"/>
  <c r="A86" i="3" s="1"/>
  <c r="X87" i="3"/>
  <c r="A87" i="3" s="1"/>
  <c r="X88" i="3"/>
  <c r="A88" i="3" s="1"/>
  <c r="X89" i="3"/>
  <c r="A89" i="3" s="1"/>
  <c r="X90" i="3"/>
  <c r="A90" i="3" s="1"/>
  <c r="X91" i="3"/>
  <c r="A91" i="3" s="1"/>
  <c r="X92" i="3"/>
  <c r="A92" i="3" s="1"/>
  <c r="X93" i="3"/>
  <c r="A93" i="3" s="1"/>
  <c r="X94" i="3"/>
  <c r="A94" i="3" s="1"/>
  <c r="X95" i="3"/>
  <c r="A95" i="3" s="1"/>
  <c r="X96" i="3"/>
  <c r="A96" i="3" s="1"/>
  <c r="X97" i="3"/>
  <c r="A97" i="3" s="1"/>
  <c r="X98" i="3"/>
  <c r="A98" i="3" s="1"/>
  <c r="X99" i="3"/>
  <c r="A99" i="3" s="1"/>
  <c r="X100" i="3"/>
  <c r="A100" i="3" s="1"/>
  <c r="X101" i="3"/>
  <c r="A101" i="3" s="1"/>
  <c r="X102" i="3"/>
  <c r="A102" i="3" s="1"/>
  <c r="X103" i="3"/>
  <c r="A103" i="3" s="1"/>
  <c r="X104" i="3"/>
  <c r="A104" i="3" s="1"/>
  <c r="X105" i="3"/>
  <c r="A105" i="3" s="1"/>
  <c r="X106" i="3"/>
  <c r="A106" i="3" s="1"/>
  <c r="X107" i="3"/>
  <c r="A107" i="3" s="1"/>
  <c r="X108" i="3"/>
  <c r="A108" i="3" s="1"/>
  <c r="X109" i="3"/>
  <c r="A109" i="3" s="1"/>
  <c r="X110" i="3"/>
  <c r="A110" i="3" s="1"/>
  <c r="X111" i="3"/>
  <c r="A111" i="3" s="1"/>
  <c r="X112" i="3"/>
  <c r="A112" i="3" s="1"/>
  <c r="X113" i="3"/>
  <c r="A113" i="3" s="1"/>
  <c r="X114" i="3"/>
  <c r="A114" i="3" s="1"/>
  <c r="X115" i="3"/>
  <c r="A115" i="3" s="1"/>
  <c r="X116" i="3"/>
  <c r="A116" i="3" s="1"/>
  <c r="X117" i="3"/>
  <c r="A117" i="3" s="1"/>
  <c r="X118" i="3"/>
  <c r="A118" i="3" s="1"/>
  <c r="X119" i="3"/>
  <c r="A119" i="3" s="1"/>
  <c r="X120" i="3"/>
  <c r="A120" i="3" s="1"/>
  <c r="X121" i="3"/>
  <c r="A121" i="3" s="1"/>
  <c r="X122" i="3"/>
  <c r="A122" i="3" s="1"/>
  <c r="X123" i="3"/>
  <c r="A123" i="3" s="1"/>
  <c r="X124" i="3"/>
  <c r="A124" i="3" s="1"/>
  <c r="X125" i="3"/>
  <c r="A125" i="3" s="1"/>
  <c r="X126" i="3"/>
  <c r="A126" i="3" s="1"/>
  <c r="X127" i="3"/>
  <c r="A127" i="3" s="1"/>
  <c r="X128" i="3"/>
  <c r="A128" i="3" s="1"/>
  <c r="X129" i="3"/>
  <c r="A129" i="3" s="1"/>
  <c r="X130" i="3"/>
  <c r="A130" i="3" s="1"/>
  <c r="X131" i="3"/>
  <c r="A131" i="3" s="1"/>
  <c r="X132" i="3"/>
  <c r="A132" i="3" s="1"/>
  <c r="X133" i="3"/>
  <c r="A133" i="3" s="1"/>
  <c r="X134" i="3"/>
  <c r="A134" i="3" s="1"/>
  <c r="X135" i="3"/>
  <c r="A135" i="3" s="1"/>
  <c r="X136" i="3"/>
  <c r="A136" i="3" s="1"/>
  <c r="X137" i="3"/>
  <c r="A137" i="3" s="1"/>
  <c r="X138" i="3"/>
  <c r="A138" i="3" s="1"/>
  <c r="X139" i="3"/>
  <c r="A139" i="3" s="1"/>
  <c r="X140" i="3"/>
  <c r="A140" i="3" s="1"/>
  <c r="X141" i="3"/>
  <c r="A141" i="3" s="1"/>
  <c r="X142" i="3"/>
  <c r="A142" i="3" s="1"/>
  <c r="X143" i="3"/>
  <c r="A143" i="3" s="1"/>
  <c r="X144" i="3"/>
  <c r="A144" i="3" s="1"/>
  <c r="X145" i="3"/>
  <c r="A145" i="3" s="1"/>
  <c r="X146" i="3"/>
  <c r="A146" i="3" s="1"/>
  <c r="X147" i="3"/>
  <c r="A147" i="3" s="1"/>
  <c r="X148" i="3"/>
  <c r="A148" i="3" s="1"/>
  <c r="X149" i="3"/>
  <c r="A149" i="3" s="1"/>
  <c r="X150" i="3"/>
  <c r="A150" i="3" s="1"/>
  <c r="X151" i="3"/>
  <c r="A151" i="3" s="1"/>
  <c r="X152" i="3"/>
  <c r="A152" i="3" s="1"/>
  <c r="X153" i="3"/>
  <c r="A153" i="3" s="1"/>
  <c r="X154" i="3"/>
  <c r="A154" i="3" s="1"/>
  <c r="X155" i="3"/>
  <c r="A155" i="3" s="1"/>
  <c r="X156" i="3"/>
  <c r="A156" i="3" s="1"/>
  <c r="X157" i="3"/>
  <c r="A157" i="3" s="1"/>
  <c r="X158" i="3"/>
  <c r="A158" i="3" s="1"/>
  <c r="X159" i="3"/>
  <c r="A159" i="3" s="1"/>
  <c r="X160" i="3"/>
  <c r="A160" i="3" s="1"/>
  <c r="X161" i="3"/>
  <c r="A161" i="3" s="1"/>
  <c r="X162" i="3"/>
  <c r="A162" i="3" s="1"/>
  <c r="X163" i="3"/>
  <c r="A163" i="3" s="1"/>
  <c r="X164" i="3"/>
  <c r="A164" i="3" s="1"/>
  <c r="X165" i="3"/>
  <c r="A165" i="3" s="1"/>
  <c r="X166" i="3"/>
  <c r="A166" i="3" s="1"/>
  <c r="X167" i="3"/>
  <c r="A167" i="3" s="1"/>
  <c r="X168" i="3"/>
  <c r="A168" i="3" s="1"/>
  <c r="X169" i="3"/>
  <c r="A169" i="3" s="1"/>
  <c r="X170" i="3"/>
  <c r="A170" i="3" s="1"/>
  <c r="X171" i="3"/>
  <c r="A171" i="3" s="1"/>
  <c r="X172" i="3"/>
  <c r="A172" i="3" s="1"/>
  <c r="X173" i="3"/>
  <c r="A173" i="3" s="1"/>
  <c r="X174" i="3"/>
  <c r="A174" i="3" s="1"/>
  <c r="X175" i="3"/>
  <c r="A175" i="3" s="1"/>
  <c r="X176" i="3"/>
  <c r="A176" i="3" s="1"/>
  <c r="X177" i="3"/>
  <c r="A177" i="3" s="1"/>
  <c r="X178" i="3"/>
  <c r="A178" i="3" s="1"/>
  <c r="X179" i="3"/>
  <c r="A179" i="3" s="1"/>
  <c r="X180" i="3"/>
  <c r="A180" i="3" s="1"/>
  <c r="X181" i="3"/>
  <c r="A181" i="3" s="1"/>
  <c r="X182" i="3"/>
  <c r="A182" i="3" s="1"/>
  <c r="X183" i="3"/>
  <c r="A183" i="3" s="1"/>
  <c r="X184" i="3"/>
  <c r="A184" i="3" s="1"/>
  <c r="X185" i="3"/>
  <c r="A185" i="3" s="1"/>
  <c r="X186" i="3"/>
  <c r="A186" i="3" s="1"/>
  <c r="X187" i="3"/>
  <c r="A187" i="3" s="1"/>
  <c r="X188" i="3"/>
  <c r="A188" i="3" s="1"/>
  <c r="X189" i="3"/>
  <c r="A189" i="3" s="1"/>
  <c r="X190" i="3"/>
  <c r="A190" i="3" s="1"/>
  <c r="X191" i="3"/>
  <c r="A191" i="3" s="1"/>
  <c r="X192" i="3"/>
  <c r="A192" i="3" s="1"/>
  <c r="X193" i="3"/>
  <c r="A193" i="3" s="1"/>
  <c r="X194" i="3"/>
  <c r="A194" i="3" s="1"/>
  <c r="X195" i="3"/>
  <c r="A195" i="3" s="1"/>
  <c r="X196" i="3"/>
  <c r="A196" i="3" s="1"/>
  <c r="X197" i="3"/>
  <c r="A197" i="3" s="1"/>
  <c r="X198" i="3"/>
  <c r="A198" i="3" s="1"/>
  <c r="X199" i="3"/>
  <c r="A199" i="3" s="1"/>
  <c r="X200" i="3"/>
  <c r="A200" i="3" s="1"/>
  <c r="X201" i="3"/>
  <c r="A201" i="3" s="1"/>
  <c r="X202" i="3"/>
  <c r="A202" i="3" s="1"/>
  <c r="X203" i="3"/>
  <c r="A203" i="3" s="1"/>
  <c r="X204" i="3"/>
  <c r="A204" i="3" s="1"/>
  <c r="X205" i="3"/>
  <c r="A205" i="3" s="1"/>
  <c r="X206" i="3"/>
  <c r="A206" i="3" s="1"/>
  <c r="X207" i="3"/>
  <c r="A207" i="3" s="1"/>
  <c r="X208" i="3"/>
  <c r="A208" i="3" s="1"/>
  <c r="X209" i="3"/>
  <c r="A209" i="3" s="1"/>
  <c r="X210" i="3"/>
  <c r="A210" i="3" s="1"/>
  <c r="X211" i="3"/>
  <c r="A211" i="3" s="1"/>
  <c r="X212" i="3"/>
  <c r="A212" i="3" s="1"/>
  <c r="X213" i="3"/>
  <c r="A213" i="3" s="1"/>
  <c r="X214" i="3"/>
  <c r="A214" i="3" s="1"/>
  <c r="X215" i="3"/>
  <c r="A215" i="3" s="1"/>
  <c r="X216" i="3"/>
  <c r="A216" i="3" s="1"/>
  <c r="X217" i="3"/>
  <c r="A217" i="3" s="1"/>
  <c r="X218" i="3"/>
  <c r="A218" i="3" s="1"/>
  <c r="X219" i="3"/>
  <c r="A219" i="3" s="1"/>
  <c r="X220" i="3"/>
  <c r="A220" i="3" s="1"/>
  <c r="X221" i="3"/>
  <c r="A221" i="3" s="1"/>
  <c r="X222" i="3"/>
  <c r="A222" i="3" s="1"/>
  <c r="X223" i="3"/>
  <c r="A223" i="3" s="1"/>
  <c r="X224" i="3"/>
  <c r="A224" i="3" s="1"/>
  <c r="X225" i="3"/>
  <c r="A225" i="3" s="1"/>
  <c r="X226" i="3"/>
  <c r="A226" i="3" s="1"/>
  <c r="X227" i="3"/>
  <c r="A227" i="3" s="1"/>
  <c r="X228" i="3"/>
  <c r="A228" i="3" s="1"/>
  <c r="X229" i="3"/>
  <c r="A229" i="3" s="1"/>
  <c r="X230" i="3"/>
  <c r="A230" i="3" s="1"/>
  <c r="X231" i="3"/>
  <c r="A231" i="3" s="1"/>
  <c r="X232" i="3"/>
  <c r="A232" i="3" s="1"/>
  <c r="X233" i="3"/>
  <c r="A233" i="3" s="1"/>
  <c r="X234" i="3"/>
  <c r="A234" i="3" s="1"/>
  <c r="X235" i="3"/>
  <c r="A235" i="3" s="1"/>
  <c r="X236" i="3"/>
  <c r="A236" i="3" s="1"/>
  <c r="X237" i="3"/>
  <c r="A237" i="3" s="1"/>
  <c r="X238" i="3"/>
  <c r="A238" i="3" s="1"/>
  <c r="X239" i="3"/>
  <c r="A239" i="3" s="1"/>
  <c r="X240" i="3"/>
  <c r="A240" i="3" s="1"/>
  <c r="X241" i="3"/>
  <c r="A241" i="3" s="1"/>
  <c r="X242" i="3"/>
  <c r="A242" i="3" s="1"/>
  <c r="X243" i="3"/>
  <c r="A243" i="3" s="1"/>
  <c r="X244" i="3"/>
  <c r="A244" i="3" s="1"/>
  <c r="X245" i="3"/>
  <c r="A245" i="3" s="1"/>
  <c r="X246" i="3"/>
  <c r="A246" i="3" s="1"/>
  <c r="X247" i="3"/>
  <c r="A247" i="3" s="1"/>
  <c r="X248" i="3"/>
  <c r="A248" i="3" s="1"/>
  <c r="X249" i="3"/>
  <c r="A249" i="3" s="1"/>
  <c r="X250" i="3"/>
  <c r="A250" i="3" s="1"/>
  <c r="X251" i="3"/>
  <c r="A251" i="3" s="1"/>
  <c r="X252" i="3"/>
  <c r="A252" i="3" s="1"/>
  <c r="X253" i="3"/>
  <c r="A253" i="3" s="1"/>
  <c r="X254" i="3"/>
  <c r="A254" i="3" s="1"/>
  <c r="X255" i="3"/>
  <c r="A255" i="3" s="1"/>
  <c r="X256" i="3"/>
  <c r="A256" i="3" s="1"/>
  <c r="X257" i="3"/>
  <c r="A257" i="3" s="1"/>
  <c r="X258" i="3"/>
  <c r="A258" i="3" s="1"/>
  <c r="X259" i="3"/>
  <c r="A259" i="3" s="1"/>
  <c r="X260" i="3"/>
  <c r="A260" i="3" s="1"/>
  <c r="X261" i="3"/>
  <c r="A261" i="3" s="1"/>
  <c r="X262" i="3"/>
  <c r="A262" i="3" s="1"/>
  <c r="X263" i="3"/>
  <c r="A263" i="3" s="1"/>
  <c r="X264" i="3"/>
  <c r="A264" i="3" s="1"/>
  <c r="X265" i="3"/>
  <c r="A265" i="3" s="1"/>
  <c r="X266" i="3"/>
  <c r="A266" i="3" s="1"/>
  <c r="X267" i="3"/>
  <c r="A267" i="3" s="1"/>
  <c r="X268" i="3"/>
  <c r="A268" i="3" s="1"/>
  <c r="X269" i="3"/>
  <c r="A269" i="3" s="1"/>
  <c r="X270" i="3"/>
  <c r="A270" i="3" s="1"/>
  <c r="X271" i="3"/>
  <c r="A271" i="3" s="1"/>
  <c r="X272" i="3"/>
  <c r="A272" i="3" s="1"/>
  <c r="X273" i="3"/>
  <c r="A273" i="3" s="1"/>
  <c r="X274" i="3"/>
  <c r="A274" i="3" s="1"/>
  <c r="X275" i="3"/>
  <c r="A275" i="3" s="1"/>
  <c r="X276" i="3"/>
  <c r="A276" i="3" s="1"/>
  <c r="X277" i="3"/>
  <c r="A277" i="3" s="1"/>
  <c r="X278" i="3"/>
  <c r="A278" i="3" s="1"/>
  <c r="X279" i="3"/>
  <c r="A279" i="3" s="1"/>
  <c r="X280" i="3"/>
  <c r="A280" i="3" s="1"/>
  <c r="X281" i="3"/>
  <c r="A281" i="3" s="1"/>
  <c r="X282" i="3"/>
  <c r="A282" i="3" s="1"/>
  <c r="X283" i="3"/>
  <c r="A283" i="3" s="1"/>
  <c r="X284" i="3"/>
  <c r="A284" i="3" s="1"/>
  <c r="X285" i="3"/>
  <c r="A285" i="3" s="1"/>
  <c r="X286" i="3"/>
  <c r="A286" i="3" s="1"/>
  <c r="X287" i="3"/>
  <c r="A287" i="3" s="1"/>
  <c r="X288" i="3"/>
  <c r="A288" i="3" s="1"/>
  <c r="X289" i="3"/>
  <c r="A289" i="3" s="1"/>
  <c r="X290" i="3"/>
  <c r="A290" i="3" s="1"/>
  <c r="X291" i="3"/>
  <c r="A291" i="3" s="1"/>
  <c r="X292" i="3"/>
  <c r="A292" i="3" s="1"/>
  <c r="X293" i="3"/>
  <c r="A293" i="3" s="1"/>
  <c r="X294" i="3"/>
  <c r="A294" i="3" s="1"/>
  <c r="X295" i="3"/>
  <c r="A295" i="3" s="1"/>
  <c r="X296" i="3"/>
  <c r="A296" i="3" s="1"/>
  <c r="X297" i="3"/>
  <c r="A297" i="3" s="1"/>
  <c r="X298" i="3"/>
  <c r="A298" i="3" s="1"/>
  <c r="X299" i="3"/>
  <c r="A299" i="3" s="1"/>
  <c r="X300" i="3"/>
  <c r="A300" i="3" s="1"/>
  <c r="X301" i="3"/>
  <c r="A301" i="3" s="1"/>
  <c r="X302" i="3"/>
  <c r="A302" i="3" s="1"/>
  <c r="X303" i="3"/>
  <c r="A303" i="3" s="1"/>
  <c r="X304" i="3"/>
  <c r="A304" i="3" s="1"/>
  <c r="X305" i="3"/>
  <c r="A305" i="3" s="1"/>
  <c r="X306" i="3"/>
  <c r="A306" i="3" s="1"/>
  <c r="X307" i="3"/>
  <c r="A307" i="3" s="1"/>
  <c r="X308" i="3"/>
  <c r="A308" i="3" s="1"/>
  <c r="X309" i="3"/>
  <c r="A309" i="3" s="1"/>
  <c r="X310" i="3"/>
  <c r="A310" i="3" s="1"/>
  <c r="X311" i="3"/>
  <c r="A311" i="3" s="1"/>
  <c r="X312" i="3"/>
  <c r="A312" i="3" s="1"/>
  <c r="X313" i="3"/>
  <c r="A313" i="3" s="1"/>
  <c r="X314" i="3"/>
  <c r="A314" i="3" s="1"/>
  <c r="X315" i="3"/>
  <c r="A315" i="3" s="1"/>
  <c r="X316" i="3"/>
  <c r="A316" i="3" s="1"/>
  <c r="X317" i="3"/>
  <c r="A317" i="3" s="1"/>
  <c r="X318" i="3"/>
  <c r="A318" i="3" s="1"/>
  <c r="X319" i="3"/>
  <c r="A319" i="3" s="1"/>
  <c r="X320" i="3"/>
  <c r="A320" i="3" s="1"/>
  <c r="X321" i="3"/>
  <c r="A321" i="3" s="1"/>
  <c r="X322" i="3"/>
  <c r="A322" i="3" s="1"/>
  <c r="X323" i="3"/>
  <c r="A323" i="3" s="1"/>
  <c r="X324" i="3"/>
  <c r="A324" i="3" s="1"/>
  <c r="X325" i="3"/>
  <c r="A325" i="3" s="1"/>
  <c r="X326" i="3"/>
  <c r="A326" i="3" s="1"/>
  <c r="X327" i="3"/>
  <c r="A327" i="3" s="1"/>
  <c r="X328" i="3"/>
  <c r="A328" i="3" s="1"/>
  <c r="X329" i="3"/>
  <c r="A329" i="3" s="1"/>
  <c r="X330" i="3"/>
  <c r="A330" i="3" s="1"/>
  <c r="X331" i="3"/>
  <c r="A331" i="3" s="1"/>
  <c r="X332" i="3"/>
  <c r="A332" i="3" s="1"/>
  <c r="X333" i="3"/>
  <c r="A333" i="3" s="1"/>
  <c r="X334" i="3"/>
  <c r="A334" i="3" s="1"/>
  <c r="X335" i="3"/>
  <c r="A335" i="3" s="1"/>
  <c r="X336" i="3"/>
  <c r="A336" i="3" s="1"/>
  <c r="X337" i="3"/>
  <c r="A337" i="3" s="1"/>
  <c r="X338" i="3"/>
  <c r="A338" i="3" s="1"/>
  <c r="X339" i="3"/>
  <c r="A339" i="3" s="1"/>
  <c r="X340" i="3"/>
  <c r="A340" i="3" s="1"/>
  <c r="X341" i="3"/>
  <c r="A341" i="3" s="1"/>
  <c r="X342" i="3"/>
  <c r="A342" i="3" s="1"/>
  <c r="X343" i="3"/>
  <c r="A343" i="3" s="1"/>
  <c r="X344" i="3"/>
  <c r="A344" i="3" s="1"/>
  <c r="X345" i="3"/>
  <c r="A345" i="3" s="1"/>
  <c r="X346" i="3"/>
  <c r="A346" i="3" s="1"/>
  <c r="X347" i="3"/>
  <c r="A347" i="3" s="1"/>
  <c r="X348" i="3"/>
  <c r="A348" i="3" s="1"/>
  <c r="X349" i="3"/>
  <c r="A349" i="3" s="1"/>
  <c r="X350" i="3"/>
  <c r="A350" i="3" s="1"/>
  <c r="X351" i="3"/>
  <c r="A351" i="3" s="1"/>
  <c r="X352" i="3"/>
  <c r="A352" i="3" s="1"/>
  <c r="X353" i="3"/>
  <c r="A353" i="3" s="1"/>
  <c r="X354" i="3"/>
  <c r="A354" i="3" s="1"/>
  <c r="X355" i="3"/>
  <c r="A355" i="3" s="1"/>
  <c r="X356" i="3"/>
  <c r="A356" i="3" s="1"/>
  <c r="X357" i="3"/>
  <c r="A357" i="3" s="1"/>
  <c r="X358" i="3"/>
  <c r="A358" i="3" s="1"/>
  <c r="X359" i="3"/>
  <c r="A359" i="3" s="1"/>
  <c r="X360" i="3"/>
  <c r="A360" i="3" s="1"/>
  <c r="X361" i="3"/>
  <c r="A361" i="3" s="1"/>
  <c r="X362" i="3"/>
  <c r="A362" i="3" s="1"/>
  <c r="X363" i="3"/>
  <c r="A363" i="3" s="1"/>
  <c r="X364" i="3"/>
  <c r="A364" i="3" s="1"/>
  <c r="X365" i="3"/>
  <c r="A365" i="3" s="1"/>
  <c r="X366" i="3"/>
  <c r="A366" i="3" s="1"/>
  <c r="X367" i="3"/>
  <c r="A367" i="3" s="1"/>
  <c r="X368" i="3"/>
  <c r="A368" i="3" s="1"/>
  <c r="X369" i="3"/>
  <c r="A369" i="3" s="1"/>
  <c r="X370" i="3"/>
  <c r="A370" i="3" s="1"/>
  <c r="X371" i="3"/>
  <c r="A371" i="3" s="1"/>
  <c r="X372" i="3"/>
  <c r="A372" i="3" s="1"/>
  <c r="X373" i="3"/>
  <c r="A373" i="3" s="1"/>
  <c r="X374" i="3"/>
  <c r="A374" i="3" s="1"/>
  <c r="X375" i="3"/>
  <c r="A375" i="3" s="1"/>
  <c r="X376" i="3"/>
  <c r="A376" i="3" s="1"/>
  <c r="X377" i="3"/>
  <c r="A377" i="3" s="1"/>
  <c r="X378" i="3"/>
  <c r="A378" i="3" s="1"/>
  <c r="X379" i="3"/>
  <c r="A379" i="3" s="1"/>
  <c r="X380" i="3"/>
  <c r="A380" i="3" s="1"/>
  <c r="X381" i="3"/>
  <c r="A381" i="3" s="1"/>
  <c r="X382" i="3"/>
  <c r="A382" i="3" s="1"/>
  <c r="X383" i="3"/>
  <c r="A383" i="3" s="1"/>
  <c r="X384" i="3"/>
  <c r="A384" i="3" s="1"/>
  <c r="X385" i="3"/>
  <c r="A385" i="3" s="1"/>
  <c r="X386" i="3"/>
  <c r="A386" i="3" s="1"/>
  <c r="X387" i="3"/>
  <c r="A387" i="3" s="1"/>
  <c r="X388" i="3"/>
  <c r="A388" i="3" s="1"/>
  <c r="X389" i="3"/>
  <c r="A389" i="3" s="1"/>
  <c r="X390" i="3"/>
  <c r="A390" i="3" s="1"/>
  <c r="X391" i="3"/>
  <c r="A391" i="3" s="1"/>
  <c r="X392" i="3"/>
  <c r="A392" i="3" s="1"/>
  <c r="X393" i="3"/>
  <c r="A393" i="3" s="1"/>
  <c r="X394" i="3"/>
  <c r="A394" i="3" s="1"/>
  <c r="X395" i="3"/>
  <c r="A395" i="3" s="1"/>
  <c r="X396" i="3"/>
  <c r="A396" i="3" s="1"/>
  <c r="X397" i="3"/>
  <c r="A397" i="3" s="1"/>
  <c r="X398" i="3"/>
  <c r="A398" i="3" s="1"/>
  <c r="X399" i="3"/>
  <c r="A399" i="3" s="1"/>
  <c r="X400" i="3"/>
  <c r="A400" i="3" s="1"/>
  <c r="X401" i="3"/>
  <c r="A401" i="3" s="1"/>
  <c r="X402" i="3"/>
  <c r="A402" i="3" s="1"/>
  <c r="X403" i="3"/>
  <c r="A403" i="3" s="1"/>
  <c r="X404" i="3"/>
  <c r="A404" i="3" s="1"/>
  <c r="X405" i="3"/>
  <c r="A405" i="3" s="1"/>
  <c r="X406" i="3"/>
  <c r="A406" i="3" s="1"/>
  <c r="X407" i="3"/>
  <c r="A407" i="3" s="1"/>
  <c r="X408" i="3"/>
  <c r="A408" i="3" s="1"/>
  <c r="X409" i="3"/>
  <c r="A409" i="3" s="1"/>
  <c r="X410" i="3"/>
  <c r="A410" i="3" s="1"/>
  <c r="X411" i="3"/>
  <c r="A411" i="3" s="1"/>
  <c r="X412" i="3"/>
  <c r="A412" i="3" s="1"/>
  <c r="X413" i="3"/>
  <c r="A413" i="3" s="1"/>
  <c r="X414" i="3"/>
  <c r="A414" i="3" s="1"/>
  <c r="X415" i="3"/>
  <c r="A415" i="3" s="1"/>
  <c r="X416" i="3"/>
  <c r="A416" i="3" s="1"/>
  <c r="X417" i="3"/>
  <c r="A417" i="3" s="1"/>
  <c r="X418" i="3"/>
  <c r="A418" i="3" s="1"/>
  <c r="X419" i="3"/>
  <c r="A419" i="3" s="1"/>
  <c r="X420" i="3"/>
  <c r="A420" i="3" s="1"/>
  <c r="X421" i="3"/>
  <c r="A421" i="3" s="1"/>
  <c r="X422" i="3"/>
  <c r="A422" i="3" s="1"/>
  <c r="X423" i="3"/>
  <c r="A423" i="3" s="1"/>
  <c r="X424" i="3"/>
  <c r="A424" i="3" s="1"/>
  <c r="X425" i="3"/>
  <c r="A425" i="3" s="1"/>
  <c r="X426" i="3"/>
  <c r="A426" i="3" s="1"/>
  <c r="X427" i="3"/>
  <c r="A427" i="3" s="1"/>
  <c r="X428" i="3"/>
  <c r="A428" i="3" s="1"/>
  <c r="X429" i="3"/>
  <c r="A429" i="3" s="1"/>
  <c r="X430" i="3"/>
  <c r="A430" i="3" s="1"/>
  <c r="X431" i="3"/>
  <c r="A431" i="3" s="1"/>
  <c r="X432" i="3"/>
  <c r="A432" i="3" s="1"/>
  <c r="X433" i="3"/>
  <c r="A433" i="3" s="1"/>
  <c r="X434" i="3"/>
  <c r="A434" i="3" s="1"/>
  <c r="X435" i="3"/>
  <c r="A435" i="3" s="1"/>
  <c r="X436" i="3"/>
  <c r="A436" i="3" s="1"/>
  <c r="X437" i="3"/>
  <c r="A437" i="3" s="1"/>
  <c r="X438" i="3"/>
  <c r="A438" i="3" s="1"/>
  <c r="X439" i="3"/>
  <c r="A439" i="3" s="1"/>
  <c r="X440" i="3"/>
  <c r="A440" i="3" s="1"/>
  <c r="X441" i="3"/>
  <c r="A441" i="3" s="1"/>
  <c r="X442" i="3"/>
  <c r="A442" i="3" s="1"/>
  <c r="X443" i="3"/>
  <c r="A443" i="3" s="1"/>
  <c r="X444" i="3"/>
  <c r="A444" i="3" s="1"/>
  <c r="X445" i="3"/>
  <c r="A445" i="3" s="1"/>
  <c r="X446" i="3"/>
  <c r="A446" i="3" s="1"/>
  <c r="X447" i="3"/>
  <c r="A447" i="3" s="1"/>
  <c r="X448" i="3"/>
  <c r="A448" i="3" s="1"/>
  <c r="X449" i="3"/>
  <c r="A449" i="3" s="1"/>
  <c r="X450" i="3"/>
  <c r="A450" i="3" s="1"/>
  <c r="X451" i="3"/>
  <c r="A451" i="3" s="1"/>
  <c r="X452" i="3"/>
  <c r="A452" i="3" s="1"/>
  <c r="X453" i="3"/>
  <c r="A453" i="3" s="1"/>
  <c r="X454" i="3"/>
  <c r="A454" i="3" s="1"/>
  <c r="X455" i="3"/>
  <c r="A455" i="3" s="1"/>
  <c r="X456" i="3"/>
  <c r="A456" i="3" s="1"/>
  <c r="X457" i="3"/>
  <c r="A457" i="3" s="1"/>
  <c r="X458" i="3"/>
  <c r="A458" i="3" s="1"/>
  <c r="X459" i="3"/>
  <c r="A459" i="3" s="1"/>
  <c r="X460" i="3"/>
  <c r="A460" i="3" s="1"/>
  <c r="X461" i="3"/>
  <c r="A461" i="3" s="1"/>
  <c r="X462" i="3"/>
  <c r="A462" i="3" s="1"/>
  <c r="X463" i="3"/>
  <c r="A463" i="3" s="1"/>
  <c r="X464" i="3"/>
  <c r="A464" i="3" s="1"/>
  <c r="X465" i="3"/>
  <c r="A465" i="3" s="1"/>
  <c r="X466" i="3"/>
  <c r="A466" i="3" s="1"/>
  <c r="X467" i="3"/>
  <c r="A467" i="3" s="1"/>
  <c r="X468" i="3"/>
  <c r="A468" i="3" s="1"/>
  <c r="X469" i="3"/>
  <c r="A469" i="3" s="1"/>
  <c r="X470" i="3"/>
  <c r="A470" i="3" s="1"/>
  <c r="X471" i="3"/>
  <c r="A471" i="3" s="1"/>
  <c r="X472" i="3"/>
  <c r="A472" i="3" s="1"/>
  <c r="X473" i="3"/>
  <c r="A473" i="3" s="1"/>
  <c r="X474" i="3"/>
  <c r="A474" i="3" s="1"/>
  <c r="X475" i="3"/>
  <c r="A475" i="3" s="1"/>
  <c r="X476" i="3"/>
  <c r="A476" i="3" s="1"/>
  <c r="X477" i="3"/>
  <c r="A477" i="3" s="1"/>
  <c r="X478" i="3"/>
  <c r="A478" i="3" s="1"/>
  <c r="X479" i="3"/>
  <c r="A479" i="3" s="1"/>
  <c r="X480" i="3"/>
  <c r="A480" i="3" s="1"/>
  <c r="X481" i="3"/>
  <c r="A481" i="3" s="1"/>
  <c r="X482" i="3"/>
  <c r="A482" i="3" s="1"/>
  <c r="X483" i="3"/>
  <c r="A483" i="3" s="1"/>
  <c r="X484" i="3"/>
  <c r="A484" i="3" s="1"/>
  <c r="X485" i="3"/>
  <c r="A485" i="3" s="1"/>
  <c r="X486" i="3"/>
  <c r="A486" i="3" s="1"/>
  <c r="X487" i="3"/>
  <c r="A487" i="3" s="1"/>
  <c r="X488" i="3"/>
  <c r="A488" i="3" s="1"/>
  <c r="X489" i="3"/>
  <c r="A489" i="3" s="1"/>
  <c r="X490" i="3"/>
  <c r="A490" i="3" s="1"/>
  <c r="X491" i="3"/>
  <c r="A491" i="3" s="1"/>
  <c r="X492" i="3"/>
  <c r="A492" i="3" s="1"/>
  <c r="X493" i="3"/>
  <c r="A493" i="3" s="1"/>
  <c r="X494" i="3"/>
  <c r="A494" i="3" s="1"/>
  <c r="X495" i="3"/>
  <c r="A495" i="3" s="1"/>
  <c r="X496" i="3"/>
  <c r="A496" i="3" s="1"/>
  <c r="X497" i="3"/>
  <c r="A497" i="3" s="1"/>
  <c r="X498" i="3"/>
  <c r="A498" i="3" s="1"/>
  <c r="X499" i="3"/>
  <c r="A499" i="3" s="1"/>
  <c r="X500" i="3"/>
  <c r="A500" i="3" s="1"/>
  <c r="X501" i="3"/>
  <c r="A501" i="3" s="1"/>
  <c r="X502" i="3"/>
  <c r="A502" i="3" s="1"/>
  <c r="X503" i="3"/>
  <c r="A503" i="3" s="1"/>
  <c r="X504" i="3"/>
  <c r="A504" i="3" s="1"/>
  <c r="X505" i="3"/>
  <c r="A505" i="3" s="1"/>
  <c r="X506" i="3"/>
  <c r="A506" i="3" s="1"/>
  <c r="X507" i="3"/>
  <c r="A507" i="3" s="1"/>
  <c r="X508" i="3"/>
  <c r="A508" i="3" s="1"/>
  <c r="X509" i="3"/>
  <c r="A509" i="3" s="1"/>
  <c r="X510" i="3"/>
  <c r="A510" i="3" s="1"/>
  <c r="X511" i="3"/>
  <c r="A511" i="3" s="1"/>
  <c r="X512" i="3"/>
  <c r="A512" i="3" s="1"/>
  <c r="X513" i="3"/>
  <c r="A513" i="3" s="1"/>
  <c r="X514" i="3"/>
  <c r="A514" i="3" s="1"/>
  <c r="X515" i="3"/>
  <c r="A515" i="3" s="1"/>
  <c r="X516" i="3"/>
  <c r="A516" i="3" s="1"/>
  <c r="X517" i="3"/>
  <c r="A517" i="3" s="1"/>
  <c r="X518" i="3"/>
  <c r="A518" i="3" s="1"/>
  <c r="X519" i="3"/>
  <c r="A519" i="3" s="1"/>
  <c r="X520" i="3"/>
  <c r="A520" i="3" s="1"/>
  <c r="X521" i="3"/>
  <c r="A521" i="3" s="1"/>
  <c r="X522" i="3"/>
  <c r="A522" i="3" s="1"/>
  <c r="X523" i="3"/>
  <c r="A523" i="3" s="1"/>
  <c r="X524" i="3"/>
  <c r="A524" i="3" s="1"/>
  <c r="X525" i="3"/>
  <c r="A525" i="3" s="1"/>
  <c r="X526" i="3"/>
  <c r="A526" i="3" s="1"/>
  <c r="X527" i="3"/>
  <c r="A527" i="3" s="1"/>
  <c r="X528" i="3"/>
  <c r="A528" i="3" s="1"/>
  <c r="X529" i="3"/>
  <c r="A529" i="3" s="1"/>
  <c r="X530" i="3"/>
  <c r="A530" i="3" s="1"/>
  <c r="X531" i="3"/>
  <c r="A531" i="3" s="1"/>
  <c r="X532" i="3"/>
  <c r="A532" i="3" s="1"/>
  <c r="X533" i="3"/>
  <c r="A533" i="3" s="1"/>
  <c r="X534" i="3"/>
  <c r="A534" i="3" s="1"/>
  <c r="X535" i="3"/>
  <c r="A535" i="3" s="1"/>
  <c r="X536" i="3"/>
  <c r="A536" i="3" s="1"/>
  <c r="X537" i="3"/>
  <c r="A537" i="3" s="1"/>
  <c r="X538" i="3"/>
  <c r="A538" i="3" s="1"/>
  <c r="X539" i="3"/>
  <c r="A539" i="3" s="1"/>
  <c r="X540" i="3"/>
  <c r="A540" i="3" s="1"/>
  <c r="X541" i="3"/>
  <c r="A541" i="3" s="1"/>
  <c r="X542" i="3"/>
  <c r="A542" i="3" s="1"/>
  <c r="X543" i="3"/>
  <c r="A543" i="3" s="1"/>
  <c r="X544" i="3"/>
  <c r="A544" i="3" s="1"/>
  <c r="X545" i="3"/>
  <c r="A545" i="3" s="1"/>
  <c r="X546" i="3"/>
  <c r="A546" i="3" s="1"/>
  <c r="X547" i="3"/>
  <c r="A547" i="3" s="1"/>
  <c r="X548" i="3"/>
  <c r="A548" i="3" s="1"/>
  <c r="X549" i="3"/>
  <c r="A549" i="3" s="1"/>
  <c r="X550" i="3"/>
  <c r="A550" i="3" s="1"/>
  <c r="X551" i="3"/>
  <c r="A551" i="3" s="1"/>
  <c r="X552" i="3"/>
  <c r="A552" i="3" s="1"/>
  <c r="X553" i="3"/>
  <c r="A553" i="3" s="1"/>
  <c r="X554" i="3"/>
  <c r="A554" i="3" s="1"/>
  <c r="X555" i="3"/>
  <c r="A555" i="3" s="1"/>
  <c r="X556" i="3"/>
  <c r="A556" i="3" s="1"/>
  <c r="X557" i="3"/>
  <c r="A557" i="3" s="1"/>
  <c r="X558" i="3"/>
  <c r="A558" i="3" s="1"/>
  <c r="X559" i="3"/>
  <c r="A559" i="3" s="1"/>
  <c r="X560" i="3"/>
  <c r="A560" i="3" s="1"/>
  <c r="X561" i="3"/>
  <c r="A561" i="3" s="1"/>
  <c r="X562" i="3"/>
  <c r="A562" i="3" s="1"/>
  <c r="X563" i="3"/>
  <c r="A563" i="3" s="1"/>
  <c r="X564" i="3"/>
  <c r="A564" i="3" s="1"/>
  <c r="X565" i="3"/>
  <c r="A565" i="3" s="1"/>
  <c r="X566" i="3"/>
  <c r="A566" i="3" s="1"/>
  <c r="X567" i="3"/>
  <c r="A567" i="3" s="1"/>
  <c r="X568" i="3"/>
  <c r="A568" i="3" s="1"/>
  <c r="X569" i="3"/>
  <c r="A569" i="3" s="1"/>
  <c r="X570" i="3"/>
  <c r="A570" i="3" s="1"/>
  <c r="X571" i="3"/>
  <c r="A571" i="3" s="1"/>
  <c r="X572" i="3"/>
  <c r="A572" i="3" s="1"/>
  <c r="X573" i="3"/>
  <c r="A573" i="3" s="1"/>
  <c r="X574" i="3"/>
  <c r="A574" i="3" s="1"/>
  <c r="X575" i="3"/>
  <c r="A575" i="3" s="1"/>
  <c r="X576" i="3"/>
  <c r="A576" i="3" s="1"/>
  <c r="X577" i="3"/>
  <c r="A577" i="3" s="1"/>
  <c r="X578" i="3"/>
  <c r="A578" i="3" s="1"/>
  <c r="X579" i="3"/>
  <c r="A579" i="3" s="1"/>
  <c r="X580" i="3"/>
  <c r="A580" i="3" s="1"/>
  <c r="X581" i="3"/>
  <c r="A581" i="3" s="1"/>
  <c r="X582" i="3"/>
  <c r="A582" i="3" s="1"/>
  <c r="X583" i="3"/>
  <c r="A583" i="3" s="1"/>
  <c r="X584" i="3"/>
  <c r="A584" i="3" s="1"/>
  <c r="X585" i="3"/>
  <c r="A585" i="3" s="1"/>
  <c r="X586" i="3"/>
  <c r="A586" i="3" s="1"/>
  <c r="X587" i="3"/>
  <c r="A587" i="3" s="1"/>
  <c r="X588" i="3"/>
  <c r="A588" i="3" s="1"/>
  <c r="X589" i="3"/>
  <c r="A589" i="3" s="1"/>
  <c r="X590" i="3"/>
  <c r="A590" i="3" s="1"/>
  <c r="X591" i="3"/>
  <c r="A591" i="3" s="1"/>
  <c r="X592" i="3"/>
  <c r="A592" i="3" s="1"/>
  <c r="X593" i="3"/>
  <c r="A593" i="3" s="1"/>
  <c r="X594" i="3"/>
  <c r="A594" i="3" s="1"/>
  <c r="X595" i="3"/>
  <c r="A595" i="3" s="1"/>
  <c r="X596" i="3"/>
  <c r="A596" i="3" s="1"/>
  <c r="X597" i="3"/>
  <c r="A597" i="3" s="1"/>
  <c r="X598" i="3"/>
  <c r="A598" i="3" s="1"/>
  <c r="X599" i="3"/>
  <c r="A599" i="3" s="1"/>
  <c r="X600" i="3"/>
  <c r="A600" i="3" s="1"/>
  <c r="X601" i="3"/>
  <c r="A601" i="3" s="1"/>
  <c r="X602" i="3"/>
  <c r="A602" i="3" s="1"/>
  <c r="X603" i="3"/>
  <c r="A603" i="3" s="1"/>
  <c r="X604" i="3"/>
  <c r="A604" i="3" s="1"/>
  <c r="X605" i="3"/>
  <c r="A605" i="3" s="1"/>
  <c r="X606" i="3"/>
  <c r="A606" i="3" s="1"/>
  <c r="X607" i="3"/>
  <c r="A607" i="3" s="1"/>
  <c r="X608" i="3"/>
  <c r="A608" i="3" s="1"/>
  <c r="X609" i="3"/>
  <c r="A609" i="3" s="1"/>
  <c r="X610" i="3"/>
  <c r="A610" i="3" s="1"/>
  <c r="X611" i="3"/>
  <c r="A611" i="3" s="1"/>
  <c r="X612" i="3"/>
  <c r="A612" i="3" s="1"/>
  <c r="X613" i="3"/>
  <c r="A613" i="3" s="1"/>
  <c r="X614" i="3"/>
  <c r="A614" i="3" s="1"/>
  <c r="X615" i="3"/>
  <c r="A615" i="3" s="1"/>
  <c r="X616" i="3"/>
  <c r="A616" i="3" s="1"/>
  <c r="X617" i="3"/>
  <c r="A617" i="3" s="1"/>
  <c r="X618" i="3"/>
  <c r="A618" i="3" s="1"/>
  <c r="X619" i="3"/>
  <c r="A619" i="3" s="1"/>
  <c r="X620" i="3"/>
  <c r="A620" i="3" s="1"/>
  <c r="X621" i="3"/>
  <c r="A621" i="3" s="1"/>
  <c r="X622" i="3"/>
  <c r="A622" i="3" s="1"/>
  <c r="X623" i="3"/>
  <c r="A623" i="3" s="1"/>
  <c r="X624" i="3"/>
  <c r="A624" i="3" s="1"/>
  <c r="X625" i="3"/>
  <c r="A625" i="3" s="1"/>
  <c r="X626" i="3"/>
  <c r="A626" i="3" s="1"/>
  <c r="X627" i="3"/>
  <c r="A627" i="3" s="1"/>
  <c r="X628" i="3"/>
  <c r="A628" i="3" s="1"/>
  <c r="X629" i="3"/>
  <c r="A629" i="3" s="1"/>
  <c r="X630" i="3"/>
  <c r="A630" i="3" s="1"/>
  <c r="X631" i="3"/>
  <c r="A631" i="3" s="1"/>
  <c r="X632" i="3"/>
  <c r="A632" i="3" s="1"/>
  <c r="X633" i="3"/>
  <c r="A633" i="3" s="1"/>
  <c r="X634" i="3"/>
  <c r="A634" i="3" s="1"/>
  <c r="X635" i="3"/>
  <c r="A635" i="3" s="1"/>
  <c r="X636" i="3"/>
  <c r="A636" i="3" s="1"/>
  <c r="X637" i="3"/>
  <c r="A637" i="3" s="1"/>
  <c r="X638" i="3"/>
  <c r="A638" i="3" s="1"/>
  <c r="X639" i="3"/>
  <c r="A639" i="3" s="1"/>
  <c r="X640" i="3"/>
  <c r="A640" i="3" s="1"/>
  <c r="X641" i="3"/>
  <c r="A641" i="3" s="1"/>
  <c r="X642" i="3"/>
  <c r="A642" i="3" s="1"/>
  <c r="X643" i="3"/>
  <c r="A643" i="3" s="1"/>
  <c r="X644" i="3"/>
  <c r="A644" i="3" s="1"/>
  <c r="X645" i="3"/>
  <c r="A645" i="3" s="1"/>
  <c r="X646" i="3"/>
  <c r="A646" i="3" s="1"/>
  <c r="X647" i="3"/>
  <c r="A647" i="3" s="1"/>
  <c r="X648" i="3"/>
  <c r="A648" i="3" s="1"/>
  <c r="X649" i="3"/>
  <c r="A649" i="3" s="1"/>
  <c r="X650" i="3"/>
  <c r="A650" i="3" s="1"/>
  <c r="X651" i="3"/>
  <c r="A651" i="3" s="1"/>
  <c r="X652" i="3"/>
  <c r="A652" i="3" s="1"/>
  <c r="X653" i="3"/>
  <c r="A653" i="3" s="1"/>
  <c r="X654" i="3"/>
  <c r="A654" i="3" s="1"/>
  <c r="X655" i="3"/>
  <c r="A655" i="3" s="1"/>
  <c r="X656" i="3"/>
  <c r="A656" i="3" s="1"/>
  <c r="X657" i="3"/>
  <c r="A657" i="3" s="1"/>
  <c r="X658" i="3"/>
  <c r="A658" i="3" s="1"/>
  <c r="X659" i="3"/>
  <c r="A659" i="3" s="1"/>
  <c r="X660" i="3"/>
  <c r="A660" i="3" s="1"/>
  <c r="X661" i="3"/>
  <c r="A661" i="3" s="1"/>
  <c r="X662" i="3"/>
  <c r="A662" i="3" s="1"/>
  <c r="X663" i="3"/>
  <c r="A663" i="3" s="1"/>
  <c r="X664" i="3"/>
  <c r="A664" i="3" s="1"/>
  <c r="X665" i="3"/>
  <c r="A665" i="3" s="1"/>
  <c r="X666" i="3"/>
  <c r="A666" i="3" s="1"/>
  <c r="X667" i="3"/>
  <c r="A667" i="3" s="1"/>
  <c r="X668" i="3"/>
  <c r="A668" i="3" s="1"/>
  <c r="X669" i="3"/>
  <c r="A669" i="3" s="1"/>
  <c r="X670" i="3"/>
  <c r="A670" i="3" s="1"/>
  <c r="X671" i="3"/>
  <c r="A671" i="3" s="1"/>
  <c r="X672" i="3"/>
  <c r="A672" i="3" s="1"/>
  <c r="X673" i="3"/>
  <c r="A673" i="3" s="1"/>
  <c r="X674" i="3"/>
  <c r="A674" i="3" s="1"/>
  <c r="X675" i="3"/>
  <c r="A675" i="3" s="1"/>
  <c r="X676" i="3"/>
  <c r="A676" i="3" s="1"/>
  <c r="X677" i="3"/>
  <c r="A677" i="3" s="1"/>
  <c r="X678" i="3"/>
  <c r="A678" i="3" s="1"/>
  <c r="X679" i="3"/>
  <c r="A679" i="3" s="1"/>
  <c r="X680" i="3"/>
  <c r="A680" i="3" s="1"/>
  <c r="X681" i="3"/>
  <c r="A681" i="3" s="1"/>
  <c r="X682" i="3"/>
  <c r="A682" i="3" s="1"/>
  <c r="X683" i="3"/>
  <c r="A683" i="3" s="1"/>
  <c r="X684" i="3"/>
  <c r="A684" i="3" s="1"/>
  <c r="X685" i="3"/>
  <c r="A685" i="3" s="1"/>
  <c r="X686" i="3"/>
  <c r="A686" i="3" s="1"/>
  <c r="X687" i="3"/>
  <c r="A687" i="3" s="1"/>
  <c r="X688" i="3"/>
  <c r="A688" i="3" s="1"/>
  <c r="X689" i="3"/>
  <c r="A689" i="3" s="1"/>
  <c r="X690" i="3"/>
  <c r="A690" i="3" s="1"/>
  <c r="X691" i="3"/>
  <c r="A691" i="3" s="1"/>
  <c r="X692" i="3"/>
  <c r="A692" i="3" s="1"/>
  <c r="X693" i="3"/>
  <c r="A693" i="3" s="1"/>
  <c r="X694" i="3"/>
  <c r="A694" i="3" s="1"/>
  <c r="X695" i="3"/>
  <c r="A695" i="3" s="1"/>
  <c r="X696" i="3"/>
  <c r="A696" i="3" s="1"/>
  <c r="X697" i="3"/>
  <c r="A697" i="3" s="1"/>
  <c r="X698" i="3"/>
  <c r="A698" i="3" s="1"/>
  <c r="X699" i="3"/>
  <c r="A699" i="3" s="1"/>
  <c r="X700" i="3"/>
  <c r="A700" i="3" s="1"/>
  <c r="X701" i="3"/>
  <c r="A701" i="3" s="1"/>
  <c r="X702" i="3"/>
  <c r="A702" i="3" s="1"/>
  <c r="X703" i="3"/>
  <c r="A703" i="3" s="1"/>
  <c r="X704" i="3"/>
  <c r="A704" i="3" s="1"/>
  <c r="X705" i="3"/>
  <c r="A705" i="3" s="1"/>
  <c r="X706" i="3"/>
  <c r="A706" i="3" s="1"/>
  <c r="X707" i="3"/>
  <c r="A707" i="3" s="1"/>
  <c r="X708" i="3"/>
  <c r="A708" i="3" s="1"/>
  <c r="X709" i="3"/>
  <c r="A709" i="3" s="1"/>
  <c r="X710" i="3"/>
  <c r="A710" i="3" s="1"/>
  <c r="X711" i="3"/>
  <c r="A711" i="3" s="1"/>
  <c r="X712" i="3"/>
  <c r="A712" i="3" s="1"/>
  <c r="X713" i="3"/>
  <c r="A713" i="3" s="1"/>
  <c r="X714" i="3"/>
  <c r="A714" i="3" s="1"/>
  <c r="X715" i="3"/>
  <c r="A715" i="3" s="1"/>
  <c r="X716" i="3"/>
  <c r="A716" i="3" s="1"/>
  <c r="X717" i="3"/>
  <c r="A717" i="3" s="1"/>
  <c r="X718" i="3"/>
  <c r="A718" i="3" s="1"/>
  <c r="X719" i="3"/>
  <c r="A719" i="3" s="1"/>
  <c r="X720" i="3"/>
  <c r="A720" i="3" s="1"/>
  <c r="X721" i="3"/>
  <c r="A721" i="3" s="1"/>
  <c r="X722" i="3"/>
  <c r="A722" i="3" s="1"/>
  <c r="X723" i="3"/>
  <c r="A723" i="3" s="1"/>
  <c r="X724" i="3"/>
  <c r="A724" i="3" s="1"/>
  <c r="X725" i="3"/>
  <c r="A725" i="3" s="1"/>
  <c r="X726" i="3"/>
  <c r="A726" i="3" s="1"/>
  <c r="X727" i="3"/>
  <c r="A727" i="3" s="1"/>
  <c r="X728" i="3"/>
  <c r="A728" i="3" s="1"/>
  <c r="X729" i="3"/>
  <c r="A729" i="3" s="1"/>
  <c r="X730" i="3"/>
  <c r="A730" i="3" s="1"/>
  <c r="X731" i="3"/>
  <c r="A731" i="3" s="1"/>
  <c r="X732" i="3"/>
  <c r="A732" i="3" s="1"/>
  <c r="X733" i="3"/>
  <c r="A733" i="3" s="1"/>
  <c r="X734" i="3"/>
  <c r="A734" i="3" s="1"/>
  <c r="X735" i="3"/>
  <c r="A735" i="3" s="1"/>
  <c r="X736" i="3"/>
  <c r="A736" i="3" s="1"/>
  <c r="X737" i="3"/>
  <c r="A737" i="3" s="1"/>
  <c r="X738" i="3"/>
  <c r="A738" i="3" s="1"/>
  <c r="X739" i="3"/>
  <c r="A739" i="3" s="1"/>
  <c r="X740" i="3"/>
  <c r="A740" i="3" s="1"/>
  <c r="X741" i="3"/>
  <c r="A741" i="3" s="1"/>
  <c r="X742" i="3"/>
  <c r="A742" i="3" s="1"/>
  <c r="X743" i="3"/>
  <c r="A743" i="3" s="1"/>
  <c r="X744" i="3"/>
  <c r="A744" i="3" s="1"/>
  <c r="X745" i="3"/>
  <c r="A745" i="3" s="1"/>
  <c r="X746" i="3"/>
  <c r="A746" i="3" s="1"/>
  <c r="X747" i="3"/>
  <c r="A747" i="3" s="1"/>
  <c r="X748" i="3"/>
  <c r="A748" i="3" s="1"/>
  <c r="X749" i="3"/>
  <c r="A749" i="3" s="1"/>
  <c r="X750" i="3"/>
  <c r="A750" i="3" s="1"/>
  <c r="X751" i="3"/>
  <c r="A751" i="3" s="1"/>
  <c r="X752" i="3"/>
  <c r="A752" i="3" s="1"/>
  <c r="X753" i="3"/>
  <c r="A753" i="3" s="1"/>
  <c r="X754" i="3"/>
  <c r="A754" i="3" s="1"/>
  <c r="X755" i="3"/>
  <c r="A755" i="3" s="1"/>
  <c r="X756" i="3"/>
  <c r="A756" i="3" s="1"/>
  <c r="X757" i="3"/>
  <c r="A757" i="3" s="1"/>
  <c r="X758" i="3"/>
  <c r="A758" i="3" s="1"/>
  <c r="X759" i="3"/>
  <c r="A759" i="3" s="1"/>
  <c r="X760" i="3"/>
  <c r="A760" i="3" s="1"/>
  <c r="X761" i="3"/>
  <c r="A761" i="3" s="1"/>
  <c r="X762" i="3"/>
  <c r="A762" i="3" s="1"/>
  <c r="X763" i="3"/>
  <c r="A763" i="3" s="1"/>
  <c r="X764" i="3"/>
  <c r="A764" i="3" s="1"/>
  <c r="X765" i="3"/>
  <c r="A765" i="3" s="1"/>
  <c r="X766" i="3"/>
  <c r="A766" i="3" s="1"/>
  <c r="X767" i="3"/>
  <c r="A767" i="3" s="1"/>
  <c r="X768" i="3"/>
  <c r="A768" i="3" s="1"/>
  <c r="X769" i="3"/>
  <c r="A769" i="3" s="1"/>
  <c r="X770" i="3"/>
  <c r="A770" i="3" s="1"/>
  <c r="X771" i="3"/>
  <c r="A771" i="3" s="1"/>
  <c r="X772" i="3"/>
  <c r="A772" i="3" s="1"/>
  <c r="X773" i="3"/>
  <c r="A773" i="3" s="1"/>
  <c r="X774" i="3"/>
  <c r="A774" i="3" s="1"/>
  <c r="X775" i="3"/>
  <c r="A775" i="3" s="1"/>
  <c r="X776" i="3"/>
  <c r="A776" i="3" s="1"/>
  <c r="X777" i="3"/>
  <c r="A777" i="3" s="1"/>
  <c r="X778" i="3"/>
  <c r="A778" i="3" s="1"/>
  <c r="X779" i="3"/>
  <c r="A779" i="3" s="1"/>
  <c r="X780" i="3"/>
  <c r="A780" i="3" s="1"/>
  <c r="X781" i="3"/>
  <c r="A781" i="3" s="1"/>
  <c r="X782" i="3"/>
  <c r="A782" i="3" s="1"/>
  <c r="X783" i="3"/>
  <c r="A783" i="3" s="1"/>
  <c r="X784" i="3"/>
  <c r="A784" i="3" s="1"/>
  <c r="X785" i="3"/>
  <c r="A785" i="3" s="1"/>
  <c r="X786" i="3"/>
  <c r="A786" i="3" s="1"/>
  <c r="X787" i="3"/>
  <c r="A787" i="3" s="1"/>
  <c r="X788" i="3"/>
  <c r="A788" i="3" s="1"/>
  <c r="X789" i="3"/>
  <c r="A789" i="3" s="1"/>
  <c r="X790" i="3"/>
  <c r="A790" i="3" s="1"/>
  <c r="X791" i="3"/>
  <c r="A791" i="3" s="1"/>
  <c r="X792" i="3"/>
  <c r="A792" i="3" s="1"/>
  <c r="X793" i="3"/>
  <c r="A793" i="3" s="1"/>
  <c r="X794" i="3"/>
  <c r="A794" i="3" s="1"/>
  <c r="X795" i="3"/>
  <c r="A795" i="3" s="1"/>
  <c r="X796" i="3"/>
  <c r="A796" i="3" s="1"/>
  <c r="X797" i="3"/>
  <c r="A797" i="3" s="1"/>
  <c r="X798" i="3"/>
  <c r="A798" i="3" s="1"/>
  <c r="X799" i="3"/>
  <c r="A799" i="3" s="1"/>
  <c r="X800" i="3"/>
  <c r="A800" i="3" s="1"/>
  <c r="X801" i="3"/>
  <c r="A801" i="3" s="1"/>
  <c r="X802" i="3"/>
  <c r="A802" i="3" s="1"/>
  <c r="X803" i="3"/>
  <c r="A803" i="3" s="1"/>
  <c r="X804" i="3"/>
  <c r="A804" i="3" s="1"/>
  <c r="X805" i="3"/>
  <c r="A805" i="3" s="1"/>
  <c r="X806" i="3"/>
  <c r="A806" i="3" s="1"/>
  <c r="X2" i="3"/>
  <c r="A2" i="3" s="1"/>
  <c r="X3" i="3"/>
  <c r="A3" i="3" s="1"/>
  <c r="X4" i="3"/>
  <c r="A4" i="3" s="1"/>
  <c r="X5" i="3"/>
  <c r="A5" i="3" s="1"/>
  <c r="X6" i="3"/>
  <c r="A6" i="3" s="1"/>
  <c r="X7" i="3"/>
  <c r="A7" i="3" s="1"/>
  <c r="X8" i="3"/>
  <c r="A8" i="3" s="1"/>
  <c r="P9" i="2" l="1"/>
  <c r="P8" i="2"/>
  <c r="P4" i="2"/>
  <c r="P6" i="2"/>
  <c r="P5" i="2"/>
  <c r="P7" i="2"/>
  <c r="P3" i="2"/>
  <c r="T2" i="2"/>
  <c r="AD2" i="2" s="1"/>
  <c r="P2" i="2" l="1"/>
  <c r="Y2" i="3"/>
  <c r="Y2" i="2" l="1"/>
</calcChain>
</file>

<file path=xl/sharedStrings.xml><?xml version="1.0" encoding="utf-8"?>
<sst xmlns="http://schemas.openxmlformats.org/spreadsheetml/2006/main" count="17268" uniqueCount="6257">
  <si>
    <t>Nome Fornecedor</t>
  </si>
  <si>
    <t>Título</t>
  </si>
  <si>
    <t>Acervo</t>
  </si>
  <si>
    <t>Rua</t>
  </si>
  <si>
    <t>Quantidade</t>
  </si>
  <si>
    <t>Qtde de Posições Paletes</t>
  </si>
  <si>
    <t>Peso Presumido (kg)</t>
  </si>
  <si>
    <t>Data pedido de agendamento (Quando chegou o e-mail)</t>
  </si>
  <si>
    <t>Data prevista para recebimento (Data de agendamento)</t>
  </si>
  <si>
    <t xml:space="preserve">Data Recebimento                          (Chegada do veículo em Cajamar)       </t>
  </si>
  <si>
    <t>Hora do recebimento</t>
  </si>
  <si>
    <t>Tipo de Veículo            (3 ton, 7 ton, etc)</t>
  </si>
  <si>
    <t>Placa Veículo</t>
  </si>
  <si>
    <t>Peso Total Recebido</t>
  </si>
  <si>
    <t>Status</t>
  </si>
  <si>
    <t>COMBOIO DE CORDA EDITORA LTDA-não há</t>
  </si>
  <si>
    <t>UM SONHO FEITO DE LINHAS</t>
  </si>
  <si>
    <t>RECEBIDO</t>
  </si>
  <si>
    <t>EDITORA ANZOL LTDA-não há</t>
  </si>
  <si>
    <t>SILÊNCIO!</t>
  </si>
  <si>
    <t>19t</t>
  </si>
  <si>
    <t>REFÚGIO</t>
  </si>
  <si>
    <t>ADIVINHA-ME!</t>
  </si>
  <si>
    <t>EDITORA MOITARÁ LTDA-não há</t>
  </si>
  <si>
    <t>PLANTANDO AS ÁRVORES DO QUÊNIA: A HISTÓRIA DE WANGARI MAATHAI</t>
  </si>
  <si>
    <t>DAGMAR E LEONOR</t>
  </si>
  <si>
    <t>EDITORA RODOPIO LTDA-não há</t>
  </si>
  <si>
    <t>UM PASSEIO NA FLORESTA AMAZÔNICA</t>
  </si>
  <si>
    <t>A VACA PRESEPEIRA</t>
  </si>
  <si>
    <t>PETRA EDITORIAL LTDA -Não há</t>
  </si>
  <si>
    <t>SONHANDO SANTOS DUMONT</t>
  </si>
  <si>
    <t>14t</t>
  </si>
  <si>
    <t>O ROUXINOL E OUTRAS HISTÓRIAS</t>
  </si>
  <si>
    <t>EDITORA MAMUTE LTDA-não há</t>
  </si>
  <si>
    <t>O PEQUENO PRÍNCIPE PRETO</t>
  </si>
  <si>
    <t>PRESTIGIO EDITORIAL LTDA-PRESTIGIO EDITORIAL LTDA</t>
  </si>
  <si>
    <t>O GATO SEM BOTAS</t>
  </si>
  <si>
    <t>O AZULÃO E O SOL</t>
  </si>
  <si>
    <t>CPR-6636/GVK-7142</t>
  </si>
  <si>
    <t>TRAMA EDITORA LTDA-Não há</t>
  </si>
  <si>
    <t>FULUSTRECA</t>
  </si>
  <si>
    <t>CANTIGAMENTE</t>
  </si>
  <si>
    <t>EDIÇÕES SM LTDA-SM EDUCAÇÃO</t>
  </si>
  <si>
    <t>O FABULOSO PROFESSOR FRITZ E A MENINA DAS PÉTALAS AMARELAS</t>
  </si>
  <si>
    <t>CYR7I02 - GDR8A77</t>
  </si>
  <si>
    <t>ALICE NO TELHADO</t>
  </si>
  <si>
    <t>EDITORA TIMBÓ LTDA-não há</t>
  </si>
  <si>
    <t>FELICIDADE É UMA PALAVRA SIMPLES</t>
  </si>
  <si>
    <t>FABULOSOS E ASSUSTADORES! CRIATURAS E BICHOS DO FOLCLORE BRASILEIRO</t>
  </si>
  <si>
    <t>PALAVRAS PROJETOS EDITORIAIS LTDA-PALAVRAS</t>
  </si>
  <si>
    <t>SOU DE VERDADE</t>
  </si>
  <si>
    <t>PWG-2228</t>
  </si>
  <si>
    <t>SEM-NO E JORGE</t>
  </si>
  <si>
    <t>GJK3J03</t>
  </si>
  <si>
    <t>PALAVRINHAS PROJETOS EDITORIAIS LTDA-PALAVRINHAS</t>
  </si>
  <si>
    <t>PARA ONDE ME LEVAM OS MEUS PÉS?</t>
  </si>
  <si>
    <t>O RECICLADOR DE PALAVRAS</t>
  </si>
  <si>
    <t>Enquete Editora e Comunicação LTDA-Potencial Editora</t>
  </si>
  <si>
    <t>ABC DAS EMOÇÕES</t>
  </si>
  <si>
    <t>DRL3935</t>
  </si>
  <si>
    <t>A MENINA E A HARPIA: LENDAS BRASILEIRAS</t>
  </si>
  <si>
    <t>EDITORA GRAFSET LTDA-EDITORA GRAFSET</t>
  </si>
  <si>
    <t>TRÊS SEMENTES DIFERENTES</t>
  </si>
  <si>
    <t>AUF9A02</t>
  </si>
  <si>
    <t>LUNIK SOLUCOES EDUCACIONAIS EIRELI-LUNIK EDUCACAO</t>
  </si>
  <si>
    <t>SOFIA</t>
  </si>
  <si>
    <t>MVC EDITORA LTDA-MVC EDITORA</t>
  </si>
  <si>
    <t>SONHOS NO TELHADO</t>
  </si>
  <si>
    <t>BICHO QUE VAI, GENTE QUE VEM</t>
  </si>
  <si>
    <t>ESTANTE DE LIVROS EDITORA LTDA-Não há</t>
  </si>
  <si>
    <t>SOU UM RIO</t>
  </si>
  <si>
    <t>EDITORA ONCA-PINTADA LTDA-não há</t>
  </si>
  <si>
    <t>O PREFEITO PERFEITO</t>
  </si>
  <si>
    <t>GERTRUDES TRUDES TUTUDES</t>
  </si>
  <si>
    <t>A CANOA QUE VIROU COISA</t>
  </si>
  <si>
    <t>EDITORA ENSINO E CONHECIMENTO LTDA-ENSINO E CONHECIMENTO</t>
  </si>
  <si>
    <t>O PLANETA DISTANTE</t>
  </si>
  <si>
    <t>O HERÓI IMÓVEL</t>
  </si>
  <si>
    <t>VITRINE EDITORA LTDA-Não há</t>
  </si>
  <si>
    <t>ÁGUA, GAIA, FOGO E AR</t>
  </si>
  <si>
    <t>A OBRA</t>
  </si>
  <si>
    <t>Zapt Editora Ltda.-Zapt Editora</t>
  </si>
  <si>
    <t>VIU?</t>
  </si>
  <si>
    <t>CUO1A15</t>
  </si>
  <si>
    <t>ARCO 43 EDITORA LTDA-ARCO 43</t>
  </si>
  <si>
    <t>O ENCONTRO DA CIDADE CRIANÇA COM O SERTÃO MENINO</t>
  </si>
  <si>
    <t>DAS7E24</t>
  </si>
  <si>
    <t>EDITORA DO BRASIL S/A-EDITORA DO BRASIL</t>
  </si>
  <si>
    <t>VÁRIAS MANEIRAS DE AMAR</t>
  </si>
  <si>
    <t>AKPALÔ EDITORA LTDA-AKPALÔ</t>
  </si>
  <si>
    <t>DE BEM COM A VIDA</t>
  </si>
  <si>
    <t>LIVRISSIMO EDITORA LTDA-LIVRISSIMO EDITORA</t>
  </si>
  <si>
    <t>IGUAL OU DIFERENTE, DEPENDE DO OLHAR DA GENTE</t>
  </si>
  <si>
    <t>E AGORA? UMA FOLHA DO DICIONÁRIO SUMIU!</t>
  </si>
  <si>
    <t>FENIX TECNOLOGIAS EDUCACIONAIS LTDA-FENIX TECNOLOGIAS EDUCACIONAIS</t>
  </si>
  <si>
    <t>O COMPADRE DA MORTE</t>
  </si>
  <si>
    <t>EOF-3931</t>
  </si>
  <si>
    <t>DIAN &amp; SILVA EMPREENDIMENTOS EDUCACIONAIS E EDITORIAIS LTDA-Nadiane Santos Oliveira</t>
  </si>
  <si>
    <t>LÁ VAI JOÃO</t>
  </si>
  <si>
    <t>FLORIS E BRANCAFLOR, A JORNADA DO AMOR</t>
  </si>
  <si>
    <t>BENNU EDITORA E PROJETOS EDUCACIONAIS LTDA-Bennu Editora</t>
  </si>
  <si>
    <t>FÁBULAS DE ESOPO</t>
  </si>
  <si>
    <t>BICHOS</t>
  </si>
  <si>
    <t>A BRUXA DO BATOM BORRADO</t>
  </si>
  <si>
    <t>UM BELO DIA...</t>
  </si>
  <si>
    <t>DPB 0980</t>
  </si>
  <si>
    <t>TRÊS HISTÓRIAS DE ENCANTO</t>
  </si>
  <si>
    <t>Instituto Alberione-Saberes e letras</t>
  </si>
  <si>
    <t>SE EU PUDESSE NASCER DE NOVO</t>
  </si>
  <si>
    <t>LQH 7A97</t>
  </si>
  <si>
    <t>ADIVINHA QUEM FOI O MIOLO DO BOI</t>
  </si>
  <si>
    <t>FUNDAÇÃO GETULIO VARGAS-FGV EDITORA</t>
  </si>
  <si>
    <t>VAI VIAJAR, CARACOL?</t>
  </si>
  <si>
    <t>DETETIVE CECÍLIA E A ÁGUIA DE BRONZE</t>
  </si>
  <si>
    <t>EDITORA RELUME-DUMARA LTDA-Não há</t>
  </si>
  <si>
    <t>O DESENHO DO MUNDO</t>
  </si>
  <si>
    <t>CPR 6G36</t>
  </si>
  <si>
    <t>CONVERSA DE TARTARUGA</t>
  </si>
  <si>
    <t>EDITORA TERRA BRASILIS LTDA-não há</t>
  </si>
  <si>
    <t>NO FUNDO DO FUNDO-FUNDO LÁ VAI O TATU RAIMUNDO</t>
  </si>
  <si>
    <t>A ONÇA E O BODE E A BANDA DA MATA</t>
  </si>
  <si>
    <t>EDIOURO PUBLICACOES DE LAZER E CULTURA LTDA-Não há</t>
  </si>
  <si>
    <t>TRAVATROVAS</t>
  </si>
  <si>
    <t>EDIOURO GRAFICA E EDITORA PARTICIPACOES S.A -EDIPAR</t>
  </si>
  <si>
    <t>POR UMA QUESTÃO DE SAUDADE.</t>
  </si>
  <si>
    <t>O REI DAS PALAVRAS</t>
  </si>
  <si>
    <t>EDIOURO PUBLICACOES DE PASSATEMPOS E MULTIMIDIA LTDA-EDIPASS</t>
  </si>
  <si>
    <t>EM BOCA FECHADA NÃO ENTRA ESTRELA</t>
  </si>
  <si>
    <t>AMOR PLENILUNAR: NO JARDIM DO SONHO E DO ESQUECIMENTO</t>
  </si>
  <si>
    <t>A TURMA DO ABC</t>
  </si>
  <si>
    <t>Entrepalavras Produção de Texto -Entrepalavras</t>
  </si>
  <si>
    <t>SOFIA DESASTRADA</t>
  </si>
  <si>
    <t>10t</t>
  </si>
  <si>
    <t>DPF2499/BKX5702</t>
  </si>
  <si>
    <t>CAIXOTE EDITORA, COMÉRCIO DE LIVROS E DES. DE SOFT. EIRELI-Editora Caixote</t>
  </si>
  <si>
    <t>O TIO + OITO</t>
  </si>
  <si>
    <t>HEIDI</t>
  </si>
  <si>
    <t>Chuvinha Editora Ltda.-Chuvinha</t>
  </si>
  <si>
    <t>ZIGGY E O SHOW AO LUAR</t>
  </si>
  <si>
    <t>Pipoca Doce Casa Editorial Ltda-Pipoca Doce</t>
  </si>
  <si>
    <t>SENHOR MOSQUITO E SENHOR ORELHA</t>
  </si>
  <si>
    <t>o secador de livros</t>
  </si>
  <si>
    <t>Marco Zero Editora ltda-Marco Zero Editora</t>
  </si>
  <si>
    <t>O AMOR TEM COR?</t>
  </si>
  <si>
    <t>Editora Coralinda ltda-Coralinda</t>
  </si>
  <si>
    <t>NUMA TERRA ESTRANHA</t>
  </si>
  <si>
    <t>Boto Rosa Editora Ltda.-Boto Rosa</t>
  </si>
  <si>
    <t>FRED, O PAPA-FORMIGA</t>
  </si>
  <si>
    <t>EDITORA NOVA FRONTEIRA PARTICIPACOES S/A -Não há</t>
  </si>
  <si>
    <t>O LIVRO DO TRAVA-LÍNGUA</t>
  </si>
  <si>
    <t>MLX2538-RLD8J15</t>
  </si>
  <si>
    <t>O LIVRO DAS VIRTUDES PARA CRIANÇAS</t>
  </si>
  <si>
    <t>EDITORA ASTROLABIO LTDA-Não há</t>
  </si>
  <si>
    <t>O Á-BÊ-CÊ DA DICA NANICA</t>
  </si>
  <si>
    <t>ELES QUE NÃO SE AMAVAM</t>
  </si>
  <si>
    <t>PLANETA NOTÍCIA EDITORA LTDA-PLANETA NOTÍCIA</t>
  </si>
  <si>
    <t>OS SAPATOS DE LILA</t>
  </si>
  <si>
    <t>TRIOLET EDITORIAL &amp; PUBLICAÇÕES LTDA.-TRIOLET EDITORIAL &amp; PUBLICAÇÕES</t>
  </si>
  <si>
    <t>O GUARDA-CHUVA QUE DESENGUARDACHUVOU</t>
  </si>
  <si>
    <t>VIVI EDITORA LTDA -VIVI EDITORA</t>
  </si>
  <si>
    <t>NA BOCA DO MUNDO: BRINCANDO, CANTANDO E PARLENDANDO</t>
  </si>
  <si>
    <t>CONTOS DE REIS</t>
  </si>
  <si>
    <t>VERONICA EDITORA LTDA-VERONICA EDITORA</t>
  </si>
  <si>
    <t>ABRAÇO DE PELÚCIA: E MAIS POEMAS</t>
  </si>
  <si>
    <t>Gutenberg Distribuidora de Livros Ltda.-Yellowfante</t>
  </si>
  <si>
    <t>O MAR DE MANU</t>
  </si>
  <si>
    <t>EQU-3G82 EFO-0794</t>
  </si>
  <si>
    <t>EDITORA E GRAFICA INDICO LTDA-EDITORA INDICO</t>
  </si>
  <si>
    <t>O BREJO DAS TABOAS</t>
  </si>
  <si>
    <t>Editora Madreperola Ltda-Editora Madrepérola</t>
  </si>
  <si>
    <t>INÁCIO! LARGA ESSE CELULAR</t>
  </si>
  <si>
    <t>SG-AMARANTE EDITORIAL LTDA-SG-AMARANTE</t>
  </si>
  <si>
    <t>É TUDO VERDADE! (OU SERÁ MENTIRA?)</t>
  </si>
  <si>
    <t>Tacacá Editorial ltda-Tacaca Editorial</t>
  </si>
  <si>
    <t>AMOR EXPLICADINHO</t>
  </si>
  <si>
    <t>Editora Gutenberg Ltda.-Gutenberg</t>
  </si>
  <si>
    <t>A CASA QUE ASSOVIAVA</t>
  </si>
  <si>
    <t>Kits Editora Comércio e Indústria Ltda-Kit´s Editora</t>
  </si>
  <si>
    <t>COMIDAS ESTRANHUDAS</t>
  </si>
  <si>
    <t>ENS-2H45</t>
  </si>
  <si>
    <t>Elementar Publicações e Editora Ltda-Elementar Publicações</t>
  </si>
  <si>
    <t>VOVÓ CRISÁLIDA E O MISTÉRIO DA CAIXA DE FOTOGRAFIAS</t>
  </si>
  <si>
    <t>GEB3G03/EFO1060</t>
  </si>
  <si>
    <t>EDITORA LULELE LTDA-Editora Pensamento LTDA</t>
  </si>
  <si>
    <t>UMA IDEIA NO BOLSO</t>
  </si>
  <si>
    <t>EDITORA YELLOWFANTE LTDA-INVENTADEIRA</t>
  </si>
  <si>
    <t>PARAÓ E PEBA</t>
  </si>
  <si>
    <t>MARTHA EDITORA LTDA-MARTHA EDITORA</t>
  </si>
  <si>
    <t>O PASTOR E A BORDADEIRA</t>
  </si>
  <si>
    <t>D. Padilha Estúdio Editorial-Literatura de Colo Editora</t>
  </si>
  <si>
    <t>O PÁSSARO ENCANTADO</t>
  </si>
  <si>
    <t>J.G. Editora -J.G. Editora</t>
  </si>
  <si>
    <t>O OVO DA VAVÁ</t>
  </si>
  <si>
    <t>DBB-1D71</t>
  </si>
  <si>
    <t>EU E A TURMA DA ESCOLA: ENFRENTANDO DESAFIOS</t>
  </si>
  <si>
    <t>Capitu Editora Ltda.-Capitu</t>
  </si>
  <si>
    <t>CECI: UMA HISTÓRIA PARA OUVIR</t>
  </si>
  <si>
    <t>Rovelle Edição e Comercio de Livos Ltda-Editora Rovelle</t>
  </si>
  <si>
    <t>A ÁRVORE DAS LEMBRANÇAS</t>
  </si>
  <si>
    <t>VMP REPRESENTACOES E COMERCIO LTDA-VMP REPRESENTACOES E COMERCIO</t>
  </si>
  <si>
    <t>O OLHO DA RUA</t>
  </si>
  <si>
    <t>MRE6F53/GHL5B87</t>
  </si>
  <si>
    <t>A A MENEGHETTI SOLUCOES EM ENGENHARIA-MENEGHETTI SOLUCOES EM ENGENHARIA</t>
  </si>
  <si>
    <t>MEU ZÉ LELÉ DE ESTIMAÇÃO</t>
  </si>
  <si>
    <t>MARIA FLOR</t>
  </si>
  <si>
    <t>IMO S GRAFICA E EDITORA LTDA-</t>
  </si>
  <si>
    <t>DORA, UMA MENINA NORDESTINA</t>
  </si>
  <si>
    <t>ARTHUR SILVEIRA EDITORA LTDA-CURIOSAMENTE EDITORA</t>
  </si>
  <si>
    <t>DO MAR</t>
  </si>
  <si>
    <t>Editora Octavo Ltda.-Octavo</t>
  </si>
  <si>
    <t>LISA, A CAMALEOA MONOCROMÁTICA</t>
  </si>
  <si>
    <t>12t</t>
  </si>
  <si>
    <t>STK-1A61</t>
  </si>
  <si>
    <t>Emediato Editores Ltda-Jardim dos Livros</t>
  </si>
  <si>
    <t>UMA VIAGEM INESQUECÍVEL</t>
  </si>
  <si>
    <t>EQU-3G83</t>
  </si>
  <si>
    <t>AUTENTICA EDUCACAO LTDA-AUTEDUC</t>
  </si>
  <si>
    <t>O TAMANHO DA GENTE</t>
  </si>
  <si>
    <t>VERSOS COMERCIO E EDITORA LTDA-Editora Versos</t>
  </si>
  <si>
    <t>MINHAS PRIMEIRAS CANTIGAS</t>
  </si>
  <si>
    <t>O Gato Chinês Editora Ltda.-O Gato Chinês</t>
  </si>
  <si>
    <t>JUCA MIL-PERGUNTAS</t>
  </si>
  <si>
    <t>CORAÇÕES AOS MILHÕES</t>
  </si>
  <si>
    <t>EDITORA MILENA LTDA-MILENA</t>
  </si>
  <si>
    <t>CHÁ DE SUMIÇO: E OUTROS POEMAS ASSOMBRADOS</t>
  </si>
  <si>
    <t>Edelbra Gráfica Ltda-Edelbra</t>
  </si>
  <si>
    <t>MOMOTARO</t>
  </si>
  <si>
    <t>JCU-7F88</t>
  </si>
  <si>
    <t>UMA AVENTURA NO SONHO</t>
  </si>
  <si>
    <t>Edelbra Editora Ltda-Edelbra</t>
  </si>
  <si>
    <t>O MENINO QUE NÃO QUERIA SER PRÍNCIPE E OUTRAS HISTÓRIAS ENCANTADAS</t>
  </si>
  <si>
    <t>JAP-4J14</t>
  </si>
  <si>
    <t>BICHOS DAQUI, DE LÁ E DE ALÉM</t>
  </si>
  <si>
    <t>Oceano Edições e Impressão Gráfica Ltda -Gráfica Oceano</t>
  </si>
  <si>
    <t>NA ROÇA DO VOVÔ</t>
  </si>
  <si>
    <t>GBX-1A87</t>
  </si>
  <si>
    <t>AS NOVAS ROUPAS DO IMPERADOR</t>
  </si>
  <si>
    <t>Escala Empresa de Comunicação Integrada Ltda -Escala Integrada</t>
  </si>
  <si>
    <t>A SERPENTE BRANCA</t>
  </si>
  <si>
    <t>Elefante Letrado Serviços Educacionais LTDA-Plataforma de Leitura Elefante Letrado</t>
  </si>
  <si>
    <t>UM ENGARRAFAMENTO ELÉTRICO E OUTRAS HISTÓRIAS DO CLIMA</t>
  </si>
  <si>
    <t>QHC-9000</t>
  </si>
  <si>
    <t>TOM</t>
  </si>
  <si>
    <t>EDITORA ROCCO LTDA.-</t>
  </si>
  <si>
    <t>BIA NÃO QUER DORMIR</t>
  </si>
  <si>
    <t>A VIDA ÍNTIMA DE LAURA</t>
  </si>
  <si>
    <t>EDITORA LENDO E APRENDENDO LTDA.-</t>
  </si>
  <si>
    <t>AS AVENTURAS DE MU: UM EXTRATERRESTRE NA ESCOLA!</t>
  </si>
  <si>
    <t>A MENINA DE NOME ENFEITADO</t>
  </si>
  <si>
    <t>MLT Participações Societárias Ltda-Editora MLT</t>
  </si>
  <si>
    <t>OS CAMUNDONGOS E O SAGUI</t>
  </si>
  <si>
    <t>EFQ3767/CXA6087</t>
  </si>
  <si>
    <t>LEXIKON EDITORA DIGITAL LTDA-LEXIKON</t>
  </si>
  <si>
    <t>O SÁBIO SABE TUDO?</t>
  </si>
  <si>
    <t>O PEQUENO DESENHISTA</t>
  </si>
  <si>
    <t>EDITORA PRUMO LTDA.-</t>
  </si>
  <si>
    <t>DE OLHO NO OLHO</t>
  </si>
  <si>
    <t>7t</t>
  </si>
  <si>
    <t>CAPA DE CAPIM DOURADO E OUTROS CONTOS DE FADAS</t>
  </si>
  <si>
    <t>EDITORA JPA LTDA.-</t>
  </si>
  <si>
    <t>QUASE DE VERDADE</t>
  </si>
  <si>
    <t>QJB8E80/MLF9690</t>
  </si>
  <si>
    <t>O LIVRO DAS PALAVRAS</t>
  </si>
  <si>
    <t>Editora Spark LTDA-Spark</t>
  </si>
  <si>
    <t>DIÁLOGOS FEMINISTAS ANTIRRACISTAS (E NADA FÁCEIS) COM AS CRIANÇAS</t>
  </si>
  <si>
    <t>AUF-6B18</t>
  </si>
  <si>
    <t>EDITORA PLANETA DO BRASIL LTDA-EDITORA PLANETA</t>
  </si>
  <si>
    <t>A HISTÓRIA DE UM BICHINHO DE PELÚCIA</t>
  </si>
  <si>
    <t>SOCIEDADE LITERÁRIA EDIÇÕES E EMPRENDIMENTOS LTDA.-</t>
  </si>
  <si>
    <t>O DIA MAIS FRIO DO ANO</t>
  </si>
  <si>
    <t>FESTA NO CÉU</t>
  </si>
  <si>
    <t>Editora Biju ltda-Biju</t>
  </si>
  <si>
    <t>TYKUÃ E A ORIGEM DA ANUNCIAÇÃO</t>
  </si>
  <si>
    <t>PONTES EDITORES LTDA 57888919000180-PONTES EDITORES</t>
  </si>
  <si>
    <t>O BRASIL, OS ÍNDIGENAS E A FLOR PRIMAVERA</t>
  </si>
  <si>
    <t>Editora Florescendo LTDA-Florescendo</t>
  </si>
  <si>
    <t>IYÁ AGBÁ: A MÃE-VENTRE</t>
  </si>
  <si>
    <t>PONTES LIVROS EIRELI -PONTES LIVROS</t>
  </si>
  <si>
    <t>É HORA DE SENTIR</t>
  </si>
  <si>
    <t>BORBOLETRAS</t>
  </si>
  <si>
    <t>VERNE EDITORA LTDA-Editora Verne</t>
  </si>
  <si>
    <t>ANTÔNIO E O BOI</t>
  </si>
  <si>
    <t>EDITORA BOITATA LTDA-EDITORA BOITATÁ</t>
  </si>
  <si>
    <t>PINÓQUIO: O LIVRO DAS PEQUENAS VERDADES</t>
  </si>
  <si>
    <t>GPK-6G36</t>
  </si>
  <si>
    <t>Jinkings Editores Associados LTDA.-Boitempo</t>
  </si>
  <si>
    <t>O URSO QUE NÃO ERA</t>
  </si>
  <si>
    <t>O DISCO-PIZZA</t>
  </si>
  <si>
    <t>O BOITATÁ E OS BOITATINHAS</t>
  </si>
  <si>
    <t>DIRETA EDITORA E COMÉRCIO DE LIVROS LTDA-DIRETA EDITORA</t>
  </si>
  <si>
    <t>COMO SURGIU A NOITE</t>
  </si>
  <si>
    <t>AYASOFYA EDITORA E COMÉRCIO DE LIVROS LTDA-AYASOFYA EDITORA</t>
  </si>
  <si>
    <t>SANTOS DUMONT EM QUADRINHOS</t>
  </si>
  <si>
    <t>AOD8633</t>
  </si>
  <si>
    <t>Livraria La Fontaine Ltda-La Fontaine</t>
  </si>
  <si>
    <t>NARIZINHO ARREBITADO</t>
  </si>
  <si>
    <t>CXA6O87/EFQ3767</t>
  </si>
  <si>
    <t>AMOROSA</t>
  </si>
  <si>
    <t>EDITORA ALTEA LTDA-ALTEA</t>
  </si>
  <si>
    <t>MINHAS RIMAS DE CORDEL</t>
  </si>
  <si>
    <t>Salamandra Editorial LTDA. -Salamandra</t>
  </si>
  <si>
    <t>BISA BIA, BISA BEL</t>
  </si>
  <si>
    <t>PATMOS EDITORA LTDA - ME-PATMOS EDITORA</t>
  </si>
  <si>
    <t>A RAPOSA E O CARNEIRO</t>
  </si>
  <si>
    <t>CXA6O87</t>
  </si>
  <si>
    <t>EDITORA JOAQUIM LTDA. -JOAQUIM</t>
  </si>
  <si>
    <t>SOPRINHO - O SEGREDO DO BOSQUE ENCANTADO</t>
  </si>
  <si>
    <t>GVQ2G54/MAV4E07</t>
  </si>
  <si>
    <t>OLÍVIA E OS ÍNDÍGENAS</t>
  </si>
  <si>
    <t>EDITORA ATICA S/A-ÁTICA</t>
  </si>
  <si>
    <t>O MENINO DE OLHO-D’ÁGUA</t>
  </si>
  <si>
    <t>O FRIO PODE SER QUENTE?</t>
  </si>
  <si>
    <t>EDITORA TODAS AS LETRAS LTDA.-TODAS AS LETRAS</t>
  </si>
  <si>
    <t>RIMA OU COMBINA?</t>
  </si>
  <si>
    <t>BZG1399/DTB0941</t>
  </si>
  <si>
    <t>EDITORA PIGMENTO LTDA-PIGMENTO</t>
  </si>
  <si>
    <t>PROCURA-SE LOBO</t>
  </si>
  <si>
    <t>NO REINO DO VAI NÃO VEM - UMA VIAGEM AO MUNDO DO CORDEL</t>
  </si>
  <si>
    <t>BZG1399/DTB941</t>
  </si>
  <si>
    <t>EDITORA SCIPIONE S.A.-SCIPIONE</t>
  </si>
  <si>
    <t>CAPULANA – UM PANO ESTAMPADO DE HISTÓRIAS</t>
  </si>
  <si>
    <t>A BATALHA DA CACHOEIRA DO CIPÓ</t>
  </si>
  <si>
    <t>EDITORA REVIRAVOLTA LTDA-REVIRAVOLTA</t>
  </si>
  <si>
    <t>TAYÓ EM QUADRINHOS</t>
  </si>
  <si>
    <t>GVK7I41/GPR6G36</t>
  </si>
  <si>
    <t>Serelepe Editora Ltda-Serelepe Editora</t>
  </si>
  <si>
    <t>O RATO DO CAMPO E O RATO DA CIDADE</t>
  </si>
  <si>
    <t>EDITORA FONTANAR LTDA-</t>
  </si>
  <si>
    <t>O LAGARTO</t>
  </si>
  <si>
    <t>E VOCÊ, O QUE SABE FAZER?</t>
  </si>
  <si>
    <t>EDITORA ZAHAR LTDA-EDITORA ZAHAR</t>
  </si>
  <si>
    <t>DIÁRIO DE PILAR NA GRÉCIA</t>
  </si>
  <si>
    <t>CURUMIMZICE</t>
  </si>
  <si>
    <t>DFE2743/MCQ3D53</t>
  </si>
  <si>
    <t>PODE CHORAR, CORAÇÃO, MAS FIQUE INTEIRO</t>
  </si>
  <si>
    <t>MEF Editora Ltda.-Semear Ideias Ltda</t>
  </si>
  <si>
    <t>O REI DE QUASE-TUDO E AS VINHAS DE OURO</t>
  </si>
  <si>
    <t>BRINQUE-BOOK EDITORA DE LIVROS LTDA-</t>
  </si>
  <si>
    <t>O INCRÍVEL LIVRO DO GILDO</t>
  </si>
  <si>
    <t>MRE6F53</t>
  </si>
  <si>
    <t>SARAIVA EDUCAÇÃO S.A.-SARAIVA</t>
  </si>
  <si>
    <t>A POESIA SE FAZ NUM PESCAR DE OLHOS</t>
  </si>
  <si>
    <t>MAV4E07</t>
  </si>
  <si>
    <t>MAXIPRINT EDITORA LTDA.-MAXIPRINT</t>
  </si>
  <si>
    <t>ARMAZÉM DO FOLCLORE</t>
  </si>
  <si>
    <t>O NASCIMENTO DO UNIVERSO</t>
  </si>
  <si>
    <t>O SAMBA DA GIRAFA E OUTROS POEMAS</t>
  </si>
  <si>
    <t>MHK0752</t>
  </si>
  <si>
    <t>Editorial Vinte e Cinco Ltda-Editorial25</t>
  </si>
  <si>
    <t>POR QUE O CABELO DA PRINCESA FOI PASSEAR?</t>
  </si>
  <si>
    <t>EDITORA PROJETO LTDA-Projeto Editora</t>
  </si>
  <si>
    <t>A FADA QUE TINHA IDEIAS - PEÇA TEATRAL</t>
  </si>
  <si>
    <t>OKD2D45</t>
  </si>
  <si>
    <t>SARAIVA SOLUÇÕES EDUCACIONAIS S.A.-SARAIVA SOLUÇÕES</t>
  </si>
  <si>
    <t>A NOITE DOS GATOS CHORÕES - UMA AVENTURA MUSICAL</t>
  </si>
  <si>
    <t>BZE-1399</t>
  </si>
  <si>
    <t>SGE COMERCIO DE MATERIAL DIDATICO LTDA.-SGE</t>
  </si>
  <si>
    <t>ANA PIJAMA NO PAÍS DO PENSAMENTO</t>
  </si>
  <si>
    <t>DRAGUINHO - DIFERENTE DE TODOS, PARECIDO COM NINGUÉM</t>
  </si>
  <si>
    <t>O SEGREDO DA CHUVA</t>
  </si>
  <si>
    <t>Telos Editora Ltda-Telos Editora</t>
  </si>
  <si>
    <t>TAMBOR DO AMOR</t>
  </si>
  <si>
    <t>SANDRA MENDONCA DE ALENCAR-MENDONÇA</t>
  </si>
  <si>
    <t>FOLCLORE EM VERSOS: DELÍCIAS DO BRASIL</t>
  </si>
  <si>
    <t>MRE5F53/GHL5B87</t>
  </si>
  <si>
    <t>RIO 40o TRADE LTDA-</t>
  </si>
  <si>
    <t>HELENA QUER VOAR</t>
  </si>
  <si>
    <t>VANGIVALDO S DOS SANTOS SERVICOS GRAFICOS-VANGI EDICAO GRAFICA</t>
  </si>
  <si>
    <t>LILA, A CINDERELA DE BALI</t>
  </si>
  <si>
    <t>O LADRÃO DE VERRUGAS</t>
  </si>
  <si>
    <t>GHL5B87/MRE6F53</t>
  </si>
  <si>
    <t>SEREIA EM SEGREDO</t>
  </si>
  <si>
    <t>MER6F53/GHL5B87</t>
  </si>
  <si>
    <t>MAR DAS CONCHAS EDITORA E COMERCIO LTDA-</t>
  </si>
  <si>
    <t>SEREIAZINHA</t>
  </si>
  <si>
    <t>VALOR CRUCIAL TREINAMENTO LTDA-VALOR CRUCIAL</t>
  </si>
  <si>
    <t>A BALEIA E O SUBMARINO</t>
  </si>
  <si>
    <t>DAJ0A61/CSK5C41</t>
  </si>
  <si>
    <t>Formata - Editora Educacional-Formata - Educação e Tecnologia</t>
  </si>
  <si>
    <t>A ROUPA NOVA DO REI</t>
  </si>
  <si>
    <t>DAJ 0A61/CSK5C41</t>
  </si>
  <si>
    <t>ALFABETO DE PLANTAS: DE ALECRIM A ZEDOÁRIA</t>
  </si>
  <si>
    <t>Leve Soluções Editoriais Ltda-Leve Soluções Editoriais</t>
  </si>
  <si>
    <t>CABEÇA, PRA QUE TE QUERO!</t>
  </si>
  <si>
    <t>UMA HISTÓRIA DE ANTES DE NÓS</t>
  </si>
  <si>
    <t>Ayllon Editora LTDA-Ayllon</t>
  </si>
  <si>
    <t>VIAGEM AO REINO ENCANTADO DO CORDEL</t>
  </si>
  <si>
    <t>QUINTETO EDITORIAL LTDA.-Quinteto</t>
  </si>
  <si>
    <t>EZU9965</t>
  </si>
  <si>
    <t>Editora FTD S.A.-FTD Educação</t>
  </si>
  <si>
    <t>FRIDA KAHLO E SEUS ANIMALITOS</t>
  </si>
  <si>
    <t>Associação Paranaense de Cultura – APC -Editora Universitária Champagnat</t>
  </si>
  <si>
    <t>O MÁGICO DE OZ</t>
  </si>
  <si>
    <t>CLV3J03/FBCOE27</t>
  </si>
  <si>
    <t>O MENINO E O MAESTRO</t>
  </si>
  <si>
    <t>O SAPATO QUE MIAVA</t>
  </si>
  <si>
    <t>VAMOS AO TEATRO!</t>
  </si>
  <si>
    <t>União Brasileira de Educação e Assistência-EDIPUCRS</t>
  </si>
  <si>
    <t>A PRINCESA QUE NÃO QUERIA APRENDER A LER</t>
  </si>
  <si>
    <t>DFE2743/MCQ3D52</t>
  </si>
  <si>
    <t>Empresa Brasileira de Sistemas de Ensino Ltda. -BR Educação</t>
  </si>
  <si>
    <t>ALÉM DA CHUVA</t>
  </si>
  <si>
    <t>CARTA ERRANTE, AVÓ ATRAPALHADA, MENINA ANIVERSARIANTE</t>
  </si>
  <si>
    <t>CUMARIM, A PIMENTA DO REINO</t>
  </si>
  <si>
    <t>Editora Mediação - Distribuidora e Livraria Ltda.-Editora Mediação</t>
  </si>
  <si>
    <t>DIA BRINQUEDO</t>
  </si>
  <si>
    <t>IBEP SISTEMAS DE ENSINO-IBEP SISTEMAS</t>
  </si>
  <si>
    <t>A ILHA DO TESOURO</t>
  </si>
  <si>
    <t>KAAS EDITORA-KAAS EDITORA</t>
  </si>
  <si>
    <t>SONHO DE UMA NOITE DE VERÃO</t>
  </si>
  <si>
    <t>VAMOS TOCAR O ABC!</t>
  </si>
  <si>
    <t>AGIR EDITORA LTDA-Não há</t>
  </si>
  <si>
    <t>A ÁRVORE QUE PENSAVA</t>
  </si>
  <si>
    <t>OXI7460/MHU1126</t>
  </si>
  <si>
    <t>BOM DE LER EDITORA LTDA-Não há</t>
  </si>
  <si>
    <t>A BRUXINHA QUE ERA BOA</t>
  </si>
  <si>
    <t>EDIOURO DUETTO EDITORIAL LTDA-Não há</t>
  </si>
  <si>
    <t>MEU AMIGO TROVÃO</t>
  </si>
  <si>
    <t>O BAÚ DO SEU MACHADO</t>
  </si>
  <si>
    <t>O PULO DO GATO</t>
  </si>
  <si>
    <t>QIX7460/MHU1126</t>
  </si>
  <si>
    <t>QUEM COMEU AS HISTORINHAS?</t>
  </si>
  <si>
    <t>Alcy Produções Artisticas Ltda.-Bigode</t>
  </si>
  <si>
    <t>ABC QUER BRINCAR COM VOCÊ</t>
  </si>
  <si>
    <t>GVK7I45/CPR6G36</t>
  </si>
  <si>
    <t>BADU VAI À FEIRA</t>
  </si>
  <si>
    <t>CONRAD EDITORA DO BRASIL-Conrad</t>
  </si>
  <si>
    <t>HISTÓRIAS DE MENINOS E MENINAS</t>
  </si>
  <si>
    <t>O BAILE DAS CAVEIRAS</t>
  </si>
  <si>
    <t>GVK7I42</t>
  </si>
  <si>
    <t>PAPERO EDITORA -PAPERO EDITORA</t>
  </si>
  <si>
    <t>ALFABETO POÉTICO</t>
  </si>
  <si>
    <t>CPR6G36</t>
  </si>
  <si>
    <t>É O TAMBOR DE CRIOULA!</t>
  </si>
  <si>
    <t>GVK7I42/CPR6G36</t>
  </si>
  <si>
    <t>MARIA MARIANA CIRILO DE MEDEIROS 10083232419-M3 ARTE &amp; EVENTOS</t>
  </si>
  <si>
    <t>O PAÍS DAS EMOÇÕES</t>
  </si>
  <si>
    <t>EQU3J10/BKX5702</t>
  </si>
  <si>
    <t>NOS MARES DO MUNDO</t>
  </si>
  <si>
    <t>Bazar do Tempo Produções e Empreendimentos Culturais Ltda.-Bazar do Tempo</t>
  </si>
  <si>
    <t>FOI! - NÃO FOI!</t>
  </si>
  <si>
    <t>ALGODAO DOCE EDITORIAL LTDA-Algodão Doce</t>
  </si>
  <si>
    <t>EMPURREM A BALEIA DE VOLTA PARA O MAR!</t>
  </si>
  <si>
    <t>Solisluna Design e Editora Ltda-Solisluna Editora</t>
  </si>
  <si>
    <t>TECELAGEM: UMA HISTÓRIA ILUSTRADA</t>
  </si>
  <si>
    <t>Editora HR Ltda-Editora HR Ltda</t>
  </si>
  <si>
    <t>VOVÓ TEM CADA HISTÓRIA</t>
  </si>
  <si>
    <t>DMV7E82</t>
  </si>
  <si>
    <t>EDITORA EDEBÊ BRASIL LTDA-EDITORA EDEBÊ BRASIL LTDA</t>
  </si>
  <si>
    <t>SEVERINA A MENINA RICA DO SERTÃO</t>
  </si>
  <si>
    <t>SYK3F89</t>
  </si>
  <si>
    <t>Culturama Editora e Distribuidora LTDA-Culturama</t>
  </si>
  <si>
    <t>MICKEY E DONALD EM: 20.000 LÉGUAS SUBMARINAS</t>
  </si>
  <si>
    <t>EZX2F76</t>
  </si>
  <si>
    <t>HORA DA ESCOLA</t>
  </si>
  <si>
    <t>Casa dos Livros Editora Ltda-Casa dos Livros Editora Ltda</t>
  </si>
  <si>
    <t>RAMON FELLINI, O CÃO DETETIVE</t>
  </si>
  <si>
    <t>QUÉ MAMÁ! É HORA DO LEITINHO</t>
  </si>
  <si>
    <t>DHU7E82</t>
  </si>
  <si>
    <t>Todavia Editora S.A.-Todavia</t>
  </si>
  <si>
    <t>A ALMA PERDIDA</t>
  </si>
  <si>
    <t>Editora Sei Ltda-Editora Sei</t>
  </si>
  <si>
    <t>VIAGEM AO CENTRO DA TERRA</t>
  </si>
  <si>
    <t>UNIVERSO LIVROS EDITORA LTDA-UNIVERSO LIVROS EDITORA</t>
  </si>
  <si>
    <t>O ROUXINOL EM CORDEL</t>
  </si>
  <si>
    <t>EDITORA LAFONTE LTDA-Editora Lafonte</t>
  </si>
  <si>
    <t>HOJE ACORDEI BEIJA-FLOR</t>
  </si>
  <si>
    <t>Ateliê da Escrita Editora LTDA-ATELIÊ DA ESCRITA</t>
  </si>
  <si>
    <t>ÁGUA POR TODO LADO</t>
  </si>
  <si>
    <t>Editora Wisdom Ltda -Editora Wisdom</t>
  </si>
  <si>
    <t>A PEQUENA VENDEDORA DE FÓSFOROS</t>
  </si>
  <si>
    <t>A ONÇA, O CAXINGUELÊ E O VEADO</t>
  </si>
  <si>
    <t>A ONÇA, O CAXINGUELÊ E O VEADO46066</t>
  </si>
  <si>
    <t>Vida Melhor Editora Ltda.-Vida Melhor Editora Ltda.</t>
  </si>
  <si>
    <t>UMA CANÇÃO</t>
  </si>
  <si>
    <t>EST5742</t>
  </si>
  <si>
    <t>AS AVENTURAS DE MIKE</t>
  </si>
  <si>
    <t>GNS9G95</t>
  </si>
  <si>
    <t>Editora Piu LTDA-ME-Editora Piu</t>
  </si>
  <si>
    <t>COMO AS MAMÃES AMAM SEUS BEBÊS</t>
  </si>
  <si>
    <t>GVK7142</t>
  </si>
  <si>
    <t>UMA OUTRA HISTÓRIA</t>
  </si>
  <si>
    <t>DBB1D71</t>
  </si>
  <si>
    <t>AMAL E A VIAGEM MAIS IMPORTANTE DA SUA VIDA</t>
  </si>
  <si>
    <t>UEF4B88</t>
  </si>
  <si>
    <t>Editora Original Ltda.-Panda Books</t>
  </si>
  <si>
    <t>O MÁGICO DI Ó</t>
  </si>
  <si>
    <t>EJW2C18/QHQ7B79</t>
  </si>
  <si>
    <t>Rakun Editora e Serviços de Texto Ltda.-Rakun</t>
  </si>
  <si>
    <t>O ESCURO QUE MORA DENTRO DO ESCURO</t>
  </si>
  <si>
    <t>Guia dos Curiosos Comunicações Ltda.-Guia dos Curiosos Comunicações</t>
  </si>
  <si>
    <t>MOLEQUE</t>
  </si>
  <si>
    <t>FRITAS - O INCRÍVEL LIVRO DA VIDA DE CAMILA A. SILVA</t>
  </si>
  <si>
    <t>A BARCA DO CANOEIRO</t>
  </si>
  <si>
    <t>ANTONINO PEREGRINO</t>
  </si>
  <si>
    <t>AS AVENTURAS DA FAMÍLIA RATON</t>
  </si>
  <si>
    <t>Estudio Água Editora Ltda-Estudio Água Editora</t>
  </si>
  <si>
    <t>BICHIONÁRIO</t>
  </si>
  <si>
    <t>Sopa Editora e Produtora Ltda -Sopa Editora</t>
  </si>
  <si>
    <t>ELVIS, O CÃO COM ASAS</t>
  </si>
  <si>
    <t>Terra Sul Editora LTDA-Terra Sul Editora</t>
  </si>
  <si>
    <t>KUARUP A LENDA DA VIDA E DA MORTE</t>
  </si>
  <si>
    <t>SXB3F54/RYL8J97</t>
  </si>
  <si>
    <t>CARA DE NENHUM, FOCINHO DE TODOS</t>
  </si>
  <si>
    <t>Verba Editorial Ltda. EPP-Verba Editorial</t>
  </si>
  <si>
    <t>SANSÃO, O FORTE</t>
  </si>
  <si>
    <t>Rodrigues &amp; Rodrigues Editora Ltda. EPP-Quatro Cantos</t>
  </si>
  <si>
    <t>DAS CARAMINHOLAS DE FIRMINO OU O BESOURO QUE NÃO CHORAVA</t>
  </si>
  <si>
    <t>RXT4C04</t>
  </si>
  <si>
    <t>AMANACY E A DANÇA DA CHUVA</t>
  </si>
  <si>
    <t>Editora Quattro Ltda-Editora Quattro</t>
  </si>
  <si>
    <t>COMO NASCEM AS BORBOLETAS</t>
  </si>
  <si>
    <t>PYC8E81</t>
  </si>
  <si>
    <t>Maria Branca Produção Cultural e Artística Ltda-Maria Branca</t>
  </si>
  <si>
    <t>OS GATOS DETETIVES E O SUMIÇO DO CANARINHO</t>
  </si>
  <si>
    <t>Galeria Saber e Ler Comercio de Livros Ltda-Galeria Saber e Ler</t>
  </si>
  <si>
    <t>OS GATOS DETETIVES E A DESTRUIÇÃO DA HORTA</t>
  </si>
  <si>
    <t>EJW2c18/QHQ7B79</t>
  </si>
  <si>
    <t>Nanabooks Editora Ltda-Nanabooks</t>
  </si>
  <si>
    <t>OBRIGADO: A HISTÓRIA DE UMA VIZINHANÇA</t>
  </si>
  <si>
    <t>O URSO E O RATO</t>
  </si>
  <si>
    <t>LEMBRANDO DE ZAZA</t>
  </si>
  <si>
    <t>FRANCISCO BRAÇOS COMPRIDOS</t>
  </si>
  <si>
    <t>Krauss e Freitas Comercio Ltda EPP-Casa Cultural</t>
  </si>
  <si>
    <t>UM VARAL NO QUARTO</t>
  </si>
  <si>
    <t>SWH7J54/EPU6I90</t>
  </si>
  <si>
    <t>PATO ELE NÃO É</t>
  </si>
  <si>
    <t>EDITORA PEIRÓPOLIS LTDA.-PEIROPOLIS</t>
  </si>
  <si>
    <t>IRMÃS DA CHUVA</t>
  </si>
  <si>
    <t>ALG1D58/QHQ7379</t>
  </si>
  <si>
    <t>FÉRIAS NA ANTÁRTICA</t>
  </si>
  <si>
    <t>NOVA ERA EDITORA E CONSULTORIA-EDITORA ACALANTO</t>
  </si>
  <si>
    <t>MESMA NOVA HISTÓRIA</t>
  </si>
  <si>
    <t>AS FABULOSAS FÁBULAS DE IAUARETÊ</t>
  </si>
  <si>
    <t>PADARIA DE TEXTOS LTDA.-Padaria de Livros</t>
  </si>
  <si>
    <t>CASTELOS</t>
  </si>
  <si>
    <t>Berlendis Editores Ltda-Berlendis &amp; Vertecchia</t>
  </si>
  <si>
    <t>VOU LÁ BUSCAR A NOITE E JÁ VOLTO: MITOS E CONTOS KAYAPÓ</t>
  </si>
  <si>
    <t>SARA EDITORA LTDA -SARA EDITORA</t>
  </si>
  <si>
    <t>O QUE SERÁ, RAFA?</t>
  </si>
  <si>
    <t>Carochinha Editora Ltda.-Carochinha</t>
  </si>
  <si>
    <t>O PULO DO COELHO</t>
  </si>
  <si>
    <t>EDITORA OFICINA DO SABER LTDA-OFICINA DO SABER</t>
  </si>
  <si>
    <t>O CORAÇÃO DA PRINCESA JOANA</t>
  </si>
  <si>
    <t>MULAN: A VIAGEM DA JOVEM GUERREIRA</t>
  </si>
  <si>
    <t>AFETO EDITORIAL LTDA-Afeto Editorial</t>
  </si>
  <si>
    <t>QUANDO UMA HISTÓRIA NÃO TEM COMEÇO NEM FIM</t>
  </si>
  <si>
    <t>EDITORA DOIS VERSOS LTDA- DOIS VERSOS EDITORA</t>
  </si>
  <si>
    <t>OS SONS DO MUNDO</t>
  </si>
  <si>
    <t>N2I EDITORA LTDA-N2I EDITORA</t>
  </si>
  <si>
    <t>MEU DOCE DE CADA DIA</t>
  </si>
  <si>
    <t>RAFAEL ILELIS DE B. SILVA EDITORIAL-Oss Editorial</t>
  </si>
  <si>
    <t>BIA CORAJOSA QUE MANDOU O MEDO EMBORA</t>
  </si>
  <si>
    <t>Editora Immanuel Kant Ltda-Kant Editorial</t>
  </si>
  <si>
    <t>HUGO GÊ - OS GUARDIÕES DE ASTERION</t>
  </si>
  <si>
    <t>Editora Salto Grande Ltda-Edições Ronin Ltda</t>
  </si>
  <si>
    <t>LUTZ E GANDALINA CONTRA O CROCODILO ALADO DE SALONE</t>
  </si>
  <si>
    <t>ARTLIVROS DISTRIBUIÇÃO EDITORIAL LTDA-</t>
  </si>
  <si>
    <t>O MENINO QUE VENDIA PALAVRAS</t>
  </si>
  <si>
    <t>CPR6G36/GBX7742</t>
  </si>
  <si>
    <t>A QUEDA DOS MOAIS</t>
  </si>
  <si>
    <t>CAPITAL DAS LETRAS DISTRIBUIDORA DE LIVROS LTDA-CAPITAL DAS LETRAS</t>
  </si>
  <si>
    <t>OS DETETIVES DO PRÉDIO AZUL: PRIMEIROS CASOS</t>
  </si>
  <si>
    <t>CPR6G36/GBK7742</t>
  </si>
  <si>
    <t>EDITORA BONIFÁCIO LTDA-</t>
  </si>
  <si>
    <t>ROBINSON</t>
  </si>
  <si>
    <t>EDITORA CLARO ENIGMA LTDA-</t>
  </si>
  <si>
    <t>MORTINA: UMA HISTÓRIA QUE VAI FAZER VOCÊ MORRER... DE RIR!</t>
  </si>
  <si>
    <t>FIMAC DISTRIBUIDORA DE LIVROS LTDA-</t>
  </si>
  <si>
    <t>PROCURA-SE O CURUPIRA</t>
  </si>
  <si>
    <t>HSF COMERCIAL LTDA-LOGOS COMERCIAL</t>
  </si>
  <si>
    <t>OLI PROCURA UMA (NOVA) MELHOR AMIGA</t>
  </si>
  <si>
    <t>AKV5F24/OZS8I63</t>
  </si>
  <si>
    <t>Livraria Cortez LTDA-Livraria Cortez</t>
  </si>
  <si>
    <t>BRINCADEIRAS DE LETRINHAS</t>
  </si>
  <si>
    <t>Real Editora e Distribuidora LTDA-Real Educação</t>
  </si>
  <si>
    <t>ZECA CATA TRECOS E O PLANETA ÁGUA</t>
  </si>
  <si>
    <t>SERGIO RICARDO ALVES PRODUÇÃO EDITORIAL - EIRELI ME-CARAMINHOCA</t>
  </si>
  <si>
    <t>MARIA QUE RIA</t>
  </si>
  <si>
    <t>CÉU VERMELHO</t>
  </si>
  <si>
    <t>EDITORA 34 LTDA-EDITORA 34</t>
  </si>
  <si>
    <t>QUADRINHAS</t>
  </si>
  <si>
    <t>MARTA E A BICICLETA</t>
  </si>
  <si>
    <t>Newtec Editores Ltda-Newtec</t>
  </si>
  <si>
    <t>MINHA SOMBRA</t>
  </si>
  <si>
    <t>RXY2F18/QJU3G63</t>
  </si>
  <si>
    <t>DEUSES, HERÓIS E MONSTROS: HISTÓRIAS DA MITOLOGIA GRECO-ROMANA PARA CRIANÇAS</t>
  </si>
  <si>
    <t>Editora Via Láctea Ltda.-Via Láctea</t>
  </si>
  <si>
    <t>ALICE NO PAÍS DAS MARAVILHAS</t>
  </si>
  <si>
    <t>111 POEMAS PARA CRIANÇAS</t>
  </si>
  <si>
    <t>Doces Histórias Ltda - ME-Doces Histórias</t>
  </si>
  <si>
    <t>O LIXO QUE VIRA LUXO</t>
  </si>
  <si>
    <t>Editora de Cultura Ltda-Editora de Cultura Ltda</t>
  </si>
  <si>
    <t>O CAVALEIRO DE PRATA</t>
  </si>
  <si>
    <t>O BLACK POWER DE AKIN</t>
  </si>
  <si>
    <t>A RAPOSA E AS UVAS</t>
  </si>
  <si>
    <t>LÁPIS NOVOS PARA TODOS OS POVOS</t>
  </si>
  <si>
    <t>EDITORA NOVA ALEXANDRIA LTDA-EDITORA NOVA ALEXANDRIA</t>
  </si>
  <si>
    <t>CORDÉIS SHAKESPEARIANOS</t>
  </si>
  <si>
    <t>RYX5J72/RYO5F95</t>
  </si>
  <si>
    <t>EDITORA VOLTA-E-MEIA LTDA-Editora Volta-e-Meia</t>
  </si>
  <si>
    <t>MUNDO DOS BICHOS, MUNDO DA GENTE</t>
  </si>
  <si>
    <t>A ILHA PERDIDA E OUTROS CONTOS DOS ESTADOS UNIDOS E CANADÁ</t>
  </si>
  <si>
    <t>MARIA EMILIA PALHA FARIA 06723475631-Francesinha Editora</t>
  </si>
  <si>
    <t>POCÃO, UM PORQUINHO DIFERENTE</t>
  </si>
  <si>
    <t>QJV1899/QTL6G83</t>
  </si>
  <si>
    <t>M.R. Cornacchia Editora Ltda.-Papirus</t>
  </si>
  <si>
    <t>QUANDO EU ERA MENINO</t>
  </si>
  <si>
    <t>GC Editora Eireli-Guaxinim Editora</t>
  </si>
  <si>
    <t>O PÁSSARO DE DUAS CABEÇAS</t>
  </si>
  <si>
    <t>CIRANDA DO ABC</t>
  </si>
  <si>
    <t>ÔZé Editora e Livraria LTDA-ÔZé Editora</t>
  </si>
  <si>
    <t>O CORAÇÃO DE PLÁSTICO</t>
  </si>
  <si>
    <t>CLJD43</t>
  </si>
  <si>
    <t>ALCATEIA</t>
  </si>
  <si>
    <t>CLJ6D43</t>
  </si>
  <si>
    <t>Editora Moderna Ltda-Moderna</t>
  </si>
  <si>
    <t>O GUARDIÃO DA BOLA</t>
  </si>
  <si>
    <t>EOE5H67</t>
  </si>
  <si>
    <t>O FANTÁSTICO MISTÉRIO DE FEIURINHA</t>
  </si>
  <si>
    <t>BHU7E82</t>
  </si>
  <si>
    <t>MARCELO, MARMELO, MARTELO</t>
  </si>
  <si>
    <t>IOI2045/EOE5775</t>
  </si>
  <si>
    <t>Avalia Qualidade Educacional LTDA.-Avalia</t>
  </si>
  <si>
    <t>BIRUTA</t>
  </si>
  <si>
    <t>AQUI, BEM PERTO</t>
  </si>
  <si>
    <t>EDITORA PITANGUÁ LTDA-PITANGUÁ</t>
  </si>
  <si>
    <t>A MENINA QUE AMAVA FUTEBOL</t>
  </si>
  <si>
    <t>Publibook Livros e Papéis Ltda.-L&amp;PM Editores</t>
  </si>
  <si>
    <t>ISADORA MOON VAI À ESCOLA</t>
  </si>
  <si>
    <t>RYR3A60</t>
  </si>
  <si>
    <t>O PORÃO MISTERIOSO</t>
  </si>
  <si>
    <t>ANTES EDITORA LTDA -</t>
  </si>
  <si>
    <t>ENDE/VOCÊ - UMA HISTÓRIA SOBRE A GENTE</t>
  </si>
  <si>
    <t>L.A.G. NEIRA -NEIRA EDITORIAL</t>
  </si>
  <si>
    <t>O MENINO NO BECO DA PIPA</t>
  </si>
  <si>
    <t>MGU5219</t>
  </si>
  <si>
    <t>DO GATO ULISSES AS SETE HISTÓRIAS</t>
  </si>
  <si>
    <t>EDITORA CARIRI LTDA-EDITORA CARIRI</t>
  </si>
  <si>
    <t>POEMINHAS SABIDOS</t>
  </si>
  <si>
    <t>O QUE AMANDA DESCOBRIU?</t>
  </si>
  <si>
    <t>TSP EDITORIAL EIRELI-BLACK BIRD</t>
  </si>
  <si>
    <t>O JARDIM ASSOMBRADO</t>
  </si>
  <si>
    <t>A MAGIA DA AMIZADE</t>
  </si>
  <si>
    <t>Eureka Digital Edição de Livros Ltda-Eureka Digital</t>
  </si>
  <si>
    <t>LOURENÇO, UM BICHO QUASE PAPÃO</t>
  </si>
  <si>
    <t>JSE9C37/CLH1188</t>
  </si>
  <si>
    <t>O SONHO DA BUYA-WASÚ</t>
  </si>
  <si>
    <t>JSE9C37</t>
  </si>
  <si>
    <t>Edições Híbridas Ltda-Edições Híbridas Ltda</t>
  </si>
  <si>
    <t>AS AVENTURAS DE RALF E CARLOS NO MUNDO DA LUA</t>
  </si>
  <si>
    <t>BHADRA - O PRÍNCIPE E O CONSELHEIRO</t>
  </si>
  <si>
    <t>Editora MACS Serviços Ltda-Editora MACS Serviços Ltda</t>
  </si>
  <si>
    <t>NAMARAMA</t>
  </si>
  <si>
    <t>AKS4A66</t>
  </si>
  <si>
    <t>MIOLO MOLE PRODUÇÕES LITERÁRIAS LTDA-MIOLO MOLE PRODUÇÕES LITERÁRIAS</t>
  </si>
  <si>
    <t>A NUVEM</t>
  </si>
  <si>
    <t>O MEDO QUE A GENTE TEM</t>
  </si>
  <si>
    <t>Eureka - Soluções Pedagógicas Ltda-Eureka - Soluções Pedagógicas Ltda</t>
  </si>
  <si>
    <t>FOLHINHAS</t>
  </si>
  <si>
    <t>Ô, SEU MENINO!</t>
  </si>
  <si>
    <t>GODOYS SERVICOS E COMERCIO LTDA-</t>
  </si>
  <si>
    <t>AMIZADE DESENHADA</t>
  </si>
  <si>
    <t>MRE6F53/GEE4C18</t>
  </si>
  <si>
    <t>Rota Imaginária Comunicação e Comércio de Livros Ltda. -Rota Imaginária</t>
  </si>
  <si>
    <t>SOM DE AZUL</t>
  </si>
  <si>
    <t>BRDO429</t>
  </si>
  <si>
    <t>PROMOBOOK EDITORIAL DE LIVROS E PRODUTOS EDUCATIVOS EIRELI-PROMOBOOK</t>
  </si>
  <si>
    <t>OLHA AQUI O HAITI!</t>
  </si>
  <si>
    <t>CSK5F45/EFO1O60</t>
  </si>
  <si>
    <t>Alumbre Produções Didáticas e Literárias Ltda.-Editora Alumbre</t>
  </si>
  <si>
    <t>A MENINA E A PLANTA</t>
  </si>
  <si>
    <t>BENTO BEIJA-NUVEM</t>
  </si>
  <si>
    <t>FBF Cultural Ltda-EDITORA EVOLUIR</t>
  </si>
  <si>
    <t>GIGI E SUA TESOURA MÁGICA</t>
  </si>
  <si>
    <t>O GATO NA GOTA</t>
  </si>
  <si>
    <t>SCOPPIO EDITORA LTDA-</t>
  </si>
  <si>
    <t>A PEDRA NO CAMINHO</t>
  </si>
  <si>
    <t>ZIT GRAFICA E EDITORA LTDA-</t>
  </si>
  <si>
    <t>A LOURA DO BANHEIRO E MAIS 10 LENDAS URBANAS</t>
  </si>
  <si>
    <t>OVERVIEW SERVICOS GRAFICOS LTDA-Overview</t>
  </si>
  <si>
    <t>A BALEIA QUE CARREGOU O OCEANO</t>
  </si>
  <si>
    <t>Faro Editorial eireli-Faro Editorial</t>
  </si>
  <si>
    <t>RATINHA DE LIVRARIA</t>
  </si>
  <si>
    <t/>
  </si>
  <si>
    <t>Rona Editora Ltda-Rona</t>
  </si>
  <si>
    <t>CAMA DE MENINO, QUARTO DE MONSTRO</t>
  </si>
  <si>
    <t>TEY3626/CAI0E28</t>
  </si>
  <si>
    <t>A TARTARUGA E O COELHO: UMA OUTRA HISTÓRIA</t>
  </si>
  <si>
    <t>Lucca Cultura Ltda-Lucca</t>
  </si>
  <si>
    <t>EDUMAR, EDURREI</t>
  </si>
  <si>
    <t>BOCIANOSKI VAREJISTA DE REVISTA LTDA-BOCIANOSKI VAREJISTA DE REVISTA LTDA</t>
  </si>
  <si>
    <t>A GIRAFA MANUELA</t>
  </si>
  <si>
    <t>EUS2C31</t>
  </si>
  <si>
    <t>Editora BMH LTDA-Editora BMH</t>
  </si>
  <si>
    <t>O CIRCO DA CONFUSÃO</t>
  </si>
  <si>
    <t>CXA6O87/EFQ3737</t>
  </si>
  <si>
    <t>NISABA EDITORA LTDA-NISABA EDITORA</t>
  </si>
  <si>
    <t>O SOLDADINHO DE CHUMBO EM QUADRINHAS</t>
  </si>
  <si>
    <t>TOTE EDITORA LTDA-TOTE EDITORA</t>
  </si>
  <si>
    <t>SÍTIO DO PICAPAU AMARELO EM QUADRINHAS - MEMÓRIAS DA EMÍLIA E OUTRAS HISTÓRIAS</t>
  </si>
  <si>
    <t>CXA6O6/EFQ3767</t>
  </si>
  <si>
    <t>Imperial Novo Milênio Gráfica e Editora Ltda-Imperial Novo Milênio</t>
  </si>
  <si>
    <t>A AMIZADE ABANA O RABO</t>
  </si>
  <si>
    <t>DPF2489/BKX5702</t>
  </si>
  <si>
    <t>P S D DE VASCONCELLOS-PÓ DE ESTRELAS</t>
  </si>
  <si>
    <t>DO OUTRO LADO DO RIO</t>
  </si>
  <si>
    <t>LILA E TUTU</t>
  </si>
  <si>
    <t>ALAÚDE EDITORIAL LTDA-Editora Alaúde</t>
  </si>
  <si>
    <t>O ENIGMA DO SETE-ESTRELAS E OUTROS CONTOS UNIVERSAIS</t>
  </si>
  <si>
    <t>O PRÍNCIPE E AS CHAVES</t>
  </si>
  <si>
    <t>CSK6762/EFO1J39</t>
  </si>
  <si>
    <t>Reticências Produções Literárias e Editoriais Ltda-Reticências...</t>
  </si>
  <si>
    <t>JÔNATAS E DAVI</t>
  </si>
  <si>
    <t>Girassol Brasil Edições Ltda.-Girassol</t>
  </si>
  <si>
    <t>TIBÚRCIO</t>
  </si>
  <si>
    <t>CSK-6762</t>
  </si>
  <si>
    <t>ADORÁVEL DORA</t>
  </si>
  <si>
    <t>CSK6762/EDO1J39</t>
  </si>
  <si>
    <t>EDITORA LAGO DE HISTORIAS LTDA - ME-EDITORA LAGO DE HISTORIAS</t>
  </si>
  <si>
    <t>ANTES DE DORMIR</t>
  </si>
  <si>
    <t>Florescer Livraria e Editora Ltda-Florescer Distribuidora de Livros</t>
  </si>
  <si>
    <t>A VIDA SEM LÉO</t>
  </si>
  <si>
    <t>BOX EDITORA LTDA -Mar Azul</t>
  </si>
  <si>
    <t>30 FÁBULAS CONTEMPORÂNEAS PARA CRIANÇAS</t>
  </si>
  <si>
    <t>SXSOE35</t>
  </si>
  <si>
    <t>Mutante Editora Ltda-Mutante</t>
  </si>
  <si>
    <t>PENNY PERIGO SÓ ATRAI CONFUSÃO</t>
  </si>
  <si>
    <t>MGN9960</t>
  </si>
  <si>
    <t>BOI DA CARA PRETA</t>
  </si>
  <si>
    <t>Wagner Sacchetto Gomes Junior - EPP-VW Editora Gráfica e Comercio</t>
  </si>
  <si>
    <t>UM DIA DE LIA</t>
  </si>
  <si>
    <t>A NAVE DAS AVES</t>
  </si>
  <si>
    <t>DOMO 72 EMPREENDIMENTOS E PARTICIPACOES LTDA-DOMO 72 EDITORIAL</t>
  </si>
  <si>
    <t>O LIVRO DOS INSETOS</t>
  </si>
  <si>
    <t>EDITORA MELHORAMENTOS LTDA-EDITORA MELHORAMENTOS</t>
  </si>
  <si>
    <t>E A TERRA ESCREVEU UMA CARTA...</t>
  </si>
  <si>
    <t>CPR6636/GVK7I42</t>
  </si>
  <si>
    <t>TALVEZ EU SEJA UM ELEFANTE</t>
  </si>
  <si>
    <t>MELHORAMENTOS DE SÃO PAULO LIVRARIAS LIMITADA-LIVROLUZ</t>
  </si>
  <si>
    <t>NANDI, O BOI DA ÍNDIA</t>
  </si>
  <si>
    <t>O RAIOZINHO E A FURIOSA</t>
  </si>
  <si>
    <t>MELHORAMENTOS LIVROS LTDA-MELHORAMENTOS LIVROS</t>
  </si>
  <si>
    <t>AGORA PODE CHOVER</t>
  </si>
  <si>
    <t>EOD-8617</t>
  </si>
  <si>
    <t>COM QUAL PENTEADO EU VOU?</t>
  </si>
  <si>
    <t>TERRAS BONSUCESSO LTDA-BONSUCESSO</t>
  </si>
  <si>
    <t>SÓ SEI QUE FOI ASSIM VOL. 1</t>
  </si>
  <si>
    <t>A. GERARDI-GERARDI EDITORIAL</t>
  </si>
  <si>
    <t>EM BUSCA DO AMOR PERDIDO</t>
  </si>
  <si>
    <t>A TELA</t>
  </si>
  <si>
    <t>JOÃO E MARIA</t>
  </si>
  <si>
    <t>O COZINHEIRO DO NOBRE</t>
  </si>
  <si>
    <t>SOFIA E A LARGA TIXA, A LAGARTIXA</t>
  </si>
  <si>
    <t>TM CASCABULHO Editora ME-Thiago Machado Cascabulho</t>
  </si>
  <si>
    <t>LUA, COLAR, CORAL, MAR</t>
  </si>
  <si>
    <t>Ciranda Cultural Editora e Distribuidora Ltda-********</t>
  </si>
  <si>
    <t>OCEANOS</t>
  </si>
  <si>
    <t>JAI8F70</t>
  </si>
  <si>
    <t>Editora Intrinseca LTDA-Intrínseca</t>
  </si>
  <si>
    <t>CANÇÃO DA MUDANÇA</t>
  </si>
  <si>
    <t>PNL-3653</t>
  </si>
  <si>
    <t>ÁRVORE DOS DESEJOS</t>
  </si>
  <si>
    <t>PNL 3653</t>
  </si>
  <si>
    <t>Pingue-Pongue Edições e Brinquedos Pedagógicos Ltda-********</t>
  </si>
  <si>
    <t>ME LEVA COM VOCÊ?</t>
  </si>
  <si>
    <t>DEX4B03</t>
  </si>
  <si>
    <t>CLB Produções Artísticas Ltda-CLB Produções</t>
  </si>
  <si>
    <t>OS MINÚSCULOS</t>
  </si>
  <si>
    <t>EFW2469</t>
  </si>
  <si>
    <t>QUATRO HISTÓRIAS DE AMOR PARA PEQUENOS LEITORES</t>
  </si>
  <si>
    <t>SOWILO EDITORA E DISTRIBUIDORA DE LIVROS LTDA.-sowilo</t>
  </si>
  <si>
    <t>AS GANSAS DA BABA YAGA</t>
  </si>
  <si>
    <t>ALG1D58-NZK1J22</t>
  </si>
  <si>
    <t>ALÁFIA EDITORA E DISTRIBUIDORA DE LIVROS LTDA.-ALÁFIA EDITORA</t>
  </si>
  <si>
    <t>O NABO GIGANTE</t>
  </si>
  <si>
    <t>GPZ1F32</t>
  </si>
  <si>
    <t>NOEL, O MENINO DA VILA</t>
  </si>
  <si>
    <t>FFW2A30/LQA5I67</t>
  </si>
  <si>
    <t>PIZOTTI OFICINA DE IDEIAS E COMERCIO DE LIVROS LTDA-</t>
  </si>
  <si>
    <t>A HISTÓRIA DO PINGO</t>
  </si>
  <si>
    <t>Editora Cabo Orange ltda-Cabo Orange</t>
  </si>
  <si>
    <t>CORDEL DAS CAVALHADAS</t>
  </si>
  <si>
    <t>Editora Tucupi ltda-Tucupi</t>
  </si>
  <si>
    <t>A RÃ E O BOI</t>
  </si>
  <si>
    <t>WANGUARI EDITORA LTDA-WANGUARI EDITORA</t>
  </si>
  <si>
    <t>A RAINHA ALÉRGICA</t>
  </si>
  <si>
    <t>ANA CLARA REIS GUILHON EIRELI-EDITORA LUGAR DE SOL</t>
  </si>
  <si>
    <t>A CESTA DE CONTOS</t>
  </si>
  <si>
    <t>MKW9299-QLB8E80</t>
  </si>
  <si>
    <t>Falare Editora Tecnologia da Comunicação Comércio de Serviços e Produtos Ltda.-Falare Editora e Tecnologia da Comunicação</t>
  </si>
  <si>
    <t>FAMÍLIA: CADA UM TEM A SUA</t>
  </si>
  <si>
    <t>Editora Gaivota Ltda.-Editora Gaivota</t>
  </si>
  <si>
    <t>O REINO DOS MAL-HUMORADOS</t>
  </si>
  <si>
    <t>EWH1D69-GGK6H55F</t>
  </si>
  <si>
    <t>Pantograf Gráfica e Editora LTDA-PANTOGRAF</t>
  </si>
  <si>
    <t>NO MUNDO DAS QUADRINHAS, PARLENDAS, TRAVA-LÍNGUAS E CANTIGAS</t>
  </si>
  <si>
    <t>Editora Biruta Ltda-Editora Biruta</t>
  </si>
  <si>
    <t>O MÉTODO DE PEPE CHEVETTE</t>
  </si>
  <si>
    <t>QUATRO GALINHAS EM ALTO-MAR</t>
  </si>
  <si>
    <t>LEVE...</t>
  </si>
  <si>
    <t>EFQ J39F-CSK6F2T</t>
  </si>
  <si>
    <t>A ROCHA</t>
  </si>
  <si>
    <t>BIZU EDITORIAL LTDA-Bizu</t>
  </si>
  <si>
    <t>COMO SURGIU: MITOS INDÍGENAS BRASILEIROS</t>
  </si>
  <si>
    <t>A RÃ E O VENTO</t>
  </si>
  <si>
    <t>Editora Nemo Ltda.-Nemo</t>
  </si>
  <si>
    <t>O CHEFÃO LÁ DO MORRO</t>
  </si>
  <si>
    <t>Editora Canguru Ltda-Editora Canguru</t>
  </si>
  <si>
    <t>ERA UMA VEZ UM CÃO</t>
  </si>
  <si>
    <t>EFOJ060-FZV5B93</t>
  </si>
  <si>
    <t>JOÃO MARIA, O CRIADOR DE JOANINHAS</t>
  </si>
  <si>
    <t>EEW5A07</t>
  </si>
  <si>
    <t>Editora Peixinho Dourado ltda-Peixinho Dourado</t>
  </si>
  <si>
    <t>A MENINA FEITA DE NUVENS</t>
  </si>
  <si>
    <t>Editora Record Ltda-Editora Record</t>
  </si>
  <si>
    <t>CRIANÇA DAGORA É FOGO</t>
  </si>
  <si>
    <t>Verus Editora Ltda-Editora Verus</t>
  </si>
  <si>
    <t>VOVÓ É PODER</t>
  </si>
  <si>
    <t>INSTITUTO CULTURAL ALETRIA LTDA -CAFUNE EDIÇÕES</t>
  </si>
  <si>
    <t>O BICHO MAIS PODEROSO DO MUNDO</t>
  </si>
  <si>
    <t>O CHAPÉU MARAVILHOSO DE MILA</t>
  </si>
  <si>
    <t>Páginas Editora Ltda-Páginas Editora</t>
  </si>
  <si>
    <t>VIAGEM DE CLARIDADE</t>
  </si>
  <si>
    <t>Distribuidora Record de Serviços de Imprensa S/A-Distribuidora Record</t>
  </si>
  <si>
    <t>O REINO ADORMECIDO</t>
  </si>
  <si>
    <t>Editora Paz e Terra Ltda -Editora Paz e Terra</t>
  </si>
  <si>
    <t>O MÉDICO DAS ESTRELAS</t>
  </si>
  <si>
    <t>HAICONTINHOS DE FADAS</t>
  </si>
  <si>
    <t>PHD EDITORIAL LTDA-PHD EDITORIAL</t>
  </si>
  <si>
    <t>UM TETO DE CÉU</t>
  </si>
  <si>
    <t>Zum Zum Editora Ltda-Zum Zum</t>
  </si>
  <si>
    <t>SONHA, ZÉ</t>
  </si>
  <si>
    <t>MKW-9299</t>
  </si>
  <si>
    <t>A ARANHA BAILARINA</t>
  </si>
  <si>
    <t>A JOIA DA GIRAFA</t>
  </si>
  <si>
    <t>O QUE A ESTRADA ME DISSE</t>
  </si>
  <si>
    <t>FESTANÇA</t>
  </si>
  <si>
    <t>TLS1D78/TLF7E52</t>
  </si>
  <si>
    <t>MEUS PRIMEIROS CONTOS POPULARES</t>
  </si>
  <si>
    <t>A PEQUENA ALICE NO PAÍS DAS MARAVILHAS</t>
  </si>
  <si>
    <t>ISABELLA FELIX DE ARAUJO -Arte das Letras</t>
  </si>
  <si>
    <t>CONTOS DE FADAS POR HOMENS E MULHERES DE TODOS OS TEMPOS</t>
  </si>
  <si>
    <t>Editora Bertrand Brasil Ltda-Editora Bertrand Brasil</t>
  </si>
  <si>
    <t>A MENINA ALTA</t>
  </si>
  <si>
    <t>AMIGOS DA FLORESTA</t>
  </si>
  <si>
    <t>BARCELOS COMERCIO DE LIVROS E SERVIÇOS LTDA-MAGIA DOS LIVROS</t>
  </si>
  <si>
    <t>CPR6G36/GUK7I42</t>
  </si>
  <si>
    <t>Editora José Olympio Ltda-Editora José Olympio</t>
  </si>
  <si>
    <t>O MENINO MÁGICO</t>
  </si>
  <si>
    <t>Estúdio Madalena Produções Fotográficas Eireli-Madalena</t>
  </si>
  <si>
    <t>MEU BAÚ DE CORDÉIS</t>
  </si>
  <si>
    <t>Cameron Editora e Gráfica Ltda -Editora Cameron</t>
  </si>
  <si>
    <t>MENINOS, EU CONTO</t>
  </si>
  <si>
    <t>EDITORA FORCA MAXIMA LTDA-EDITORA FORCA MAXIMA</t>
  </si>
  <si>
    <t>O ROUXINOL E O IMPERADOR</t>
  </si>
  <si>
    <t>TKR8G60/QKI6A37</t>
  </si>
  <si>
    <t>BELLATRIX SERVICOS EM TECNOLOGIA LTDA-</t>
  </si>
  <si>
    <t>O ANIVERSÁRIO DO TILTAPES</t>
  </si>
  <si>
    <t>EDITORA CAMELIA LTDA-CAMELIA</t>
  </si>
  <si>
    <t>CAFOFO DO REMELEXO</t>
  </si>
  <si>
    <t>AS AVENTURAS DE UMA CRIANÇA DOWNADINHA</t>
  </si>
  <si>
    <t>AGNES EDITORA LTDA-AGNES</t>
  </si>
  <si>
    <t>O DONO DA LUA</t>
  </si>
  <si>
    <t>REPRESENTACÕES PAULISTA LTDA-LOGOS LIVRARIA</t>
  </si>
  <si>
    <t>CHÃO DE PEIXES</t>
  </si>
  <si>
    <t>CPR6G56/GVK7I42</t>
  </si>
  <si>
    <t>BECBOOKS SOLUCOES EDUCACIONAIS LTDA-BECBOOKS SOLUCOES EDUCACIONAIS</t>
  </si>
  <si>
    <t>CARMEN: A GRANDE PEQUENA NOTÁVEL</t>
  </si>
  <si>
    <t>EOD-8G17</t>
  </si>
  <si>
    <t>BICO DE LLACRE EDITORA DE LIVROS LTDA-BICO DE LLACRE</t>
  </si>
  <si>
    <t>A FABULOSA MÁQUINA DE AMIGOS</t>
  </si>
  <si>
    <t>SALVOS POR UM FIO</t>
  </si>
  <si>
    <t>JÁ SEI LER!</t>
  </si>
  <si>
    <t>E FOI ASSIM QUE EU E A ESCURIDÃO FICAMOS AMIGAS</t>
  </si>
  <si>
    <t>EDITORA FORMAR E DISTRIBUIÇÃO LTDA-</t>
  </si>
  <si>
    <t>EI, VOCÊ!: UM LIVRO SOBRE CRESCER COM ORGULHO DE SER NEGRO</t>
  </si>
  <si>
    <t>CUT-0A85</t>
  </si>
  <si>
    <t>O DIA EM QUE MEU PRÉDIO DEU NO PÉ</t>
  </si>
  <si>
    <t>EDITORA PEQUENA ZAHAR LTDA-</t>
  </si>
  <si>
    <t>MALALA PELO DIREITO DAS MENINAS À EDUCAÇÃO</t>
  </si>
  <si>
    <t>SDS EDITORA DE LIVROS LTDA-ESCARLATE</t>
  </si>
  <si>
    <t>MANU E MILA</t>
  </si>
  <si>
    <t>LIBER EDITORA-LIBER EDITORA</t>
  </si>
  <si>
    <t>POEMINHAS ENFABULADOS</t>
  </si>
  <si>
    <t>EDITORA SCHWARCZ S/A-</t>
  </si>
  <si>
    <t>EXERCÍCIOS DE SER CRIANÇA</t>
  </si>
  <si>
    <t>EOD8G17</t>
  </si>
  <si>
    <t>GRAMATA EDITORA-GRAMATA EDITORA</t>
  </si>
  <si>
    <t>ODISSEIA</t>
  </si>
  <si>
    <t>BASE EDITORIAL-Editora BASE</t>
  </si>
  <si>
    <t>A HISTÓRIA DE GUILDA FORMICA</t>
  </si>
  <si>
    <t>EDIÇÕES MMM EDITORA E LIVRARIA LTDA-Edições MMM</t>
  </si>
  <si>
    <t>HISTÓRIAS QUE A MENINA-SERPENTE CONTOU</t>
  </si>
  <si>
    <t>Gulliver Editora Ltda-Gulliver Editora</t>
  </si>
  <si>
    <t>OS TRÊS MEDOS</t>
  </si>
  <si>
    <t>HDI3616</t>
  </si>
  <si>
    <t>EDITORA VOO LTDA-EDITORA VOO</t>
  </si>
  <si>
    <t>A MENINA QUE ABRAÇA O VENTO</t>
  </si>
  <si>
    <t>MALALA E SEU LÁPIS MÁGICO</t>
  </si>
  <si>
    <t>Editora Dimensão Ltda-Dimensão</t>
  </si>
  <si>
    <t>A LÂMPADA MÁGICA</t>
  </si>
  <si>
    <t>BYT4A58-AYE1D20</t>
  </si>
  <si>
    <t>JAQUELINE JANINE DE SOUSA DE ALMEIDA 08259235650-ESPAÇO GRÁFICO</t>
  </si>
  <si>
    <t>CORAÇÃO DE PASSARINHO</t>
  </si>
  <si>
    <t>Signo Editora Ltda-Editora Signo</t>
  </si>
  <si>
    <t>CASTELOS, PRINCESAS E BABÁS</t>
  </si>
  <si>
    <t>eyy0h25-ivc5g80</t>
  </si>
  <si>
    <t>Distribuidora Palmares - LTDA-Editora Palmares</t>
  </si>
  <si>
    <t>O REI TRISTÊS E A ORQUESTRA MONSTRÊS</t>
  </si>
  <si>
    <t>RÁ, RÉ, RI, RÓ... RUA!</t>
  </si>
  <si>
    <t>DPF0G20</t>
  </si>
  <si>
    <t>Editora Foca no Livro Ltda-Editora Foca no Livro</t>
  </si>
  <si>
    <t>DEVAGAR E SEMPRE, TARSILA SEGUE EM FRENTE</t>
  </si>
  <si>
    <t>O MUNDO ENCANTADO DOS KAYAPÓ</t>
  </si>
  <si>
    <t>MENEGHETTI'S GRAFICA E EDITORA LTDA-ZIT EDITORA</t>
  </si>
  <si>
    <t>PIPA COM COLA DE ARROZ</t>
  </si>
  <si>
    <t>GGO9C44/MRE6F53</t>
  </si>
  <si>
    <t>A CASA PRETA</t>
  </si>
  <si>
    <t>CHAZAQ SERVICOS E EDICOES LTDA-</t>
  </si>
  <si>
    <t>FILOSOFIA DE MENINO</t>
  </si>
  <si>
    <t>NB NOVA BRASILEIRA SERVICOS GRAFICOS LTDA-</t>
  </si>
  <si>
    <t>ESTRELINHAS</t>
  </si>
  <si>
    <t>LONGUINA EDITORA LTDA-LONGUINA EDITORA</t>
  </si>
  <si>
    <t>DRAGA-MOR E DRAGUINHA</t>
  </si>
  <si>
    <t>MUSSÁ, UM CONTO POPULAR AFRICANO</t>
  </si>
  <si>
    <t>EDITORA BARBARA LTDA-BARBARA</t>
  </si>
  <si>
    <t>O LAMBE-LAMBE MALAQUIAS</t>
  </si>
  <si>
    <t>O CASO DO GRANDE ROUBO DO MUSEU</t>
  </si>
  <si>
    <t>GRAN COMERCIO DE LIVROS E SERVIÇOS LTDA-VIVA LIVRO</t>
  </si>
  <si>
    <t>INÊS</t>
  </si>
  <si>
    <t>GRÃO DE AFETO</t>
  </si>
  <si>
    <t>PRÍNCIPE NÃO</t>
  </si>
  <si>
    <t>TODOS OS BICHOS DO MUNDO</t>
  </si>
  <si>
    <t>AMIGOS PRA CACHORRO</t>
  </si>
  <si>
    <t>CRIVO EDITORIAL LTDA-CRIVO EDITORIAL</t>
  </si>
  <si>
    <t>A LAGARTA E A COBRA</t>
  </si>
  <si>
    <t>GENTE LEGAL ESTÁ EM TODO LUGAR</t>
  </si>
  <si>
    <t>FCB3E14/CUB1G44</t>
  </si>
  <si>
    <t>AS GAVETAS DA AVÓ DE CLARA</t>
  </si>
  <si>
    <t>GVK7942-CPR6G36</t>
  </si>
  <si>
    <t>LETTURA EDITORA-LETTURA EDITORA</t>
  </si>
  <si>
    <t>A FORMIGUINHA MEDROSA</t>
  </si>
  <si>
    <t>RETRATOS</t>
  </si>
  <si>
    <t>O GATOLA DA CARTOLA</t>
  </si>
  <si>
    <t>OPALA EDITORA E LIVRARIA LTDA-EDITORA OPALA</t>
  </si>
  <si>
    <t>CULPADO OU INOCENTE?: O JULGAMENTO DO LOBO MAU</t>
  </si>
  <si>
    <t>FCD6773-GUK7142</t>
  </si>
  <si>
    <t>EDIÇÕES BESOUROBOX LTDA-EDIÇÕES BESOUROBOX</t>
  </si>
  <si>
    <t>PATO NÃO, É PATAGÃO!</t>
  </si>
  <si>
    <t>Aletria Editora Ltda-Aletria</t>
  </si>
  <si>
    <t>DENTRO DE CASA</t>
  </si>
  <si>
    <t>A SEMENTE E A TORRE</t>
  </si>
  <si>
    <t>Amare Editora Ltda-Amare</t>
  </si>
  <si>
    <t>A MENINA QUE ENGOLIU UMA RIMA</t>
  </si>
  <si>
    <t>Acorde Produções Musicais LTDA-Acorde</t>
  </si>
  <si>
    <t>OS CANTOS DO HOMEM-SOMBRA</t>
  </si>
  <si>
    <t>Editora Best Seller Ltda.-Editora Best Seller</t>
  </si>
  <si>
    <t>A ÚLTIMA PRINCESA</t>
  </si>
  <si>
    <t>Editora Papagaio LTDA-Papagaio</t>
  </si>
  <si>
    <t>O CORPO É MEU, NINGUÉM PÕE A MÃO</t>
  </si>
  <si>
    <t>FYW487-MKV7231</t>
  </si>
  <si>
    <t>QUANDO EU ERA PEQUENA</t>
  </si>
  <si>
    <t>A DONA DA FESTA</t>
  </si>
  <si>
    <t>O PARA SEMPRE DE PEDRINA E TUNICO</t>
  </si>
  <si>
    <t>Editora Praxis Ltda-Editora Praxis</t>
  </si>
  <si>
    <t>UM CLIC NA CUCA</t>
  </si>
  <si>
    <t>CXA6087-EFO3767</t>
  </si>
  <si>
    <t>VOVÔ, TROVÃO E EU</t>
  </si>
  <si>
    <t>LE CHAT DESIGN EIRELI-LE CHAT DESIGN</t>
  </si>
  <si>
    <t>O CONTO DO BROCHE DE MADEIRA</t>
  </si>
  <si>
    <t>MACHADO DE ASSIS PARA PEQUENOS</t>
  </si>
  <si>
    <t>M10 EDITORIAL LTDA-SET EDUCACIONAL</t>
  </si>
  <si>
    <t>CAMILA E O GATO UM</t>
  </si>
  <si>
    <t>QUANDO CRESCER QUERO SER HIPOPÓTAMO</t>
  </si>
  <si>
    <t>EDITORA DCL - DIFUSÃO CULTURAL DO LIVRO EIRELI-EDITORA DCL - DIFUSÃO CULTURAL DO LIVRO EIRELI</t>
  </si>
  <si>
    <t>NANINQUIÁ - A MOÇA BONITA</t>
  </si>
  <si>
    <t>O QUINTAL DA MINHA CASA</t>
  </si>
  <si>
    <t>PARLA, PALAVRA</t>
  </si>
  <si>
    <t>IVJ0C18-CGK8A39</t>
  </si>
  <si>
    <t>UMA AVENTURA DO VELHO BAOBÁ</t>
  </si>
  <si>
    <t>O LUGAR DO MEU AMIGO</t>
  </si>
  <si>
    <t>COMPANHIA EDITORA NACIONAL-Editora Nacional</t>
  </si>
  <si>
    <t>ONDE FOI A DONA PATA?</t>
  </si>
  <si>
    <t>A PRIMEIRA AMIGA</t>
  </si>
  <si>
    <t>SINO DE VENTO</t>
  </si>
  <si>
    <t>IBEP INST. BRASILEIRO DE EDIÇÕES PEDAGOGICAS-Editora IBEP</t>
  </si>
  <si>
    <t>A JANELA DE OLHAR O MUNDO</t>
  </si>
  <si>
    <t>FIO DE LUA &amp; RAIO DE SOL</t>
  </si>
  <si>
    <t>Tiê Edições Ltda-Tiê Edições</t>
  </si>
  <si>
    <t>O MENINO DO BOLSO FURADO</t>
  </si>
  <si>
    <t>Editora Passarinho Ltda-Editora Passarinho</t>
  </si>
  <si>
    <t>O REI QUE ASSOBIAVA</t>
  </si>
  <si>
    <t>CORTEZ EDITORA E LIVRARIA LTDA-MIRIAM BESERRA XAVIER CORTEZ</t>
  </si>
  <si>
    <t>AS TRÊS TIAS DE MATIAS</t>
  </si>
  <si>
    <t>GCS3F21</t>
  </si>
  <si>
    <t>ABRAPRACABRA NO MUNDO</t>
  </si>
  <si>
    <t>O PROTESTO</t>
  </si>
  <si>
    <t>M. J. Karas Edições Eireli-Olho de Vidro</t>
  </si>
  <si>
    <t>O SOPRO DO LEÃO</t>
  </si>
  <si>
    <t>DBL4D67-ATT4C58</t>
  </si>
  <si>
    <t>Atalante Editores Ltda.-Atalante</t>
  </si>
  <si>
    <t>A PRINCESA INDOMÁVEL</t>
  </si>
  <si>
    <t>GATO DE PAPEL — E OUTROS POEMAS</t>
  </si>
  <si>
    <t>O Jogo de Amarelinha serviços editoriais ltda-Edições Jogo de Amarelinha</t>
  </si>
  <si>
    <t>FOI ELE QUE ESCREVEU A VENTANIA</t>
  </si>
  <si>
    <t>BDM3G70-GAA6G52</t>
  </si>
  <si>
    <t>A PROFESSORA DA FLORESTA E A GRANDE SERPENTE</t>
  </si>
  <si>
    <t>Editora Pulo do Gato LTDA-Editora Pulo do Gato</t>
  </si>
  <si>
    <t>LETRAS DE CARVÃO</t>
  </si>
  <si>
    <t>UM DIA, UM RIO</t>
  </si>
  <si>
    <t>Garamilinca Projetos para a Infância Ltda. ME-Garamilinca</t>
  </si>
  <si>
    <t>A EXPERTA OU UMA OVELHA MUITO DIFERENTE</t>
  </si>
  <si>
    <t>JOÃO SEM NÃO</t>
  </si>
  <si>
    <t>EDITORA PINHEIRO LTDA-EDITORA PINHEIRO</t>
  </si>
  <si>
    <t>SEMENTES DE JOANA: A PRIMEIRA MESTRA DE MARACATU</t>
  </si>
  <si>
    <t>FJZ0J05-GEB3E03</t>
  </si>
  <si>
    <t>ALUAR EDITORA LTDA-ALUAR EDITORA</t>
  </si>
  <si>
    <t>PEDRO CONTA-CONTA</t>
  </si>
  <si>
    <t>Dias dos Santos Participações LTDA-Contemporânea</t>
  </si>
  <si>
    <t>O ELEFANTE ESCRAVO DO COELHO</t>
  </si>
  <si>
    <t>A TARTARUGA E A BONECA</t>
  </si>
  <si>
    <t>Ágape Produções Didáticas e Literárias Eireli-Editora Florear Livros</t>
  </si>
  <si>
    <t>A BELA E A FERA E OUTROS CONTOS DE FADAS DE MADAME LEPRINCE DE BEUAMONNT</t>
  </si>
  <si>
    <t>FXW4871/MKV7231</t>
  </si>
  <si>
    <t>MINHA CASA É O MUNDO</t>
  </si>
  <si>
    <t>GARCIA E GARCIA PRODUCOES LTDA-Editora Navegare</t>
  </si>
  <si>
    <t>ANDREIA BALEIA</t>
  </si>
  <si>
    <t>MEI2J91/ISJ2D72</t>
  </si>
  <si>
    <t>ODE A UMA ESTRELA</t>
  </si>
  <si>
    <t>AMF EDITORA E DESIGN LTDA-EDITORA OCEANA</t>
  </si>
  <si>
    <t>BUMBA MEU BOI</t>
  </si>
  <si>
    <t>AYE1D20/BVT4A58</t>
  </si>
  <si>
    <t>O INTERRUPTOR DEBAIXO DA ESCADA</t>
  </si>
  <si>
    <t>SMM8D67/MSJ9681</t>
  </si>
  <si>
    <t>Editora WMF Martins Fontes Ltda-Editora WMF Martins Fontes</t>
  </si>
  <si>
    <t>GREVE</t>
  </si>
  <si>
    <t>A HISTÓRIA DE DESPEREAUX - QUE CONTA O QUE ACONTECEU COM UM CAMUNDONGO, UMA PRINCESA, UM POUCO DE SOPA E UM CARRETEL DE LINHA</t>
  </si>
  <si>
    <t>LIVRARIA MARTINS FONTES EDITORA LTDA-LIVRARIA MARTINS FONTES EDITORA</t>
  </si>
  <si>
    <t>JUNTOS E MISTURADOS - UMA HISTÓRIA DE GALINHAS</t>
  </si>
  <si>
    <t>LRV EDITORA LTDA-EDITORA LIVROS DA RAPOSA VERMELHA</t>
  </si>
  <si>
    <t>VOCÊ É IMPORTANTE</t>
  </si>
  <si>
    <t>QUANDO AS CASAS VOLTARAM FLUTUANDO</t>
  </si>
  <si>
    <t>ANDORINHAS EDITORIAL LTDA-</t>
  </si>
  <si>
    <t>TEM UM MORCEGO NO MEU POMBAL</t>
  </si>
  <si>
    <t>DPC5B76/ELW8489</t>
  </si>
  <si>
    <t>GATO E GABI</t>
  </si>
  <si>
    <t>GHL5B87/INP5C75</t>
  </si>
  <si>
    <t>EDITORA ANA JULIA LTDA-Ana Julia</t>
  </si>
  <si>
    <t>JARDIM DE BICHINHOS: POEMAS PARA BICHINHOS-CARPINTEIROS</t>
  </si>
  <si>
    <t>EDITORA LAIS LTDA-LAIS</t>
  </si>
  <si>
    <t>O FAZEDOR DE BORBOLETAS</t>
  </si>
  <si>
    <t>ADA EDITORA LTDA-ADA EDITORA</t>
  </si>
  <si>
    <t>O MENINO QUE VENDIA SONHOS</t>
  </si>
  <si>
    <t>GRAFICA E EDITORA RIO-DG LTDA-</t>
  </si>
  <si>
    <t>UM ÍNDIO EM MINHA CASA</t>
  </si>
  <si>
    <t>SERES NOTÁVEIS DO FOLCLORE</t>
  </si>
  <si>
    <t>EDITORA LARA LTDA-LARA</t>
  </si>
  <si>
    <t>CHUÁ! CHUÁ! GOTA D'ÁGUA, CÉU E MAR</t>
  </si>
  <si>
    <t>QUITERIA EDITORA LTDA-QUITERIA EDITORA</t>
  </si>
  <si>
    <t>ALICE FAZ ANIVERSÁRIO</t>
  </si>
  <si>
    <t>EDITORA EXPANSAO DO SABER LTDA-EXPANSAO DO SABER</t>
  </si>
  <si>
    <t>MARGARIDA, COISA MAIS QUERIDA!</t>
  </si>
  <si>
    <t>EDITORA HEITOR LTDA-HEITOR</t>
  </si>
  <si>
    <t>MEU AMIGO PARTIU</t>
  </si>
  <si>
    <t>Igrejinha Editora ltda -Igrejinha</t>
  </si>
  <si>
    <t>O TERRÍVEL GUERREIRO</t>
  </si>
  <si>
    <t>O RAPAZ QUE CASOU COM UMA SAPA</t>
  </si>
  <si>
    <t>GGO9C44</t>
  </si>
  <si>
    <t>A BOCA DA NOITE</t>
  </si>
  <si>
    <t>EDITORA VALE DO SABER LTDA-VALE DO SABER</t>
  </si>
  <si>
    <t>JOÃO, O GALO DESREGULADO</t>
  </si>
  <si>
    <t>FOKAEXPRESS ARMAZENAGEM E LOGISTICA LTDA-</t>
  </si>
  <si>
    <t>O MENINO QUE TINHA MEDO DE ERRAR</t>
  </si>
  <si>
    <t>EDITORA CRIANDO HISTORIAS LTDA-EDITORA BZ</t>
  </si>
  <si>
    <t>PASSOS NO PORÃO</t>
  </si>
  <si>
    <t>Editora Uvinha Bebê ltda-Uvinha Bebê</t>
  </si>
  <si>
    <t>CEUCI, A MÃE DO PRANTO</t>
  </si>
  <si>
    <t>DME3599</t>
  </si>
  <si>
    <t>Editora Semente Cultural LTDA-Semente Editorial</t>
  </si>
  <si>
    <t>AMORES DE ARTISTAS</t>
  </si>
  <si>
    <t>CASA DE LETRAS E GRAFICA LTDA-Casa de Letras</t>
  </si>
  <si>
    <t>AS SETE MARAVILHAS DO SENHOR SONÂMBULO</t>
  </si>
  <si>
    <t>Editora Papa Goiaba ltda-Papa Goiaba</t>
  </si>
  <si>
    <t>A MULA SEM CABEÇA</t>
  </si>
  <si>
    <t>Bom Bini Editora e Assessoria Ltda-Bamboozinho</t>
  </si>
  <si>
    <t>RABINHO, RABÃO, MACAQUINHO BRINCALHÃO</t>
  </si>
  <si>
    <t>Mazza Edições Ltda-Mazza Edições</t>
  </si>
  <si>
    <t>PEQUENAS ALEGRIAS</t>
  </si>
  <si>
    <t>EWH1D69/GGK6K55</t>
  </si>
  <si>
    <t>EDITORA CAMILA LTDA-CAMILA</t>
  </si>
  <si>
    <t>EU SOU O MAX!</t>
  </si>
  <si>
    <t>LNI7B87/AHD8I44</t>
  </si>
  <si>
    <t>NERD EDITORA LTDA-NERD</t>
  </si>
  <si>
    <t>BENTO VENTO E BIA VENTANIA</t>
  </si>
  <si>
    <t>LNI7B87/AHDI44</t>
  </si>
  <si>
    <t>HIPACIA EDITORA LTDA-HIPACIA EDITORA</t>
  </si>
  <si>
    <t>HISTÓRIAS EM QUADRINHAS</t>
  </si>
  <si>
    <t>O MENINO QUE VIROU CARAMUJO</t>
  </si>
  <si>
    <t>O IRMÃO DO MEU IRMÃO</t>
  </si>
  <si>
    <t>GDU7A95/ARC9176</t>
  </si>
  <si>
    <t>O MENINO QUE PERDEU O ÔNIBUS</t>
  </si>
  <si>
    <t>O MENINO SÓ</t>
  </si>
  <si>
    <t>O PLANETA ESTÁ COM FEBRE</t>
  </si>
  <si>
    <t>GDU7A95/ARC9146</t>
  </si>
  <si>
    <t>JYMY ADMINISTRACAO DE IMOVEIS LTDA-</t>
  </si>
  <si>
    <t>PORCO DE CASA CACHORRO É</t>
  </si>
  <si>
    <t>HDU7A95</t>
  </si>
  <si>
    <t>EDITORA CATARINA LTDA-CATARINA</t>
  </si>
  <si>
    <t>QUIBUNGO</t>
  </si>
  <si>
    <t>EDITORA IRIS LTDA-IRIS</t>
  </si>
  <si>
    <t>MEU PRIMEIRO LIVRO DE HORROR</t>
  </si>
  <si>
    <t>Andre Alexandre Vasconcelos EPP-Amoler</t>
  </si>
  <si>
    <t>DA LUA À TERRA</t>
  </si>
  <si>
    <t>EMV5376</t>
  </si>
  <si>
    <t>Novo Século Editora Company Ltda-Grupo Novo Século</t>
  </si>
  <si>
    <t>UIARA BELA, AMOR DE ÍNDIO</t>
  </si>
  <si>
    <t>EWJ3C29/EVO2448</t>
  </si>
  <si>
    <t>O GAROTO DA CAMISA VERMELHA</t>
  </si>
  <si>
    <t>EQU3909/EQU2419</t>
  </si>
  <si>
    <t>CATACRESES DOIDINHAS</t>
  </si>
  <si>
    <t>TERCETTO CULTURAL LTDA-MVMIX CULTURAL</t>
  </si>
  <si>
    <t>SENHOR RELÓGIO</t>
  </si>
  <si>
    <t>Richmond Educação LTDA. -Richmond</t>
  </si>
  <si>
    <t>SALADA, SALADINHA - PARLENDAS</t>
  </si>
  <si>
    <t>DPB5935</t>
  </si>
  <si>
    <t>MANIA DE EXPLICAÇÃO</t>
  </si>
  <si>
    <t>EOE5821</t>
  </si>
  <si>
    <t>FELPO FILVA</t>
  </si>
  <si>
    <t>EOE5801</t>
  </si>
  <si>
    <t>DANIEL NO MUNDO DO SILÊNCIO</t>
  </si>
  <si>
    <t>DPB-5935</t>
  </si>
  <si>
    <t>O RATINHO QUE NÃO GOSTAVA DE QUEIJO</t>
  </si>
  <si>
    <t>O CAMINHO DA ESCOLA</t>
  </si>
  <si>
    <t>CPR6636/GVK4163</t>
  </si>
  <si>
    <t>EdLab Press Editora Eireli-EdLab</t>
  </si>
  <si>
    <t>ONDE MORAM AS COISAS</t>
  </si>
  <si>
    <t>LA EDITORA LTDA-ME-LEITURA E ARTE</t>
  </si>
  <si>
    <t>MEUS MAIS VELHOS</t>
  </si>
  <si>
    <t>BVT8H27/EXN3F44</t>
  </si>
  <si>
    <t>EDITORA BRASILEIRINHO LTDA-Editora Brasileirinho</t>
  </si>
  <si>
    <t>MINHAS PRIMEIRAS HISTÓRIAS BÍBLICAS</t>
  </si>
  <si>
    <t>Editora Zig-Zag LTDA-Zig-Zag</t>
  </si>
  <si>
    <t>ABECEDÁRIO (POÉTICO) DAS FRUTAS</t>
  </si>
  <si>
    <t>FXW4871/MKY7231</t>
  </si>
  <si>
    <t>Editora Iluminuras LTDA-Iluminuras</t>
  </si>
  <si>
    <t>AS AVENTURAS DO BARÃO DE MUNCHAUSEN</t>
  </si>
  <si>
    <t>GGK6435/EWH1D69</t>
  </si>
  <si>
    <t>ALETRIA CONTOS E OUTRAS HISTORIAS LTDA -ALEGRIÔ EDIÇÕES</t>
  </si>
  <si>
    <t>O CÉU DO BAOBÁ</t>
  </si>
  <si>
    <t>BELA BRAVA CULTURAL LTDA.-editora bela brava</t>
  </si>
  <si>
    <t>ANNE &amp; POLLYANNA</t>
  </si>
  <si>
    <t>Amok Serviços ltda me-Amok</t>
  </si>
  <si>
    <t>SERENA FINITUDE</t>
  </si>
  <si>
    <t>Editora Magrela LTDA-Editora Magrela</t>
  </si>
  <si>
    <t>MENINO GIGANTE</t>
  </si>
  <si>
    <t>JOANINHA EDICOES E GRAFICA LTDA-JOANINHA</t>
  </si>
  <si>
    <t>"SE" NÃO EXISTE</t>
  </si>
  <si>
    <t>Jose Luiz Prado 75633078772-Artescrita</t>
  </si>
  <si>
    <t>O MENINO JOÃO E O ALMIRANTE NEGRO</t>
  </si>
  <si>
    <t>Sabiduría Editora ltda-Sabiduría</t>
  </si>
  <si>
    <t>MONSTRONÁRIO: MONSTROS E ASSOMBRAÇÕES DO BRASIL DE A A Z</t>
  </si>
  <si>
    <t>PENHA EDITORA LTDA-PENHA EDITORA</t>
  </si>
  <si>
    <t>O LEÃO HUMILDE</t>
  </si>
  <si>
    <t>ONDE A ONÇA BEBE ÁGUA</t>
  </si>
  <si>
    <t>EFO1E45/EFOJ39</t>
  </si>
  <si>
    <t>Editora Circuito LTDA-Circuito</t>
  </si>
  <si>
    <t>PEDRINHO PETRIFICADO</t>
  </si>
  <si>
    <t>CSK5C02/FJZ0I05</t>
  </si>
  <si>
    <t>CONEL - COMERCIO NACIONAL E EDITORA DE LIVROS LTDA-CONEL - COMERCIO NACIONAL E EDITORA DE LIVROS LTDA</t>
  </si>
  <si>
    <t>RIMAS E NÚMEROS</t>
  </si>
  <si>
    <t>FLORES NO CAMINHO</t>
  </si>
  <si>
    <t>O MENINO QUE COLECIONAVA CHUVA</t>
  </si>
  <si>
    <t>BRILHANTE</t>
  </si>
  <si>
    <t>Fino Traço Editora Ltda.-Fino Traço Editora</t>
  </si>
  <si>
    <t>OUVINDO O CÉU</t>
  </si>
  <si>
    <t>SHM8D70/MTZ5546</t>
  </si>
  <si>
    <t>O ALUÁ DO MACACO E OUTRAS MACAQUICES</t>
  </si>
  <si>
    <t>OPE8C90/QNZ5B87</t>
  </si>
  <si>
    <t>FAROL LITERÁRIO LTDA-FAROL LITERÁRIO</t>
  </si>
  <si>
    <t>BALAIO DE BICHOS</t>
  </si>
  <si>
    <t>PESSOINHAS, BRUXAS E BICHOS</t>
  </si>
  <si>
    <t>SMH8D70/MTZ5546</t>
  </si>
  <si>
    <t>MALVINA</t>
  </si>
  <si>
    <t>CAROLINA DE SOUZA LEAL 12247945759-Curva Editorial</t>
  </si>
  <si>
    <t>O SEGREDO DE CLARICE</t>
  </si>
  <si>
    <t>POSSIBILIDADES</t>
  </si>
  <si>
    <t>O MONSTRO MONSTRUOSO DA CAVERNA</t>
  </si>
  <si>
    <t>VAN BLAD COMUNICACAO E ENTRETENIMENTO LTDA-VAN BLAD EDITORIAL</t>
  </si>
  <si>
    <t>ABÍLIO BASÍLIO E SEU FUSQUETA</t>
  </si>
  <si>
    <t>MMH7909/QTM5149</t>
  </si>
  <si>
    <t>Abacateiro Edições Ltda-A Semente</t>
  </si>
  <si>
    <t>O MENINO QUE INVENTOU O SERTÃO</t>
  </si>
  <si>
    <t>CSK5C02/FJZDI05</t>
  </si>
  <si>
    <t>EDITORA JULIANA LTDA-JULIANA</t>
  </si>
  <si>
    <t>CORDEL DO CHICO REI</t>
  </si>
  <si>
    <t>RIQ9C62</t>
  </si>
  <si>
    <t>SERENA EDITORA LTDA-SERENA EDITORA LTDA</t>
  </si>
  <si>
    <t>FAMÍLIA DE TODO JEITO</t>
  </si>
  <si>
    <t>FOLCLORE EM VERSOS: BOITATÁ E CURUPIRA</t>
  </si>
  <si>
    <t>VIVA EU, VIVA TU, VIVA O RABO DO TATU!</t>
  </si>
  <si>
    <t>ODEMAR</t>
  </si>
  <si>
    <t>ELW8489/LQA5167</t>
  </si>
  <si>
    <t>LOTUS CULTURAL EDITORA LTDA-LOTUS CULTURAL EDITORA LTDA</t>
  </si>
  <si>
    <t>AMOR DE MÃE D'ÁGUA</t>
  </si>
  <si>
    <t>CADÊ SEU PEITO MAMÃE?</t>
  </si>
  <si>
    <t>ANIVERSÁRIO NO CEMITÉRIO</t>
  </si>
  <si>
    <t>A ESCOLA QUE EU QUERO PRA MIM</t>
  </si>
  <si>
    <t>DRAGON LOGISTICA E DISTRIBUICAO EIRELI-DRAGON EDITORIAL</t>
  </si>
  <si>
    <t>VERSOS MATEMÁTICOS</t>
  </si>
  <si>
    <t>MGM0793/QJB2850</t>
  </si>
  <si>
    <t>TRGD EDITORIAL LTDA-TRGD EDITORIAL</t>
  </si>
  <si>
    <t>SERÁ QUE DÁ PÉ?</t>
  </si>
  <si>
    <t>NUM REINO COR DE BURRO QUANDO FOGE</t>
  </si>
  <si>
    <t>LARANJA-PERA, COUVE-MANTEIGA</t>
  </si>
  <si>
    <t>UNIVERSO DOS LIVROS EDITORA LTDA-UNIVERSO DOS LIVROS</t>
  </si>
  <si>
    <t>COM UMA LETRA MUDO TUDO</t>
  </si>
  <si>
    <t>A GOTINHA FALANTE</t>
  </si>
  <si>
    <t>TRIADA EDITORIAL LTDA -TRIADA EDITORIAL</t>
  </si>
  <si>
    <t>EXCESSOS E EXAGEROS</t>
  </si>
  <si>
    <t>GIGI BALANGANDÃ</t>
  </si>
  <si>
    <t>UNIVERSO DA LITERATURA EDITORA LTDA-UDL EDUCACAO</t>
  </si>
  <si>
    <t>HIPO PODE NADAR</t>
  </si>
  <si>
    <t>O SORRISO DE ANA</t>
  </si>
  <si>
    <t>Empreendimentos Medeiros Ltda-D'NIRO</t>
  </si>
  <si>
    <t>QUEM COCHICHA O RABO ESPICHA</t>
  </si>
  <si>
    <t>Fluidez Editora ltda-Fluidez Editora</t>
  </si>
  <si>
    <t>ABC DO BRINCAR: BRINQUEDOS E BRINCADEIRAS DE A A Z</t>
  </si>
  <si>
    <t>BÉTULA EDITORIAL LTDA-BÉTULA EDITORIAL</t>
  </si>
  <si>
    <t>A RAPOSINHA FRANCESA EM BERLIM</t>
  </si>
  <si>
    <t>EQU3J10/BXK5702</t>
  </si>
  <si>
    <t>Book Editora e Distribuidora de Livros Ltda.-Book Editora e Distribuidora de Livros Ltda.</t>
  </si>
  <si>
    <t>O PEQUENO GRANDE</t>
  </si>
  <si>
    <t>CONFETE EDITORIAL LTDA-Confete</t>
  </si>
  <si>
    <t>ESCOLHAS QUE BRILHAM</t>
  </si>
  <si>
    <t>CONTOS DE FADAS BRASILEIROS</t>
  </si>
  <si>
    <t>BAMBOLE EDITORA E LIVRARIA LTDA-EDITORAS BAMBOLE &amp; ELIPSE</t>
  </si>
  <si>
    <t>REINAÇÕES DE EMÍLIA</t>
  </si>
  <si>
    <t>BERTHA EDITORA LTDA-BERTHA EDITORA</t>
  </si>
  <si>
    <t>FEITICEIRA</t>
  </si>
  <si>
    <t>ESCOLA DE PRINCESAS RECATADAS</t>
  </si>
  <si>
    <t>EQU3G83/EFO1060</t>
  </si>
  <si>
    <t>O MENINO E A FLOR</t>
  </si>
  <si>
    <t>Editora Mundo Jovem 2004 LTDA-Editora Jovem</t>
  </si>
  <si>
    <t>DE MÃO EM MÃO</t>
  </si>
  <si>
    <t>EDITORA VIAJANTE DO TEMPO LTDA-VIAJANTE DO TEMPO</t>
  </si>
  <si>
    <t>SABÁ E A PLANTA MÁGICA</t>
  </si>
  <si>
    <t>EQU3G83/EFO1O60</t>
  </si>
  <si>
    <t>EDITORA PEQUENO VIAJANTE LTDA-PEQUENO VIAJANTE</t>
  </si>
  <si>
    <t>O MUNDO DE FRIDA</t>
  </si>
  <si>
    <t>EDITORA PERSPECTIVA LTDA-EDITORA PERSPECTIVA</t>
  </si>
  <si>
    <t>QUERO A LUA E OUTRAS PEÇAS</t>
  </si>
  <si>
    <t>MFC-8G48</t>
  </si>
  <si>
    <t>A MÁQUINA DE IDEIAS DESIGN GRÁFICO E DE OBJETOS S/S LTDA-A MÁQUINA DE IDEIAS</t>
  </si>
  <si>
    <t>A CIDADE DOS ARTESÃOS</t>
  </si>
  <si>
    <t>ALEXANDRE FONSECA EDITOR E LIVREIRO EIRELI-AF EDITOR E LIVREIRO</t>
  </si>
  <si>
    <t>O MACACO MALANDRO E OUTRAS PEÇAS</t>
  </si>
  <si>
    <t>EPP Publicações e Publicidade Ltda-Caramurê Publicações</t>
  </si>
  <si>
    <t>VIAGENS E DESCOBRIMENTOS</t>
  </si>
  <si>
    <t>EDITORA GRAFTEN LTDA-GRAFTEN</t>
  </si>
  <si>
    <t>ENGOLIDOR DE ESPELHOS</t>
  </si>
  <si>
    <t>EWH1D69/GGK6H55</t>
  </si>
  <si>
    <t>EDITORA BRASIL MODERNO LTDA-BRASIL MODERNO</t>
  </si>
  <si>
    <t>DISCÓRDIA</t>
  </si>
  <si>
    <t>A MENINA SAPATEIRA</t>
  </si>
  <si>
    <t>estúdio criadeira ltda me-criadeira livros</t>
  </si>
  <si>
    <t>DE JOÃO PARA SEIS IRMÃOS</t>
  </si>
  <si>
    <t>Editora Campos Ltda me-Veneta</t>
  </si>
  <si>
    <t>RATOLÂNDIA</t>
  </si>
  <si>
    <t>EWH1D69/GGK6H69</t>
  </si>
  <si>
    <t>EDITORA ESTRELA CULTURAL LTDA-Editora Estrela Cultural</t>
  </si>
  <si>
    <t>VISITANDO SONHOS</t>
  </si>
  <si>
    <t>A MOCHILA DO PABLO - UMA HISTÓRIA SURPREENDENTE</t>
  </si>
  <si>
    <t>Editora Pingo de Luz Ltda-larissa korovaeff</t>
  </si>
  <si>
    <t>DE ONDE NASCEM AS FLORES</t>
  </si>
  <si>
    <t>CPR6636/GVK4136</t>
  </si>
  <si>
    <t>SONHOS &amp; LETRAS EDITORA, LIVRARIA, DISTR. E EVENTOS EIRELI-SONHOS &amp; LETRAS</t>
  </si>
  <si>
    <t>SENHORA INCERTEZA</t>
  </si>
  <si>
    <t>CPR4163/GVK4163</t>
  </si>
  <si>
    <t>AV Edições e Serviços Eireli-BADABUM</t>
  </si>
  <si>
    <t>20.000 LÉGUAS SUBMARINAS EM QUADRINHOS</t>
  </si>
  <si>
    <t>Editora Vestígio Ltda.-Vestígio</t>
  </si>
  <si>
    <t>OS DIÁRIOS DE AMORA</t>
  </si>
  <si>
    <t>Fernandes &amp; Warth editora e distribuidora Ltda.-Pallas Míni</t>
  </si>
  <si>
    <t>CRIANÇAS</t>
  </si>
  <si>
    <t>EDITORA BAOBA LTDA-EDITORA BAOBÁ</t>
  </si>
  <si>
    <t>SE ESTA CASA FOSSE MINHA...</t>
  </si>
  <si>
    <t>Troia Editora e distribuidora Ltda-Troia Editora</t>
  </si>
  <si>
    <t>LAÇOS DE VIRTUDES</t>
  </si>
  <si>
    <t>O MALUCO DO CÉU</t>
  </si>
  <si>
    <t>EQU2H19/EQU3909</t>
  </si>
  <si>
    <t>O GIGANTE VAIDOSO</t>
  </si>
  <si>
    <t>EQU2J02/SUS2464</t>
  </si>
  <si>
    <t>O GATO LÁ NO ALTO!</t>
  </si>
  <si>
    <t>HAI-QUINTAL: HAICAIS DESCOBERTOS NO QUINTAL</t>
  </si>
  <si>
    <t>Editora Sorriso ltda-Editora Sorriso</t>
  </si>
  <si>
    <t>CONTOS DE CRIANÇAS DO BRASIL</t>
  </si>
  <si>
    <t>EQU2h19/EQU3909</t>
  </si>
  <si>
    <t>Carrion Carracedo LTDA - EPP-Entrelinhas Editora</t>
  </si>
  <si>
    <t>A MAMÃE DAS CAVERNAS E A MAMÃE LOBA</t>
  </si>
  <si>
    <t>RODOPIANDO POESIA</t>
  </si>
  <si>
    <t>CHAPEUZINHO VERMELHO E O BOTO-COR-DE-ROSA</t>
  </si>
  <si>
    <t>EWH1D69/GGK6GH55</t>
  </si>
  <si>
    <t>Pallas editora e distribuidora Ltda.-Pallas editora</t>
  </si>
  <si>
    <t>FALANDO TUPI</t>
  </si>
  <si>
    <t>EQU2H29/IIS2A53</t>
  </si>
  <si>
    <t>HANAMI! BIBI VAI AO JAPÃO</t>
  </si>
  <si>
    <t>EFO1E45/DJA0A61</t>
  </si>
  <si>
    <t>O MENINO PARAFUSO</t>
  </si>
  <si>
    <t>FESTA DO MANECO</t>
  </si>
  <si>
    <t>A PRINCESA QUE MORA NO LIVRO</t>
  </si>
  <si>
    <t>ALFABETO ESCALAFOBÉTICO</t>
  </si>
  <si>
    <t>FB Publicações Eireli -FB Publicações</t>
  </si>
  <si>
    <t>ALIKA</t>
  </si>
  <si>
    <t>EDITORA MENINO DO RIO LTDA-MENINO DO RIO</t>
  </si>
  <si>
    <t>ATÉ QUE ENFIM SERAFIM</t>
  </si>
  <si>
    <t>RYL8J97/SXB3F54</t>
  </si>
  <si>
    <t>GUIA DO CONSUMIDOR MIRIM</t>
  </si>
  <si>
    <t>QUEM GOSTA DE SASEMERBOS?</t>
  </si>
  <si>
    <t>FOLIA DE LETRAS EDITORA E SERVIÇOS EDITORIAIS LTDA-EDITORA FOLIA DE LETRAS</t>
  </si>
  <si>
    <t>DEZ CONTOS CLÁSSICOS EM QUADRINHAS</t>
  </si>
  <si>
    <t>Editora Camomila Ltda-Editora Camomila</t>
  </si>
  <si>
    <t>MINHAS PRIMEIRAS LENDAS INDÍGENAS</t>
  </si>
  <si>
    <t>... E O LOBO MAU SE DEU BEM</t>
  </si>
  <si>
    <t>GRANDE CIRCO FAVELA</t>
  </si>
  <si>
    <t>Eleonora Rodrigues de Medeiros ME-Estudio Ninho Literario</t>
  </si>
  <si>
    <t>BANDELE, O MENINO NASCIDO FORA DE CASA</t>
  </si>
  <si>
    <t>POESIA NA VARANDA</t>
  </si>
  <si>
    <t>Frase e Efeito Estudio Editorial Eireli-Jujuba Editora</t>
  </si>
  <si>
    <t>EU - DE CABEÇA PRA BAIXO</t>
  </si>
  <si>
    <t>MARIE EDITORA LTDA-MARIE EDITORA</t>
  </si>
  <si>
    <t>FÁBULAS EM QUADRINHAS</t>
  </si>
  <si>
    <t>SB SISTEMA DE ENSINO E EDITORA LTDA.-SB SISTEMA DE ENSINO</t>
  </si>
  <si>
    <t>O LIVRO IMPERDÍVEL DE UM ENGENHOSO CAVALEIRO DOIDO</t>
  </si>
  <si>
    <t>FUZ9H26</t>
  </si>
  <si>
    <t>É TUDO INVENÇÃO</t>
  </si>
  <si>
    <t>QUIQUINHO E PIOPIO: CORDEL DO ACORDO FEITO E FIRMADO ENTRE MENINO E PASSARINHO</t>
  </si>
  <si>
    <t>EEW5A07/EQU2E34</t>
  </si>
  <si>
    <t>EDITORA ENIGMA DO TEMPO LTDA-ENIGMA DO TEMPO</t>
  </si>
  <si>
    <t>IEMANJÁ</t>
  </si>
  <si>
    <t>MARIETA EDITORA E GRAFICA LTDA-</t>
  </si>
  <si>
    <t>SOCORRO, PIRATAS!</t>
  </si>
  <si>
    <t>A CORUJA E O MONDRONGO</t>
  </si>
  <si>
    <t>MRP9E88/EJU1641</t>
  </si>
  <si>
    <t>ARACARI EDITORA E ASSESSORIA LTDA -ARACARI EDITORIAL</t>
  </si>
  <si>
    <t>PAPAGAIO PEPETELA</t>
  </si>
  <si>
    <t>CLÉO E O MAPINGUARI</t>
  </si>
  <si>
    <t>Duna Dueto Editora Ltda.-Duna Dueto</t>
  </si>
  <si>
    <t>CANÇÃO PARA CHAMAR O VENTO</t>
  </si>
  <si>
    <t>OZS8163</t>
  </si>
  <si>
    <t>QUAL É A SUA PEGADA?</t>
  </si>
  <si>
    <t>RENTE QUE NEM PÃO QUENTE</t>
  </si>
  <si>
    <t>CEM GRILOS E OUTRAS HISTÓRIAS</t>
  </si>
  <si>
    <t>Editora Coquinho ltda-Coquinho</t>
  </si>
  <si>
    <t>O BRINQUEDO NOVO</t>
  </si>
  <si>
    <t>O CONVIDADOR DE PIRILAMPOS</t>
  </si>
  <si>
    <t>A PALAVRA PREFERIDA</t>
  </si>
  <si>
    <t>BELLABOOKS GRAFICA E EDITORA LTDA-BELLABOOKS EDICOES</t>
  </si>
  <si>
    <t>COISINHA À TOA</t>
  </si>
  <si>
    <t>MELHORES AMIGOS</t>
  </si>
  <si>
    <t>CPR0G36/GVK7I42</t>
  </si>
  <si>
    <t>QUADRINHAS DIVERTIDAS</t>
  </si>
  <si>
    <t>TULIPA EDITORA EIRELI-</t>
  </si>
  <si>
    <t>O MENINO QUE QUERIA ABRAÇAR AS BALEIAS</t>
  </si>
  <si>
    <t>AQUI ONDE EU MORO</t>
  </si>
  <si>
    <t>JANEIRO BRASILEIRO</t>
  </si>
  <si>
    <t>Quase Oito Editora e Livraria Ltda.-Quase Oito</t>
  </si>
  <si>
    <t>PÁSSARO AZUL</t>
  </si>
  <si>
    <t>FCO6J73/EJB1G45</t>
  </si>
  <si>
    <t>Editora Fejuka ltda-Fejuka</t>
  </si>
  <si>
    <t>CURUPIRA E A FLORESTA DAS LETRAS</t>
  </si>
  <si>
    <t>CSK5C02/DAJ0A61</t>
  </si>
  <si>
    <t>MARIA PINGO D'ÁGUA</t>
  </si>
  <si>
    <t>FZV5B93/BKX5702</t>
  </si>
  <si>
    <t>O GALO GOGÓ</t>
  </si>
  <si>
    <t>FYJ8F87/EJV1G41</t>
  </si>
  <si>
    <t>Editora Brincante ltda-Brincante</t>
  </si>
  <si>
    <t>A CASA DA AVÓ DAS PALAVRAS</t>
  </si>
  <si>
    <t>MIW4230</t>
  </si>
  <si>
    <t>Editora Lê Ltda-Editora Lê</t>
  </si>
  <si>
    <t>GATO, SAPATO, BICHO DO MATO</t>
  </si>
  <si>
    <t>O CASO DO BOLO DE MILHO QUE VIROU FARELO</t>
  </si>
  <si>
    <t>EQU3G82/EQU2419</t>
  </si>
  <si>
    <t>DUDA CATA TUDO</t>
  </si>
  <si>
    <t>EDQ6G81</t>
  </si>
  <si>
    <t>SE UM DIA EU FOR EMBORA</t>
  </si>
  <si>
    <t>MEU CADERNO DE DESENHO</t>
  </si>
  <si>
    <t>LUISE BARROS COSTA LIMA-Mil Caramiolas</t>
  </si>
  <si>
    <t>O MENINO E O MAR</t>
  </si>
  <si>
    <t>DR. URUBU E OUTRAS FÁBULAS</t>
  </si>
  <si>
    <t>NÓS DE AXÉ</t>
  </si>
  <si>
    <t>Editora da Ponte Soluções em Educação LTDA-Editora da Ponte</t>
  </si>
  <si>
    <t>QUANTO MUNDO CABE NA GENTE?</t>
  </si>
  <si>
    <t>ONDE MORAM OS ASSUNTOS</t>
  </si>
  <si>
    <t>CPR6G36/GBK7I42</t>
  </si>
  <si>
    <t>O BAILE DO PALHAÇO E DA BAILARINA E OUTROS POEMAS</t>
  </si>
  <si>
    <t>CPR6G36/GVK7I42</t>
  </si>
  <si>
    <t>EU, VOVÓ E A CEGONHA</t>
  </si>
  <si>
    <t>Gráfica e Editora Comunicação Impressa LTDA-Comunicação Impressa</t>
  </si>
  <si>
    <t>UM FIO DE AMIZADE</t>
  </si>
  <si>
    <t>DÁRIO SEM DATA DE UMA GATA</t>
  </si>
  <si>
    <t>LENDAS AMAZÔNICAS E OUTRAS HISTÓRIAS QUE VOCÊ DEVERIA CONHECER</t>
  </si>
  <si>
    <t>MEU AMIGO INVISÍVEL</t>
  </si>
  <si>
    <t>QUAL É O INSETO?</t>
  </si>
  <si>
    <t>NDAMA, UM PEQUENO MBOTT</t>
  </si>
  <si>
    <t>EDITORA SAMBA LELE LTDA-Editora Corre Cotia LTDA</t>
  </si>
  <si>
    <t>BOCA DE DRAGÃO</t>
  </si>
  <si>
    <t>Editora Zaguinha LTDA-Zaguinha</t>
  </si>
  <si>
    <t>ROBÓTICOS</t>
  </si>
  <si>
    <t>UM MAR DE GENTE</t>
  </si>
  <si>
    <t>ÔNIBUS</t>
  </si>
  <si>
    <t>CALLIS EDITORA LTDA.-Callis</t>
  </si>
  <si>
    <t>O POÇO</t>
  </si>
  <si>
    <t>METADE PAI METADE MUNDO</t>
  </si>
  <si>
    <t>K. G. Pansa Editorial Ltda-Amora Editorial</t>
  </si>
  <si>
    <t>LIVRO</t>
  </si>
  <si>
    <t>EJV1H65/NWR0I12</t>
  </si>
  <si>
    <t>A CUTIA QUE VIROU PRINCESA</t>
  </si>
  <si>
    <t>EQU3G83/BKX5702</t>
  </si>
  <si>
    <t>O LEÃO DA NEVE</t>
  </si>
  <si>
    <t>Camila Werner 28178656850-C. Werner Editorial</t>
  </si>
  <si>
    <t>NINGUÉM E EU</t>
  </si>
  <si>
    <t>CULTURA</t>
  </si>
  <si>
    <t>EDITORA TRIPLICE SABER LTDA-TRIPLICE SABER</t>
  </si>
  <si>
    <t>PAPO DE PAPINHO</t>
  </si>
  <si>
    <t>Editora Escalada LTDA-Escalada</t>
  </si>
  <si>
    <t>TEQUINHO, O MENINO DO SAMBA</t>
  </si>
  <si>
    <t>DPF0620</t>
  </si>
  <si>
    <t>DR. EDUARDO, CERTO OU ERRADO?</t>
  </si>
  <si>
    <t>AKZ4F49</t>
  </si>
  <si>
    <t>CORDELINHO</t>
  </si>
  <si>
    <t>IIS2A53/JXX4G08</t>
  </si>
  <si>
    <t>SILVA LOBO EDITORIAL LTDA-Editora Casa do Lobo e Editora Lobinho</t>
  </si>
  <si>
    <t>QUANTAS RODAS TEM UMA BICICLETA?</t>
  </si>
  <si>
    <t>AS MIL E UMA HISTÓRIAS DE MANUELA</t>
  </si>
  <si>
    <t>RHJ LIVROS LTDA-EDITORA RHJ</t>
  </si>
  <si>
    <t>ANA-CENTOPEIA</t>
  </si>
  <si>
    <t>FBZ5B93/BKX5702</t>
  </si>
  <si>
    <t>O LIVRO ESCRITO POR KIBO</t>
  </si>
  <si>
    <t>OGO3J47/FFE3G86</t>
  </si>
  <si>
    <t>O SAPO APAIXONADO E A CHALEIRA CHORADEIRA</t>
  </si>
  <si>
    <t>Publicações Mercuryo Novo Tempo Ltda-Mercuryo Jovem</t>
  </si>
  <si>
    <t>O CAVALEIRO DO SONHO - AS AVENTURAS E DESVENTURAS DE D. QUIXOTE DE LA MANCHA</t>
  </si>
  <si>
    <t>PANTANIMAIS</t>
  </si>
  <si>
    <t>Chuá Editora Ltda.-Chuá</t>
  </si>
  <si>
    <t>A CIDADE POLITICAMENTE CORRETA</t>
  </si>
  <si>
    <t>MEUS PRIMEIROS CONTOS DE FADAS</t>
  </si>
  <si>
    <t>TRIOLECA CASA EDITORIAL LTDA.-TRIOLECA CASA EDITORIAL</t>
  </si>
  <si>
    <t>AS PALAVRAS DE BIANCA SÃO BORBOLETAS</t>
  </si>
  <si>
    <t>Caligrama Editorial Ltda.-Obá Editorial</t>
  </si>
  <si>
    <t>CHEIRO DE DOMINGO</t>
  </si>
  <si>
    <t>UMA ESCOLA LUNÁTICA</t>
  </si>
  <si>
    <t>Boralá Editora Ltda.-Boralá</t>
  </si>
  <si>
    <t>QUEM NUNCA COMEU UM BOMBOM DE OLHOS FECHADOS?</t>
  </si>
  <si>
    <t>GRETA E OS GIGANTES: INSPIRADO NA LUTA DE GRETA THUNBERG PARA SALVAR O PLANETA</t>
  </si>
  <si>
    <t>ALÔ?</t>
  </si>
  <si>
    <t>Editora Vermelho Marinho Usina de Letras Ltda.-Vermelho Marinho</t>
  </si>
  <si>
    <t>ESPINAFRA</t>
  </si>
  <si>
    <t>MINHAS PRIMEIRAS FÁBULAS</t>
  </si>
  <si>
    <t>A MULHER DO FRANKS TEM</t>
  </si>
  <si>
    <t>n-1 Editora e Distribuidora LTDA-n-1 Edições</t>
  </si>
  <si>
    <t>O REISADO</t>
  </si>
  <si>
    <t>OGO3J47/FFE3C86</t>
  </si>
  <si>
    <t>Cultura Escrita Edição e Educação Ltda ME-Cultura Escrita</t>
  </si>
  <si>
    <t>RAUL. O LOBINHO</t>
  </si>
  <si>
    <t>MLX2778/QII5573</t>
  </si>
  <si>
    <t>ESSE TAL DE TEMPO</t>
  </si>
  <si>
    <t>A PROMESSA</t>
  </si>
  <si>
    <t>CSK5C43/EQU2H19</t>
  </si>
  <si>
    <t>Editora Julieta LTDA-Julieta</t>
  </si>
  <si>
    <t>MANOEL E LUGO CONTRA O INVASOR</t>
  </si>
  <si>
    <t>Editora Pensante LTDA-Pensante</t>
  </si>
  <si>
    <t>TEQUINHO E O ENSAIO DA BATERIA</t>
  </si>
  <si>
    <t>OS MEDOS SECRETOS DO TIJOLO OCO</t>
  </si>
  <si>
    <t>Daniela Antonieta Luz Machado 95725440044-Physalis Editora</t>
  </si>
  <si>
    <t>O MAIOR MOTIVO DO MUNDO E OUTRAS HISTÓRIAS DE SIM E DE NÃO</t>
  </si>
  <si>
    <t>CÃO SOBRE RODAS</t>
  </si>
  <si>
    <t>SEGREDOS DO SAPATEIRO MÁGICO</t>
  </si>
  <si>
    <t>A MENINA SEM COR</t>
  </si>
  <si>
    <t>CLU0788</t>
  </si>
  <si>
    <t>Morales Perlingeiro Editora e Assessoria Ltda-Memória Visual</t>
  </si>
  <si>
    <t>ZAP DO OLIMPO. E SE OS DEUSES GREGOS TIVESSEM CELULAR?</t>
  </si>
  <si>
    <t>FCO6J73</t>
  </si>
  <si>
    <t>A CHEGADA DO SR. FLAT</t>
  </si>
  <si>
    <t>BKX5702/EQU3G82</t>
  </si>
  <si>
    <t>Gilmar Cassol Editora LTDA-Livraria e Editora Cassol</t>
  </si>
  <si>
    <t>IMAGINAÇÃO</t>
  </si>
  <si>
    <t>EM BUSCA DO MAR</t>
  </si>
  <si>
    <t>A HISTÓRIA DO PÁSSARO E O REALEJO</t>
  </si>
  <si>
    <t>MHK0752/BYD6783</t>
  </si>
  <si>
    <t>TIBI LIVROS LTDA ME-xxxxxxx</t>
  </si>
  <si>
    <t>A MENINA DA CABEÇA QUADRADA</t>
  </si>
  <si>
    <t>EGP0484</t>
  </si>
  <si>
    <t>A MENINA DO CABELO ROXO EM... O CHÁ DAS MARAVILHAS</t>
  </si>
  <si>
    <t>BELO, O PATINHO AMARELO</t>
  </si>
  <si>
    <t>CFW2469</t>
  </si>
  <si>
    <t>DOM QUIXOTE DE LA MANCHA</t>
  </si>
  <si>
    <t>SETE ANOS</t>
  </si>
  <si>
    <t>ROUBO NO CASARÃO</t>
  </si>
  <si>
    <t>Abacatte Editorial Ltda - EPP-Abacatte Editorial</t>
  </si>
  <si>
    <t>A PESCARIA MAGNÉTICA DO SEU VIVINHO E OUTRAS HISTÓRIAS</t>
  </si>
  <si>
    <t>FICA COMIGO</t>
  </si>
  <si>
    <t>FRIDA EDITORA LTDA-FRIDA EDITORA</t>
  </si>
  <si>
    <t>ARRAIAL DAS LETRAS</t>
  </si>
  <si>
    <t>O OVO DE PÉGASO</t>
  </si>
  <si>
    <t>FCI9100/DBM7A03</t>
  </si>
  <si>
    <t>Editora Brasil Equatorial ltda-Editora Brasil Equatorial</t>
  </si>
  <si>
    <t>DORA, A RAÇA DO AMOR</t>
  </si>
  <si>
    <t>Editora Fabulosas LTDA-Fabulosas</t>
  </si>
  <si>
    <t>UMA HISTÓRIA BARRIGUDA</t>
  </si>
  <si>
    <t>Geração Editorial Ltda-Geração Editorial</t>
  </si>
  <si>
    <t>CRISE FINANCEIRA NA FLORESTA</t>
  </si>
  <si>
    <t>O MORCEGO SEM ASAS</t>
  </si>
  <si>
    <t>PINGO DE OURO EDITORES LTDA-Pingo de Ouro</t>
  </si>
  <si>
    <t>A FELICIDADE DE LAILA</t>
  </si>
  <si>
    <t>C38 a C42</t>
  </si>
  <si>
    <t>TEXTO EDITORES LTDA.-Texto Editores</t>
  </si>
  <si>
    <t>O PUM</t>
  </si>
  <si>
    <t>CASA DOS MUNDOS PRODUCAO EDITORIAL E GAMES LTDA-Casa dos Mundos</t>
  </si>
  <si>
    <t>O VÍRUS DO AMOR</t>
  </si>
  <si>
    <t>C54 a C58</t>
  </si>
  <si>
    <t>PRIME EDITORIAL LTDA-Prime</t>
  </si>
  <si>
    <t>MAU HUMOR</t>
  </si>
  <si>
    <t>C81 a C84</t>
  </si>
  <si>
    <t>FCR3G84</t>
  </si>
  <si>
    <t>PRINCESINHAS E PRINCIPEZINHOS DO BRASIL</t>
  </si>
  <si>
    <t>C85 a C88</t>
  </si>
  <si>
    <t>S&amp;N LIVRARIA E PAPELARIA LTDA-S&amp;N</t>
  </si>
  <si>
    <t>OLÍVIA EM A HISTÓRIA</t>
  </si>
  <si>
    <t>C97 a C100</t>
  </si>
  <si>
    <t>ADÈLE, A TERRÍVEL: ISSO NÃO VAI ACABAR BEM</t>
  </si>
  <si>
    <t>B49 a B53</t>
  </si>
  <si>
    <t>MINHA FAMÍLIA ENAUENÊ</t>
  </si>
  <si>
    <t>A56 a A59</t>
  </si>
  <si>
    <t>CNPJ</t>
  </si>
  <si>
    <t>editora</t>
  </si>
  <si>
    <t>categoria</t>
  </si>
  <si>
    <t>titulo_colecao</t>
  </si>
  <si>
    <t>código_volume</t>
  </si>
  <si>
    <t>Código IMPRESSÃO</t>
  </si>
  <si>
    <t>ISBN</t>
  </si>
  <si>
    <t>formato</t>
  </si>
  <si>
    <t>exemplar</t>
  </si>
  <si>
    <t>serie</t>
  </si>
  <si>
    <t>título_volume</t>
  </si>
  <si>
    <t>paginas</t>
  </si>
  <si>
    <t>peso_g</t>
  </si>
  <si>
    <t>peso_kg</t>
  </si>
  <si>
    <t>Formato Editora</t>
  </si>
  <si>
    <t>Gramatura miolo</t>
  </si>
  <si>
    <t>tiragem</t>
  </si>
  <si>
    <t>peso_tiragem</t>
  </si>
  <si>
    <t>valor unitário</t>
  </si>
  <si>
    <t>valor total</t>
  </si>
  <si>
    <t>24906342000133</t>
  </si>
  <si>
    <t>CATEGORIA 1: OBRAS LIT. DO 1º AO 3º ANO</t>
  </si>
  <si>
    <t>IMLE0000300799P230301000000</t>
  </si>
  <si>
    <t>0799L23000030LE</t>
  </si>
  <si>
    <t>9786589831051</t>
  </si>
  <si>
    <t>Impresso</t>
  </si>
  <si>
    <t>Livro do estudante</t>
  </si>
  <si>
    <t>1º ao 3º ano</t>
  </si>
  <si>
    <t>205x275</t>
  </si>
  <si>
    <t>33036323000194</t>
  </si>
  <si>
    <t>IMLE0000300562P230301000000</t>
  </si>
  <si>
    <t>0562L23000030LE</t>
  </si>
  <si>
    <t>9786559070893</t>
  </si>
  <si>
    <t>28039515000114</t>
  </si>
  <si>
    <t>0742L23000030LE</t>
  </si>
  <si>
    <t>9786589777113</t>
  </si>
  <si>
    <t>42157806000138</t>
  </si>
  <si>
    <t>IMLE0000300952P230301000000</t>
  </si>
  <si>
    <t>0952L23000030LE</t>
  </si>
  <si>
    <t>9786589969099</t>
  </si>
  <si>
    <t>CATEGORIA 2: OBRAS LIT. DO 4º E 5º ANO</t>
  </si>
  <si>
    <t>IMLE0000200563P230302000000</t>
  </si>
  <si>
    <t>0563L23000020LE</t>
  </si>
  <si>
    <t>9786559070862</t>
  </si>
  <si>
    <t>4º e 5º ano</t>
  </si>
  <si>
    <t>11406546000163</t>
  </si>
  <si>
    <t>IMLE0000300755P230301000000</t>
  </si>
  <si>
    <t>0755L23000030LE</t>
  </si>
  <si>
    <t>9786599402098</t>
  </si>
  <si>
    <t>41075777000100</t>
  </si>
  <si>
    <t>IMLE0000300683P230301000000</t>
  </si>
  <si>
    <t>0683L23000030LE</t>
  </si>
  <si>
    <t>9786599552236</t>
  </si>
  <si>
    <t>04092943000142</t>
  </si>
  <si>
    <t>IMLE0000300948P230301000000</t>
  </si>
  <si>
    <t>0948L23000030LE</t>
  </si>
  <si>
    <t>9786589843030</t>
  </si>
  <si>
    <t>01297467000108</t>
  </si>
  <si>
    <t>IMLE0000301220P230301000000</t>
  </si>
  <si>
    <t>1220L23000030LE</t>
  </si>
  <si>
    <t>9786586667158</t>
  </si>
  <si>
    <t>15595014000172</t>
  </si>
  <si>
    <t>IMLE0000301037P230301000000</t>
  </si>
  <si>
    <t>1037L23000030LE</t>
  </si>
  <si>
    <t>9786599676512</t>
  </si>
  <si>
    <t>275x205</t>
  </si>
  <si>
    <t>08731059000161</t>
  </si>
  <si>
    <t>IMLE0000301000P230301000000</t>
  </si>
  <si>
    <t>1000L23000030LE</t>
  </si>
  <si>
    <t>9786599429125</t>
  </si>
  <si>
    <t>61259958000196</t>
  </si>
  <si>
    <t>IMLE0000300399P230301000000</t>
  </si>
  <si>
    <t>0399L23000030LE</t>
  </si>
  <si>
    <t>9786557670996</t>
  </si>
  <si>
    <t>135x205</t>
  </si>
  <si>
    <t>43680371000174</t>
  </si>
  <si>
    <t>IMLE0000300922P230301000000</t>
  </si>
  <si>
    <t>0922L23000030LE</t>
  </si>
  <si>
    <t>9786599696718</t>
  </si>
  <si>
    <t>13206166000100</t>
  </si>
  <si>
    <t>IMLE0000300619P230301000000</t>
  </si>
  <si>
    <t>0619L23000030LE</t>
  </si>
  <si>
    <t>9786586686180</t>
  </si>
  <si>
    <t>05136963000130</t>
  </si>
  <si>
    <t>IMLE0000300543P230301000000</t>
  </si>
  <si>
    <t>0543L23000030LE</t>
  </si>
  <si>
    <t>9788562533785</t>
  </si>
  <si>
    <t>33451279000189</t>
  </si>
  <si>
    <t>IMLE0000300600P230301000000</t>
  </si>
  <si>
    <t>0600L23000030LE</t>
  </si>
  <si>
    <t>9786555480436</t>
  </si>
  <si>
    <t>86461852000100</t>
  </si>
  <si>
    <t>IMLE0000300732P230301000000</t>
  </si>
  <si>
    <t>0732L23000030LE</t>
  </si>
  <si>
    <t>9786559311002</t>
  </si>
  <si>
    <t>FÉRIAS NA ANTÁRTICA - LIVRO DO ESTUDANTE</t>
  </si>
  <si>
    <t>07115047000140</t>
  </si>
  <si>
    <t>IMLE0000300612P230301000000</t>
  </si>
  <si>
    <t>0612L23000030LE</t>
  </si>
  <si>
    <t>9786555874372</t>
  </si>
  <si>
    <t>40150685000177</t>
  </si>
  <si>
    <t>IMLE0000200386P230302000000</t>
  </si>
  <si>
    <t>0386L23000020LE</t>
  </si>
  <si>
    <t>9786589508137</t>
  </si>
  <si>
    <t>43679370000100</t>
  </si>
  <si>
    <t>IMLE0000300921P230301000000</t>
  </si>
  <si>
    <t>0921L23000030LE</t>
  </si>
  <si>
    <t>9786599697029</t>
  </si>
  <si>
    <t>17463963000124</t>
  </si>
  <si>
    <t>IMLE0000300649P230301000000</t>
  </si>
  <si>
    <t>0649L23000030LE</t>
  </si>
  <si>
    <t>9788566811391</t>
  </si>
  <si>
    <t>09470763000170</t>
  </si>
  <si>
    <t>IMLE0000301364P230301000000</t>
  </si>
  <si>
    <t>1364L23000030LE</t>
  </si>
  <si>
    <t>9786588934081</t>
  </si>
  <si>
    <t>19241026000150</t>
  </si>
  <si>
    <t>IMLE0000300938P230301000000</t>
  </si>
  <si>
    <t>0938L23000030LE</t>
  </si>
  <si>
    <t>9786586983203</t>
  </si>
  <si>
    <t>53781423000152</t>
  </si>
  <si>
    <t>IMLE0000300651P230301000000</t>
  </si>
  <si>
    <t>0651L23000030LE</t>
  </si>
  <si>
    <t>9786599414497</t>
  </si>
  <si>
    <t>61097432000157</t>
  </si>
  <si>
    <t>IMLE0000300602P230301000000</t>
  </si>
  <si>
    <t>0602L23000030LE</t>
  </si>
  <si>
    <t>9788566526882</t>
  </si>
  <si>
    <t>43641133000150</t>
  </si>
  <si>
    <t>IMLE0000300789P230301000000</t>
  </si>
  <si>
    <t>0789L23000030LE</t>
  </si>
  <si>
    <t>9788580633955</t>
  </si>
  <si>
    <t>17192199000108</t>
  </si>
  <si>
    <t>IMLE0000300988P230301000000</t>
  </si>
  <si>
    <t>0988L23000030LE</t>
  </si>
  <si>
    <t>9786586563160</t>
  </si>
  <si>
    <t>12182733000173</t>
  </si>
  <si>
    <t>IMLE0000301087P230301000000</t>
  </si>
  <si>
    <t>1087L23000030LE</t>
  </si>
  <si>
    <t>9786584648005</t>
  </si>
  <si>
    <t>04053093000173</t>
  </si>
  <si>
    <t>IMLE0000300308P230301000000</t>
  </si>
  <si>
    <t>0308L23000030LE</t>
  </si>
  <si>
    <t>9786586959246</t>
  </si>
  <si>
    <t>25302122000163</t>
  </si>
  <si>
    <t>IMLE0000300349P230301000000</t>
  </si>
  <si>
    <t>0349L23000030LE</t>
  </si>
  <si>
    <t>9786550791094</t>
  </si>
  <si>
    <t>14160231000177</t>
  </si>
  <si>
    <t>IMLE0000300478P230301000000</t>
  </si>
  <si>
    <t>0478L23000030LE</t>
  </si>
  <si>
    <t>9786589570110</t>
  </si>
  <si>
    <t>19510564000100</t>
  </si>
  <si>
    <t>IMLE0000301009P230301000000</t>
  </si>
  <si>
    <t>1009L23000030LE</t>
  </si>
  <si>
    <t>9786588515167</t>
  </si>
  <si>
    <t>04381586000132</t>
  </si>
  <si>
    <t>IMLE0000300597P230301000000</t>
  </si>
  <si>
    <t>0597L23000030LE</t>
  </si>
  <si>
    <t>9786599600371</t>
  </si>
  <si>
    <t>41770619000162</t>
  </si>
  <si>
    <t>IMLE0000301153P230301000000</t>
  </si>
  <si>
    <t>1153L23000030LE</t>
  </si>
  <si>
    <t>9786599509469</t>
  </si>
  <si>
    <t>03141251000184</t>
  </si>
  <si>
    <t>IMLE0000300556P230301000000</t>
  </si>
  <si>
    <t>0556L23000030LE</t>
  </si>
  <si>
    <t>9786586106497</t>
  </si>
  <si>
    <t>26552164000115</t>
  </si>
  <si>
    <t>IMLE0000300305P230301000000</t>
  </si>
  <si>
    <t>0305L23000030LE</t>
  </si>
  <si>
    <t>9786599418716</t>
  </si>
  <si>
    <t>25318985000129</t>
  </si>
  <si>
    <t>IMLE0000300971P230301000000</t>
  </si>
  <si>
    <t>0971L23000030LE</t>
  </si>
  <si>
    <t>9786587706092</t>
  </si>
  <si>
    <t>16581782000130</t>
  </si>
  <si>
    <t>IMLE0000300968P230301000000</t>
  </si>
  <si>
    <t>0968L23000030LE</t>
  </si>
  <si>
    <t>9786589748106</t>
  </si>
  <si>
    <t>43399193000108</t>
  </si>
  <si>
    <t>IMLE0000300470P230301000000</t>
  </si>
  <si>
    <t>0470L23000030LE</t>
  </si>
  <si>
    <t>9786599651427</t>
  </si>
  <si>
    <t>38062282000124</t>
  </si>
  <si>
    <t>IMLE0000301136P230301000000</t>
  </si>
  <si>
    <t>1136L23000030LE</t>
  </si>
  <si>
    <t>9786588429082</t>
  </si>
  <si>
    <t>24980572000142</t>
  </si>
  <si>
    <t>IMLE0000300598P230301000000</t>
  </si>
  <si>
    <t>0598L23000030LE</t>
  </si>
  <si>
    <t>9786589756101</t>
  </si>
  <si>
    <t>41128673000109</t>
  </si>
  <si>
    <t>IMLE0000300615P230301000000</t>
  </si>
  <si>
    <t>0615L23000030LE</t>
  </si>
  <si>
    <t>9786599607264</t>
  </si>
  <si>
    <t>76659820000909</t>
  </si>
  <si>
    <t>IMLE0000300784P230301000000</t>
  </si>
  <si>
    <t>0784L23000030LE</t>
  </si>
  <si>
    <t>9786589590125</t>
  </si>
  <si>
    <t>26042437000181</t>
  </si>
  <si>
    <t>IMLE0000300335P230301000000</t>
  </si>
  <si>
    <t>0335L23000030LE</t>
  </si>
  <si>
    <t>9786584596023</t>
  </si>
  <si>
    <t>51165736000150</t>
  </si>
  <si>
    <t>IMLE0000300403P230301000000</t>
  </si>
  <si>
    <t>0403L23000030LE</t>
  </si>
  <si>
    <t>9786588462003</t>
  </si>
  <si>
    <t>57303356000111</t>
  </si>
  <si>
    <t>IMLE0000300655P230301000000</t>
  </si>
  <si>
    <t>0655L23000030LE</t>
  </si>
  <si>
    <t>9786555960716</t>
  </si>
  <si>
    <t>33223737000122</t>
  </si>
  <si>
    <t>IMLE0000301360P230301000000</t>
  </si>
  <si>
    <t>1360L23000030LE</t>
  </si>
  <si>
    <t>9786599583667</t>
  </si>
  <si>
    <t>48764955000141</t>
  </si>
  <si>
    <t>IMLE0000300438P230301000000</t>
  </si>
  <si>
    <t>0438L23000030LE</t>
  </si>
  <si>
    <t>9786599399282</t>
  </si>
  <si>
    <t>05691820000190</t>
  </si>
  <si>
    <t>IMLE0000300865P230301000000</t>
  </si>
  <si>
    <t>0865L23000030LE</t>
  </si>
  <si>
    <t>9786555244779</t>
  </si>
  <si>
    <t>14607890000109</t>
  </si>
  <si>
    <t>IMLE0000300996P230301000000</t>
  </si>
  <si>
    <t>0996L23000030LE</t>
  </si>
  <si>
    <t>9786589375081</t>
  </si>
  <si>
    <t>10451910000144</t>
  </si>
  <si>
    <t>IMLE0000300605P230301000000</t>
  </si>
  <si>
    <t>0605L23000030LE</t>
  </si>
  <si>
    <t>9788581980300</t>
  </si>
  <si>
    <t>17423457000101</t>
  </si>
  <si>
    <t>IMLE0000301155P230301000000</t>
  </si>
  <si>
    <t>1155L23000030LE</t>
  </si>
  <si>
    <t>9786588968147</t>
  </si>
  <si>
    <t>10850293000150</t>
  </si>
  <si>
    <t>IMLE0000301300P230301000000</t>
  </si>
  <si>
    <t>1300L23000030LE</t>
  </si>
  <si>
    <t>9788595820135</t>
  </si>
  <si>
    <t>43886758000181</t>
  </si>
  <si>
    <t>IMLE0000301050P230301000000</t>
  </si>
  <si>
    <t>1050L23000030LE</t>
  </si>
  <si>
    <t>9786599683602</t>
  </si>
  <si>
    <t>35625006000139</t>
  </si>
  <si>
    <t>IMLE0000300568P230301000000</t>
  </si>
  <si>
    <t>0568L23000030LE</t>
  </si>
  <si>
    <t>9786586987553</t>
  </si>
  <si>
    <t>17243015000183</t>
  </si>
  <si>
    <t>IMLE0000301023P230301000000</t>
  </si>
  <si>
    <t>1023L23000030LE</t>
  </si>
  <si>
    <t>9786586023206</t>
  </si>
  <si>
    <t>41324895000105</t>
  </si>
  <si>
    <t>IMLE0000300621P230301000000</t>
  </si>
  <si>
    <t>0621L23000030LE</t>
  </si>
  <si>
    <t>9786599637223</t>
  </si>
  <si>
    <t>33324484000183</t>
  </si>
  <si>
    <t>IMLE0000300371P230301000000</t>
  </si>
  <si>
    <t>0371L23000030LE</t>
  </si>
  <si>
    <t>9786556403670</t>
  </si>
  <si>
    <t>43679732000162</t>
  </si>
  <si>
    <t>IMLE0000300935P230301000000</t>
  </si>
  <si>
    <t>0935L23000030LE</t>
  </si>
  <si>
    <t>9786599696923</t>
  </si>
  <si>
    <t>36715717000167</t>
  </si>
  <si>
    <t>IMLE0000301294P230301000000</t>
  </si>
  <si>
    <t>1294L23000030LE</t>
  </si>
  <si>
    <t>9786588432198</t>
  </si>
  <si>
    <t>42150493000196</t>
  </si>
  <si>
    <t>IMLE0000300365P230301000000</t>
  </si>
  <si>
    <t>0365L23000030LE</t>
  </si>
  <si>
    <t>9788500506451</t>
  </si>
  <si>
    <t>43886880000158</t>
  </si>
  <si>
    <t>IMLE0000301077P230301000000</t>
  </si>
  <si>
    <t>1077L23000030LE</t>
  </si>
  <si>
    <t>9786599689437</t>
  </si>
  <si>
    <t>43596844000150</t>
  </si>
  <si>
    <t>IMLE0000301135P230301000000</t>
  </si>
  <si>
    <t>1135L23000030LE</t>
  </si>
  <si>
    <t>9786599699221</t>
  </si>
  <si>
    <t>05662397000109</t>
  </si>
  <si>
    <t>IMLE0000301092P230301000000</t>
  </si>
  <si>
    <t>1092L23000030LE</t>
  </si>
  <si>
    <t>9786589643128</t>
  </si>
  <si>
    <t>17224171000105</t>
  </si>
  <si>
    <t>IMLE0000300793P230301000000</t>
  </si>
  <si>
    <t>0793L23000030LE</t>
  </si>
  <si>
    <t>9786589691105</t>
  </si>
  <si>
    <t>32455455000198</t>
  </si>
  <si>
    <t>IMLE0000300769P230301000000</t>
  </si>
  <si>
    <t>0769L23000030LE</t>
  </si>
  <si>
    <t>9786599403989</t>
  </si>
  <si>
    <t>40498499000123</t>
  </si>
  <si>
    <t>IMLE0000300815P230301000000</t>
  </si>
  <si>
    <t>0815L23000030LE</t>
  </si>
  <si>
    <t>9786599588570</t>
  </si>
  <si>
    <t>04469280000132</t>
  </si>
  <si>
    <t>IMLE0000300782P230301000000</t>
  </si>
  <si>
    <t>0782L23000030LE</t>
  </si>
  <si>
    <t>9786599426759</t>
  </si>
  <si>
    <t>20513288000105</t>
  </si>
  <si>
    <t>IMLE0000301019P230301000000</t>
  </si>
  <si>
    <t>1019L23000030LE</t>
  </si>
  <si>
    <t>9786599670152</t>
  </si>
  <si>
    <t>43401056000160</t>
  </si>
  <si>
    <t>IMLE0000301163P230301000000</t>
  </si>
  <si>
    <t>1163L23000030LE</t>
  </si>
  <si>
    <t>9786599699436</t>
  </si>
  <si>
    <t>48181754000111</t>
  </si>
  <si>
    <t>IMLE0000300496P230301000000</t>
  </si>
  <si>
    <t>0496L23000030LE</t>
  </si>
  <si>
    <t>9786556501062</t>
  </si>
  <si>
    <t>43596427000107</t>
  </si>
  <si>
    <t>IMLE0000301134P230301000000</t>
  </si>
  <si>
    <t>1134L23000030LE</t>
  </si>
  <si>
    <t>9786599699504</t>
  </si>
  <si>
    <t>05699378000149</t>
  </si>
  <si>
    <t>IMLE0000300325P230301000000</t>
  </si>
  <si>
    <t>0325L23000030LE</t>
  </si>
  <si>
    <t>9786557444184</t>
  </si>
  <si>
    <t>34942587000170</t>
  </si>
  <si>
    <t>IMLE0000300536P230301000000</t>
  </si>
  <si>
    <t>0536L23000030LE</t>
  </si>
  <si>
    <t>9786589760047</t>
  </si>
  <si>
    <t>28140085000122</t>
  </si>
  <si>
    <t>IMLE0000300840P230301000000</t>
  </si>
  <si>
    <t>0840L23000030LE</t>
  </si>
  <si>
    <t>9786599364280</t>
  </si>
  <si>
    <t>17077754000142</t>
  </si>
  <si>
    <t>IMLE0000300956P230301000000</t>
  </si>
  <si>
    <t>0956L23000030LE</t>
  </si>
  <si>
    <t>9788566390285</t>
  </si>
  <si>
    <t>34942671000193</t>
  </si>
  <si>
    <t>IMLE0000300540P230301000000</t>
  </si>
  <si>
    <t>0540L23000030LE</t>
  </si>
  <si>
    <t>9786586628302</t>
  </si>
  <si>
    <t>43733348000109</t>
  </si>
  <si>
    <t>IMLE0000301289P230301000000</t>
  </si>
  <si>
    <t>1289L23000030LE</t>
  </si>
  <si>
    <t>9786599707025</t>
  </si>
  <si>
    <t>44551280000100</t>
  </si>
  <si>
    <t>IMLE0000301203P230301000000</t>
  </si>
  <si>
    <t>1203L23000030LE</t>
  </si>
  <si>
    <t>9786599687808</t>
  </si>
  <si>
    <t>04841583000134</t>
  </si>
  <si>
    <t>IMLE0000300393P230301000000</t>
  </si>
  <si>
    <t>0393L23000030LE</t>
  </si>
  <si>
    <t>9786599414794</t>
  </si>
  <si>
    <t>40716749000154</t>
  </si>
  <si>
    <t>IMLE0000300671P230301000000</t>
  </si>
  <si>
    <t>0671L23000030LE</t>
  </si>
  <si>
    <t>9786599380167</t>
  </si>
  <si>
    <t>43967359000145</t>
  </si>
  <si>
    <t>IMLE0000300722P230301000000</t>
  </si>
  <si>
    <t>0722L23000030LE</t>
  </si>
  <si>
    <t>9786584578043</t>
  </si>
  <si>
    <t>28691971000144</t>
  </si>
  <si>
    <t>IMLE0000300676P230301000000</t>
  </si>
  <si>
    <t>0676L23000030LE</t>
  </si>
  <si>
    <t>9786589702085</t>
  </si>
  <si>
    <t>43398466000108</t>
  </si>
  <si>
    <t>IMLE0000300449P230301000000</t>
  </si>
  <si>
    <t>0449L23000030LE</t>
  </si>
  <si>
    <t>9786599650802</t>
  </si>
  <si>
    <t>13365582000151</t>
  </si>
  <si>
    <t>IMLE0000300607P230301000000</t>
  </si>
  <si>
    <t>0607L23000030LE</t>
  </si>
  <si>
    <t>9786589390084</t>
  </si>
  <si>
    <t>15745207000162</t>
  </si>
  <si>
    <t>IMLE0000301222P230301000000</t>
  </si>
  <si>
    <t>1222L23000030LE</t>
  </si>
  <si>
    <t>9786589720157</t>
  </si>
  <si>
    <t>26572074000196</t>
  </si>
  <si>
    <t>IMLE0000300791P230301000000</t>
  </si>
  <si>
    <t>0791L23000030LE</t>
  </si>
  <si>
    <t>9786599563331</t>
  </si>
  <si>
    <t>40150650000138</t>
  </si>
  <si>
    <t>IMLE0000300367P230301000000</t>
  </si>
  <si>
    <t>0367L23000030LE</t>
  </si>
  <si>
    <t>9786589507079</t>
  </si>
  <si>
    <t>61353579000160</t>
  </si>
  <si>
    <t>IMLE0000300566P230301000000</t>
  </si>
  <si>
    <t>0566L23000030LE</t>
  </si>
  <si>
    <t>9786558380405</t>
  </si>
  <si>
    <t>07427434000111</t>
  </si>
  <si>
    <t>IMLE0000300474P230301000000</t>
  </si>
  <si>
    <t>0474L23000030LE</t>
  </si>
  <si>
    <t>9786589870043</t>
  </si>
  <si>
    <t>43889593000100</t>
  </si>
  <si>
    <t>IMLE0000301062P230301000000</t>
  </si>
  <si>
    <t>1062L23000030LE</t>
  </si>
  <si>
    <t>9786599699320</t>
  </si>
  <si>
    <t>43590634000154</t>
  </si>
  <si>
    <t>IMLE0000300870P230301000000</t>
  </si>
  <si>
    <t>0870L23000030LE</t>
  </si>
  <si>
    <t>9786599684401</t>
  </si>
  <si>
    <t>43886684000183</t>
  </si>
  <si>
    <t>IMLE0000301071P230301000000</t>
  </si>
  <si>
    <t>1071L23000030LE</t>
  </si>
  <si>
    <t>9786599687433</t>
  </si>
  <si>
    <t>IMLE0000300694P230301000000</t>
  </si>
  <si>
    <t>0694L23000030LE</t>
  </si>
  <si>
    <t>9788516096441</t>
  </si>
  <si>
    <t>67880237000185</t>
  </si>
  <si>
    <t>IMLE0000301304P230301000000</t>
  </si>
  <si>
    <t>1304L23000030LE</t>
  </si>
  <si>
    <t>9786586189841</t>
  </si>
  <si>
    <t>43886920000161</t>
  </si>
  <si>
    <t>IMLE0000301079P230301000000</t>
  </si>
  <si>
    <t>1079L23000030LE</t>
  </si>
  <si>
    <t>9786599693014</t>
  </si>
  <si>
    <t>42444703000159</t>
  </si>
  <si>
    <t>IMLE0000300547P230301000000</t>
  </si>
  <si>
    <t>0547L23000030LE</t>
  </si>
  <si>
    <t>9786555321890</t>
  </si>
  <si>
    <t>55789390000112</t>
  </si>
  <si>
    <t>IMLE0000300503P230301000000</t>
  </si>
  <si>
    <t>0503L23000030LE</t>
  </si>
  <si>
    <t>9786559212521</t>
  </si>
  <si>
    <t>14441880000146</t>
  </si>
  <si>
    <t>IMLE0000300797P230301000000</t>
  </si>
  <si>
    <t>0797L23000030LE</t>
  </si>
  <si>
    <t>9786589686217</t>
  </si>
  <si>
    <t>IMLE0000200326P230302000000</t>
  </si>
  <si>
    <t>0326L23000020LE</t>
  </si>
  <si>
    <t>9786557444160</t>
  </si>
  <si>
    <t>01566241000165</t>
  </si>
  <si>
    <t>IMLE0000301215P230301000000</t>
  </si>
  <si>
    <t>1215L23000030LE</t>
  </si>
  <si>
    <t>9788594311313</t>
  </si>
  <si>
    <t>07028685000123</t>
  </si>
  <si>
    <t>IMLE0000300445P230301000000</t>
  </si>
  <si>
    <t>0445L23000030LE</t>
  </si>
  <si>
    <t>9786589011323</t>
  </si>
  <si>
    <t>03889967000164</t>
  </si>
  <si>
    <t>IMLE0000300730P230301000000</t>
  </si>
  <si>
    <t>0730L23000030LE</t>
  </si>
  <si>
    <t>9786599701603</t>
  </si>
  <si>
    <t>30438629000189</t>
  </si>
  <si>
    <t>IMLE0000300982P230301000000</t>
  </si>
  <si>
    <t>0982L23000030LE</t>
  </si>
  <si>
    <t>9786599660801</t>
  </si>
  <si>
    <t>06181304000189</t>
  </si>
  <si>
    <t>IMLE0000300347P230301000000</t>
  </si>
  <si>
    <t>0347L23000030LE</t>
  </si>
  <si>
    <t>9786589943280</t>
  </si>
  <si>
    <t>30958611000108</t>
  </si>
  <si>
    <t>IMLE0000300779P230301000000</t>
  </si>
  <si>
    <t>0779L23000030LE</t>
  </si>
  <si>
    <t>9786599421853</t>
  </si>
  <si>
    <t>04486030000100</t>
  </si>
  <si>
    <t>IMLE0000301044P230301000000</t>
  </si>
  <si>
    <t>1044L23000030LE</t>
  </si>
  <si>
    <t>9786599210853</t>
  </si>
  <si>
    <t>41052508000110</t>
  </si>
  <si>
    <t>IMLE0000300966P230301000000</t>
  </si>
  <si>
    <t>0966L23000030LE</t>
  </si>
  <si>
    <t>9786584665019</t>
  </si>
  <si>
    <t>05029936000169</t>
  </si>
  <si>
    <t>IMLE0000300767P230301000000</t>
  </si>
  <si>
    <t>0767L23000030LE</t>
  </si>
  <si>
    <t>9786584600072</t>
  </si>
  <si>
    <t>29055287000139</t>
  </si>
  <si>
    <t>IMLE0000300861P230301000000</t>
  </si>
  <si>
    <t>0861L23000030LE</t>
  </si>
  <si>
    <t>9786599607059</t>
  </si>
  <si>
    <t>39892993000199</t>
  </si>
  <si>
    <t>IMLE0000300754P230301000000</t>
  </si>
  <si>
    <t>0754L23000030LE</t>
  </si>
  <si>
    <t>9786599661600</t>
  </si>
  <si>
    <t>30308862000147</t>
  </si>
  <si>
    <t>IMLE0000300643P230301000000</t>
  </si>
  <si>
    <t>0643L23000030LE</t>
  </si>
  <si>
    <t>9786584595002</t>
  </si>
  <si>
    <t>IMLE0000300688P230301000000</t>
  </si>
  <si>
    <t>0688L23000030LE</t>
  </si>
  <si>
    <t>9786557950180</t>
  </si>
  <si>
    <t>12708358000152</t>
  </si>
  <si>
    <t>IMLE0000300424P230301000000</t>
  </si>
  <si>
    <t>0424L23000030LE</t>
  </si>
  <si>
    <t>9786589610106</t>
  </si>
  <si>
    <t>23967256000178</t>
  </si>
  <si>
    <t>IMLE0000300744P230301000000</t>
  </si>
  <si>
    <t>0744L23000030LE</t>
  </si>
  <si>
    <t>9786586836134</t>
  </si>
  <si>
    <t>15194990000113</t>
  </si>
  <si>
    <t>IMLE0000300992P230301000000</t>
  </si>
  <si>
    <t>0992L23000030LE</t>
  </si>
  <si>
    <t>9786589964384</t>
  </si>
  <si>
    <t>03679715000100</t>
  </si>
  <si>
    <t>IMLE0000300576P230301000000</t>
  </si>
  <si>
    <t>0576L23000030LE</t>
  </si>
  <si>
    <t>9786559240524</t>
  </si>
  <si>
    <t>IMLE0000200569P230302000000</t>
  </si>
  <si>
    <t>0569L23000020LE</t>
  </si>
  <si>
    <t>9786586987591</t>
  </si>
  <si>
    <t>20635692000151</t>
  </si>
  <si>
    <t>IMLE0000301017P230301000000</t>
  </si>
  <si>
    <t>1017L23000030LE</t>
  </si>
  <si>
    <t>9786584619005</t>
  </si>
  <si>
    <t>44290594000198</t>
  </si>
  <si>
    <t>IMLE0000301132P230301000000</t>
  </si>
  <si>
    <t>1132L23000030LE</t>
  </si>
  <si>
    <t>9786599701009</t>
  </si>
  <si>
    <t>09369104000142</t>
  </si>
  <si>
    <t>IMLE0000300572P230301000000</t>
  </si>
  <si>
    <t>0572L23000030LE</t>
  </si>
  <si>
    <t>9786588406083</t>
  </si>
  <si>
    <t>03763864000153</t>
  </si>
  <si>
    <t>IMLE0000300519P230301000000</t>
  </si>
  <si>
    <t>0519L23000030LE</t>
  </si>
  <si>
    <t>9786586719888</t>
  </si>
  <si>
    <t>21919164000197</t>
  </si>
  <si>
    <t>IMLE0000300795P230301000000</t>
  </si>
  <si>
    <t>0795L23000030LE</t>
  </si>
  <si>
    <t>9788554142445</t>
  </si>
  <si>
    <t>05334627000100</t>
  </si>
  <si>
    <t>IMLE0000300803P230301000000</t>
  </si>
  <si>
    <t>0803L23000030LE</t>
  </si>
  <si>
    <t>9786589603108</t>
  </si>
  <si>
    <t>23622907000198</t>
  </si>
  <si>
    <t>IMLE0000301234P230301000000</t>
  </si>
  <si>
    <t>1234L23000030LE</t>
  </si>
  <si>
    <t>9786599506581</t>
  </si>
  <si>
    <t>22520538000160</t>
  </si>
  <si>
    <t>IMLE0000300345P230301000000</t>
  </si>
  <si>
    <t>0345L23000030LE</t>
  </si>
  <si>
    <t>9786589582113</t>
  </si>
  <si>
    <t>15917097000179</t>
  </si>
  <si>
    <t>IMLE0000300878P230301000000</t>
  </si>
  <si>
    <t>0878L23000030LE</t>
  </si>
  <si>
    <t>9786589703136</t>
  </si>
  <si>
    <t>03002018000110</t>
  </si>
  <si>
    <t>IMLE0000300617P230301000000</t>
  </si>
  <si>
    <t>0617L23000030LE</t>
  </si>
  <si>
    <t>9786599437274</t>
  </si>
  <si>
    <t>87639761000176</t>
  </si>
  <si>
    <t>IMLE0000300501P230301000000</t>
  </si>
  <si>
    <t>0501L23000030LE</t>
  </si>
  <si>
    <t>9786557500408</t>
  </si>
  <si>
    <t>41150203000141</t>
  </si>
  <si>
    <t>IMLE0000300419P230301000000</t>
  </si>
  <si>
    <t>0419L23000030LE</t>
  </si>
  <si>
    <t>9786589900078</t>
  </si>
  <si>
    <t>05665954000137</t>
  </si>
  <si>
    <t>IMLE0000301310P230301000000</t>
  </si>
  <si>
    <t>1310L23000030LE</t>
  </si>
  <si>
    <t>9788569523123</t>
  </si>
  <si>
    <t>60444098000106</t>
  </si>
  <si>
    <t>IMLE0000301271P230301000000</t>
  </si>
  <si>
    <t>1271L23000030LE</t>
  </si>
  <si>
    <t>9786556581507</t>
  </si>
  <si>
    <t>38746038000180</t>
  </si>
  <si>
    <t>IMLE0000300720P230301000000</t>
  </si>
  <si>
    <t>0720L23000030LE</t>
  </si>
  <si>
    <t>9786586553680</t>
  </si>
  <si>
    <t>22769449000151</t>
  </si>
  <si>
    <t>IMLE0000301248P230301000000</t>
  </si>
  <si>
    <t>1248L23000030LE</t>
  </si>
  <si>
    <t>9786587269610</t>
  </si>
  <si>
    <t>06368396000100</t>
  </si>
  <si>
    <t>IMLE0000300472P230301000000</t>
  </si>
  <si>
    <t>0472L23000030LE</t>
  </si>
  <si>
    <t>9786588334058</t>
  </si>
  <si>
    <t>17629943000180</t>
  </si>
  <si>
    <t>IMLE0000300813P230301000000</t>
  </si>
  <si>
    <t>0813L23000030LE</t>
  </si>
  <si>
    <t>9786588899212</t>
  </si>
  <si>
    <t>06301273000152</t>
  </si>
  <si>
    <t>IMLE0000300831P230301000000</t>
  </si>
  <si>
    <t>0831L23000030LE</t>
  </si>
  <si>
    <t>9786586610369</t>
  </si>
  <si>
    <t>43885564000161</t>
  </si>
  <si>
    <t>IMLE0000301053P230301000000</t>
  </si>
  <si>
    <t>1053L23000030LE</t>
  </si>
  <si>
    <t>9786599683817</t>
  </si>
  <si>
    <t>03242250000126</t>
  </si>
  <si>
    <t>IMLE0000201209P230302000000</t>
  </si>
  <si>
    <t>1209L23000020LE</t>
  </si>
  <si>
    <t>9786587883205</t>
  </si>
  <si>
    <t>44461836000169</t>
  </si>
  <si>
    <t>IMLE0000300724P230301000000</t>
  </si>
  <si>
    <t>0724L23000030LE</t>
  </si>
  <si>
    <t>9786584631007</t>
  </si>
  <si>
    <t>60657574000169</t>
  </si>
  <si>
    <t>IMLE0000300574P230301000000</t>
  </si>
  <si>
    <t>0574L23000030LE</t>
  </si>
  <si>
    <t>9788510088084</t>
  </si>
  <si>
    <t xml:space="preserve"> VÁRIAS MANEIRAS DE AMAR</t>
  </si>
  <si>
    <t>29779071000116</t>
  </si>
  <si>
    <t>IMLE0000301217P230301000000</t>
  </si>
  <si>
    <t>1217L23000030LE</t>
  </si>
  <si>
    <t>9786599454875</t>
  </si>
  <si>
    <t>43395594000190</t>
  </si>
  <si>
    <t>IMLE0000300918P230301000000</t>
  </si>
  <si>
    <t>0918L23000030LE</t>
  </si>
  <si>
    <t>9786599701504</t>
  </si>
  <si>
    <t>89840797000149</t>
  </si>
  <si>
    <t>IMLE0000300761P230301000000</t>
  </si>
  <si>
    <t>0761L23000030LE</t>
  </si>
  <si>
    <t>9786599483257</t>
  </si>
  <si>
    <t>44301154000199</t>
  </si>
  <si>
    <t>IMLE0000300857P230301000000</t>
  </si>
  <si>
    <t>0857L23000030LE</t>
  </si>
  <si>
    <t>9786584617070</t>
  </si>
  <si>
    <t>24928521000171</t>
  </si>
  <si>
    <t>IMLE0000300421P230301000000</t>
  </si>
  <si>
    <t>0421L23000030LE</t>
  </si>
  <si>
    <t>9786599621420</t>
  </si>
  <si>
    <t>39910196000197</t>
  </si>
  <si>
    <t>IMLE0000301029P230301000000</t>
  </si>
  <si>
    <t>1029L23000030LE</t>
  </si>
  <si>
    <t>9786599677403</t>
  </si>
  <si>
    <t>40978320000135</t>
  </si>
  <si>
    <t>IMLE0000300614P230301000000</t>
  </si>
  <si>
    <t>0614L23000030LE</t>
  </si>
  <si>
    <t>9786599412769</t>
  </si>
  <si>
    <t>22344103000101</t>
  </si>
  <si>
    <t>IMLE0000300553P230301000000</t>
  </si>
  <si>
    <t>0553L23000030LE</t>
  </si>
  <si>
    <t>9788592874261</t>
  </si>
  <si>
    <t>26640857000160</t>
  </si>
  <si>
    <t>IMLE0000301111P230301000000</t>
  </si>
  <si>
    <t>1111L23000030LE</t>
  </si>
  <si>
    <t>9788594228130</t>
  </si>
  <si>
    <t>34107283000197</t>
  </si>
  <si>
    <t>IMLE0000300751P230301000000</t>
  </si>
  <si>
    <t>0751L23000030LE</t>
  </si>
  <si>
    <t>9786588749166</t>
  </si>
  <si>
    <t>44228811000110</t>
  </si>
  <si>
    <t>IMLE0000301244P230301000000</t>
  </si>
  <si>
    <t>1244L23000030LE</t>
  </si>
  <si>
    <t>9786584640016</t>
  </si>
  <si>
    <t>44299936000130</t>
  </si>
  <si>
    <t>IMLE0000300873P230301000000</t>
  </si>
  <si>
    <t>0873L23000030LE</t>
  </si>
  <si>
    <t>9786584618084</t>
  </si>
  <si>
    <t>13369698000169</t>
  </si>
  <si>
    <t>IMLE0000300564P230301000000</t>
  </si>
  <si>
    <t>0564L23000030LE</t>
  </si>
  <si>
    <t>9786589149088</t>
  </si>
  <si>
    <t>16675449000190</t>
  </si>
  <si>
    <t>IMLE0000301139P230301000000</t>
  </si>
  <si>
    <t>1139L23000030LE</t>
  </si>
  <si>
    <t>9786588618196</t>
  </si>
  <si>
    <t>38729243000138</t>
  </si>
  <si>
    <t>IMLE0000300618P230301000000</t>
  </si>
  <si>
    <t>0618L23000030LE</t>
  </si>
  <si>
    <t>9786589752103</t>
  </si>
  <si>
    <t>08783720000182</t>
  </si>
  <si>
    <t>IMLE0000300645P230301000000</t>
  </si>
  <si>
    <t>0645L23000030LE</t>
  </si>
  <si>
    <t>9786599175985</t>
  </si>
  <si>
    <t>IMLE0000200565P230302000000</t>
  </si>
  <si>
    <t>0565L23000020LE</t>
  </si>
  <si>
    <t>9786589149095</t>
  </si>
  <si>
    <t>20113474000157</t>
  </si>
  <si>
    <t>IMLE0000300753P230301000000</t>
  </si>
  <si>
    <t>0753L23000030LE</t>
  </si>
  <si>
    <t>9786599389641</t>
  </si>
  <si>
    <t>08190813000101</t>
  </si>
  <si>
    <t>IMLE0000300444P230301000000</t>
  </si>
  <si>
    <t>0444L23000030LE</t>
  </si>
  <si>
    <t>9786556895086</t>
  </si>
  <si>
    <t>10588186000103</t>
  </si>
  <si>
    <t>IMLE0000300670P230301000000</t>
  </si>
  <si>
    <t>0670L23000030LE</t>
  </si>
  <si>
    <t>9786589586197</t>
  </si>
  <si>
    <t>07458677000117</t>
  </si>
  <si>
    <t>IMLE0000300807P230301000000</t>
  </si>
  <si>
    <t>0807L23000030LE</t>
  </si>
  <si>
    <t>9786586881721</t>
  </si>
  <si>
    <t>07621905000128</t>
  </si>
  <si>
    <t>IMLE0000301089P230301000000</t>
  </si>
  <si>
    <t>1089L23000030LE</t>
  </si>
  <si>
    <t>9786589570127</t>
  </si>
  <si>
    <t>36544630000174</t>
  </si>
  <si>
    <t>IMLE0000300880P230301000000</t>
  </si>
  <si>
    <t>0880L23000030LE</t>
  </si>
  <si>
    <t>9786584604001</t>
  </si>
  <si>
    <t>06222172000196</t>
  </si>
  <si>
    <t>IMLE0000301242P230301000000</t>
  </si>
  <si>
    <t>1242L23000030LE</t>
  </si>
  <si>
    <t>9786559491858</t>
  </si>
  <si>
    <t>29840561000180</t>
  </si>
  <si>
    <t>IMLE0000300538P230301000000</t>
  </si>
  <si>
    <t>0538L23000030LE</t>
  </si>
  <si>
    <t>9786556431598</t>
  </si>
  <si>
    <t>05971897000114</t>
  </si>
  <si>
    <t>IMLE0000300490P230301000000</t>
  </si>
  <si>
    <t>0490L23000030LE</t>
  </si>
  <si>
    <t>9786599519758</t>
  </si>
  <si>
    <t>08652668000125</t>
  </si>
  <si>
    <t>IMLE0000300488P230301000000</t>
  </si>
  <si>
    <t>0488L23000030LE</t>
  </si>
  <si>
    <t>9786557500361</t>
  </si>
  <si>
    <t>04839149000110</t>
  </si>
  <si>
    <t>IMLE0000300551P230301000000</t>
  </si>
  <si>
    <t>0551L23000030LE</t>
  </si>
  <si>
    <t>9786557121757</t>
  </si>
  <si>
    <t>22057261000180</t>
  </si>
  <si>
    <t>IMLE0000300827P230301000000</t>
  </si>
  <si>
    <t>0827L23000030LE</t>
  </si>
  <si>
    <t>9786588894132</t>
  </si>
  <si>
    <t>42601676000180</t>
  </si>
  <si>
    <t>IMLE0000300777P230301000000</t>
  </si>
  <si>
    <t>0777L23000030LE</t>
  </si>
  <si>
    <t>9786599569944</t>
  </si>
  <si>
    <t>50587930000161</t>
  </si>
  <si>
    <t>IMLE0000301126P230301000000</t>
  </si>
  <si>
    <t>1126L23000030LE</t>
  </si>
  <si>
    <t>9786557480267</t>
  </si>
  <si>
    <t>43597809000155</t>
  </si>
  <si>
    <t>IMLE0000300875P230301000000</t>
  </si>
  <si>
    <t>0875L23000030LE</t>
  </si>
  <si>
    <t>9786599684203</t>
  </si>
  <si>
    <t>30910272000190</t>
  </si>
  <si>
    <t>IMLE0000300899P230301000000</t>
  </si>
  <si>
    <t>0899L23000030LE</t>
  </si>
  <si>
    <t>9786589696087</t>
  </si>
  <si>
    <t>43414185000193</t>
  </si>
  <si>
    <t>IMLE0000301192P230301000000</t>
  </si>
  <si>
    <t>1192L23000030LE</t>
  </si>
  <si>
    <t>9786599698125</t>
  </si>
  <si>
    <t>58122318000125</t>
  </si>
  <si>
    <t>IMLE0000301349P230301000000</t>
  </si>
  <si>
    <t>1349L23000030LE</t>
  </si>
  <si>
    <t>9786555191400</t>
  </si>
  <si>
    <t>40190109000153</t>
  </si>
  <si>
    <t>IMLE0000300460P230301000000</t>
  </si>
  <si>
    <t>0460L23000030LE</t>
  </si>
  <si>
    <t>9786584582033</t>
  </si>
  <si>
    <t>19962101000171</t>
  </si>
  <si>
    <t>IMLE0000300447P230301000000</t>
  </si>
  <si>
    <t>0447L23000030LE</t>
  </si>
  <si>
    <t>9786589607106</t>
  </si>
  <si>
    <t>15406723000162</t>
  </si>
  <si>
    <t>IMLE0000300780P230301000000</t>
  </si>
  <si>
    <t>0780L23000030LE</t>
  </si>
  <si>
    <t>9786588893234</t>
  </si>
  <si>
    <t>43886823000179</t>
  </si>
  <si>
    <t>IMLE0000301075P230301000000</t>
  </si>
  <si>
    <t>1075L23000030LE</t>
  </si>
  <si>
    <t>9786599687235</t>
  </si>
  <si>
    <t>35288052000190</t>
  </si>
  <si>
    <t>IMLE0000301347P230301000000</t>
  </si>
  <si>
    <t>1347L23000030LE</t>
  </si>
  <si>
    <t>9786589829096</t>
  </si>
  <si>
    <t>04521975000116</t>
  </si>
  <si>
    <t>IMLE0000301210P230301000000</t>
  </si>
  <si>
    <t>1210L23000030LE</t>
  </si>
  <si>
    <t>9786588098165</t>
  </si>
  <si>
    <t>06982873000123</t>
  </si>
  <si>
    <t>IMLE0000300586P230301000000</t>
  </si>
  <si>
    <t>0586L23000030LE</t>
  </si>
  <si>
    <t>9786589923343</t>
  </si>
  <si>
    <t>205x135</t>
  </si>
  <si>
    <t>32171775000116</t>
  </si>
  <si>
    <t>IMLE0000300749P230301000000</t>
  </si>
  <si>
    <t>0749L23000030LE</t>
  </si>
  <si>
    <t>9786599403798</t>
  </si>
  <si>
    <t>30581245000110</t>
  </si>
  <si>
    <t>IMLE0000300888P230301000000</t>
  </si>
  <si>
    <t>0888L23000030LE</t>
  </si>
  <si>
    <t>9786599675614</t>
  </si>
  <si>
    <t>33967775000190</t>
  </si>
  <si>
    <t>IMLE0000300986P230301000000</t>
  </si>
  <si>
    <t>0986L23000030LE</t>
  </si>
  <si>
    <t>9786588437957</t>
  </si>
  <si>
    <t>61016028000101</t>
  </si>
  <si>
    <t>IMLE0000300801P230301000000</t>
  </si>
  <si>
    <t>0801L23000030LE</t>
  </si>
  <si>
    <t>9786556961989</t>
  </si>
  <si>
    <t>00558458000160</t>
  </si>
  <si>
    <t>IMLE0000300333P230301000000</t>
  </si>
  <si>
    <t>0333L23000030LE</t>
  </si>
  <si>
    <t>9786557171172</t>
  </si>
  <si>
    <t>18163837000117</t>
  </si>
  <si>
    <t>IMLE0000300848P230301000000</t>
  </si>
  <si>
    <t>0848L23000030LE</t>
  </si>
  <si>
    <t>9786588814147</t>
  </si>
  <si>
    <t>60730108000161</t>
  </si>
  <si>
    <t>IMLE0000300863P230301000000</t>
  </si>
  <si>
    <t>0863L23000030LE</t>
  </si>
  <si>
    <t>9786588541098</t>
  </si>
  <si>
    <t>29984148000190</t>
  </si>
  <si>
    <t>IMLE0000300906P230301000000</t>
  </si>
  <si>
    <t>0906L23000030LE</t>
  </si>
  <si>
    <t>9786599399541</t>
  </si>
  <si>
    <t>32772685000180</t>
  </si>
  <si>
    <t>IMLE0000300709P230301000000</t>
  </si>
  <si>
    <t>0709L23000030LE</t>
  </si>
  <si>
    <t>9786584613003</t>
  </si>
  <si>
    <t>01106652000178</t>
  </si>
  <si>
    <t>IMLE0000300759P230301000000</t>
  </si>
  <si>
    <t>0759L23000030LE</t>
  </si>
  <si>
    <t>9786599500251</t>
  </si>
  <si>
    <t>24363832000130</t>
  </si>
  <si>
    <t>IMLE0000300916P230301000000</t>
  </si>
  <si>
    <t>0916L23000030LE</t>
  </si>
  <si>
    <t>9786589241010</t>
  </si>
  <si>
    <t>19270206000160</t>
  </si>
  <si>
    <t>IMLE0000300629P230301000000</t>
  </si>
  <si>
    <t>0629L23000030LE</t>
  </si>
  <si>
    <t>9786586437317</t>
  </si>
  <si>
    <t>43680812000138</t>
  </si>
  <si>
    <t>IMLE0000300937P230301000000</t>
  </si>
  <si>
    <t>0937L23000030LE</t>
  </si>
  <si>
    <t>9786599697302</t>
  </si>
  <si>
    <t>23515172000101</t>
  </si>
  <si>
    <t>IMLE0000301341P230301000000</t>
  </si>
  <si>
    <t>1341L23000030LE</t>
  </si>
  <si>
    <t>9786599494604</t>
  </si>
  <si>
    <t>38015511000150</t>
  </si>
  <si>
    <t>IMLE0000300517P230301000000</t>
  </si>
  <si>
    <t>0517L23000030LE</t>
  </si>
  <si>
    <t>9786588436219</t>
  </si>
  <si>
    <t>17172686000109</t>
  </si>
  <si>
    <t>IMLE0000300664P230301000000</t>
  </si>
  <si>
    <t>0664L23000030LE</t>
  </si>
  <si>
    <t>9786584704015</t>
  </si>
  <si>
    <t>38035167000160</t>
  </si>
  <si>
    <t>IMLE0000301049P230301000000</t>
  </si>
  <si>
    <t>1049L23000030LE</t>
  </si>
  <si>
    <t>9786588427095</t>
  </si>
  <si>
    <t>22622213000198</t>
  </si>
  <si>
    <t>IMLE0000300435P230301000000</t>
  </si>
  <si>
    <t>0435L23000030LE</t>
  </si>
  <si>
    <t>9786586749311</t>
  </si>
  <si>
    <t>42215469000198</t>
  </si>
  <si>
    <t>IMLE0000300631P230301000000</t>
  </si>
  <si>
    <t>0631L23000030LE</t>
  </si>
  <si>
    <t>9786599560361</t>
  </si>
  <si>
    <t>13391987000164</t>
  </si>
  <si>
    <t>IMLE0000301027P230301000000</t>
  </si>
  <si>
    <t>1027L23000030LE</t>
  </si>
  <si>
    <t>9788567357140</t>
  </si>
  <si>
    <t>02976033000105</t>
  </si>
  <si>
    <t>IMLE0000301118P230301000000</t>
  </si>
  <si>
    <t>1118L23000030LE</t>
  </si>
  <si>
    <t>9786586328486</t>
  </si>
  <si>
    <t>61101671000133</t>
  </si>
  <si>
    <t>IMLE0000300809P230301000000</t>
  </si>
  <si>
    <t>0809L23000030LE</t>
  </si>
  <si>
    <t>9786558810742</t>
  </si>
  <si>
    <t>07235888000190</t>
  </si>
  <si>
    <t>IMLE0000300958P230301000000</t>
  </si>
  <si>
    <t>0958L23000030LE</t>
  </si>
  <si>
    <t>9786588737590</t>
  </si>
  <si>
    <t>41325026000197</t>
  </si>
  <si>
    <t>IMLE0000300647P230301000000</t>
  </si>
  <si>
    <t>0647L23000030LE</t>
  </si>
  <si>
    <t>9786599637100</t>
  </si>
  <si>
    <t>04426447000188</t>
  </si>
  <si>
    <t>IMLE0000300357P230301000000</t>
  </si>
  <si>
    <t>0357L23000030LE</t>
  </si>
  <si>
    <t>9788500506390</t>
  </si>
  <si>
    <t>43885067000163</t>
  </si>
  <si>
    <t>IMLE0000301055P230301000000</t>
  </si>
  <si>
    <t>1055L23000030LE</t>
  </si>
  <si>
    <t>9786599687129</t>
  </si>
  <si>
    <t>43597131000100</t>
  </si>
  <si>
    <t>IMLE0000300868P230301000000</t>
  </si>
  <si>
    <t>0868L23000030LE</t>
  </si>
  <si>
    <t>9786599684111</t>
  </si>
  <si>
    <t>44221842000149</t>
  </si>
  <si>
    <t>IMLE0000300467P230301000000</t>
  </si>
  <si>
    <t>0467L23000030LE</t>
  </si>
  <si>
    <t>9786599662317</t>
  </si>
  <si>
    <t>43886578000108</t>
  </si>
  <si>
    <t>IMLE0000301065P230301000000</t>
  </si>
  <si>
    <t>1065L23000030LE</t>
  </si>
  <si>
    <t>9786599692802</t>
  </si>
  <si>
    <t>07213926000104</t>
  </si>
  <si>
    <t>IMLE0000300414P230301000000</t>
  </si>
  <si>
    <t>0414L23000030LE</t>
  </si>
  <si>
    <t>9786589583097</t>
  </si>
  <si>
    <t>IMLE0000300950P230301000000</t>
  </si>
  <si>
    <t>0950L23000030LE</t>
  </si>
  <si>
    <t>9786555605174</t>
  </si>
  <si>
    <t>03796758000176</t>
  </si>
  <si>
    <t>IMLE0000300660P230301000000</t>
  </si>
  <si>
    <t>0660L23000030LE</t>
  </si>
  <si>
    <t>9786555394993</t>
  </si>
  <si>
    <t>43597688000141</t>
  </si>
  <si>
    <t>IMLE0000301013P230301000000</t>
  </si>
  <si>
    <t>1013L23000030LE</t>
  </si>
  <si>
    <t>9786599656507</t>
  </si>
  <si>
    <t>43954175000140</t>
  </si>
  <si>
    <t>IMLE0000300825P230301000000</t>
  </si>
  <si>
    <t>0825L23000030LE</t>
  </si>
  <si>
    <t>9786599647512</t>
  </si>
  <si>
    <t>94602547000100</t>
  </si>
  <si>
    <t>IMLE0000301328P230301000000</t>
  </si>
  <si>
    <t>1328L23000030LE</t>
  </si>
  <si>
    <t>9786587299129</t>
  </si>
  <si>
    <t>43681610000100</t>
  </si>
  <si>
    <t>IMLE0000301279P230301000000</t>
  </si>
  <si>
    <t>1279L23000030LE</t>
  </si>
  <si>
    <t>9786599705328</t>
  </si>
  <si>
    <t>19962104000105</t>
  </si>
  <si>
    <t>IMLE0000300415P230301000000</t>
  </si>
  <si>
    <t>0415L23000030LE</t>
  </si>
  <si>
    <t>9786589608080</t>
  </si>
  <si>
    <t>34301964000191</t>
  </si>
  <si>
    <t>IMLE0000300303P230301000000</t>
  </si>
  <si>
    <t>0303L23000030LE</t>
  </si>
  <si>
    <t>9786599637339</t>
  </si>
  <si>
    <t>10689424000169</t>
  </si>
  <si>
    <t>IMLE0000301281P230301000000</t>
  </si>
  <si>
    <t>1281L23000030LE</t>
  </si>
  <si>
    <t>9788582771143</t>
  </si>
  <si>
    <t>O MONSTRO MONSTRUOSO DA CAVERNA CAVERNOSA</t>
  </si>
  <si>
    <t>06326033000102</t>
  </si>
  <si>
    <t>IMLE0000301232P230301000000</t>
  </si>
  <si>
    <t>1232L23000030LE</t>
  </si>
  <si>
    <t>9788565845380</t>
  </si>
  <si>
    <t>04696300000108</t>
  </si>
  <si>
    <t>IMLE0000301005P230301000000</t>
  </si>
  <si>
    <t>1005L23000030LE</t>
  </si>
  <si>
    <t>9786588514108</t>
  </si>
  <si>
    <t>43391349000104</t>
  </si>
  <si>
    <t>IMLE0000301120P230301000000</t>
  </si>
  <si>
    <t>1120L23000030LE</t>
  </si>
  <si>
    <t>9786599684838</t>
  </si>
  <si>
    <t>00802921000178</t>
  </si>
  <si>
    <t>IMLE0000301131P230301000000</t>
  </si>
  <si>
    <t>1131L23000030LE</t>
  </si>
  <si>
    <t>9786588430088</t>
  </si>
  <si>
    <t>19119918000182</t>
  </si>
  <si>
    <t>IMLE0000301314P230301000000</t>
  </si>
  <si>
    <t>1314L23000030LE</t>
  </si>
  <si>
    <t>9788567838182</t>
  </si>
  <si>
    <t>00119697000114</t>
  </si>
  <si>
    <t>IMLE0000300876P230301000000</t>
  </si>
  <si>
    <t>0876L23000030LE</t>
  </si>
  <si>
    <t>9786588871126</t>
  </si>
  <si>
    <t>43678769000176</t>
  </si>
  <si>
    <t>IMLE0000300591P230301000000</t>
  </si>
  <si>
    <t>0591L23000030LE</t>
  </si>
  <si>
    <t>9786599656729</t>
  </si>
  <si>
    <t>43398300000183</t>
  </si>
  <si>
    <t>IMLE0000300479P230301000000</t>
  </si>
  <si>
    <t>0479L23000030LE</t>
  </si>
  <si>
    <t>9786599651113</t>
  </si>
  <si>
    <t>15471730000148</t>
  </si>
  <si>
    <t>IMLE0000300635P230301000000</t>
  </si>
  <si>
    <t>0635L23000030LE</t>
  </si>
  <si>
    <t>9786589150060</t>
  </si>
  <si>
    <t>16509486000128</t>
  </si>
  <si>
    <t>IMLE0000301366P230301000000</t>
  </si>
  <si>
    <t>1366L23000030LE</t>
  </si>
  <si>
    <t>9786586941784</t>
  </si>
  <si>
    <t>06285370000107</t>
  </si>
  <si>
    <t>IMLE0000300837P230301000000</t>
  </si>
  <si>
    <t>0837L23000030LE</t>
  </si>
  <si>
    <t>9786584651012</t>
  </si>
  <si>
    <t>IMLE0000200636P230302000000</t>
  </si>
  <si>
    <t>0636L23000020LE</t>
  </si>
  <si>
    <t>9786589150084</t>
  </si>
  <si>
    <t>13042192000140</t>
  </si>
  <si>
    <t>IMLE0000300713P230301000000</t>
  </si>
  <si>
    <t>0713L23000030LE</t>
  </si>
  <si>
    <t>9788564483460</t>
  </si>
  <si>
    <t>07300632000110</t>
  </si>
  <si>
    <t>IMLE0000300859P230301000000</t>
  </si>
  <si>
    <t>0859L23000030LE</t>
  </si>
  <si>
    <t>9786589865063</t>
  </si>
  <si>
    <t>27182725000102</t>
  </si>
  <si>
    <t>IMLE0000300728P230301000000</t>
  </si>
  <si>
    <t>0728L23000030LE</t>
  </si>
  <si>
    <t>9786599702105</t>
  </si>
  <si>
    <t>96745534000116</t>
  </si>
  <si>
    <t>IMLE0000301051P230301000000</t>
  </si>
  <si>
    <t>1051L23000030LE</t>
  </si>
  <si>
    <t>9786586539516</t>
  </si>
  <si>
    <t>14546379000144</t>
  </si>
  <si>
    <t>IMLE0000300994P230301000000</t>
  </si>
  <si>
    <t>0994L23000030LE</t>
  </si>
  <si>
    <t>9786589815075</t>
  </si>
  <si>
    <t>07101646000104</t>
  </si>
  <si>
    <t>IMLE0000301202P230301000000</t>
  </si>
  <si>
    <t>1202L23000030LE</t>
  </si>
  <si>
    <t>9788556730152</t>
  </si>
  <si>
    <t>01600127000104</t>
  </si>
  <si>
    <t>IMLE0000300703P230301000000</t>
  </si>
  <si>
    <t>0703L23000030LE</t>
  </si>
  <si>
    <t>9786588966266</t>
  </si>
  <si>
    <t>05288153000108</t>
  </si>
  <si>
    <t>IMLE0000301227P230301000000</t>
  </si>
  <si>
    <t>1227L23000030LE</t>
  </si>
  <si>
    <t>9786556880112</t>
  </si>
  <si>
    <t>01600124000170</t>
  </si>
  <si>
    <t>IMLE0000300640P230301000000</t>
  </si>
  <si>
    <t>0640L23000030LE</t>
  </si>
  <si>
    <t>9786584543003</t>
  </si>
  <si>
    <t>03878517000176</t>
  </si>
  <si>
    <t>IMLE0000300914P230301000000</t>
  </si>
  <si>
    <t>0914L23000030LE</t>
  </si>
  <si>
    <t>9786599670312</t>
  </si>
  <si>
    <t>13267295000109</t>
  </si>
  <si>
    <t>IMLE0000300945P230301000000</t>
  </si>
  <si>
    <t>0945L23000030LE</t>
  </si>
  <si>
    <t>9786599397653</t>
  </si>
  <si>
    <t>41034058000133</t>
  </si>
  <si>
    <t>IMLE0000300462P230301000000</t>
  </si>
  <si>
    <t>0462L23000030LE</t>
  </si>
  <si>
    <t>9786599430534</t>
  </si>
  <si>
    <t>44228844000160</t>
  </si>
  <si>
    <t>IMLE0000301246P230301000000</t>
  </si>
  <si>
    <t>1246L23000030LE</t>
  </si>
  <si>
    <t>9786584637009</t>
  </si>
  <si>
    <t>44229319000169</t>
  </si>
  <si>
    <t>IMLE0000301236P230301000000</t>
  </si>
  <si>
    <t>1236L23000030LE</t>
  </si>
  <si>
    <t>9786584638013</t>
  </si>
  <si>
    <t>76341957000163</t>
  </si>
  <si>
    <t>IMLE0000300940P230301000000</t>
  </si>
  <si>
    <t>0940L23000030LE</t>
  </si>
  <si>
    <t>9786589894063</t>
  </si>
  <si>
    <t>14174305000124</t>
  </si>
  <si>
    <t>IMLE0000300486P230301000000</t>
  </si>
  <si>
    <t>0486L23000030LE</t>
  </si>
  <si>
    <t>9786588433126</t>
  </si>
  <si>
    <t>64035561000109</t>
  </si>
  <si>
    <t>IMLE0000300343P230301000000</t>
  </si>
  <si>
    <t>0343L23000030LE</t>
  </si>
  <si>
    <t>9786589045182</t>
  </si>
  <si>
    <t>03768135000190</t>
  </si>
  <si>
    <t>IMLE0000300786P230301000000</t>
  </si>
  <si>
    <t>0786L23000030LE</t>
  </si>
  <si>
    <t>9786556510323</t>
  </si>
  <si>
    <t>43596331000149</t>
  </si>
  <si>
    <t>IMLE0000301011P230301000000</t>
  </si>
  <si>
    <t>1011L23000030LE</t>
  </si>
  <si>
    <t>9786599659010</t>
  </si>
  <si>
    <t>04864316000182</t>
  </si>
  <si>
    <t>IMLE0000300455P230301000000</t>
  </si>
  <si>
    <t>0455L23000030LE</t>
  </si>
  <si>
    <t>9786599422881</t>
  </si>
  <si>
    <t>29341467000187</t>
  </si>
  <si>
    <t>IMLE0000300545P230301000000</t>
  </si>
  <si>
    <t>0545L23000030LE</t>
  </si>
  <si>
    <t>9786586059854</t>
  </si>
  <si>
    <t>43414277000173</t>
  </si>
  <si>
    <t>IMLE0000301196P230301000000</t>
  </si>
  <si>
    <t>1196L23000030LE</t>
  </si>
  <si>
    <t>9786599698231</t>
  </si>
  <si>
    <t>20000183000152</t>
  </si>
  <si>
    <t>IMLE0000300426P230301000000</t>
  </si>
  <si>
    <t>0426L23000030LE</t>
  </si>
  <si>
    <t>9786589606109</t>
  </si>
  <si>
    <t>OLÍVIA E OS INDÍGENAS</t>
  </si>
  <si>
    <t>01602177000120</t>
  </si>
  <si>
    <t>IMLE0000300665P230301000000</t>
  </si>
  <si>
    <t>0665L23000030LE</t>
  </si>
  <si>
    <t>9786555380156</t>
  </si>
  <si>
    <t>IMLE0000200917P230302000000</t>
  </si>
  <si>
    <t>0917L23000020LE</t>
  </si>
  <si>
    <t>9786589241041</t>
  </si>
  <si>
    <t>IMLE0000201142P230302000000</t>
  </si>
  <si>
    <t>1142L23000020LE</t>
  </si>
  <si>
    <t>9786599684234</t>
  </si>
  <si>
    <t>43590874000159</t>
  </si>
  <si>
    <t>IMLE0000301325P230301000000</t>
  </si>
  <si>
    <t>1325L23000030LE</t>
  </si>
  <si>
    <t>9786599706004</t>
  </si>
  <si>
    <t>43048220000106</t>
  </si>
  <si>
    <t>IMLE0000300890P230301000000</t>
  </si>
  <si>
    <t>0890L23000030LE</t>
  </si>
  <si>
    <t>9786589993001</t>
  </si>
  <si>
    <t>09323431000163</t>
  </si>
  <si>
    <t>IMLE0000300570P230301000000</t>
  </si>
  <si>
    <t>0570L23000030LE</t>
  </si>
  <si>
    <t>9786588004029</t>
  </si>
  <si>
    <t>07275637000130</t>
  </si>
  <si>
    <t>IMLE0000301296P230301000000</t>
  </si>
  <si>
    <t>1296L23000030LE</t>
  </si>
  <si>
    <t>9786589077138</t>
  </si>
  <si>
    <t>29756697000107</t>
  </si>
  <si>
    <t>IMLE0000300695P230301000000</t>
  </si>
  <si>
    <t>0695L23000030LE</t>
  </si>
  <si>
    <t>9786559571154</t>
  </si>
  <si>
    <t>06346566000156</t>
  </si>
  <si>
    <t>IMLE0000300318P230301000000</t>
  </si>
  <si>
    <t>0318L23000030LE</t>
  </si>
  <si>
    <t>9786589830061</t>
  </si>
  <si>
    <t>06222005000145</t>
  </si>
  <si>
    <t>IMLE0000300871P230301000000</t>
  </si>
  <si>
    <t>0871L23000030LE</t>
  </si>
  <si>
    <t>9786584605008</t>
  </si>
  <si>
    <t>44412045000149</t>
  </si>
  <si>
    <t>IMLE0000300908P230301000000</t>
  </si>
  <si>
    <t>0908L23000030LE</t>
  </si>
  <si>
    <t>9786584628083</t>
  </si>
  <si>
    <t>44411405000198</t>
  </si>
  <si>
    <t>IMLE0000300901P230301000000</t>
  </si>
  <si>
    <t>0901L23000030LE</t>
  </si>
  <si>
    <t>9786584629080</t>
  </si>
  <si>
    <t>11705778000112</t>
  </si>
  <si>
    <t>IMLE0000300401P230301000000</t>
  </si>
  <si>
    <t>0401L23000030LE</t>
  </si>
  <si>
    <t>9786599502361</t>
  </si>
  <si>
    <t>01485063000148</t>
  </si>
  <si>
    <t>IMLE0000300735P230301000000</t>
  </si>
  <si>
    <t>0735L23000030LE</t>
  </si>
  <si>
    <t>9786599703034</t>
  </si>
  <si>
    <t>16509262000116</t>
  </si>
  <si>
    <t>IMLE0000300980P230301000000</t>
  </si>
  <si>
    <t>0980L23000030LE</t>
  </si>
  <si>
    <t>9786599415098</t>
  </si>
  <si>
    <t>43395347000193</t>
  </si>
  <si>
    <t>IMLE0000301168P230301000000</t>
  </si>
  <si>
    <t>1168L23000030LE</t>
  </si>
  <si>
    <t>9786599685033</t>
  </si>
  <si>
    <t>10973715000184</t>
  </si>
  <si>
    <t>IMLE0000301264P230301000000</t>
  </si>
  <si>
    <t>1264L23000030LE</t>
  </si>
  <si>
    <t>9786584504097</t>
  </si>
  <si>
    <t>87932463000170</t>
  </si>
  <si>
    <t>IMLE0000300711P230301000000</t>
  </si>
  <si>
    <t>0711L23000030LE</t>
  </si>
  <si>
    <t>9786556662961</t>
  </si>
  <si>
    <t>05004417000146</t>
  </si>
  <si>
    <t>IMLE0000300679P230301000000</t>
  </si>
  <si>
    <t>0679L23000030LE</t>
  </si>
  <si>
    <t>9788575681411</t>
  </si>
  <si>
    <t>08277593000140</t>
  </si>
  <si>
    <t>IMLE0000300699P230301000000</t>
  </si>
  <si>
    <t>0699L23000030LE</t>
  </si>
  <si>
    <t>9786586776171</t>
  </si>
  <si>
    <t>28475298000105</t>
  </si>
  <si>
    <t>IMLE0000300458P230301000000</t>
  </si>
  <si>
    <t>0458L23000030LE</t>
  </si>
  <si>
    <t>9786581722050</t>
  </si>
  <si>
    <t>07680904000154</t>
  </si>
  <si>
    <t>IMLE0000300897P230301000000</t>
  </si>
  <si>
    <t>0897L23000030LE</t>
  </si>
  <si>
    <t>9786556091631</t>
  </si>
  <si>
    <t>31010097000147</t>
  </si>
  <si>
    <t>IMLE0000300623P230301000000</t>
  </si>
  <si>
    <t>0623L23000030LE</t>
  </si>
  <si>
    <t>9786584644069</t>
  </si>
  <si>
    <t>58407107000139</t>
  </si>
  <si>
    <t>IMLE0000301258P230301000000</t>
  </si>
  <si>
    <t>1258L23000030LE</t>
  </si>
  <si>
    <t>9786599477232</t>
  </si>
  <si>
    <t>31484974000111</t>
  </si>
  <si>
    <t>IMLE0000300633P230301000000</t>
  </si>
  <si>
    <t>0633L23000030LE</t>
  </si>
  <si>
    <t>9786599647024</t>
  </si>
  <si>
    <t>07608320000178</t>
  </si>
  <si>
    <t>IMLE0000300811P230301000000</t>
  </si>
  <si>
    <t>0811L23000030LE</t>
  </si>
  <si>
    <t>9788542706215</t>
  </si>
  <si>
    <t>22228070000134</t>
  </si>
  <si>
    <t>IMLE0000300389P230301000000</t>
  </si>
  <si>
    <t>0389L23000030LE</t>
  </si>
  <si>
    <t>9786589518068</t>
  </si>
  <si>
    <t>44272101000197</t>
  </si>
  <si>
    <t>IMLE0000301238P230301000000</t>
  </si>
  <si>
    <t>1238L23000030LE</t>
  </si>
  <si>
    <t>9786584709003</t>
  </si>
  <si>
    <t>44222615000138</t>
  </si>
  <si>
    <t>IMLE0000301240P230301000000</t>
  </si>
  <si>
    <t>1240L23000030LE</t>
  </si>
  <si>
    <t>9786584639010</t>
  </si>
  <si>
    <t>33461751000164</t>
  </si>
  <si>
    <t>IMLE0000300580P230301000000</t>
  </si>
  <si>
    <t>0580L23000030LE</t>
  </si>
  <si>
    <t>9786599415449</t>
  </si>
  <si>
    <t>04160920000128</t>
  </si>
  <si>
    <t>IMLE0000300369P230301000000</t>
  </si>
  <si>
    <t>0369L23000030LE</t>
  </si>
  <si>
    <t>9788500506352</t>
  </si>
  <si>
    <t>14651422000131</t>
  </si>
  <si>
    <t>IMLE0000300609P230301000000</t>
  </si>
  <si>
    <t>0609L23000030LE</t>
  </si>
  <si>
    <t>9786584501164</t>
  </si>
  <si>
    <t>43885291000155</t>
  </si>
  <si>
    <t>IMLE0000301060P230301000000</t>
  </si>
  <si>
    <t>1060L23000030LE</t>
  </si>
  <si>
    <t>9786599683435</t>
  </si>
  <si>
    <t>43597410000174</t>
  </si>
  <si>
    <t>IMLE0000301143P230301000000</t>
  </si>
  <si>
    <t>1143L23000030LE</t>
  </si>
  <si>
    <t>9786599684326</t>
  </si>
  <si>
    <t>33038696000102</t>
  </si>
  <si>
    <t>IMLE0000300593P230301000000</t>
  </si>
  <si>
    <t>0593L23000030LE</t>
  </si>
  <si>
    <t>9786558470588</t>
  </si>
  <si>
    <t>43411274000186</t>
  </si>
  <si>
    <t>IMLE0000301194P230301000000</t>
  </si>
  <si>
    <t>1194L23000030LE</t>
  </si>
  <si>
    <t>9786599698316</t>
  </si>
  <si>
    <t>43597000000123</t>
  </si>
  <si>
    <t>IMLE0000300869P230301000000</t>
  </si>
  <si>
    <t>0869L23000030LE</t>
  </si>
  <si>
    <t>9786599684609</t>
  </si>
  <si>
    <t>43681255000170</t>
  </si>
  <si>
    <t>IMLE0000300525P230301000000</t>
  </si>
  <si>
    <t>0525L23000030LE</t>
  </si>
  <si>
    <t>9786599691621</t>
  </si>
  <si>
    <t>15694114000156</t>
  </si>
  <si>
    <t>IMLE0000300359P230301000000</t>
  </si>
  <si>
    <t>0359L23000030LE</t>
  </si>
  <si>
    <t>9786589152064</t>
  </si>
  <si>
    <t>05764236000118</t>
  </si>
  <si>
    <t>IMLE0000300541P230301000000</t>
  </si>
  <si>
    <t>0541L23000030LE</t>
  </si>
  <si>
    <t>9786555357004</t>
  </si>
  <si>
    <t>30220501000144</t>
  </si>
  <si>
    <t>IMLE0000300718P230301000000</t>
  </si>
  <si>
    <t>0718L23000030LE</t>
  </si>
  <si>
    <t>9786586551433</t>
  </si>
  <si>
    <t>10621108000155</t>
  </si>
  <si>
    <t>IMLE0000300423P230301000000</t>
  </si>
  <si>
    <t>0423L23000030LE</t>
  </si>
  <si>
    <t>9786584614017</t>
  </si>
  <si>
    <t>14307890000193</t>
  </si>
  <si>
    <t>IMLE0000301302P230301000000</t>
  </si>
  <si>
    <t>1302L23000030LE</t>
  </si>
  <si>
    <t>9786589427148</t>
  </si>
  <si>
    <t>18110449000178</t>
  </si>
  <si>
    <t>IMLE0000301376P230301000000</t>
  </si>
  <si>
    <t>1376L23000030LE</t>
  </si>
  <si>
    <t>9786556770406</t>
  </si>
  <si>
    <t>43680687000166</t>
  </si>
  <si>
    <t>IMLE0000300578P230301000000</t>
  </si>
  <si>
    <t>0578L23000030LE</t>
  </si>
  <si>
    <t>9786599656309</t>
  </si>
  <si>
    <t>11950395000100</t>
  </si>
  <si>
    <t>IMLE0000300658P230301000000</t>
  </si>
  <si>
    <t>0658L23000030LE</t>
  </si>
  <si>
    <t>9788554131104</t>
  </si>
  <si>
    <t>43680497000149</t>
  </si>
  <si>
    <t>IMLE0000300527P230301000000</t>
  </si>
  <si>
    <t>0527L23000030LE</t>
  </si>
  <si>
    <t>9786599692512</t>
  </si>
  <si>
    <t>02022840000180</t>
  </si>
  <si>
    <t>IMLE0000300823P230301000000</t>
  </si>
  <si>
    <t>0823L23000030LE</t>
  </si>
  <si>
    <t>9786586402193</t>
  </si>
  <si>
    <t>08981691000163</t>
  </si>
  <si>
    <t>IMLE0000300310P230301000000</t>
  </si>
  <si>
    <t>0310L23000030LE</t>
  </si>
  <si>
    <t>9786584602052</t>
  </si>
  <si>
    <t>43399001000163</t>
  </si>
  <si>
    <t>IMLE0000300481P230301000000</t>
  </si>
  <si>
    <t>0481L23000030LE</t>
  </si>
  <si>
    <t>9786599651205</t>
  </si>
  <si>
    <t>26160135000108</t>
  </si>
  <si>
    <t>IMLE0000301267P230301000000</t>
  </si>
  <si>
    <t>1267L23000030LE</t>
  </si>
  <si>
    <t>9786557490365</t>
  </si>
  <si>
    <t>02616124000121</t>
  </si>
  <si>
    <t>IMLE0000300707P230301000000</t>
  </si>
  <si>
    <t>0707L23000030LE</t>
  </si>
  <si>
    <t>9786589970125</t>
  </si>
  <si>
    <t>13360966000181</t>
  </si>
  <si>
    <t>IMLE0000300363P230301000000</t>
  </si>
  <si>
    <t>0363L23000030LE</t>
  </si>
  <si>
    <t>9786589835196</t>
  </si>
  <si>
    <t>11048117000161</t>
  </si>
  <si>
    <t>IMLE0000301100P230301000000</t>
  </si>
  <si>
    <t>1100L23000030LE</t>
  </si>
  <si>
    <t>9786589671114</t>
  </si>
  <si>
    <t>57888919000180</t>
  </si>
  <si>
    <t>IMLE0000300509P230301000000</t>
  </si>
  <si>
    <t>0509L23000030LE</t>
  </si>
  <si>
    <t>9788571138117</t>
  </si>
  <si>
    <t>31345319000182</t>
  </si>
  <si>
    <t>IMLE0000300690P230301000000</t>
  </si>
  <si>
    <t>0690L23000030LE</t>
  </si>
  <si>
    <t>9786586764321</t>
  </si>
  <si>
    <t>43399356000152</t>
  </si>
  <si>
    <t>IMLE0000300492P230301000000</t>
  </si>
  <si>
    <t>0492L23000030LE</t>
  </si>
  <si>
    <t>9786599651311</t>
  </si>
  <si>
    <t>IMLE0000300412P230301000000</t>
  </si>
  <si>
    <t>0412L23000030LE</t>
  </si>
  <si>
    <t>9786589609087</t>
  </si>
  <si>
    <t>43681400000112</t>
  </si>
  <si>
    <t>IMLE0000301275P230301000000</t>
  </si>
  <si>
    <t>1275L23000030LE</t>
  </si>
  <si>
    <t>9786599705502</t>
  </si>
  <si>
    <t>88630413000281</t>
  </si>
  <si>
    <t>IMLE0000300773P230301000000</t>
  </si>
  <si>
    <t>0773L23000030LE</t>
  </si>
  <si>
    <t>9786556231921</t>
  </si>
  <si>
    <t>44307110000176</t>
  </si>
  <si>
    <t>IMLE0000301320P230301000000</t>
  </si>
  <si>
    <t>1320L23000030LE</t>
  </si>
  <si>
    <t>9786599676109</t>
  </si>
  <si>
    <t>43399449000187</t>
  </si>
  <si>
    <t>IMLE0000301033P230301000000</t>
  </si>
  <si>
    <t>1033L23000030LE</t>
  </si>
  <si>
    <t>9786599699931</t>
  </si>
  <si>
    <t>40150514000148</t>
  </si>
  <si>
    <t>IMLE0000300374P230301000000</t>
  </si>
  <si>
    <t>0374L23000030LE</t>
  </si>
  <si>
    <t>9786558370949</t>
  </si>
  <si>
    <t>37849896000198</t>
  </si>
  <si>
    <t>IMLE0000301161P230301000000</t>
  </si>
  <si>
    <t>1161L23000030LE</t>
  </si>
  <si>
    <t>9786589966111</t>
  </si>
  <si>
    <t>68487867000157</t>
  </si>
  <si>
    <t>IMLE0000300821P230301000000</t>
  </si>
  <si>
    <t>0821L23000030LE</t>
  </si>
  <si>
    <t>9786599372988</t>
  </si>
  <si>
    <t>40997813000112</t>
  </si>
  <si>
    <t>IMLE0000301252P230301000000</t>
  </si>
  <si>
    <t>1252L23000030LE</t>
  </si>
  <si>
    <t>9786599411748</t>
  </si>
  <si>
    <t>12028275000112</t>
  </si>
  <si>
    <t>IMLE0000301045P230301000000</t>
  </si>
  <si>
    <t>1045L23000030LE</t>
  </si>
  <si>
    <t>9786599679124</t>
  </si>
  <si>
    <t>36222156000164</t>
  </si>
  <si>
    <t>IMLE0000300653P230301000000</t>
  </si>
  <si>
    <t>0653L23000030LE</t>
  </si>
  <si>
    <t>9786556540641</t>
  </si>
  <si>
    <t>07474150000186</t>
  </si>
  <si>
    <t>IMLE0000300337P230301000000</t>
  </si>
  <si>
    <t>0337L23000030LE</t>
  </si>
  <si>
    <t>9786587181158</t>
  </si>
  <si>
    <t>33495771000156</t>
  </si>
  <si>
    <t>IMLE0000301322P230301000000</t>
  </si>
  <si>
    <t>1322L23000030LE</t>
  </si>
  <si>
    <t>9786589442097</t>
  </si>
  <si>
    <t>27566951000189</t>
  </si>
  <si>
    <t>IMLE0000301085P230301000000</t>
  </si>
  <si>
    <t>1085L23000030LE</t>
  </si>
  <si>
    <t>9786589813040</t>
  </si>
  <si>
    <t>01183613000174</t>
  </si>
  <si>
    <t>IMLE0000300361P230301000000</t>
  </si>
  <si>
    <t>0361L23000030LE</t>
  </si>
  <si>
    <t>9788500506376</t>
  </si>
  <si>
    <t>43679459000176</t>
  </si>
  <si>
    <t>IMLE0000301147P230301000000</t>
  </si>
  <si>
    <t>1147L23000030LE</t>
  </si>
  <si>
    <t>9786599697630</t>
  </si>
  <si>
    <t>43413911000153</t>
  </si>
  <si>
    <t>IMLE0000301187P230301000000</t>
  </si>
  <si>
    <t>1187L23000030LE</t>
  </si>
  <si>
    <t>9786599697807</t>
  </si>
  <si>
    <t>43679599000144</t>
  </si>
  <si>
    <t>IMLE0000300919P230301000000</t>
  </si>
  <si>
    <t>0919L23000030LE</t>
  </si>
  <si>
    <t>9786599696817</t>
  </si>
  <si>
    <t>08686863000176</t>
  </si>
  <si>
    <t>IMLE0000300851P230301000000</t>
  </si>
  <si>
    <t>0851L23000030LE</t>
  </si>
  <si>
    <t>9788584392582</t>
  </si>
  <si>
    <t>00298600000188</t>
  </si>
  <si>
    <t>IMLE0000300560P230301000000</t>
  </si>
  <si>
    <t>0560L23000030LE</t>
  </si>
  <si>
    <t>9788583270140</t>
  </si>
  <si>
    <t>04998393000125</t>
  </si>
  <si>
    <t>IMLE0000300835P230301000000</t>
  </si>
  <si>
    <t>0835L23000030LE</t>
  </si>
  <si>
    <t>9786558702290</t>
  </si>
  <si>
    <t>43414367000164</t>
  </si>
  <si>
    <t>IMLE0000300523P230301000000</t>
  </si>
  <si>
    <t>0523L23000030LE</t>
  </si>
  <si>
    <t>9786599698804</t>
  </si>
  <si>
    <t>03849538000163</t>
  </si>
  <si>
    <t>IMLE0000301370P230301000000</t>
  </si>
  <si>
    <t>1370L23000030LE</t>
  </si>
  <si>
    <t>9786589810056</t>
  </si>
  <si>
    <t>35414225000179</t>
  </si>
  <si>
    <t>IMLE0000300886P230301000000</t>
  </si>
  <si>
    <t>0886L23000030LE</t>
  </si>
  <si>
    <t>9786589980100</t>
  </si>
  <si>
    <t>30850017000107</t>
  </si>
  <si>
    <t>IMLE0000300627P230301000000</t>
  </si>
  <si>
    <t>0627L23000030LE</t>
  </si>
  <si>
    <t>9786599680908</t>
  </si>
  <si>
    <t>42150652000152</t>
  </si>
  <si>
    <t>IMLE0000300396P230301000000</t>
  </si>
  <si>
    <t>0396L23000030LE</t>
  </si>
  <si>
    <t>9788500506420</t>
  </si>
  <si>
    <t>11504384000104</t>
  </si>
  <si>
    <t>IMLE0000301298P230301000000</t>
  </si>
  <si>
    <t>1298L23000030LE</t>
  </si>
  <si>
    <t>9786588857106</t>
  </si>
  <si>
    <t>08463170000114</t>
  </si>
  <si>
    <t>IMLE0000300775P230301000000</t>
  </si>
  <si>
    <t>0775L23000030LE</t>
  </si>
  <si>
    <t>9788546903474</t>
  </si>
  <si>
    <t>43887018000160</t>
  </si>
  <si>
    <t>IMLE0000301073P230301000000</t>
  </si>
  <si>
    <t>1073L23000030LE</t>
  </si>
  <si>
    <t>9786599687624</t>
  </si>
  <si>
    <t>07052978000146</t>
  </si>
  <si>
    <t>IMLE0000300844P230301000000</t>
  </si>
  <si>
    <t>0844L23000030LE</t>
  </si>
  <si>
    <t>9786589285007</t>
  </si>
  <si>
    <t>02632558000115</t>
  </si>
  <si>
    <t>IMLE0000300662P230301000000</t>
  </si>
  <si>
    <t>0662L23000030LE</t>
  </si>
  <si>
    <t>9788581421124</t>
  </si>
  <si>
    <t>09374751000142</t>
  </si>
  <si>
    <t>IMLE0000300715P230301000000</t>
  </si>
  <si>
    <t>0715L23000030LE</t>
  </si>
  <si>
    <t>9786556470641</t>
  </si>
  <si>
    <t>72044050000181</t>
  </si>
  <si>
    <t>IMLE0000301129P230301000000</t>
  </si>
  <si>
    <t>1129L23000030LE</t>
  </si>
  <si>
    <t>9786587976068</t>
  </si>
  <si>
    <t>44298938000105</t>
  </si>
  <si>
    <t>IMLE0000300910P230301000000</t>
  </si>
  <si>
    <t>0910L23000030LE</t>
  </si>
  <si>
    <t>9786584616097</t>
  </si>
  <si>
    <t>11574034000106</t>
  </si>
  <si>
    <t>IMLE0000300960P230301000000</t>
  </si>
  <si>
    <t>0960L23000030LE</t>
  </si>
  <si>
    <t>9786589734048</t>
  </si>
  <si>
    <t>80190796000121</t>
  </si>
  <si>
    <t>IMLE0000300431P230301000000</t>
  </si>
  <si>
    <t>0431L23000030LE</t>
  </si>
  <si>
    <t>9786589625100</t>
  </si>
  <si>
    <t>40843165000140</t>
  </si>
  <si>
    <t>IMLE0000300895P230301000000</t>
  </si>
  <si>
    <t>0895L23000030LE</t>
  </si>
  <si>
    <t>9786589715085</t>
  </si>
  <si>
    <t>40086974000154</t>
  </si>
  <si>
    <t>IMLE0000300927P230301000000</t>
  </si>
  <si>
    <t>0927L23000030LE</t>
  </si>
  <si>
    <t>9786599674402</t>
  </si>
  <si>
    <t>15058919000103</t>
  </si>
  <si>
    <t>IMLE0000300954P230301000000</t>
  </si>
  <si>
    <t>0954L23000030LE</t>
  </si>
  <si>
    <t>9786586784176</t>
  </si>
  <si>
    <t>03987228000105</t>
  </si>
  <si>
    <t>IMLE0000300507P230301000000</t>
  </si>
  <si>
    <t>0507L23000030LE</t>
  </si>
  <si>
    <t>9786584601000</t>
  </si>
  <si>
    <t>13498599000187</t>
  </si>
  <si>
    <t>IMLE0000300625P230301000000</t>
  </si>
  <si>
    <t>0625L23000030LE</t>
  </si>
  <si>
    <t>9788583922049</t>
  </si>
  <si>
    <t>43398654000128</t>
  </si>
  <si>
    <t>IMLE0000301166P230301000000</t>
  </si>
  <si>
    <t>1166L23000030LE</t>
  </si>
  <si>
    <t>9786599699610</t>
  </si>
  <si>
    <t>24081734000100</t>
  </si>
  <si>
    <t>IMLE0000300410P230301000000</t>
  </si>
  <si>
    <t>0410L23000030LE</t>
  </si>
  <si>
    <t>9788554310103</t>
  </si>
  <si>
    <t>26310724000125</t>
  </si>
  <si>
    <t>IMLE0000300932P230301000000</t>
  </si>
  <si>
    <t>0932L23000030LE</t>
  </si>
  <si>
    <t>9786588445150</t>
  </si>
  <si>
    <t>05360051000148</t>
  </si>
  <si>
    <t>IMLE0000300417P230301000000</t>
  </si>
  <si>
    <t>0417L23000030LE</t>
  </si>
  <si>
    <t>9786556451442</t>
  </si>
  <si>
    <t>10728613000101</t>
  </si>
  <si>
    <t>IMLE0000301316P230301000000</t>
  </si>
  <si>
    <t>1316L23000030LE</t>
  </si>
  <si>
    <t>9788562527401</t>
  </si>
  <si>
    <t>40150712000101</t>
  </si>
  <si>
    <t>IMLE0000300379P230301000000</t>
  </si>
  <si>
    <t>0379L23000030LE</t>
  </si>
  <si>
    <t>9786589509097</t>
  </si>
  <si>
    <t>41769575000150</t>
  </si>
  <si>
    <t>IMLE0000301031P230301000000</t>
  </si>
  <si>
    <t>1031L23000030LE</t>
  </si>
  <si>
    <t>9786599487859</t>
  </si>
  <si>
    <t>43596730000100</t>
  </si>
  <si>
    <t>IMLE0000301138P230301000000</t>
  </si>
  <si>
    <t>1138L23000030LE</t>
  </si>
  <si>
    <t>9786599697203</t>
  </si>
  <si>
    <t>43200076000173</t>
  </si>
  <si>
    <t>IMLE0000300378P230301000000</t>
  </si>
  <si>
    <t>0378L23000030LE</t>
  </si>
  <si>
    <t>9786599611261</t>
  </si>
  <si>
    <t>28825824000110</t>
  </si>
  <si>
    <t>IMLE0000301345P230301000000</t>
  </si>
  <si>
    <t>1345L23000030LE</t>
  </si>
  <si>
    <t>9786599430497</t>
  </si>
  <si>
    <t>42324659000143</t>
  </si>
  <si>
    <t>IMLE0000300984P230301000000</t>
  </si>
  <si>
    <t>0984L23000030LE</t>
  </si>
  <si>
    <t>9786599653209</t>
  </si>
  <si>
    <t>18835479000141</t>
  </si>
  <si>
    <t>IMLE0000301105P230301000000</t>
  </si>
  <si>
    <t>1105L23000030LE</t>
  </si>
  <si>
    <t>9786586666151</t>
  </si>
  <si>
    <t>08731195000151</t>
  </si>
  <si>
    <t>IMLE0000300465P230301000000</t>
  </si>
  <si>
    <t>0465L23000030LE</t>
  </si>
  <si>
    <t>9786589146070</t>
  </si>
  <si>
    <t>01183614000119</t>
  </si>
  <si>
    <t>IMLE0000300376P230301000000</t>
  </si>
  <si>
    <t>0376L23000030LE</t>
  </si>
  <si>
    <t>9786558530213</t>
  </si>
  <si>
    <t>32081580000185</t>
  </si>
  <si>
    <t>IMLE0000300352P230301000000</t>
  </si>
  <si>
    <t>0352L23000030LE</t>
  </si>
  <si>
    <t>9786555250909</t>
  </si>
  <si>
    <t>43048166000190</t>
  </si>
  <si>
    <t>IMLE0000300855P230301000000</t>
  </si>
  <si>
    <t>0855L23000030LE</t>
  </si>
  <si>
    <t>9786589990055</t>
  </si>
  <si>
    <t>43411748000190</t>
  </si>
  <si>
    <t>IMLE0000301173P230301000000</t>
  </si>
  <si>
    <t>1173L23000030LE</t>
  </si>
  <si>
    <t>9786599697708</t>
  </si>
  <si>
    <t>17481416000171</t>
  </si>
  <si>
    <t>IMLE0000301283P230301000000</t>
  </si>
  <si>
    <t>1283L23000030LE</t>
  </si>
  <si>
    <t>9786588896112</t>
  </si>
  <si>
    <t>39959571000193</t>
  </si>
  <si>
    <t>IMLE0000301198P230301000000</t>
  </si>
  <si>
    <t>1198L23000030LE</t>
  </si>
  <si>
    <t>9786599673702</t>
  </si>
  <si>
    <t>43884979000110</t>
  </si>
  <si>
    <t>IMLE0000301067P230301000000</t>
  </si>
  <si>
    <t>1067L23000030LE</t>
  </si>
  <si>
    <t>9786599687525</t>
  </si>
  <si>
    <t>24995493000105</t>
  </si>
  <si>
    <t>IMLE0000300912P230301000000</t>
  </si>
  <si>
    <t>0912L23000030LE</t>
  </si>
  <si>
    <t>9786589454076</t>
  </si>
  <si>
    <t>43413686000155</t>
  </si>
  <si>
    <t>IMLE0000301185P230301000000</t>
  </si>
  <si>
    <t>1185L23000030LE</t>
  </si>
  <si>
    <t>9786599698613</t>
  </si>
  <si>
    <t>13811219000112</t>
  </si>
  <si>
    <t>IMLE0000300306P230301000000</t>
  </si>
  <si>
    <t>0306L23000030LE</t>
  </si>
  <si>
    <t>9786586128987</t>
  </si>
  <si>
    <t>21068989000145</t>
  </si>
  <si>
    <t>IMLE0000301342P230301000000</t>
  </si>
  <si>
    <t>1342L23000030LE</t>
  </si>
  <si>
    <t>9786587345147</t>
  </si>
  <si>
    <t>13750874000108</t>
  </si>
  <si>
    <t>IMLE0000300747P230301000000</t>
  </si>
  <si>
    <t>0747L23000030LE</t>
  </si>
  <si>
    <t>9786587704128</t>
  </si>
  <si>
    <t>43679998000105</t>
  </si>
  <si>
    <t>IMLE0000301150P230301000000</t>
  </si>
  <si>
    <t>1150L23000030LE</t>
  </si>
  <si>
    <t>9786599699108</t>
  </si>
  <si>
    <t>35417262000130</t>
  </si>
  <si>
    <t>IMLE0000300638P230301000000</t>
  </si>
  <si>
    <t>0638L23000030LE</t>
  </si>
  <si>
    <t>9786599403187</t>
  </si>
  <si>
    <t>34595923000155</t>
  </si>
  <si>
    <t>IMLE0000300684P230301000000</t>
  </si>
  <si>
    <t>0684L23000030LE</t>
  </si>
  <si>
    <t>9786584575004</t>
  </si>
  <si>
    <t>33641663003674</t>
  </si>
  <si>
    <t>IMLE0000300588P230301000000</t>
  </si>
  <si>
    <t>0588L23000030LE</t>
  </si>
  <si>
    <t>9786556521152</t>
  </si>
  <si>
    <t>IMLE0000300978P230301000000</t>
  </si>
  <si>
    <t>0978L23000030LE</t>
  </si>
  <si>
    <t>9786599246296</t>
  </si>
  <si>
    <t>00582584000150</t>
  </si>
  <si>
    <t>IMLE0000300521P230301000000</t>
  </si>
  <si>
    <t>0521L23000030LE</t>
  </si>
  <si>
    <t>9786589214182</t>
  </si>
  <si>
    <t>07372396000147</t>
  </si>
  <si>
    <t>IMLE0000300853P230301000000</t>
  </si>
  <si>
    <t>0853L23000030LE</t>
  </si>
  <si>
    <t>9786588785140</t>
  </si>
  <si>
    <t>17594733000102</t>
  </si>
  <si>
    <t>IMLE0000301159P230301000000</t>
  </si>
  <si>
    <t>1159L23000030LE</t>
  </si>
  <si>
    <t>9786599669330</t>
  </si>
  <si>
    <t>IMLE0000200380P230302000000</t>
  </si>
  <si>
    <t>0380L23000020LE</t>
  </si>
  <si>
    <t>9786589509110</t>
  </si>
  <si>
    <t>40384698000100</t>
  </si>
  <si>
    <t>IMLE0000300672P230301000000</t>
  </si>
  <si>
    <t>0672L23000030LE</t>
  </si>
  <si>
    <t>9786599369650</t>
  </si>
  <si>
    <t>41636629000100</t>
  </si>
  <si>
    <t>IMLE0000300433P230301000000</t>
  </si>
  <si>
    <t>0433L23000030LE</t>
  </si>
  <si>
    <t>9786599567230</t>
  </si>
  <si>
    <t>42422006000105</t>
  </si>
  <si>
    <t>IMLE0000300904P230301000000</t>
  </si>
  <si>
    <t>0904L23000030LE</t>
  </si>
  <si>
    <t>9786556020549</t>
  </si>
  <si>
    <t>07742550000125</t>
  </si>
  <si>
    <t>IMLE0000300534P230301000000</t>
  </si>
  <si>
    <t>0534L23000030LE</t>
  </si>
  <si>
    <t>9786589654094</t>
  </si>
  <si>
    <t>30494824000126</t>
  </si>
  <si>
    <t>IMLE0000300673P230301000000</t>
  </si>
  <si>
    <t>0673L23000030LE</t>
  </si>
  <si>
    <t>9786599109164</t>
  </si>
  <si>
    <t>16780799000116</t>
  </si>
  <si>
    <t>IMLE0000300763P230301000000</t>
  </si>
  <si>
    <t>0763L23000030LE</t>
  </si>
  <si>
    <t>9786587724416</t>
  </si>
  <si>
    <t>27900414000123</t>
  </si>
  <si>
    <t>IMLE0000300549P230301000000</t>
  </si>
  <si>
    <t>0549L23000030LE</t>
  </si>
  <si>
    <t>9786589655039</t>
  </si>
  <si>
    <t>19654337000140</t>
  </si>
  <si>
    <t>IMLE0000300771P230301000000</t>
  </si>
  <si>
    <t>0771L23000030LE</t>
  </si>
  <si>
    <t>9786586097535</t>
  </si>
  <si>
    <t>01447243000135</t>
  </si>
  <si>
    <t>IMLE0000300882P230301000000</t>
  </si>
  <si>
    <t>0882L23000030LE</t>
  </si>
  <si>
    <t>9786588487198</t>
  </si>
  <si>
    <t>19908082000103</t>
  </si>
  <si>
    <t>IMLE0000301171P230301000000</t>
  </si>
  <si>
    <t>1171L23000030LE</t>
  </si>
  <si>
    <t>9786584694033</t>
  </si>
  <si>
    <t>39884301000160</t>
  </si>
  <si>
    <t>IMLE0000301007P230301000000</t>
  </si>
  <si>
    <t>1007L23000030LE</t>
  </si>
  <si>
    <t>9786599572944</t>
  </si>
  <si>
    <t>33955436000193</t>
  </si>
  <si>
    <t>IMLE0000300674P230301000000</t>
  </si>
  <si>
    <t>0674L23000030LE</t>
  </si>
  <si>
    <t>9786589749097</t>
  </si>
  <si>
    <t>IMLE0000201162P230302000000</t>
  </si>
  <si>
    <t>1162L23000020LE</t>
  </si>
  <si>
    <t>9786589966043</t>
  </si>
  <si>
    <t>IMLE0000200573P230302000000</t>
  </si>
  <si>
    <t>0573L23000020LE</t>
  </si>
  <si>
    <t>9786588406137</t>
  </si>
  <si>
    <t>IMLE0000201091P230302000000</t>
  </si>
  <si>
    <t>1091L23000020LE</t>
  </si>
  <si>
    <t>9786589570158</t>
  </si>
  <si>
    <t>IMLE0000201247P230302000000</t>
  </si>
  <si>
    <t>1247L23000020LE</t>
  </si>
  <si>
    <t>9786584637016</t>
  </si>
  <si>
    <t>IMLE0000201237P230302000000</t>
  </si>
  <si>
    <t>1237L23000020LE</t>
  </si>
  <si>
    <t>9786584638037</t>
  </si>
  <si>
    <t>IMLE0000200792P230302000000</t>
  </si>
  <si>
    <t>0792L23000020LE</t>
  </si>
  <si>
    <t>9786584572058</t>
  </si>
  <si>
    <t>IMLE0000201323P230302000000</t>
  </si>
  <si>
    <t>1323L23000020LE</t>
  </si>
  <si>
    <t>9786589442110</t>
  </si>
  <si>
    <t>IMLE0000200362P230302000000</t>
  </si>
  <si>
    <t>0362L23000020LE</t>
  </si>
  <si>
    <t>9788500506369</t>
  </si>
  <si>
    <t>43414581000110</t>
  </si>
  <si>
    <t>IMLE0000201180P230302000000</t>
  </si>
  <si>
    <t>1180L23000020LE</t>
  </si>
  <si>
    <t>9786599697401</t>
  </si>
  <si>
    <t>43679704000145</t>
  </si>
  <si>
    <t>IMLE0000201327P230302000000</t>
  </si>
  <si>
    <t>1327L23000020LE</t>
  </si>
  <si>
    <t>9786599706103</t>
  </si>
  <si>
    <t>IMLE0000200456P230302000000</t>
  </si>
  <si>
    <t>0456L23000020LE</t>
  </si>
  <si>
    <t>9786584569010</t>
  </si>
  <si>
    <t>IMLE0000200900P230302000000</t>
  </si>
  <si>
    <t>0900L23000020LE</t>
  </si>
  <si>
    <t>9786589696124</t>
  </si>
  <si>
    <t>IMLE0000200594P230302000000</t>
  </si>
  <si>
    <t>0594L23000020LE</t>
  </si>
  <si>
    <t>9786558470601</t>
  </si>
  <si>
    <t>IMLE0000201145P230302000000</t>
  </si>
  <si>
    <t>1145L23000020LE</t>
  </si>
  <si>
    <t>9786599684630</t>
  </si>
  <si>
    <t>IMLE0000200526P230302000000</t>
  </si>
  <si>
    <t>0526L23000020LE</t>
  </si>
  <si>
    <t>9786599691638</t>
  </si>
  <si>
    <t>IMLE0000200891P230302000000</t>
  </si>
  <si>
    <t>0891L23000020LE</t>
  </si>
  <si>
    <t>9786589993056</t>
  </si>
  <si>
    <t>IMLE0000200504P230302000000</t>
  </si>
  <si>
    <t>0504L23000020LE</t>
  </si>
  <si>
    <t>9786559212507</t>
  </si>
  <si>
    <t>IMLE0000201054P230302000000</t>
  </si>
  <si>
    <t>1054L23000020LE</t>
  </si>
  <si>
    <t>9786599683848</t>
  </si>
  <si>
    <t>IMLE0000200416P230302000000</t>
  </si>
  <si>
    <t>0416L23000020LE</t>
  </si>
  <si>
    <t>9786589608103</t>
  </si>
  <si>
    <t>IMLE0000200924P230302000000</t>
  </si>
  <si>
    <t>0924L23000020LE</t>
  </si>
  <si>
    <t>9786599697005</t>
  </si>
  <si>
    <t>IMLE0000200719P230302000000</t>
  </si>
  <si>
    <t>0719L23000020LE</t>
  </si>
  <si>
    <t>9786586551419</t>
  </si>
  <si>
    <t>IMLE0000200650P230302000000</t>
  </si>
  <si>
    <t>0650L23000020LE</t>
  </si>
  <si>
    <t>9788566811445</t>
  </si>
  <si>
    <t>IMLE0000200842P230302000000</t>
  </si>
  <si>
    <t>0842L23000020LE</t>
  </si>
  <si>
    <t>9786599684807</t>
  </si>
  <si>
    <t>IMLE0000200802P230302000000</t>
  </si>
  <si>
    <t>0802L23000020LE</t>
  </si>
  <si>
    <t>9786556962016</t>
  </si>
  <si>
    <t>IMLE0000201020P230302000000</t>
  </si>
  <si>
    <t>1020L23000020LE</t>
  </si>
  <si>
    <t>9786584622005</t>
  </si>
  <si>
    <t>IMLE0000201268P230302000000</t>
  </si>
  <si>
    <t>1268L23000020LE</t>
  </si>
  <si>
    <t>9786557490334</t>
  </si>
  <si>
    <t>IMLE0000200760P230302000000</t>
  </si>
  <si>
    <t>0760L23000020LE</t>
  </si>
  <si>
    <t>9786599500244</t>
  </si>
  <si>
    <t>IMLE0000200537P230302000000</t>
  </si>
  <si>
    <t>0537L23000020LE</t>
  </si>
  <si>
    <t>9786589760191</t>
  </si>
  <si>
    <t>IMLE0000200510P230302000000</t>
  </si>
  <si>
    <t>0510L23000020LE</t>
  </si>
  <si>
    <t>9788571138131</t>
  </si>
  <si>
    <t>IMLE0000200630P230302000000</t>
  </si>
  <si>
    <t>0630L23000020LE</t>
  </si>
  <si>
    <t>9786586437263</t>
  </si>
  <si>
    <t>IMLE0000200957P230302000000</t>
  </si>
  <si>
    <t>0957L23000020LE</t>
  </si>
  <si>
    <t>9788566390308</t>
  </si>
  <si>
    <t xml:space="preserve"> É TUDO VERDADE! (OU SERÁ MENTIRA?)</t>
  </si>
  <si>
    <t>IMLE0000201052P230302000000</t>
  </si>
  <si>
    <t>1052L23000020LE</t>
  </si>
  <si>
    <t>9786586539547</t>
  </si>
  <si>
    <t>IMLE0000200518P230302000000</t>
  </si>
  <si>
    <t>0518L23000020LE</t>
  </si>
  <si>
    <t>9786588436226</t>
  </si>
  <si>
    <t>43403251000120</t>
  </si>
  <si>
    <t>IMLE0000200524P230302000000</t>
  </si>
  <si>
    <t>0524L23000020LE</t>
  </si>
  <si>
    <t>9786599699801</t>
  </si>
  <si>
    <t>IMLE0000200624P230302000000</t>
  </si>
  <si>
    <t>0624L23000020LE</t>
  </si>
  <si>
    <t>9786584644014</t>
  </si>
  <si>
    <t>IMLE0000200800P230302000000</t>
  </si>
  <si>
    <t>0800L23000020LE</t>
  </si>
  <si>
    <t>9786589831013</t>
  </si>
  <si>
    <t>IMLE0000200641P230302000000</t>
  </si>
  <si>
    <t>0641L23000020LE</t>
  </si>
  <si>
    <t>9786599370380</t>
  </si>
  <si>
    <t>IMLE0000200436P230302000000</t>
  </si>
  <si>
    <t>0436L23000020LE</t>
  </si>
  <si>
    <t>9786586749328</t>
  </si>
  <si>
    <t>IMLE0000200881P230302000000</t>
  </si>
  <si>
    <t>0881L23000020LE</t>
  </si>
  <si>
    <t>9786584604063</t>
  </si>
  <si>
    <t>IMLE0000201106P230302000000</t>
  </si>
  <si>
    <t>1106L23000020LE</t>
  </si>
  <si>
    <t>9786586666144</t>
  </si>
  <si>
    <t>O SECADOR DE LIVROS</t>
  </si>
  <si>
    <t>IMLE0000201241P230302000000</t>
  </si>
  <si>
    <t>1241L23000020LE</t>
  </si>
  <si>
    <t>9786584639041</t>
  </si>
  <si>
    <t>03218030000167</t>
  </si>
  <si>
    <t>IMLE0000201081P230302000000</t>
  </si>
  <si>
    <t>1081L23000020LE</t>
  </si>
  <si>
    <t>9786589570097</t>
  </si>
  <si>
    <t>IMLE0000201086P230302000000</t>
  </si>
  <si>
    <t>1086L23000020LE</t>
  </si>
  <si>
    <t>9786589813071</t>
  </si>
  <si>
    <t>IMLE0000200353P230302000000</t>
  </si>
  <si>
    <t>0353L23000020LE</t>
  </si>
  <si>
    <t>9786555250916</t>
  </si>
  <si>
    <t>IMLE0000200400P230302000000</t>
  </si>
  <si>
    <t>0400L23000020LE</t>
  </si>
  <si>
    <t>9786557672303</t>
  </si>
  <si>
    <t>IMLE0000201141P230302000000</t>
  </si>
  <si>
    <t>1141L23000020LE</t>
  </si>
  <si>
    <t>9786599684128</t>
  </si>
  <si>
    <t>22243384000106</t>
  </si>
  <si>
    <t>IMLE0000300383P230301000000</t>
  </si>
  <si>
    <t>0383L23000030LE</t>
  </si>
  <si>
    <t>9786589519096</t>
  </si>
  <si>
    <t>IMLE0000200561P230302000000</t>
  </si>
  <si>
    <t>0561L23000020LE</t>
  </si>
  <si>
    <t>9788583270164</t>
  </si>
  <si>
    <t>IMLE0000201189P230302000000</t>
  </si>
  <si>
    <t>1189L23000020LE</t>
  </si>
  <si>
    <t>9786599698828</t>
  </si>
  <si>
    <t>IMLE0000200351P230302000000</t>
  </si>
  <si>
    <t>0351L23000020LE</t>
  </si>
  <si>
    <t>9786555050905</t>
  </si>
  <si>
    <t>IMLE0000200360P230302000000</t>
  </si>
  <si>
    <t>0360L23000020LE</t>
  </si>
  <si>
    <t>9786589152095</t>
  </si>
  <si>
    <t>IMLE0000200344P230302000000</t>
  </si>
  <si>
    <t>0344L23000020LE</t>
  </si>
  <si>
    <t>9786589045236</t>
  </si>
  <si>
    <t>IMLE0000201151P230302000000</t>
  </si>
  <si>
    <t>1151L23000020LE</t>
  </si>
  <si>
    <t>9786599699122</t>
  </si>
  <si>
    <t>42436631000106</t>
  </si>
  <si>
    <t>IMLE0000200332P230302000000</t>
  </si>
  <si>
    <t>0332L23000020LE</t>
  </si>
  <si>
    <t>9786584586420</t>
  </si>
  <si>
    <t>01418157000102</t>
  </si>
  <si>
    <t>IMLE0000201035P230302000000</t>
  </si>
  <si>
    <t>1035L23000020LE</t>
  </si>
  <si>
    <t>9786557180044</t>
  </si>
  <si>
    <t>IMLE0000200659P230302000000</t>
  </si>
  <si>
    <t>0659L23000020LE</t>
  </si>
  <si>
    <t>9788554131081</t>
  </si>
  <si>
    <t>IMLE0000200872P230302000000</t>
  </si>
  <si>
    <t>0872L23000020LE</t>
  </si>
  <si>
    <t>9786584605060</t>
  </si>
  <si>
    <t>IMLE0000201146P230302000000</t>
  </si>
  <si>
    <t>1146L23000020LE</t>
  </si>
  <si>
    <t>9786599421891</t>
  </si>
  <si>
    <t>IMLE0000200877P230302000000</t>
  </si>
  <si>
    <t>0877L23000020LE</t>
  </si>
  <si>
    <t>9786588871140</t>
  </si>
  <si>
    <t>IMLE0000201088P230302000000</t>
  </si>
  <si>
    <t>1088L23000020LE</t>
  </si>
  <si>
    <t>9786599247545</t>
  </si>
  <si>
    <t>IMLE0000200838P230302000000</t>
  </si>
  <si>
    <t>0838L23000020LE</t>
  </si>
  <si>
    <t>9786599404184</t>
  </si>
  <si>
    <t>40580731000178</t>
  </si>
  <si>
    <t>IMLE0000200977P230302000000</t>
  </si>
  <si>
    <t>0977L23000020LE</t>
  </si>
  <si>
    <t>9786589753117</t>
  </si>
  <si>
    <t>IMLE0000201167P230302000000</t>
  </si>
  <si>
    <t>1167L23000020LE</t>
  </si>
  <si>
    <t>9786599699603</t>
  </si>
  <si>
    <t>IMLE0000200689P230302000000</t>
  </si>
  <si>
    <t>0689L23000020LE</t>
  </si>
  <si>
    <t>9786557950135</t>
  </si>
  <si>
    <t>10358783000133</t>
  </si>
  <si>
    <t>IMLE0000201205P230302000000</t>
  </si>
  <si>
    <t>1205L23000020LE</t>
  </si>
  <si>
    <t>9788554205188</t>
  </si>
  <si>
    <t>IMLE0000200425P230302000000</t>
  </si>
  <si>
    <t>0425L23000020LE</t>
  </si>
  <si>
    <t>9786589610083</t>
  </si>
  <si>
    <t>IMLE0000201179P230302000000</t>
  </si>
  <si>
    <t>1179L23000020LE</t>
  </si>
  <si>
    <t>9788556730145</t>
  </si>
  <si>
    <t>IMLE0000200577P230302000000</t>
  </si>
  <si>
    <t>0577L23000020LE</t>
  </si>
  <si>
    <t>9786559240500</t>
  </si>
  <si>
    <t>IMLE0000200384P230302000000</t>
  </si>
  <si>
    <t>0384L23000020LE</t>
  </si>
  <si>
    <t>9786589519119</t>
  </si>
  <si>
    <t>IMLE0000200634P230302000000</t>
  </si>
  <si>
    <t>0634L23000020LE</t>
  </si>
  <si>
    <t>9786599647000</t>
  </si>
  <si>
    <t>IMLE0000200946P230302000000</t>
  </si>
  <si>
    <t>0946L23000020LE</t>
  </si>
  <si>
    <t>9786599397660</t>
  </si>
  <si>
    <t>IMLE0000201253P230302000000</t>
  </si>
  <si>
    <t>1253L23000020LE</t>
  </si>
  <si>
    <t>9786599411793</t>
  </si>
  <si>
    <t>IMLE0000201221P230302000000</t>
  </si>
  <si>
    <t>1221L23000020LE</t>
  </si>
  <si>
    <t>9786586667134</t>
  </si>
  <si>
    <t>68216860000109</t>
  </si>
  <si>
    <t>IMLE0000201263P230302000000</t>
  </si>
  <si>
    <t>1263L23000020LE</t>
  </si>
  <si>
    <t>9786589956020</t>
  </si>
  <si>
    <t>43003409000174</t>
  </si>
  <si>
    <t>IMLE0000200477P230302000000</t>
  </si>
  <si>
    <t>0477L23000020LE</t>
  </si>
  <si>
    <t>9786555552164</t>
  </si>
  <si>
    <t>IMLE0000200487P230302000000</t>
  </si>
  <si>
    <t>0487L23000020LE</t>
  </si>
  <si>
    <t>9786588433140</t>
  </si>
  <si>
    <t>IMLE0000200606P230302000000</t>
  </si>
  <si>
    <t>0606L23000020LE</t>
  </si>
  <si>
    <t>9788581980287</t>
  </si>
  <si>
    <t>IMLE0000201012P230302000000</t>
  </si>
  <si>
    <t>1012L23000020LE</t>
  </si>
  <si>
    <t>9786599659034</t>
  </si>
  <si>
    <t>IMLE0000201199P230302000000</t>
  </si>
  <si>
    <t>1199L23000020LE</t>
  </si>
  <si>
    <t>9786599673726</t>
  </si>
  <si>
    <t>IMLE0000200546P230302000000</t>
  </si>
  <si>
    <t>0546L23000020LE</t>
  </si>
  <si>
    <t>9786586059991</t>
  </si>
  <si>
    <t>43890492000140</t>
  </si>
  <si>
    <t>IMLE0000201070P230302000000</t>
  </si>
  <si>
    <t>1070L23000020LE</t>
  </si>
  <si>
    <t>9786599692932</t>
  </si>
  <si>
    <t>IMLE0000200693P230302000000</t>
  </si>
  <si>
    <t>0693L23000020LE</t>
  </si>
  <si>
    <t>9788516063177</t>
  </si>
  <si>
    <t>IMLE0000201329P230302000000</t>
  </si>
  <si>
    <t>1329L23000020LE</t>
  </si>
  <si>
    <t>9786587299150</t>
  </si>
  <si>
    <t>43597287000191</t>
  </si>
  <si>
    <t>IMLE0000201170P230302000000</t>
  </si>
  <si>
    <t>1170L23000020LE</t>
  </si>
  <si>
    <t>9786599684753</t>
  </si>
  <si>
    <t>IMLE0000200422P230302000000</t>
  </si>
  <si>
    <t>0422L23000020LE</t>
  </si>
  <si>
    <t>9786599390388</t>
  </si>
  <si>
    <t>IMLE0000201074P230302000000</t>
  </si>
  <si>
    <t>1074L23000020LE</t>
  </si>
  <si>
    <t>9786599687617</t>
  </si>
  <si>
    <t>IMLE0000201093P230302000000</t>
  </si>
  <si>
    <t>1093L23000020LE</t>
  </si>
  <si>
    <t>9786589643111</t>
  </si>
  <si>
    <t>IMLE0000200663P230302000000</t>
  </si>
  <si>
    <t>0663L23000020LE</t>
  </si>
  <si>
    <t>9786599036897</t>
  </si>
  <si>
    <t>IMLE0000200319P230302000000</t>
  </si>
  <si>
    <t>0319L23000020LE</t>
  </si>
  <si>
    <t>9786589830092</t>
  </si>
  <si>
    <t>IMLE0000201152P230302000000</t>
  </si>
  <si>
    <t>1152L23000020LE</t>
  </si>
  <si>
    <t>9786599692529</t>
  </si>
  <si>
    <t>IMLE0000201030P230302000000</t>
  </si>
  <si>
    <t>1030L23000020LE</t>
  </si>
  <si>
    <t>9786599677410</t>
  </si>
  <si>
    <t>IMLE0000200961P230302000000</t>
  </si>
  <si>
    <t>0961L23000020LE</t>
  </si>
  <si>
    <t>9786589734079</t>
  </si>
  <si>
    <t>IMLE0000201112P230302000000</t>
  </si>
  <si>
    <t>1112L23000020LE</t>
  </si>
  <si>
    <t>9788594228123</t>
  </si>
  <si>
    <t>IMLE0000200896P230302000000</t>
  </si>
  <si>
    <t>0896L23000020LE</t>
  </si>
  <si>
    <t>9786589715092</t>
  </si>
  <si>
    <t>IMLE0000200434P230302000000</t>
  </si>
  <si>
    <t>0434L23000020LE</t>
  </si>
  <si>
    <t>9786599567223</t>
  </si>
  <si>
    <t>IMLE0000200508P230302000000</t>
  </si>
  <si>
    <t>0508L23000020LE</t>
  </si>
  <si>
    <t>9786584601017</t>
  </si>
  <si>
    <t>IMLE0000200860P230302000000</t>
  </si>
  <si>
    <t>0860L23000020LE</t>
  </si>
  <si>
    <t>9786589865049</t>
  </si>
  <si>
    <t>IMLE0000200936P230302000000</t>
  </si>
  <si>
    <t>0936L23000020LE</t>
  </si>
  <si>
    <t>9786599697333</t>
  </si>
  <si>
    <t>IMLE0000200646P230302000000</t>
  </si>
  <si>
    <t>0646L23000020LE</t>
  </si>
  <si>
    <t>9786599175992</t>
  </si>
  <si>
    <t>IMLE0000200459P230302000000</t>
  </si>
  <si>
    <t>0459L23000020LE</t>
  </si>
  <si>
    <t>9786581722081</t>
  </si>
  <si>
    <t>IMLE0000201137P230302000000</t>
  </si>
  <si>
    <t>1137L23000020LE</t>
  </si>
  <si>
    <t>9786588429129</t>
  </si>
  <si>
    <t>IMLE0000201018P230302000000</t>
  </si>
  <si>
    <t>1018L23000020LE</t>
  </si>
  <si>
    <t>9786584619050</t>
  </si>
  <si>
    <t>IMLE0000200743P230302000000</t>
  </si>
  <si>
    <t>0743L23000020LE</t>
  </si>
  <si>
    <t>9786589777090</t>
  </si>
  <si>
    <t>IMLE0000200812P230302000000</t>
  </si>
  <si>
    <t>0812L23000020LE</t>
  </si>
  <si>
    <t>9788542706246</t>
  </si>
  <si>
    <t>IMLE0000200654P230302000000</t>
  </si>
  <si>
    <t>0654L23000020LE</t>
  </si>
  <si>
    <t>9786556540610</t>
  </si>
  <si>
    <t>IMLE0000200656P230302000000</t>
  </si>
  <si>
    <t>0656L23000020LE</t>
  </si>
  <si>
    <t>9786555960730</t>
  </si>
  <si>
    <t>IMLE0000200409P230302000000</t>
  </si>
  <si>
    <t>0409L23000020LE</t>
  </si>
  <si>
    <t>9786587181141</t>
  </si>
  <si>
    <t>IMLE0000200734P230302000000</t>
  </si>
  <si>
    <t>0734L23000020LE</t>
  </si>
  <si>
    <t>9786599437267</t>
  </si>
  <si>
    <t>IMLE0000200368P230302000000</t>
  </si>
  <si>
    <t>0368L23000020LE</t>
  </si>
  <si>
    <t>9786589507093</t>
  </si>
  <si>
    <t>IMLE0000201056P230302000000</t>
  </si>
  <si>
    <t>1056L23000020LE</t>
  </si>
  <si>
    <t>9786599687105</t>
  </si>
  <si>
    <t>IMLE0000201061P230302000000</t>
  </si>
  <si>
    <t>1061L23000020LE</t>
  </si>
  <si>
    <t>9786599683459</t>
  </si>
  <si>
    <t>43889631000116</t>
  </si>
  <si>
    <t>IMLE0000201066P230302000000</t>
  </si>
  <si>
    <t>1066L23000020LE</t>
  </si>
  <si>
    <t>9786599687310</t>
  </si>
  <si>
    <t>02425822000140</t>
  </si>
  <si>
    <t>IMLE0000301206P230301000000</t>
  </si>
  <si>
    <t>1206L23000030LE</t>
  </si>
  <si>
    <t>9786553650138</t>
  </si>
  <si>
    <t>IMLE0000200913P230302000000</t>
  </si>
  <si>
    <t>0913L23000020LE</t>
  </si>
  <si>
    <t>9786589454052</t>
  </si>
  <si>
    <t>10285519000117</t>
  </si>
  <si>
    <t>IMLE0000300387P230301000000</t>
  </si>
  <si>
    <t>0387L23000030LE</t>
  </si>
  <si>
    <t>9786588444481</t>
  </si>
  <si>
    <t>IMLE0000200473P230302000000</t>
  </si>
  <si>
    <t>0473L23000020LE</t>
  </si>
  <si>
    <t>9786588334065</t>
  </si>
  <si>
    <t>IMLE0000200613P230302000000</t>
  </si>
  <si>
    <t>0613L23000020LE</t>
  </si>
  <si>
    <t>9786555874167</t>
  </si>
  <si>
    <t>12659198000107</t>
  </si>
  <si>
    <t>IMLE0000201309P230302000000</t>
  </si>
  <si>
    <t>1309L23000020LE</t>
  </si>
  <si>
    <t>9786586082616</t>
  </si>
  <si>
    <t>IMLE0000200776P230302000000</t>
  </si>
  <si>
    <t>0776L23000020LE</t>
  </si>
  <si>
    <t>9788546903498</t>
  </si>
  <si>
    <t>IMLE0000200845P230302000000</t>
  </si>
  <si>
    <t>0845L23000020LE</t>
  </si>
  <si>
    <t>9786589285021</t>
  </si>
  <si>
    <t>03638463000171</t>
  </si>
  <si>
    <t>IMLE0000200839P230302000000</t>
  </si>
  <si>
    <t>0839L23000020LE</t>
  </si>
  <si>
    <t>9786599426865</t>
  </si>
  <si>
    <t>IMLE0000201365P230302000000</t>
  </si>
  <si>
    <t>1365L23000020LE</t>
  </si>
  <si>
    <t>9786588934098</t>
  </si>
  <si>
    <t>IMLE0000200685P230302000000</t>
  </si>
  <si>
    <t>0685L23000020LE</t>
  </si>
  <si>
    <t>9786599563492</t>
  </si>
  <si>
    <t>IMLE0000200589P230302000000</t>
  </si>
  <si>
    <t>0589L23000020LE</t>
  </si>
  <si>
    <t>9786556521121</t>
  </si>
  <si>
    <t>IMLE0000200854P230302000000</t>
  </si>
  <si>
    <t>0854L23000020LE</t>
  </si>
  <si>
    <t>9786588785171</t>
  </si>
  <si>
    <t>IMLE0000200909P230302000000</t>
  </si>
  <si>
    <t>0909L23000020LE</t>
  </si>
  <si>
    <t>9786584628076</t>
  </si>
  <si>
    <t>IMLE0000200311P230302000000</t>
  </si>
  <si>
    <t>0311L23000020LE</t>
  </si>
  <si>
    <t>9786584602045</t>
  </si>
  <si>
    <t>IMLE0000200402P230302000000</t>
  </si>
  <si>
    <t>0402L23000020LE</t>
  </si>
  <si>
    <t>9786599502347</t>
  </si>
  <si>
    <t>IMLE0000200480P230302000000</t>
  </si>
  <si>
    <t>0480L23000020LE</t>
  </si>
  <si>
    <t>9786599651137</t>
  </si>
  <si>
    <t>05875886000130</t>
  </si>
  <si>
    <t>IMLE0000200766P230302000000</t>
  </si>
  <si>
    <t>0766L23000020LE</t>
  </si>
  <si>
    <t>9786587209104</t>
  </si>
  <si>
    <t>IMLE0000200981P230302000000</t>
  </si>
  <si>
    <t>0981L23000020LE</t>
  </si>
  <si>
    <t>9786584669017</t>
  </si>
  <si>
    <t>IMLE0000200388P230302000000</t>
  </si>
  <si>
    <t>0388L23000020LE</t>
  </si>
  <si>
    <t>9786588444467</t>
  </si>
  <si>
    <t>14532787000147</t>
  </si>
  <si>
    <t>IMLE0000200533P230302000000</t>
  </si>
  <si>
    <t>0533L23000020LE</t>
  </si>
  <si>
    <t>9786599633195</t>
  </si>
  <si>
    <t>IMLE0000200933P230302000000</t>
  </si>
  <si>
    <t>0933L23000020LE</t>
  </si>
  <si>
    <t>9786588445167</t>
  </si>
  <si>
    <t>IMLE0000200550P230302000000</t>
  </si>
  <si>
    <t>0550L23000020LE</t>
  </si>
  <si>
    <t>9786589655053</t>
  </si>
  <si>
    <t>IMLE0000200774P230302000000</t>
  </si>
  <si>
    <t>0774L23000020LE</t>
  </si>
  <si>
    <t>9786556231990</t>
  </si>
  <si>
    <t>IMLE0000201032P230302000000</t>
  </si>
  <si>
    <t>1032L23000020LE</t>
  </si>
  <si>
    <t>9786584647008</t>
  </si>
  <si>
    <t>IMLE0000200375P230302000000</t>
  </si>
  <si>
    <t>0375L23000020LE</t>
  </si>
  <si>
    <t>9786558370956</t>
  </si>
  <si>
    <t>IMLE0000200822P230302000000</t>
  </si>
  <si>
    <t>0822L23000020LE</t>
  </si>
  <si>
    <t>9786584559011</t>
  </si>
  <si>
    <t>21256947000138</t>
  </si>
  <si>
    <t>IMLE0000200885P230302000000</t>
  </si>
  <si>
    <t>0885L23000020LE</t>
  </si>
  <si>
    <t>9786584513303</t>
  </si>
  <si>
    <t>IMLE0000200520P230302000000</t>
  </si>
  <si>
    <t>0520L23000020LE</t>
  </si>
  <si>
    <t>9786586719444</t>
  </si>
  <si>
    <t>IMLE0000200608P230302000000</t>
  </si>
  <si>
    <t>0608L23000020LE</t>
  </si>
  <si>
    <t>9786589390114</t>
  </si>
  <si>
    <t>IMLE0000200466P230302000000</t>
  </si>
  <si>
    <t>0466L23000020LE</t>
  </si>
  <si>
    <t>9786589146056</t>
  </si>
  <si>
    <t>IMLE0000200489P230302000000</t>
  </si>
  <si>
    <t>0489L23000020LE</t>
  </si>
  <si>
    <t>9786557500385</t>
  </si>
  <si>
    <t>IMLE0000201156P230302000000</t>
  </si>
  <si>
    <t>1156L23000020LE</t>
  </si>
  <si>
    <t>9786588968185</t>
  </si>
  <si>
    <t>IMLE0000201174P230302000000</t>
  </si>
  <si>
    <t>1174L23000020LE</t>
  </si>
  <si>
    <t>9786599697715</t>
  </si>
  <si>
    <t>03323583000180</t>
  </si>
  <si>
    <t>IMLE0000200406P230302000000</t>
  </si>
  <si>
    <t>0406L23000020LE</t>
  </si>
  <si>
    <t>9788595711716</t>
  </si>
  <si>
    <t>IMLE0000200852P230302000000</t>
  </si>
  <si>
    <t>0852L23000020LE</t>
  </si>
  <si>
    <t>9788584392599</t>
  </si>
  <si>
    <t>IMLE0000200721P230302000000</t>
  </si>
  <si>
    <t>0721L23000020LE</t>
  </si>
  <si>
    <t>9786586553734</t>
  </si>
  <si>
    <t>43414435000195</t>
  </si>
  <si>
    <t>IMLE0000201176P230302000000</t>
  </si>
  <si>
    <t>1176L23000020LE</t>
  </si>
  <si>
    <t>9786599698439</t>
  </si>
  <si>
    <t>IMLE0000200372P230302000000</t>
  </si>
  <si>
    <t>0372L23000020LE</t>
  </si>
  <si>
    <t>9786556403656</t>
  </si>
  <si>
    <t>IMLE0000200814P230302000000</t>
  </si>
  <si>
    <t>0814L23000020LE</t>
  </si>
  <si>
    <t>9786588899250</t>
  </si>
  <si>
    <t>IMLE0000200366P230302000000</t>
  </si>
  <si>
    <t>0366L23000020LE</t>
  </si>
  <si>
    <t>9788500506444</t>
  </si>
  <si>
    <t>IMLE0000201303P230302000000</t>
  </si>
  <si>
    <t>1303L23000020LE</t>
  </si>
  <si>
    <t>9786589427179</t>
  </si>
  <si>
    <t>10171102000123</t>
  </si>
  <si>
    <t>IMLE0000200516P230302000000</t>
  </si>
  <si>
    <t>0516L23000020LE</t>
  </si>
  <si>
    <t>9786588438190</t>
  </si>
  <si>
    <t>44139093000105</t>
  </si>
  <si>
    <t>IMLE0000300468P230301000000</t>
  </si>
  <si>
    <t>0468L23000030LE</t>
  </si>
  <si>
    <t>9786584590250</t>
  </si>
  <si>
    <t>22338034000123</t>
  </si>
  <si>
    <t>IMLE0000200746P230302000000</t>
  </si>
  <si>
    <t>0746L23000020LE</t>
  </si>
  <si>
    <t>9788554801038</t>
  </si>
  <si>
    <t>IMLE0000200816P230302000000</t>
  </si>
  <si>
    <t>0816L23000020LE</t>
  </si>
  <si>
    <t>9786599588556</t>
  </si>
  <si>
    <t>IMLE0000200983P230302000000</t>
  </si>
  <si>
    <t>0983L23000020LE</t>
  </si>
  <si>
    <t>9786599660825</t>
  </si>
  <si>
    <t>IMLE0000200469P230302000000</t>
  </si>
  <si>
    <t>0469L23000020LE</t>
  </si>
  <si>
    <t>9786584590281</t>
  </si>
  <si>
    <t>IMLE0000200432P230302000000</t>
  </si>
  <si>
    <t>0432L23000020LE</t>
  </si>
  <si>
    <t>9786589625087</t>
  </si>
  <si>
    <t>IMLE0000200752P230302000000</t>
  </si>
  <si>
    <t>0752L23000020LE</t>
  </si>
  <si>
    <t>9786588749135</t>
  </si>
  <si>
    <t>IMLE0000200364P230302000000</t>
  </si>
  <si>
    <t>0364L23000020LE</t>
  </si>
  <si>
    <t>9786589835189</t>
  </si>
  <si>
    <t>IMLE0000200535P230302000000</t>
  </si>
  <si>
    <t>0535L23000020LE</t>
  </si>
  <si>
    <t>9786589654124</t>
  </si>
  <si>
    <t>IMLE0000200714P230302000000</t>
  </si>
  <si>
    <t>0714L23000020LE</t>
  </si>
  <si>
    <t>9788564483484</t>
  </si>
  <si>
    <t>IMLE0000200680P230302000000</t>
  </si>
  <si>
    <t>0680L23000020LE</t>
  </si>
  <si>
    <t>9788575681466</t>
  </si>
  <si>
    <t>37594776000197</t>
  </si>
  <si>
    <t>IMLE0000201274P230302000000</t>
  </si>
  <si>
    <t>1274L23000020LE</t>
  </si>
  <si>
    <t>9786588353189</t>
  </si>
  <si>
    <t>IMLE0000200418P230302000000</t>
  </si>
  <si>
    <t>0418L23000020LE</t>
  </si>
  <si>
    <t>9786556451428</t>
  </si>
  <si>
    <t>IMLE0000200993P230302000000</t>
  </si>
  <si>
    <t>0993L23000020LE</t>
  </si>
  <si>
    <t>9786589964476</t>
  </si>
  <si>
    <t>IMLE0000200471P230302000000</t>
  </si>
  <si>
    <t>0471L23000020LE</t>
  </si>
  <si>
    <t>9786599651410</t>
  </si>
  <si>
    <t>IMLE0000200457P230302000000</t>
  </si>
  <si>
    <t>0457L23000020LE</t>
  </si>
  <si>
    <t>9786599390944</t>
  </si>
  <si>
    <t>31728662000106</t>
  </si>
  <si>
    <t>IMLE0000201355P230302000000</t>
  </si>
  <si>
    <t>1355L23000020LE</t>
  </si>
  <si>
    <t>9786599441288</t>
  </si>
  <si>
    <t>43398821000130</t>
  </si>
  <si>
    <t>IMLE0000201169P230302000000</t>
  </si>
  <si>
    <t>1169L23000020LE</t>
  </si>
  <si>
    <t>9786599697111</t>
  </si>
  <si>
    <t>IMLE0000200757P230302000000</t>
  </si>
  <si>
    <t>0757L23000020LE</t>
  </si>
  <si>
    <t>9786599607226</t>
  </si>
  <si>
    <t>39371478000163</t>
  </si>
  <si>
    <t>IMLE0000201334P230302000000</t>
  </si>
  <si>
    <t>1334L23000020LE</t>
  </si>
  <si>
    <t>9786589738138</t>
  </si>
  <si>
    <t>IMLE0000201346P230302000000</t>
  </si>
  <si>
    <t>1346L23000020LE</t>
  </si>
  <si>
    <t>9786599430480</t>
  </si>
  <si>
    <t>IMLE0000200756P230302000000</t>
  </si>
  <si>
    <t>0756L23000020LE</t>
  </si>
  <si>
    <t>9786599402081</t>
  </si>
  <si>
    <t>IMLE0000200804P230302000000</t>
  </si>
  <si>
    <t>0804L23000020LE</t>
  </si>
  <si>
    <t>9786589603122</t>
  </si>
  <si>
    <t>IMLE0000200810P230302000000</t>
  </si>
  <si>
    <t>0810L23000020LE</t>
  </si>
  <si>
    <t>9786558810803</t>
  </si>
  <si>
    <t>IMLE0000200502P230302000000</t>
  </si>
  <si>
    <t>0502L23000020LE</t>
  </si>
  <si>
    <t>9786557500422</t>
  </si>
  <si>
    <t>43414502000171</t>
  </si>
  <si>
    <t>IMLE0000201177P230302000000</t>
  </si>
  <si>
    <t>1177L23000020LE</t>
  </si>
  <si>
    <t>9786599697517</t>
  </si>
  <si>
    <t>IMLE0000200778P230302000000</t>
  </si>
  <si>
    <t>0778L23000020LE</t>
  </si>
  <si>
    <t>9786599569968</t>
  </si>
  <si>
    <t>IMLE0000201284P230302000000</t>
  </si>
  <si>
    <t>1284L23000020LE</t>
  </si>
  <si>
    <t>9786588896013</t>
  </si>
  <si>
    <t>IMLE0000200620P230302000000</t>
  </si>
  <si>
    <t>0620L23000020LE</t>
  </si>
  <si>
    <t>9786586686197</t>
  </si>
  <si>
    <t>IMLE0000201186P230302000000</t>
  </si>
  <si>
    <t>1186L23000020LE</t>
  </si>
  <si>
    <t>9786599698637</t>
  </si>
  <si>
    <t>IMLE0000201024P230302000000</t>
  </si>
  <si>
    <t>1024L23000020LE</t>
  </si>
  <si>
    <t>9786586023251</t>
  </si>
  <si>
    <t>IMLE0000201014P230302000000</t>
  </si>
  <si>
    <t>1014L23000020LE</t>
  </si>
  <si>
    <t>9786599656521</t>
  </si>
  <si>
    <t>IMLE0000200542P230302000000</t>
  </si>
  <si>
    <t>0542L23000020LE</t>
  </si>
  <si>
    <t>9786555355642</t>
  </si>
  <si>
    <t>IMLE0000200548P230302000000</t>
  </si>
  <si>
    <t>0548L23000020LE</t>
  </si>
  <si>
    <t>9786555321913</t>
  </si>
  <si>
    <t>IMLE0000200798P230302000000</t>
  </si>
  <si>
    <t>0798L23000020LE</t>
  </si>
  <si>
    <t>9786589686224</t>
  </si>
  <si>
    <t>17458452000114</t>
  </si>
  <si>
    <t>IMLE0000201114P230302000000</t>
  </si>
  <si>
    <t>1114L23000020LE</t>
  </si>
  <si>
    <t>9786599398636</t>
  </si>
  <si>
    <t>19612428000113</t>
  </si>
  <si>
    <t>IMLE0000200354P230302000000</t>
  </si>
  <si>
    <t>0354L23000020LE</t>
  </si>
  <si>
    <t>9786599559747</t>
  </si>
  <si>
    <t>07070416000125</t>
  </si>
  <si>
    <t>IMLE0000201165P230302000000</t>
  </si>
  <si>
    <t>1165L23000020LE</t>
  </si>
  <si>
    <t>9786589558118</t>
  </si>
  <si>
    <t>IMLE0000200716P230302000000</t>
  </si>
  <si>
    <t>0716L23000020LE</t>
  </si>
  <si>
    <t>9788581303413</t>
  </si>
  <si>
    <t>IMLE0000200783P230302000000</t>
  </si>
  <si>
    <t>0783L23000020LE</t>
  </si>
  <si>
    <t>9786599426773</t>
  </si>
  <si>
    <t>IMLE0000200555P230302000000</t>
  </si>
  <si>
    <t>0555L23000020LE</t>
  </si>
  <si>
    <t>9788592874230</t>
  </si>
  <si>
    <t>IMLE0000200907P230302000000</t>
  </si>
  <si>
    <t>0907L23000020LE</t>
  </si>
  <si>
    <t>9786599399565</t>
  </si>
  <si>
    <t>IMLE0000200955P230302000000</t>
  </si>
  <si>
    <t>0955L23000020LE</t>
  </si>
  <si>
    <t>9786586784183</t>
  </si>
  <si>
    <t>IMLE0000200712P230302000000</t>
  </si>
  <si>
    <t>0712L23000020LE</t>
  </si>
  <si>
    <t>9786556662923</t>
  </si>
  <si>
    <t>IMLE0000200729P230302000000</t>
  </si>
  <si>
    <t>0729L23000020LE</t>
  </si>
  <si>
    <t>9786599702129</t>
  </si>
  <si>
    <t>IMLE0000200772P230302000000</t>
  </si>
  <si>
    <t>0772L23000020LE</t>
  </si>
  <si>
    <t>9786586097573</t>
  </si>
  <si>
    <t>IMLE0000200898P230302000000</t>
  </si>
  <si>
    <t>0898L23000020LE</t>
  </si>
  <si>
    <t>9786556091617</t>
  </si>
  <si>
    <t>IMLE0000201317P230302000000</t>
  </si>
  <si>
    <t>1317L23000020LE</t>
  </si>
  <si>
    <t>9788562527340</t>
  </si>
  <si>
    <t>IMLE0000201172P230302000000</t>
  </si>
  <si>
    <t>1172L23000020LE</t>
  </si>
  <si>
    <t>9786584694002</t>
  </si>
  <si>
    <t>IMLE0000201034P230302000000</t>
  </si>
  <si>
    <t>1034L23000020LE</t>
  </si>
  <si>
    <t>9786599699924</t>
  </si>
  <si>
    <t>IMLE0000200704P230302000000</t>
  </si>
  <si>
    <t>0704L23000020LE</t>
  </si>
  <si>
    <t>9786588966006</t>
  </si>
  <si>
    <t>IMLE0000201133P230302000000</t>
  </si>
  <si>
    <t>1133L23000020LE</t>
  </si>
  <si>
    <t>9786599701030</t>
  </si>
  <si>
    <t>IMLE0000200642P230302000000</t>
  </si>
  <si>
    <t>0642L23000020LE</t>
  </si>
  <si>
    <t>9786599391057</t>
  </si>
  <si>
    <t>11153245000175</t>
  </si>
  <si>
    <t>IMLE0000200338P230302000000</t>
  </si>
  <si>
    <t>0338L23000020LE</t>
  </si>
  <si>
    <t>9786589600053</t>
  </si>
  <si>
    <t>IMLE0000200953P230302000000</t>
  </si>
  <si>
    <t>0953L23000020LE</t>
  </si>
  <si>
    <t>9786589969006</t>
  </si>
  <si>
    <t>IMLE0000200678P230302000000</t>
  </si>
  <si>
    <t>0678L23000020LE</t>
  </si>
  <si>
    <t>9786599552168</t>
  </si>
  <si>
    <t>IMLE0000201235P230302000000</t>
  </si>
  <si>
    <t>1235L23000020LE</t>
  </si>
  <si>
    <t>9786584646001</t>
  </si>
  <si>
    <t>37905128000104</t>
  </si>
  <si>
    <t>IMLE0000200830P230302000000</t>
  </si>
  <si>
    <t>0830L23000020LE</t>
  </si>
  <si>
    <t>9786588428108</t>
  </si>
  <si>
    <t>IMLE0000200959P230302000000</t>
  </si>
  <si>
    <t>0959L23000020LE</t>
  </si>
  <si>
    <t>9786588737644</t>
  </si>
  <si>
    <t>IMLE0000200856P230302000000</t>
  </si>
  <si>
    <t>0856L23000020LE</t>
  </si>
  <si>
    <t>9786589990000</t>
  </si>
  <si>
    <t>IMLE0000200567P230302000000</t>
  </si>
  <si>
    <t>0567L23000020LE</t>
  </si>
  <si>
    <t>9786558380740</t>
  </si>
  <si>
    <t>43413809000158</t>
  </si>
  <si>
    <t>IMLE0000201184P230302000000</t>
  </si>
  <si>
    <t>1184L23000020LE</t>
  </si>
  <si>
    <t>9786599697906</t>
  </si>
  <si>
    <t>41573017000115</t>
  </si>
  <si>
    <t>IMLE0000201257P230302000000</t>
  </si>
  <si>
    <t>1257L23000020LE</t>
  </si>
  <si>
    <t>9786584680005</t>
  </si>
  <si>
    <t>IMLE0000201144P230302000000</t>
  </si>
  <si>
    <t>1144L23000020LE</t>
  </si>
  <si>
    <t>9786599684432</t>
  </si>
  <si>
    <t>IMLE0000200544P230302000000</t>
  </si>
  <si>
    <t>0544L23000020LE</t>
  </si>
  <si>
    <t>9788562533792</t>
  </si>
  <si>
    <t>IMLE0000200461P230302000000</t>
  </si>
  <si>
    <t>0461L23000020LE</t>
  </si>
  <si>
    <t>9786584582019</t>
  </si>
  <si>
    <t>22243375000115</t>
  </si>
  <si>
    <t>IMLE0000300341P230301000000</t>
  </si>
  <si>
    <t>0341L23000030LE</t>
  </si>
  <si>
    <t>9786588464106</t>
  </si>
  <si>
    <t>42055225000195</t>
  </si>
  <si>
    <t>IMLE0000300355P230301000000</t>
  </si>
  <si>
    <t>0355L23000030LE</t>
  </si>
  <si>
    <t>9788500506406</t>
  </si>
  <si>
    <t>IMLE0000200639P230302000000</t>
  </si>
  <si>
    <t>0639L23000020LE</t>
  </si>
  <si>
    <t>9786599403163</t>
  </si>
  <si>
    <t>38226506000196</t>
  </si>
  <si>
    <t>IMLE0000200499P230302000000</t>
  </si>
  <si>
    <t>0499L23000020LE</t>
  </si>
  <si>
    <t>9786559790487</t>
  </si>
  <si>
    <t>IMLE0000201211P230302000000</t>
  </si>
  <si>
    <t>1211L23000020LE</t>
  </si>
  <si>
    <t>9786588098141</t>
  </si>
  <si>
    <t>IMLE0000200587P230302000000</t>
  </si>
  <si>
    <t>0587L23000020LE</t>
  </si>
  <si>
    <t>9786589923381</t>
  </si>
  <si>
    <t>IMLE0000200750P230302000000</t>
  </si>
  <si>
    <t>0750L23000020LE</t>
  </si>
  <si>
    <t>9786599673108</t>
  </si>
  <si>
    <t>IMLE0000200522P230302000000</t>
  </si>
  <si>
    <t>0522L23000020LE</t>
  </si>
  <si>
    <t>9786589214199</t>
  </si>
  <si>
    <t>IMLE0000200858P230302000000</t>
  </si>
  <si>
    <t>0858L23000020LE</t>
  </si>
  <si>
    <t>9786584617049</t>
  </si>
  <si>
    <t>IMLE0000200657P230302000000</t>
  </si>
  <si>
    <t>0657L23000020LE</t>
  </si>
  <si>
    <t>9786599621437</t>
  </si>
  <si>
    <t>IMLE0000201207P230302000000</t>
  </si>
  <si>
    <t>1207L23000020LE</t>
  </si>
  <si>
    <t>9786553650183</t>
  </si>
  <si>
    <t>IMLE0000200710P230302000000</t>
  </si>
  <si>
    <t>0710L23000020LE</t>
  </si>
  <si>
    <t>9786599390197</t>
  </si>
  <si>
    <t>03053792000150</t>
  </si>
  <si>
    <t>IMLE0000200506P230302000000</t>
  </si>
  <si>
    <t>0506L23000020LE</t>
  </si>
  <si>
    <t>9786599356056</t>
  </si>
  <si>
    <t>44782727000143</t>
  </si>
  <si>
    <t>IMLE0000201255P230302000000</t>
  </si>
  <si>
    <t>1255L23000020LE</t>
  </si>
  <si>
    <t>9786599706745</t>
  </si>
  <si>
    <t>55621700000195</t>
  </si>
  <si>
    <t>IMLE0000200373P230302000000</t>
  </si>
  <si>
    <t>0373L23000020LE</t>
  </si>
  <si>
    <t>9786589723103</t>
  </si>
  <si>
    <t>IMLE0000200411P230302000000</t>
  </si>
  <si>
    <t>0411L23000020LE</t>
  </si>
  <si>
    <t>9788554310127</t>
  </si>
  <si>
    <t>IMLE0000200557P230302000000</t>
  </si>
  <si>
    <t>0557L23000020LE</t>
  </si>
  <si>
    <t>9786586106541</t>
  </si>
  <si>
    <t>04604233000154</t>
  </si>
  <si>
    <t>IMLE0000200999P230302000000</t>
  </si>
  <si>
    <t>0999L23000020LE</t>
  </si>
  <si>
    <t>9786589370093</t>
  </si>
  <si>
    <t>IMLE0000200969P230302000000</t>
  </si>
  <si>
    <t>0969L23000020LE</t>
  </si>
  <si>
    <t>9786589748083</t>
  </si>
  <si>
    <t>IMLE0000200342P230302000000</t>
  </si>
  <si>
    <t>0342L23000020LE</t>
  </si>
  <si>
    <t>9786588464083</t>
  </si>
  <si>
    <t>IMLE0000200985P230302000000</t>
  </si>
  <si>
    <t>0985L23000020LE</t>
  </si>
  <si>
    <t>9786599653223</t>
  </si>
  <si>
    <t>IMLE0000200450P230302000000</t>
  </si>
  <si>
    <t>0450L23000020LE</t>
  </si>
  <si>
    <t>9786599650819</t>
  </si>
  <si>
    <t>IMLE0000201243P230302000000</t>
  </si>
  <si>
    <t>1243L23000020LE</t>
  </si>
  <si>
    <t>9786559491889</t>
  </si>
  <si>
    <t>02588717000121</t>
  </si>
  <si>
    <t>IMLE0000200806P230302000000</t>
  </si>
  <si>
    <t>0806L23000020LE</t>
  </si>
  <si>
    <t>9786558033257</t>
  </si>
  <si>
    <t>IMLE0000200648P230302000000</t>
  </si>
  <si>
    <t>0648L23000020LE</t>
  </si>
  <si>
    <t>9786599637131</t>
  </si>
  <si>
    <t>IMLE0000200552P230302000000</t>
  </si>
  <si>
    <t>0552L23000020LE</t>
  </si>
  <si>
    <t>9786557121719</t>
  </si>
  <si>
    <t>IMLE0000201148P230302000000</t>
  </si>
  <si>
    <t>1148L23000020LE</t>
  </si>
  <si>
    <t>9786599697623</t>
  </si>
  <si>
    <t>IMLE0000200475P230302000000</t>
  </si>
  <si>
    <t>0475L23000020LE</t>
  </si>
  <si>
    <t>9786589870081</t>
  </si>
  <si>
    <t>IMLE0000201068P230302000000</t>
  </si>
  <si>
    <t>1068L23000020LE</t>
  </si>
  <si>
    <t>9786599687518</t>
  </si>
  <si>
    <t>IMLE0000201193P230302000000</t>
  </si>
  <si>
    <t>1193L23000020LE</t>
  </si>
  <si>
    <t>9786599698101</t>
  </si>
  <si>
    <t>IMLE0000201072P230302000000</t>
  </si>
  <si>
    <t>1072L23000020LE</t>
  </si>
  <si>
    <t>9786599687419</t>
  </si>
  <si>
    <t>IMLE0000200601P230302000000</t>
  </si>
  <si>
    <t>0601L23000020LE</t>
  </si>
  <si>
    <t>9786555480399</t>
  </si>
  <si>
    <t>28434354000163</t>
  </si>
  <si>
    <t>IMLE0000200300P230302000000</t>
  </si>
  <si>
    <t>0300L23000020LE</t>
  </si>
  <si>
    <t>9786599313172</t>
  </si>
  <si>
    <t>IMLE0000200725P230302000000</t>
  </si>
  <si>
    <t>0725L23000020LE</t>
  </si>
  <si>
    <t>9786584631069</t>
  </si>
  <si>
    <t>IMLE0000200304P230302000000</t>
  </si>
  <si>
    <t>0304L23000020LE</t>
  </si>
  <si>
    <t>9786599637322</t>
  </si>
  <si>
    <t>IMLE0000201282P230302000000</t>
  </si>
  <si>
    <t>1282L23000020LE</t>
  </si>
  <si>
    <t>9788582771167</t>
  </si>
  <si>
    <t>00845926000188</t>
  </si>
  <si>
    <t>IMLE0000201204P230302000000</t>
  </si>
  <si>
    <t>1204L23000020LE</t>
  </si>
  <si>
    <t>9786555303407</t>
  </si>
  <si>
    <t>IMLE0000200770P230302000000</t>
  </si>
  <si>
    <t>0770L23000020LE</t>
  </si>
  <si>
    <t>9786584663008</t>
  </si>
  <si>
    <t>IMLE0000200334P230302000000</t>
  </si>
  <si>
    <t>0334L23000020LE</t>
  </si>
  <si>
    <t>9786557171158</t>
  </si>
  <si>
    <t>25070698000142</t>
  </si>
  <si>
    <t>IMLE0000200313P230302000000</t>
  </si>
  <si>
    <t>0313L23000020LE</t>
  </si>
  <si>
    <t>9788593234064</t>
  </si>
  <si>
    <t>IMLE0000200482P230302000000</t>
  </si>
  <si>
    <t>0482L23000020LE</t>
  </si>
  <si>
    <t>9786599651229</t>
  </si>
  <si>
    <t>05606794000155</t>
  </si>
  <si>
    <t>IMLE0000301101P230301000000</t>
  </si>
  <si>
    <t>1101L23000030LE</t>
  </si>
  <si>
    <t>9786588629628</t>
  </si>
  <si>
    <t>IMLE0000200350P230302000000</t>
  </si>
  <si>
    <t>0350L23000020LE</t>
  </si>
  <si>
    <t>9786550791162</t>
  </si>
  <si>
    <t>IMLE0000200691P230302000000</t>
  </si>
  <si>
    <t>0691L23000020LE</t>
  </si>
  <si>
    <t>9786586764307</t>
  </si>
  <si>
    <t>IMLE0000200626P230302000000</t>
  </si>
  <si>
    <t>0626L23000020LE</t>
  </si>
  <si>
    <t>9788583921998</t>
  </si>
  <si>
    <t>IMLE0000200413P230302000000</t>
  </si>
  <si>
    <t>0413L23000020LE</t>
  </si>
  <si>
    <t>9786589609100</t>
  </si>
  <si>
    <t>07635383000113</t>
  </si>
  <si>
    <t>IMLE0000200312P230302000000</t>
  </si>
  <si>
    <t>0312L23000020LE</t>
  </si>
  <si>
    <t>9786599477324</t>
  </si>
  <si>
    <t>IMLE0000200394P230302000000</t>
  </si>
  <si>
    <t>0394L23000020LE</t>
  </si>
  <si>
    <t>9786599414787</t>
  </si>
  <si>
    <t>IMLE0000201321P230302000000</t>
  </si>
  <si>
    <t>1321L23000020LE</t>
  </si>
  <si>
    <t>9786599676123</t>
  </si>
  <si>
    <t>73937682000137</t>
  </si>
  <si>
    <t>IMLE0000301285P230301000000</t>
  </si>
  <si>
    <t>1285L23000030LE</t>
  </si>
  <si>
    <t>9788554480363</t>
  </si>
  <si>
    <t>40796154000156</t>
  </si>
  <si>
    <t>IMLE0000200585P230302000000</t>
  </si>
  <si>
    <t>0585L23000020LE</t>
  </si>
  <si>
    <t>9786584705005</t>
  </si>
  <si>
    <t>IMLE0000200677P230302000000</t>
  </si>
  <si>
    <t>0677L23000020LE</t>
  </si>
  <si>
    <t>9786589702146</t>
  </si>
  <si>
    <t>IMLE0000200404P230302000000</t>
  </si>
  <si>
    <t>0404L23000020LE</t>
  </si>
  <si>
    <t>9786588462447</t>
  </si>
  <si>
    <t>IMLE0000200632P230302000000</t>
  </si>
  <si>
    <t>0632L23000020LE</t>
  </si>
  <si>
    <t>9786599560378</t>
  </si>
  <si>
    <t>IMLE0000200949P230302000000</t>
  </si>
  <si>
    <t>0949L23000020LE</t>
  </si>
  <si>
    <t>9786550320638</t>
  </si>
  <si>
    <t>IMLE0000200390P230302000000</t>
  </si>
  <si>
    <t>0390L23000020LE</t>
  </si>
  <si>
    <t>9786589518044</t>
  </si>
  <si>
    <t>17070136000170</t>
  </si>
  <si>
    <t>IMLE0000200682P230302000000</t>
  </si>
  <si>
    <t>0682L23000020LE</t>
  </si>
  <si>
    <t>9786580742011</t>
  </si>
  <si>
    <t>IMLE0000201223P230302000000</t>
  </si>
  <si>
    <t>1223L23000020LE</t>
  </si>
  <si>
    <t>9786589720126</t>
  </si>
  <si>
    <t>IMLE0000201102P230302000000</t>
  </si>
  <si>
    <t>1102L23000020LE</t>
  </si>
  <si>
    <t>9786588629604</t>
  </si>
  <si>
    <t>IMLE0000200787P230302000000</t>
  </si>
  <si>
    <t>0787L23000020LE</t>
  </si>
  <si>
    <t>9786556510347</t>
  </si>
  <si>
    <t>IMLE0000200929P230302000000</t>
  </si>
  <si>
    <t>0929L23000020LE</t>
  </si>
  <si>
    <t>9786599696701</t>
  </si>
  <si>
    <t>IMLE0000201127P230302000000</t>
  </si>
  <si>
    <t>1127L23000020LE</t>
  </si>
  <si>
    <t>9786557480274</t>
  </si>
  <si>
    <t>35435504000119</t>
  </si>
  <si>
    <t>IMLE0000201292P230302000000</t>
  </si>
  <si>
    <t>1292L23000020LE</t>
  </si>
  <si>
    <t>9786589040101</t>
  </si>
  <si>
    <t>61186490000157</t>
  </si>
  <si>
    <t>IMLE0000300298P230301000000</t>
  </si>
  <si>
    <t>0298L23000030LE</t>
  </si>
  <si>
    <t>9788596031905</t>
  </si>
  <si>
    <t>IMLE0000201350P230302000000</t>
  </si>
  <si>
    <t>1350L23000020LE</t>
  </si>
  <si>
    <t>9786555191325</t>
  </si>
  <si>
    <t>IMLE0000201249P230302000000</t>
  </si>
  <si>
    <t>1249L23000020LE</t>
  </si>
  <si>
    <t>9786587269634</t>
  </si>
  <si>
    <t>08978502000101</t>
  </si>
  <si>
    <t>IMLE0000200464P230302000000</t>
  </si>
  <si>
    <t>0464L23000020LE</t>
  </si>
  <si>
    <t>9786586690132</t>
  </si>
  <si>
    <t>IMLE0000200733P230302000000</t>
  </si>
  <si>
    <t>0733L23000020LE</t>
  </si>
  <si>
    <t>9786559311026</t>
  </si>
  <si>
    <t>IRMÃS DA CHUVA - LIVRO DO ESTUDANTE</t>
  </si>
  <si>
    <t>IMLE0000201078P230302000000</t>
  </si>
  <si>
    <t>1078L23000020LE</t>
  </si>
  <si>
    <t>9786599689406</t>
  </si>
  <si>
    <t>IMLE0000201076P230302000000</t>
  </si>
  <si>
    <t>1076L23000020LE</t>
  </si>
  <si>
    <t>9786599687211</t>
  </si>
  <si>
    <t>19824331000174</t>
  </si>
  <si>
    <t>IMLE0000201090P230302000000</t>
  </si>
  <si>
    <t>1090L23000020LE</t>
  </si>
  <si>
    <t>9786599585753</t>
  </si>
  <si>
    <t>IMLE0000200939P230302000000</t>
  </si>
  <si>
    <t>0939L23000020LE</t>
  </si>
  <si>
    <t>9786586983173</t>
  </si>
  <si>
    <t>IMLE0000200762P230302000000</t>
  </si>
  <si>
    <t>0762L23000020LE</t>
  </si>
  <si>
    <t>9786599483264</t>
  </si>
  <si>
    <t>IMLE0000200731P230302000000</t>
  </si>
  <si>
    <t>0731L23000020LE</t>
  </si>
  <si>
    <t>9786599701634</t>
  </si>
  <si>
    <t>IMLE0000200437P230302000000</t>
  </si>
  <si>
    <t>0437L23000020LE</t>
  </si>
  <si>
    <t>9786589943198</t>
  </si>
  <si>
    <t>IMLE0000200497P230302000000</t>
  </si>
  <si>
    <t>0497L23000020LE</t>
  </si>
  <si>
    <t>9786556501109</t>
  </si>
  <si>
    <t>IMLE0000200864P230302000000</t>
  </si>
  <si>
    <t>0864L23000020LE</t>
  </si>
  <si>
    <t>9786588541081</t>
  </si>
  <si>
    <t>IMLE0000200309P230302000000</t>
  </si>
  <si>
    <t>0309L23000020LE</t>
  </si>
  <si>
    <t>9786586959215</t>
  </si>
  <si>
    <t>19770737000111</t>
  </si>
  <si>
    <t>IMLE0000301036P230301000000</t>
  </si>
  <si>
    <t>1036L23000030LE</t>
  </si>
  <si>
    <t>9786599382963</t>
  </si>
  <si>
    <t>IMLE0000201010P230302000000</t>
  </si>
  <si>
    <t>1010L23000020LE</t>
  </si>
  <si>
    <t>9786588515112</t>
  </si>
  <si>
    <t>IMLE0000200841P230302000000</t>
  </si>
  <si>
    <t>0841L23000020LE</t>
  </si>
  <si>
    <t>9786584603011</t>
  </si>
  <si>
    <t>08675034000198</t>
  </si>
  <si>
    <t>IMLE0000200974P230302000000</t>
  </si>
  <si>
    <t>0974L23000020LE</t>
  </si>
  <si>
    <t>9786599671333</t>
  </si>
  <si>
    <t>27137961000107</t>
  </si>
  <si>
    <t>IMLE0000200758P230302000000</t>
  </si>
  <si>
    <t>0758L23000020LE</t>
  </si>
  <si>
    <t>9786556922393</t>
  </si>
  <si>
    <t>IMLE0000201008P230302000000</t>
  </si>
  <si>
    <t>1008L23000020LE</t>
  </si>
  <si>
    <t>9786599572968</t>
  </si>
  <si>
    <t>IMLE0000200675P230302000000</t>
  </si>
  <si>
    <t>0675L23000020LE</t>
  </si>
  <si>
    <t>9786589749110</t>
  </si>
  <si>
    <t>IMLE0000200669P230302000000</t>
  </si>
  <si>
    <t>0669L23000020LE</t>
  </si>
  <si>
    <t>9786589586142</t>
  </si>
  <si>
    <t>IMLE0000201228P230302000000</t>
  </si>
  <si>
    <t>1228L23000020LE</t>
  </si>
  <si>
    <t>9786556880136</t>
  </si>
  <si>
    <t>IMLE0000200785P230302000000</t>
  </si>
  <si>
    <t>0785L23000020LE</t>
  </si>
  <si>
    <t>9786589590170</t>
  </si>
  <si>
    <t>IMLE0000200796P230302000000</t>
  </si>
  <si>
    <t>0796L23000020LE</t>
  </si>
  <si>
    <t>9788554142407</t>
  </si>
  <si>
    <t>IMLE0000200463P230302000000</t>
  </si>
  <si>
    <t>0463L23000020LE</t>
  </si>
  <si>
    <t>9786599430558</t>
  </si>
  <si>
    <t>IMLE0000201119P230302000000</t>
  </si>
  <si>
    <t>1119L23000020LE</t>
  </si>
  <si>
    <t>9786586328516</t>
  </si>
  <si>
    <t>IMLE0000200439P230302000000</t>
  </si>
  <si>
    <t>0439L23000020LE</t>
  </si>
  <si>
    <t>9786599399275</t>
  </si>
  <si>
    <t>IMLE0000200866P230302000000</t>
  </si>
  <si>
    <t>0866L23000020LE</t>
  </si>
  <si>
    <t>9786555244823</t>
  </si>
  <si>
    <t>IMLE0000200358P230302000000</t>
  </si>
  <si>
    <t>0358L23000020LE</t>
  </si>
  <si>
    <t>9788500506383</t>
  </si>
  <si>
    <t>IMLE0000200610P230302000000</t>
  </si>
  <si>
    <t>0610L23000020LE</t>
  </si>
  <si>
    <t>9786584501195</t>
  </si>
  <si>
    <t>IMLE0000201311P230302000000</t>
  </si>
  <si>
    <t>1311L23000020LE</t>
  </si>
  <si>
    <t>9788569523093</t>
  </si>
  <si>
    <t>18556722000192</t>
  </si>
  <si>
    <t>IMLE0000201115P230302000000</t>
  </si>
  <si>
    <t>1115L23000020LE</t>
  </si>
  <si>
    <t>9786558852490</t>
  </si>
  <si>
    <t>35068940000105</t>
  </si>
  <si>
    <t>IMLE0000200741P230302000000</t>
  </si>
  <si>
    <t>0741L23000020LE</t>
  </si>
  <si>
    <t>9786558500438</t>
  </si>
  <si>
    <t>42171373000175</t>
  </si>
  <si>
    <t>IMLE0000200430P230302000000</t>
  </si>
  <si>
    <t>0430L23000020LE</t>
  </si>
  <si>
    <t>9786599674013</t>
  </si>
  <si>
    <t>IMLE0000200951P230302000000</t>
  </si>
  <si>
    <t>0951L23000020LE</t>
  </si>
  <si>
    <t>9786555605235</t>
  </si>
  <si>
    <t>IMLE0000200356P230302000000</t>
  </si>
  <si>
    <t>0356L23000020LE</t>
  </si>
  <si>
    <t>9788500506413</t>
  </si>
  <si>
    <t>IMLE0000200934P230302000000</t>
  </si>
  <si>
    <t>0934L23000020LE</t>
  </si>
  <si>
    <t>9786599696916</t>
  </si>
  <si>
    <t>IMLE0000201326P230302000000</t>
  </si>
  <si>
    <t>1326L23000020LE</t>
  </si>
  <si>
    <t>9786599706028</t>
  </si>
  <si>
    <t>IMLE0000200832P230302000000</t>
  </si>
  <si>
    <t>0832L23000020LE</t>
  </si>
  <si>
    <t>9786586610352</t>
  </si>
  <si>
    <t>IMLE0000201297P230302000000</t>
  </si>
  <si>
    <t>1297L23000020LE</t>
  </si>
  <si>
    <t>9786589077114</t>
  </si>
  <si>
    <t>20192941000181</t>
  </si>
  <si>
    <t>IMLE0000201231P230302000000</t>
  </si>
  <si>
    <t>1231L23000020LE</t>
  </si>
  <si>
    <t>9786586357103</t>
  </si>
  <si>
    <t>IMLE0000201233P230302000000</t>
  </si>
  <si>
    <t>1233L23000020LE</t>
  </si>
  <si>
    <t>9788565845397</t>
  </si>
  <si>
    <t>IMLE0000200889P230302000000</t>
  </si>
  <si>
    <t>0889L23000020LE</t>
  </si>
  <si>
    <t>9786599675621</t>
  </si>
  <si>
    <t>IMLE0000201006P230302000000</t>
  </si>
  <si>
    <t>1006L23000020LE</t>
  </si>
  <si>
    <t>9786588514153</t>
  </si>
  <si>
    <t>32343706000142</t>
  </si>
  <si>
    <t>IMLE0000201330P230302000000</t>
  </si>
  <si>
    <t>1330L23000020LE</t>
  </si>
  <si>
    <t>9786581043087</t>
  </si>
  <si>
    <t>IMLE0000200849P230302000000</t>
  </si>
  <si>
    <t>0849L23000020LE</t>
  </si>
  <si>
    <t>9786588814130</t>
  </si>
  <si>
    <t>04776136000149</t>
  </si>
  <si>
    <t>IMLE0000201324P230302000000</t>
  </si>
  <si>
    <t>1324L23000020LE</t>
  </si>
  <si>
    <t>9786586367263</t>
  </si>
  <si>
    <t>IMLE0000200736P230302000000</t>
  </si>
  <si>
    <t>0736L23000020LE</t>
  </si>
  <si>
    <t>9786599703003</t>
  </si>
  <si>
    <t>IMLE0000201099P230302000000</t>
  </si>
  <si>
    <t>1099L23000020LE</t>
  </si>
  <si>
    <t>9786599382987</t>
  </si>
  <si>
    <t>IMLE0000200644P230302000000</t>
  </si>
  <si>
    <t>0644L23000020LE</t>
  </si>
  <si>
    <t>9786599461880</t>
  </si>
  <si>
    <t>50268838000139</t>
  </si>
  <si>
    <t>IMLE0000200408P230302000000</t>
  </si>
  <si>
    <t>0408L23000020LE</t>
  </si>
  <si>
    <t>9786557661116</t>
  </si>
  <si>
    <t>IMLE0000200764P230302000000</t>
  </si>
  <si>
    <t>0764L23000020LE</t>
  </si>
  <si>
    <t>9786587724409</t>
  </si>
  <si>
    <t>IMLE0000200995P230302000000</t>
  </si>
  <si>
    <t>0995L23000020LE</t>
  </si>
  <si>
    <t>9786589815044</t>
  </si>
  <si>
    <t>IMLE0000201259P230302000000</t>
  </si>
  <si>
    <t>1259L23000020LE</t>
  </si>
  <si>
    <t>9786599477249</t>
  </si>
  <si>
    <t>IMLE0000200336P230302000000</t>
  </si>
  <si>
    <t>0336L23000020LE</t>
  </si>
  <si>
    <t>9786584596047</t>
  </si>
  <si>
    <t>IMLE0000201046P230302000000</t>
  </si>
  <si>
    <t>1046L23000020LE</t>
  </si>
  <si>
    <t>9786599679100</t>
  </si>
  <si>
    <t>28694893000131</t>
  </si>
  <si>
    <t>IMLE0000200706P230302000000</t>
  </si>
  <si>
    <t>0706L23000020LE</t>
  </si>
  <si>
    <t>9786584612006</t>
  </si>
  <si>
    <t>IMLE0000200346P230302000000</t>
  </si>
  <si>
    <t>0346L23000020LE</t>
  </si>
  <si>
    <t>9786589582137</t>
  </si>
  <si>
    <t>21541118000105</t>
  </si>
  <si>
    <t>IMLE0000201104P230302000000</t>
  </si>
  <si>
    <t>1104L23000020LE</t>
  </si>
  <si>
    <t>9786587453101</t>
  </si>
  <si>
    <t>IMLE0000201001P230302000000</t>
  </si>
  <si>
    <t>1001L23000020LE</t>
  </si>
  <si>
    <t>9786599429156</t>
  </si>
  <si>
    <t>IMLE0000200370P230302000000</t>
  </si>
  <si>
    <t>0370L23000020LE</t>
  </si>
  <si>
    <t>9788500506345</t>
  </si>
  <si>
    <t>IMLE0000200420P230302000000</t>
  </si>
  <si>
    <t>0420L23000020LE</t>
  </si>
  <si>
    <t>9786589900092</t>
  </si>
  <si>
    <t>IMLE0000201272P230302000000</t>
  </si>
  <si>
    <t>1272L23000020LE</t>
  </si>
  <si>
    <t>9786556581521</t>
  </si>
  <si>
    <t>IMLE0000200299P230302000000</t>
  </si>
  <si>
    <t>0299L23000020LE</t>
  </si>
  <si>
    <t>9788596031950</t>
  </si>
  <si>
    <t>IMLE0000201197P230302000000</t>
  </si>
  <si>
    <t>1197L23000020LE</t>
  </si>
  <si>
    <t>9786599698200</t>
  </si>
  <si>
    <t>IMLE0000200666P230302000000</t>
  </si>
  <si>
    <t>0666L23000020LE</t>
  </si>
  <si>
    <t>9786555380200</t>
  </si>
  <si>
    <t>IMLE0000200448P230302000000</t>
  </si>
  <si>
    <t>0448L23000020LE</t>
  </si>
  <si>
    <t>9786589607083</t>
  </si>
  <si>
    <t>IMLE0000201059P230302000000</t>
  </si>
  <si>
    <t>1059L23000020LE</t>
  </si>
  <si>
    <t>9786589980131</t>
  </si>
  <si>
    <t>44127355000111</t>
  </si>
  <si>
    <t>IMLE0000200441P230302000000</t>
  </si>
  <si>
    <t>0441L23000020LE</t>
  </si>
  <si>
    <t>9786557630419</t>
  </si>
  <si>
    <t>IMLE0000201332P230302000000</t>
  </si>
  <si>
    <t>1332L23000020LE</t>
  </si>
  <si>
    <t>9786556770475</t>
  </si>
  <si>
    <t>IMLE0000200794P230302000000</t>
  </si>
  <si>
    <t>0794L23000020LE</t>
  </si>
  <si>
    <t>9786589691136</t>
  </si>
  <si>
    <t>IMLE0000200979P230302000000</t>
  </si>
  <si>
    <t>0979L23000020LE</t>
  </si>
  <si>
    <t>9786599645310</t>
  </si>
  <si>
    <t>14143388000194</t>
  </si>
  <si>
    <t>IMLE0000201336P230302000000</t>
  </si>
  <si>
    <t>1336L23000020LE</t>
  </si>
  <si>
    <t>9786589911722</t>
  </si>
  <si>
    <t>IMLE0000201160P230302000000</t>
  </si>
  <si>
    <t>1160L23000020LE</t>
  </si>
  <si>
    <t>9786599669316</t>
  </si>
  <si>
    <t>IMLE0000200788P230302000000</t>
  </si>
  <si>
    <t>0788L23000020LE</t>
  </si>
  <si>
    <t>9788566526868</t>
  </si>
  <si>
    <t xml:space="preserve">COMIDAS ESTRANHUDAS </t>
  </si>
  <si>
    <t>IMLE0000200989P230302000000</t>
  </si>
  <si>
    <t>0989L23000020LE</t>
  </si>
  <si>
    <t>9786586563146</t>
  </si>
  <si>
    <t>18492922000129</t>
  </si>
  <si>
    <t>IMLE0000201278P230302000000</t>
  </si>
  <si>
    <t>1278L23000020LE</t>
  </si>
  <si>
    <t>9786599337086</t>
  </si>
  <si>
    <t>IMLE0000200708P230302000000</t>
  </si>
  <si>
    <t>0708L23000020LE</t>
  </si>
  <si>
    <t>9786589970156</t>
  </si>
  <si>
    <t>04643820000152</t>
  </si>
  <si>
    <t>IMLE0000200867P230302000000</t>
  </si>
  <si>
    <t>0867L23000020LE</t>
  </si>
  <si>
    <t>9786555613179</t>
  </si>
  <si>
    <t>IMLE0000200862P230302000000</t>
  </si>
  <si>
    <t>0862L23000020LE</t>
  </si>
  <si>
    <t>9786599607073</t>
  </si>
  <si>
    <t>IMLE0000201140P230302000000</t>
  </si>
  <si>
    <t>1140L23000020LE</t>
  </si>
  <si>
    <t>9786588618202</t>
  </si>
  <si>
    <t>IMLE0000201154P230302000000</t>
  </si>
  <si>
    <t>1154L23000020LE</t>
  </si>
  <si>
    <t>9786599509452</t>
  </si>
  <si>
    <t>40105602000128</t>
  </si>
  <si>
    <t>IMLE0000200926P230302000000</t>
  </si>
  <si>
    <t>0926L23000020LE</t>
  </si>
  <si>
    <t>9786599388781</t>
  </si>
  <si>
    <t>IMLE0000201022P230302000000</t>
  </si>
  <si>
    <t>1022L23000020LE</t>
  </si>
  <si>
    <t>9786599687709</t>
  </si>
  <si>
    <t>IMLE0000201286P230302000000</t>
  </si>
  <si>
    <t>1286L23000020LE</t>
  </si>
  <si>
    <t>9788554480349</t>
  </si>
  <si>
    <t>IMLE0000200808P230302000000</t>
  </si>
  <si>
    <t>0808L23000020LE</t>
  </si>
  <si>
    <t>9786586881691</t>
  </si>
  <si>
    <t>11690588000179</t>
  </si>
  <si>
    <t>IMLE0000200931P230302000000</t>
  </si>
  <si>
    <t>0931L23000020LE</t>
  </si>
  <si>
    <t>9786586697414</t>
  </si>
  <si>
    <t>IMLE0000201028P230302000000</t>
  </si>
  <si>
    <t>1028L23000020LE</t>
  </si>
  <si>
    <t>9788567357195</t>
  </si>
  <si>
    <t>36180766000142</t>
  </si>
  <si>
    <t>IMLE0000200738P230302000000</t>
  </si>
  <si>
    <t>0738L23000020LE</t>
  </si>
  <si>
    <t>9786599402180</t>
  </si>
  <si>
    <t>IMLE0000200581P230302000000</t>
  </si>
  <si>
    <t>0581L23000020LE</t>
  </si>
  <si>
    <t>9786599415463</t>
  </si>
  <si>
    <t>IMLE0000200879P230302000000</t>
  </si>
  <si>
    <t>0879L23000020LE</t>
  </si>
  <si>
    <t>9786589703143</t>
  </si>
  <si>
    <t>IMLE0000200997P230302000000</t>
  </si>
  <si>
    <t>0997L23000020LE</t>
  </si>
  <si>
    <t>9786589375067</t>
  </si>
  <si>
    <t>IMLE0000200377P230302000000</t>
  </si>
  <si>
    <t>0377L23000020LE</t>
  </si>
  <si>
    <t>9786558530237</t>
  </si>
  <si>
    <t>IMLE0000200828P230302000000</t>
  </si>
  <si>
    <t>0828L23000020LE</t>
  </si>
  <si>
    <t>9786588894170</t>
  </si>
  <si>
    <t>21044458000112</t>
  </si>
  <si>
    <t>IMLE0000200454P230302000000</t>
  </si>
  <si>
    <t>0454L23000020LE</t>
  </si>
  <si>
    <t>9786586820539</t>
  </si>
  <si>
    <t>IMLE0000200427P230302000000</t>
  </si>
  <si>
    <t>0427L23000020LE</t>
  </si>
  <si>
    <t>9786589606086</t>
  </si>
  <si>
    <t>IMLE0000201195P230302000000</t>
  </si>
  <si>
    <t>1195L23000020LE</t>
  </si>
  <si>
    <t>9786599698330</t>
  </si>
  <si>
    <t>IMLE0000200661P230302000000</t>
  </si>
  <si>
    <t>0661L23000020LE</t>
  </si>
  <si>
    <t>9786555394955</t>
  </si>
  <si>
    <t>04946820000121</t>
  </si>
  <si>
    <t>IMLE0000201004P230302000000</t>
  </si>
  <si>
    <t>1004L23000020LE</t>
  </si>
  <si>
    <t>9786556971674</t>
  </si>
  <si>
    <t>IMLE0000200826P230302000000</t>
  </si>
  <si>
    <t>0826L23000020LE</t>
  </si>
  <si>
    <t>9786599647505</t>
  </si>
  <si>
    <t>IMLE0000200748P230302000000</t>
  </si>
  <si>
    <t>0748L23000020LE</t>
  </si>
  <si>
    <t>9786587704111</t>
  </si>
  <si>
    <t>27906988000109</t>
  </si>
  <si>
    <t>IMLE0000200834P230302000000</t>
  </si>
  <si>
    <t>0834L23000020LE</t>
  </si>
  <si>
    <t>9786588620625</t>
  </si>
  <si>
    <t>IMLE0000201280P230302000000</t>
  </si>
  <si>
    <t>1280L23000020LE</t>
  </si>
  <si>
    <t>9786599705304</t>
  </si>
  <si>
    <t>IMLE0000200397P230302000000</t>
  </si>
  <si>
    <t>0397L23000020LE</t>
  </si>
  <si>
    <t>9788500506468</t>
  </si>
  <si>
    <t>08462885000152</t>
  </si>
  <si>
    <t>IMLE0000200528P230302000000</t>
  </si>
  <si>
    <t>0528L23000020LE</t>
  </si>
  <si>
    <t>9786599677601</t>
  </si>
  <si>
    <t>IMLE0000201218P230302000000</t>
  </si>
  <si>
    <t>1218L23000020LE</t>
  </si>
  <si>
    <t>9786599454844</t>
  </si>
  <si>
    <t>IMLE0000200987P230302000000</t>
  </si>
  <si>
    <t>0987L23000020LE</t>
  </si>
  <si>
    <t>9786588437964</t>
  </si>
  <si>
    <t>IMLE0000200824P230302000000</t>
  </si>
  <si>
    <t>0824L23000020LE</t>
  </si>
  <si>
    <t>9786586402179</t>
  </si>
  <si>
    <t>08489154000109</t>
  </si>
  <si>
    <t>IMLE0000200443P230302000000</t>
  </si>
  <si>
    <t>0443L23000020LE</t>
  </si>
  <si>
    <t>9788555210174</t>
  </si>
  <si>
    <t>IMLE0000200768P230302000000</t>
  </si>
  <si>
    <t>0768L23000020LE</t>
  </si>
  <si>
    <t>9786584600096</t>
  </si>
  <si>
    <t>IMLE0000201245P230302000000</t>
  </si>
  <si>
    <t>1245L23000020LE</t>
  </si>
  <si>
    <t>9786584640030</t>
  </si>
  <si>
    <t>IMLE0000200874P230302000000</t>
  </si>
  <si>
    <t>0874L23000020LE</t>
  </si>
  <si>
    <t>9786584618060</t>
  </si>
  <si>
    <t>40150737000105</t>
  </si>
  <si>
    <t>IMLE0000300391P230301000000</t>
  </si>
  <si>
    <t>0391L23000030LE</t>
  </si>
  <si>
    <t>9786589132509</t>
  </si>
  <si>
    <t>14014777000110</t>
  </si>
  <si>
    <t>IMLE0000200530P230302000000</t>
  </si>
  <si>
    <t>0530L23000020LE</t>
  </si>
  <si>
    <t>9786588672136</t>
  </si>
  <si>
    <t>43401774000137</t>
  </si>
  <si>
    <t>IMLE0000201158P230302000000</t>
  </si>
  <si>
    <t>1158L23000020LE</t>
  </si>
  <si>
    <t>9786599699719</t>
  </si>
  <si>
    <t>IMLE0000200392P230302000000</t>
  </si>
  <si>
    <t>0392L23000020LE</t>
  </si>
  <si>
    <t>9786589132523</t>
  </si>
  <si>
    <t>IMLE0000200745P230302000000</t>
  </si>
  <si>
    <t>0745L23000020LE</t>
  </si>
  <si>
    <t>9786586836141</t>
  </si>
  <si>
    <t>IMLE0000200667P230302000000</t>
  </si>
  <si>
    <t>0667L23000020LE</t>
  </si>
  <si>
    <t>9786584704022</t>
  </si>
  <si>
    <t>Nome do Fornecedor</t>
  </si>
  <si>
    <t>Data recebimento</t>
  </si>
  <si>
    <t>Descrição Item</t>
  </si>
  <si>
    <t>Subtotal</t>
  </si>
  <si>
    <t>Arquivo NF</t>
  </si>
  <si>
    <t>64237227_20260203_nf_01.pdf</t>
  </si>
  <si>
    <t>64237227_20260203_nf_02.pdf</t>
  </si>
  <si>
    <t>64237227_20260203_nf_03.pdf</t>
  </si>
  <si>
    <t>64237227_20260203_nf_04.pdf</t>
  </si>
  <si>
    <t>64237227_20260203_nf_06.pdf</t>
  </si>
  <si>
    <t>64237227_20260203_nf_08.pdf</t>
  </si>
  <si>
    <t>64237227_20260203_nf_09.pdf</t>
  </si>
  <si>
    <t>64237227_20260203_nf_10.pdf</t>
  </si>
  <si>
    <t>64237227_20260203_nf_11.pdf</t>
  </si>
  <si>
    <t>64237227_20260203_nf_12.pdf</t>
  </si>
  <si>
    <t>056623970001-09</t>
  </si>
  <si>
    <t>110481170001-61</t>
  </si>
  <si>
    <t>436787690001-76</t>
  </si>
  <si>
    <t>442226150001-38</t>
  </si>
  <si>
    <t>442721010001-97</t>
  </si>
  <si>
    <t>438867580001-81</t>
  </si>
  <si>
    <t>011836130001-74</t>
  </si>
  <si>
    <t>011836140001-19</t>
  </si>
  <si>
    <t>041609200001-28</t>
  </si>
  <si>
    <t>188354790001-41</t>
  </si>
  <si>
    <t>SKU</t>
  </si>
  <si>
    <t>Data Recebimento</t>
  </si>
  <si>
    <t>CHAVE</t>
  </si>
  <si>
    <t>chave</t>
  </si>
  <si>
    <t>Data Atual</t>
  </si>
  <si>
    <t>Dias Armazenamento</t>
  </si>
  <si>
    <t>Meses</t>
  </si>
  <si>
    <t>Valor Dia Armazenagem</t>
  </si>
  <si>
    <t>Valor Faturamento</t>
  </si>
  <si>
    <t>170777540001-42</t>
  </si>
  <si>
    <t>339677750001-90</t>
  </si>
  <si>
    <t>387460380001-80</t>
  </si>
  <si>
    <t>048643160001-82</t>
  </si>
  <si>
    <t>227694490001-51</t>
  </si>
  <si>
    <t>436814000001-12</t>
  </si>
  <si>
    <t>610974320001-57</t>
  </si>
  <si>
    <t>444618360001-69</t>
  </si>
  <si>
    <t>236229070001-98</t>
  </si>
  <si>
    <t>073006320001-10</t>
  </si>
  <si>
    <t>070529780001-46</t>
  </si>
  <si>
    <t>334617510001-64</t>
  </si>
  <si>
    <t>720440500001-81</t>
  </si>
  <si>
    <t>044692800001-32</t>
  </si>
  <si>
    <t>171726860001-09</t>
  </si>
  <si>
    <t>407961540001-56</t>
  </si>
  <si>
    <t>433990010001-63</t>
  </si>
  <si>
    <t>089785020001-01</t>
  </si>
  <si>
    <t>249805720001-42</t>
  </si>
  <si>
    <t>438866840001-83</t>
  </si>
  <si>
    <t>876397610001-76</t>
  </si>
  <si>
    <t>101711020001-23</t>
  </si>
  <si>
    <t>398843010001-60</t>
  </si>
  <si>
    <t>442288110001-10</t>
  </si>
  <si>
    <t>439673590001-45</t>
  </si>
  <si>
    <t>036384630001-71</t>
  </si>
  <si>
    <t>434143670001-64</t>
  </si>
  <si>
    <t>086526680001-25</t>
  </si>
  <si>
    <t>062853700001-07</t>
  </si>
  <si>
    <t>002986000001-88</t>
  </si>
  <si>
    <t>279004140001-23</t>
  </si>
  <si>
    <t>093234310001-63</t>
  </si>
  <si>
    <t>051369630001-30</t>
  </si>
  <si>
    <t>424447030001-59</t>
  </si>
  <si>
    <t>578889190001-80</t>
  </si>
  <si>
    <t>057642360001-18</t>
  </si>
  <si>
    <t>443071100001-76</t>
  </si>
  <si>
    <t>181104490001-78</t>
  </si>
  <si>
    <t>039872280001-05</t>
  </si>
  <si>
    <t>411502030001-41</t>
  </si>
  <si>
    <t>005584580001-60</t>
  </si>
  <si>
    <t>438849790001-10</t>
  </si>
  <si>
    <t>438855640001-61</t>
  </si>
  <si>
    <t>001196970001-14</t>
  </si>
  <si>
    <t>438850670001-63</t>
  </si>
  <si>
    <t>299841480001-90</t>
  </si>
  <si>
    <t>072756370001-30</t>
  </si>
  <si>
    <t>121827330001-73</t>
  </si>
  <si>
    <t>288258240001-10</t>
  </si>
  <si>
    <t>502688380001-39</t>
  </si>
  <si>
    <t>199080820001-03</t>
  </si>
  <si>
    <t>801907960001-21</t>
  </si>
  <si>
    <t>249063420001-33</t>
  </si>
  <si>
    <t>444120450001-49</t>
  </si>
  <si>
    <t>946025470001-00</t>
  </si>
  <si>
    <t>086868630001-76</t>
  </si>
  <si>
    <t>401505140001-48</t>
  </si>
  <si>
    <t>044264470001-88</t>
  </si>
  <si>
    <t>222280700001-34</t>
  </si>
  <si>
    <t>886304130002-81</t>
  </si>
  <si>
    <t>362221560001-64</t>
  </si>
  <si>
    <t>107286130001-01</t>
  </si>
  <si>
    <t>442999360001-30</t>
  </si>
  <si>
    <t>279069880001-09</t>
  </si>
  <si>
    <t>380351670001-60</t>
  </si>
  <si>
    <t>266408570001-60</t>
  </si>
  <si>
    <t>116905880001-79</t>
  </si>
  <si>
    <t>037638640001-53</t>
  </si>
  <si>
    <t>049983930001-25</t>
  </si>
  <si>
    <t>243638320001-30</t>
  </si>
  <si>
    <t>049468200001-21</t>
  </si>
  <si>
    <t>185567220001-92</t>
  </si>
  <si>
    <t>354172620001-30</t>
  </si>
  <si>
    <t>056918200001-90</t>
  </si>
  <si>
    <t>046963000001-08</t>
  </si>
  <si>
    <t>443011540001-99</t>
  </si>
  <si>
    <t>072139260001-04</t>
  </si>
  <si>
    <t>225205380001-60</t>
  </si>
  <si>
    <t>031412510001-84</t>
  </si>
  <si>
    <t>196124280001-13</t>
  </si>
  <si>
    <t>967455340001-16</t>
  </si>
  <si>
    <t>082775930001-40</t>
  </si>
  <si>
    <t>081908130001-01</t>
  </si>
  <si>
    <t>195105640001-00</t>
  </si>
  <si>
    <t>062221720001-96</t>
  </si>
  <si>
    <t>308500170001-07</t>
  </si>
  <si>
    <t>048415830001-34</t>
  </si>
  <si>
    <t>442218420001-49</t>
  </si>
  <si>
    <t>407167490001-54</t>
  </si>
  <si>
    <t>119503950001-00</t>
  </si>
  <si>
    <t>403846980001-00</t>
  </si>
  <si>
    <t>140147770001-10</t>
  </si>
  <si>
    <t>433993560001-52</t>
  </si>
  <si>
    <t>030537920001-50</t>
  </si>
  <si>
    <t>050299360001-69</t>
  </si>
  <si>
    <t>864618520001-00</t>
  </si>
  <si>
    <t>304948240001-26</t>
  </si>
  <si>
    <t>511657360001-50</t>
  </si>
  <si>
    <t>117057780001-12</t>
  </si>
  <si>
    <t>435976880001-41</t>
  </si>
  <si>
    <t>020228400001-80</t>
  </si>
  <si>
    <t>040530930001-73</t>
  </si>
  <si>
    <t>879324630001-70</t>
  </si>
  <si>
    <t>430481660001-90</t>
  </si>
  <si>
    <t>093691040001-42</t>
  </si>
  <si>
    <t>621363040038-20</t>
  </si>
  <si>
    <t>184929220001-29</t>
  </si>
  <si>
    <t>050044170001-46</t>
  </si>
  <si>
    <t>143078900001-93</t>
  </si>
  <si>
    <t>430482200001-06</t>
  </si>
  <si>
    <t>678802370001-85</t>
  </si>
  <si>
    <t>070704160001-25</t>
  </si>
  <si>
    <t>133609660001-81</t>
  </si>
  <si>
    <t>393714780001-63</t>
  </si>
  <si>
    <t>401506850001-77</t>
  </si>
  <si>
    <t>420552250001-95</t>
  </si>
  <si>
    <t>133696980001-69</t>
  </si>
  <si>
    <t>156941140001-56</t>
  </si>
  <si>
    <t>102855190001-17</t>
  </si>
  <si>
    <t>401507370001-05</t>
  </si>
  <si>
    <t>056993780001-49</t>
  </si>
  <si>
    <t>197707370001-11</t>
  </si>
  <si>
    <t>056067940001-55</t>
  </si>
  <si>
    <t>640355610001-09</t>
  </si>
  <si>
    <t>024258220001-40</t>
  </si>
  <si>
    <t>424366310001-06</t>
  </si>
  <si>
    <t>032422500001-26</t>
  </si>
  <si>
    <t>154717300001-48</t>
  </si>
  <si>
    <t>505879300001-61</t>
  </si>
  <si>
    <t>053346270001-00</t>
  </si>
  <si>
    <t>172241710001-05</t>
  </si>
  <si>
    <t>284343540001-63</t>
  </si>
  <si>
    <t>043815860001-32</t>
  </si>
  <si>
    <t>062220050001-45</t>
  </si>
  <si>
    <t>089816910001-63</t>
  </si>
  <si>
    <t>275669510001-89</t>
  </si>
  <si>
    <t>106211080001-55</t>
  </si>
  <si>
    <t>220572610001-80</t>
  </si>
  <si>
    <t>026161240001-21</t>
  </si>
  <si>
    <t>320815800001-85</t>
  </si>
  <si>
    <t>074274340001-11</t>
  </si>
  <si>
    <t>263107240001-25</t>
  </si>
  <si>
    <t>038785170001-76</t>
  </si>
  <si>
    <t>205132880001-05</t>
  </si>
  <si>
    <t>413250260001-97</t>
  </si>
  <si>
    <t>343019640001-91</t>
  </si>
  <si>
    <t>026325580001-15</t>
  </si>
  <si>
    <t>016001240001-70</t>
  </si>
  <si>
    <t>071016460001-04</t>
  </si>
  <si>
    <t>324554550001-98</t>
  </si>
  <si>
    <t>297566970001-07</t>
  </si>
  <si>
    <t>341072830001-97</t>
  </si>
  <si>
    <t>103587830001-33</t>
  </si>
  <si>
    <t>069828730001-23</t>
  </si>
  <si>
    <t>399595710001-93</t>
  </si>
  <si>
    <t>086750340001-98</t>
  </si>
  <si>
    <t>339554360001-93</t>
  </si>
  <si>
    <t>165092620001-16</t>
  </si>
  <si>
    <t>130421920001-40</t>
  </si>
  <si>
    <t>413248950001-05</t>
  </si>
  <si>
    <t>222433840001-06</t>
  </si>
  <si>
    <t>739376820001-37</t>
  </si>
  <si>
    <t>435978090001-55</t>
  </si>
  <si>
    <t>441390930001-05</t>
  </si>
  <si>
    <t>222433750001-15</t>
  </si>
  <si>
    <t>606575740001-69</t>
  </si>
  <si>
    <t>401507120001-01</t>
  </si>
  <si>
    <t>345959230001-55</t>
  </si>
  <si>
    <t>410757770001-00</t>
  </si>
  <si>
    <t>265720740001-96</t>
  </si>
  <si>
    <t>356250060001-39</t>
  </si>
  <si>
    <t>421506520001-52</t>
  </si>
  <si>
    <t>330363230001-94</t>
  </si>
  <si>
    <t>421504930001-96</t>
  </si>
  <si>
    <t>336416630036-74</t>
  </si>
  <si>
    <t>537814230001-52</t>
  </si>
  <si>
    <t>087311950001-51</t>
  </si>
  <si>
    <t>104519100001-44</t>
  </si>
  <si>
    <t>171921990001-08</t>
  </si>
  <si>
    <t>135559940001-54</t>
  </si>
  <si>
    <t>038899670001-64</t>
  </si>
  <si>
    <t>084631700001-14</t>
  </si>
  <si>
    <t>114065460001-63</t>
  </si>
  <si>
    <t>016001270001-04</t>
  </si>
  <si>
    <t>434136860001-55</t>
  </si>
  <si>
    <t>436411330001-50</t>
  </si>
  <si>
    <t>280395150001-14</t>
  </si>
  <si>
    <t>487649550001-41</t>
  </si>
  <si>
    <t>684878670001-57</t>
  </si>
  <si>
    <t>438895930001-00</t>
  </si>
  <si>
    <t>434144350001-95</t>
  </si>
  <si>
    <t>433986540001-28</t>
  </si>
  <si>
    <t>436799980001-05</t>
  </si>
  <si>
    <t>253021220001-63</t>
  </si>
  <si>
    <t>040929430001-42</t>
  </si>
  <si>
    <t>436804970001-49</t>
  </si>
  <si>
    <t>433988210001-30</t>
  </si>
  <si>
    <t>014850630001-48</t>
  </si>
  <si>
    <t>321717750001-16</t>
  </si>
  <si>
    <t>435968440001-50</t>
  </si>
  <si>
    <t>434141850001-93</t>
  </si>
  <si>
    <t>434145810001-10</t>
  </si>
  <si>
    <t>435974100001-74</t>
  </si>
  <si>
    <t>063012730001-52</t>
  </si>
  <si>
    <t>436793700001-00</t>
  </si>
  <si>
    <t>436812550001-70</t>
  </si>
  <si>
    <t>433953470001-93</t>
  </si>
  <si>
    <t>111532450001-75</t>
  </si>
  <si>
    <t>581223180001-25</t>
  </si>
  <si>
    <t>265521640001-15</t>
  </si>
  <si>
    <t>410340580001-33</t>
  </si>
  <si>
    <t>436808120001-38</t>
  </si>
  <si>
    <t>314849740001-11</t>
  </si>
  <si>
    <t>086238410002-48</t>
  </si>
  <si>
    <t>401901090001-53</t>
  </si>
  <si>
    <t>191199180001-82</t>
  </si>
  <si>
    <t>438870180001-60</t>
  </si>
  <si>
    <t>061813040001-89</t>
  </si>
  <si>
    <t>442905940001-98</t>
  </si>
  <si>
    <t>433913490001-04</t>
  </si>
  <si>
    <t>409978130001-12</t>
  </si>
  <si>
    <t>046438200001-52</t>
  </si>
  <si>
    <t>434142770001-73</t>
  </si>
  <si>
    <t>375947760001-97</t>
  </si>
  <si>
    <t>352880520001-90</t>
  </si>
  <si>
    <t>434138090001-58</t>
  </si>
  <si>
    <t>439541750001-40</t>
  </si>
  <si>
    <t>175947330001-02</t>
  </si>
  <si>
    <t>435964270001-07</t>
  </si>
  <si>
    <t>434117480001-90</t>
  </si>
  <si>
    <t>212569470001-38</t>
  </si>
  <si>
    <t>435963310001-49</t>
  </si>
  <si>
    <t>323437060001-42</t>
  </si>
  <si>
    <t>074586770001-17</t>
  </si>
  <si>
    <t>434139110001-53</t>
  </si>
  <si>
    <t>293414670001-87</t>
  </si>
  <si>
    <t>604440980001-06</t>
  </si>
  <si>
    <t>070286850001-23</t>
  </si>
  <si>
    <t>145463790001-44</t>
  </si>
  <si>
    <t>170701360001-70</t>
  </si>
  <si>
    <t>146078900001-09</t>
  </si>
  <si>
    <t>286919710001-44</t>
  </si>
  <si>
    <t>076809040001-54</t>
  </si>
  <si>
    <t>422154690001-98</t>
  </si>
  <si>
    <t>379051280001-04</t>
  </si>
  <si>
    <t>434112740001-86</t>
  </si>
  <si>
    <t>046042330001-54</t>
  </si>
  <si>
    <t>174584520001-14</t>
  </si>
  <si>
    <t>151949900001-13</t>
  </si>
  <si>
    <t>174234570001-01</t>
  </si>
  <si>
    <t>445512800001-00</t>
  </si>
  <si>
    <t>409783200001-35</t>
  </si>
  <si>
    <t>157452070001-62</t>
  </si>
  <si>
    <t>417695750001-50</t>
  </si>
  <si>
    <t>133919870001-64</t>
  </si>
  <si>
    <t>434017740001-37</t>
  </si>
  <si>
    <t>144418800001-46</t>
  </si>
  <si>
    <t>436794590001-76</t>
  </si>
  <si>
    <t>433984660001-08</t>
  </si>
  <si>
    <t>192410260001-50</t>
  </si>
  <si>
    <t>302205010001-44</t>
  </si>
  <si>
    <t>106894240001-69</t>
  </si>
  <si>
    <t>108502930001-50</t>
  </si>
  <si>
    <t>063683960001-00</t>
  </si>
  <si>
    <t>015662410001-65</t>
  </si>
  <si>
    <t>380155110001-50</t>
  </si>
  <si>
    <t>033235830001-80</t>
  </si>
  <si>
    <t>146747400001-18</t>
  </si>
  <si>
    <t>435906340001-54</t>
  </si>
  <si>
    <t>261601350001-08</t>
  </si>
  <si>
    <t>380622820001-24</t>
  </si>
  <si>
    <t>045219750001-16</t>
  </si>
  <si>
    <t>435971310001-00</t>
  </si>
  <si>
    <t>029760330001-05</t>
  </si>
  <si>
    <t>063465660001-56</t>
  </si>
  <si>
    <t>201929410001-81</t>
  </si>
  <si>
    <t>426016760001-80</t>
  </si>
  <si>
    <t>052881530001-08</t>
  </si>
  <si>
    <t>424220060001-05</t>
  </si>
  <si>
    <t>063260330001-02</t>
  </si>
  <si>
    <t>084628850001-52</t>
  </si>
  <si>
    <t>433983000001-83</t>
  </si>
  <si>
    <t>415730170001-15</t>
  </si>
  <si>
    <t>421578060001-38</t>
  </si>
  <si>
    <t>084891540001-09</t>
  </si>
  <si>
    <t>404984990001-23</t>
  </si>
  <si>
    <t>030020180001-10</t>
  </si>
  <si>
    <t>423246590001-43</t>
  </si>
  <si>
    <t>285670730002-60</t>
  </si>
  <si>
    <t>206356920001-51</t>
  </si>
  <si>
    <t>408431650001-40</t>
  </si>
  <si>
    <t>076353830001-13</t>
  </si>
  <si>
    <t>044860300001-00</t>
  </si>
  <si>
    <t>014472430001-35</t>
  </si>
  <si>
    <t>087310590001-61</t>
  </si>
  <si>
    <t>286948930001-31</t>
  </si>
  <si>
    <t>607301080001-61</t>
  </si>
  <si>
    <t>150589190001-03</t>
  </si>
  <si>
    <t>249954930001-05</t>
  </si>
  <si>
    <t>073723960001-47</t>
  </si>
  <si>
    <t>327726850001-80</t>
  </si>
  <si>
    <t>310100970001-47</t>
  </si>
  <si>
    <t>192702060001-60</t>
  </si>
  <si>
    <t>008459260001-88</t>
  </si>
  <si>
    <t>401056020001-28</t>
  </si>
  <si>
    <t>037967580001-76</t>
  </si>
  <si>
    <t>400869740001-54</t>
  </si>
  <si>
    <t>146514220001-31</t>
  </si>
  <si>
    <t>120282750001-12</t>
  </si>
  <si>
    <t>297790710001-16</t>
  </si>
  <si>
    <t>303088620001-47</t>
  </si>
  <si>
    <t>056659540001-37</t>
  </si>
  <si>
    <t>172430150001-83</t>
  </si>
  <si>
    <t>435970000001-23</t>
  </si>
  <si>
    <t>438868230001-79</t>
  </si>
  <si>
    <t>898407970001-49</t>
  </si>
  <si>
    <t>313453190001-82</t>
  </si>
  <si>
    <t>438868800001-58</t>
  </si>
  <si>
    <t>284752980001-05</t>
  </si>
  <si>
    <t>416366290001-00</t>
  </si>
  <si>
    <t>436803710001-74</t>
  </si>
  <si>
    <t>378498960001-98</t>
  </si>
  <si>
    <t>223441030001-01</t>
  </si>
  <si>
    <t>072358880001-90</t>
  </si>
  <si>
    <t>573033560001-11</t>
  </si>
  <si>
    <t>012974670001-08</t>
  </si>
  <si>
    <t>166754490001-90</t>
  </si>
  <si>
    <t>442293190001-69</t>
  </si>
  <si>
    <t>435972870001-91</t>
  </si>
  <si>
    <t>210444580001-12</t>
  </si>
  <si>
    <t>076083200001-78</t>
  </si>
  <si>
    <t>141743050001-24</t>
  </si>
  <si>
    <t>442989380001-05</t>
  </si>
  <si>
    <t>249285210001-71</t>
  </si>
  <si>
    <t>059718970001-14</t>
  </si>
  <si>
    <t>305812450001-10</t>
  </si>
  <si>
    <t>361807660001-42</t>
  </si>
  <si>
    <t>557893900001-12</t>
  </si>
  <si>
    <t>087837200001-82</t>
  </si>
  <si>
    <t>174814160001-71</t>
  </si>
  <si>
    <t>434145020001-71</t>
  </si>
  <si>
    <t>354355040001-19</t>
  </si>
  <si>
    <t>434010560001-60</t>
  </si>
  <si>
    <t>330386960001-02</t>
  </si>
  <si>
    <t>058758860001-30</t>
  </si>
  <si>
    <t>137508740001-08</t>
  </si>
  <si>
    <t>038495380001-63</t>
  </si>
  <si>
    <t>159170970001-79</t>
  </si>
  <si>
    <t>365446300001-74</t>
  </si>
  <si>
    <t>048391490001-10</t>
  </si>
  <si>
    <t>430034090001-74</t>
  </si>
  <si>
    <t>011066520001-78</t>
  </si>
  <si>
    <t>309586110001-08</t>
  </si>
  <si>
    <t>611016710001-33</t>
  </si>
  <si>
    <t>133655820001-51</t>
  </si>
  <si>
    <t>210689890001-45</t>
  </si>
  <si>
    <t>610160280001-01</t>
  </si>
  <si>
    <t>435908740001-59</t>
  </si>
  <si>
    <t>223380340001-23</t>
  </si>
  <si>
    <t>167807990001-16</t>
  </si>
  <si>
    <t>317286620001-06</t>
  </si>
  <si>
    <t>260424370001-81</t>
  </si>
  <si>
    <t>176299430001-80</t>
  </si>
  <si>
    <t>181638370001-17</t>
  </si>
  <si>
    <t>334512790001-89</t>
  </si>
  <si>
    <t>281400850001-22</t>
  </si>
  <si>
    <t>354142250001-79</t>
  </si>
  <si>
    <t>094707630001-70</t>
  </si>
  <si>
    <t>437333480001-09</t>
  </si>
  <si>
    <t>250706980001-42</t>
  </si>
  <si>
    <t>109737150001-84</t>
  </si>
  <si>
    <t>682168600001-09</t>
  </si>
  <si>
    <t>138112190001-12</t>
  </si>
  <si>
    <t>290552870001-39</t>
  </si>
  <si>
    <t>037681350001-90</t>
  </si>
  <si>
    <t>198243310001-74</t>
  </si>
  <si>
    <t>132061660001-00</t>
  </si>
  <si>
    <t>074741500001-86</t>
  </si>
  <si>
    <t>432000760001-73</t>
  </si>
  <si>
    <t>447827270001-43</t>
  </si>
  <si>
    <t>405807310001-78</t>
  </si>
  <si>
    <t>056600450003-78</t>
  </si>
  <si>
    <t>411286730001-09</t>
  </si>
  <si>
    <t>036797150001-00</t>
  </si>
  <si>
    <t>433994490001-87</t>
  </si>
  <si>
    <t>436797320001-62</t>
  </si>
  <si>
    <t>196543370001-40</t>
  </si>
  <si>
    <t>071150470001-40</t>
  </si>
  <si>
    <t>435967300001-00</t>
  </si>
  <si>
    <t>444114050001-98</t>
  </si>
  <si>
    <t>334957710001-56</t>
  </si>
  <si>
    <t>141433880001-94</t>
  </si>
  <si>
    <t>309102720001-90</t>
  </si>
  <si>
    <t>219191640001-97</t>
  </si>
  <si>
    <t>350689400001-05</t>
  </si>
  <si>
    <t>613535790001-60</t>
  </si>
  <si>
    <t>132672950001-09</t>
  </si>
  <si>
    <t>005825840001-50</t>
  </si>
  <si>
    <t>155950140001-72</t>
  </si>
  <si>
    <t>304386290001-89</t>
  </si>
  <si>
    <t>442288440001-60</t>
  </si>
  <si>
    <t>047761360001-49</t>
  </si>
  <si>
    <t>126591980001-07</t>
  </si>
  <si>
    <t>556217000001-95</t>
  </si>
  <si>
    <t>332237370001-22</t>
  </si>
  <si>
    <t>239672560001-78</t>
  </si>
  <si>
    <t>436816100001-00</t>
  </si>
  <si>
    <t>438852910001-55</t>
  </si>
  <si>
    <t>008029210001-78</t>
  </si>
  <si>
    <t>165094860001-28</t>
  </si>
  <si>
    <t>235151720001-01</t>
  </si>
  <si>
    <t>438896310001-16</t>
  </si>
  <si>
    <t>105881860001-03</t>
  </si>
  <si>
    <t>215411180001-05</t>
  </si>
  <si>
    <t>436795990001-44</t>
  </si>
  <si>
    <t>438865780001-08</t>
  </si>
  <si>
    <t>253189850001-29</t>
  </si>
  <si>
    <t>438869200001-61</t>
  </si>
  <si>
    <t>433955940001-90</t>
  </si>
  <si>
    <t>438904920001-40</t>
  </si>
  <si>
    <t>64237227_20260205_nf_04.pdf</t>
  </si>
  <si>
    <t>64237227_20260205_nf_05.pdf</t>
  </si>
  <si>
    <t>64237227_20260205_nf_06.pdf</t>
  </si>
  <si>
    <t>64237227_20260205_nf_03.pdf</t>
  </si>
  <si>
    <t>64237227_20260205_nf_07.pdf</t>
  </si>
  <si>
    <t>64237227_20260205_nf_01.pdf</t>
  </si>
  <si>
    <t>64237227_20260205_nf_02.pdf</t>
  </si>
  <si>
    <t>64237413_20260206_nf_06.pdf</t>
  </si>
  <si>
    <t>64237413_20260206_nf_09.pdf</t>
  </si>
  <si>
    <t>64237413_20260206_nf_11.pdf</t>
  </si>
  <si>
    <t>64237413_20260206_nf_05.pdf</t>
  </si>
  <si>
    <t>64237413_20260206_nf_08.pdf</t>
  </si>
  <si>
    <t>64237413_20260206_nf_01.pdf</t>
  </si>
  <si>
    <t>64237413_20260206_nf_13.pdf</t>
  </si>
  <si>
    <t>64237413_20260206_nf_02.pdf</t>
  </si>
  <si>
    <t>64237413_20260206_nf_03.pdf</t>
  </si>
  <si>
    <t>64237413_20260206_nf_07.pdf</t>
  </si>
  <si>
    <t>64237413_20260206_nf_14.pdf</t>
  </si>
  <si>
    <t>64237413_20260206_nf_04.pdf</t>
  </si>
  <si>
    <t>64237413_20260206_nf_10.pdf</t>
  </si>
  <si>
    <t>64237413_20260209_nf_03.pdf</t>
  </si>
  <si>
    <t>64237413_20260209_nf_05.pdf</t>
  </si>
  <si>
    <t>64237413_20260209_nf_06.pdf</t>
  </si>
  <si>
    <t>64237413_20260209_nf_08.pdf</t>
  </si>
  <si>
    <t>64237413_20260209_nf_09.pdf</t>
  </si>
  <si>
    <t>64237413_20260209_nf_10.pdf</t>
  </si>
  <si>
    <t>64237413_20260209_nf_11.pdf</t>
  </si>
  <si>
    <t>64237413_20260209_nf_07.pdf</t>
  </si>
  <si>
    <t>64237413_20260209_nf_01.pdf</t>
  </si>
  <si>
    <t>64237413_20260209_nf_12.pdf</t>
  </si>
  <si>
    <t>64237557_20260210_nf_24.pdf</t>
  </si>
  <si>
    <t>64237557_20260210_nf_25.pdf</t>
  </si>
  <si>
    <t>64237557_20260210_nf_26.pdf</t>
  </si>
  <si>
    <t>64237557_20260210_nf_27.pdf</t>
  </si>
  <si>
    <t>64237557_20260210_nf_28.pdf</t>
  </si>
  <si>
    <t>64237557_20260210_nf_02.pdf</t>
  </si>
  <si>
    <t>64237557_20260210_nf_21.pdf</t>
  </si>
  <si>
    <t>64237557_20260210_nf_23.pdf</t>
  </si>
  <si>
    <t>64237557_20260210_nf_01.pdf</t>
  </si>
  <si>
    <t>64237557_20260210_nf_03.pdf</t>
  </si>
  <si>
    <t>64237557_20260210_nf_17.pdf</t>
  </si>
  <si>
    <t>64237557_20260210_nf_11.pdf</t>
  </si>
  <si>
    <t>64237557_20260210_nf_04.pdf</t>
  </si>
  <si>
    <t>64237557_20260210_nf_05.pdf</t>
  </si>
  <si>
    <t>64237557_20260210_nf_19.pdf</t>
  </si>
  <si>
    <t>64237557_20260210_nf_12.pdf</t>
  </si>
  <si>
    <t>64237557_20260210_nf_20.pdf</t>
  </si>
  <si>
    <t>64237557_20260210_nf_07.pdf</t>
  </si>
  <si>
    <t>64237557_20260210_nf_22.pdf</t>
  </si>
  <si>
    <t>64237557_20260210_nf_13.pdf</t>
  </si>
  <si>
    <t>64237557_20260210_nf_06.pdf</t>
  </si>
  <si>
    <t>64237557_20260210_nf_16.pdf</t>
  </si>
  <si>
    <t>64237557_20260210_nf_18.pdf</t>
  </si>
  <si>
    <t>64237557_20260210_nf_10.pdf</t>
  </si>
  <si>
    <t>64237557_20260210_nf_09.pdf</t>
  </si>
  <si>
    <t>64237557_20260210_nf_14.pdf</t>
  </si>
  <si>
    <t>64237557_20260210_nf_08.pdf</t>
  </si>
  <si>
    <t>64237557_20260210_nf_15.pdf</t>
  </si>
  <si>
    <t>64237775_20260212_nf_03.pdf</t>
  </si>
  <si>
    <t>64237775_20260212_nf_06.pdf</t>
  </si>
  <si>
    <t>64237775_20260212_nf_08.pdf</t>
  </si>
  <si>
    <t>64237775_20260212_nf_11.pdf</t>
  </si>
  <si>
    <t>64237775_20260212_nf_01.pdf</t>
  </si>
  <si>
    <t>64237775_20260212_nf_02.pdf</t>
  </si>
  <si>
    <t>64237775_20260212_nf_09.pdf</t>
  </si>
  <si>
    <t>64237775_20260212_nf_12.pdf</t>
  </si>
  <si>
    <t>64237775_20260212_nf_13.pdf</t>
  </si>
  <si>
    <t>64237775_20260212_nf_07.pdf</t>
  </si>
  <si>
    <t>64237775_20260212_nf_14.pdf</t>
  </si>
  <si>
    <t>64237775_20260212_nf_16.pdf</t>
  </si>
  <si>
    <t>64237775_20260212_nf_04.pdf</t>
  </si>
  <si>
    <t>64237775_20260212_nf_17.pdf</t>
  </si>
  <si>
    <t>64237775_20260212_nf_18.pdf</t>
  </si>
  <si>
    <t>64237775_20260212_nf_19.pdf</t>
  </si>
  <si>
    <t>64237775_20260212_nf_10.pdf</t>
  </si>
  <si>
    <t>64237775_20260212_nf_21.pdf</t>
  </si>
  <si>
    <t>64237775_20260212_nf_15.pdf</t>
  </si>
  <si>
    <t>64237863_20260213_nf_01.pdf</t>
  </si>
  <si>
    <t>64237863_20260213_nf_03.pdf</t>
  </si>
  <si>
    <t>64237863_20260213_nf_02.pdf</t>
  </si>
  <si>
    <t>64237863_20260213_nf_06.pdf</t>
  </si>
  <si>
    <t>64237863_20260213_nf_05.pdf</t>
  </si>
  <si>
    <t>64237863_20260213_nf_10.pdf</t>
  </si>
  <si>
    <t>64237863_20260213_nf_07.pdf</t>
  </si>
  <si>
    <t>64237863_20260213_nf_08.pdf</t>
  </si>
  <si>
    <t>64237863_20260213_nf_09.pdf</t>
  </si>
  <si>
    <t>64237863_20260213_nf_04.pdf</t>
  </si>
  <si>
    <t>64237863_20260213_nf_12.pdf</t>
  </si>
  <si>
    <t>64237863_20260213_nf_16.pdf</t>
  </si>
  <si>
    <t>64237863_20260213_nf_17.pdf</t>
  </si>
  <si>
    <t>64237863_20260213_nf_20.pdf</t>
  </si>
  <si>
    <t>64237863_20260213_nf_24.pdf</t>
  </si>
  <si>
    <t>64237863_20260213_nf_13.pdf</t>
  </si>
  <si>
    <t>64237863_20260213_nf_14.pdf</t>
  </si>
  <si>
    <t>64237863_20260213_nf_11.pdf</t>
  </si>
  <si>
    <t>64237863_20260213_nf_18.pdf</t>
  </si>
  <si>
    <t>64237863_20260213_nf_19.pdf</t>
  </si>
  <si>
    <t>64237863_20260213_nf_23.pdf</t>
  </si>
  <si>
    <t>64237863_20260213_nf_30.pdf</t>
  </si>
  <si>
    <t>64237863_20260213_nf_36.pdf</t>
  </si>
  <si>
    <t>64237863_20260213_nf_31.pdf</t>
  </si>
  <si>
    <t>64237863_20260213_nf_21.pdf</t>
  </si>
  <si>
    <t>64237863_20260213_nf_35.pdf</t>
  </si>
  <si>
    <t>64237863_20260213_nf_22.pdf</t>
  </si>
  <si>
    <t>64237863_20260213_nf_38.pdf</t>
  </si>
  <si>
    <t>64237863_20260213_nf_25.pdf</t>
  </si>
  <si>
    <t>64237863_20260213_nf_27.pdf</t>
  </si>
  <si>
    <t>64237863_20260213_nf_28.pdf</t>
  </si>
  <si>
    <t>64237863_20260213_nf_32.pdf</t>
  </si>
  <si>
    <t>64237863_20260213_nf_33.pdf</t>
  </si>
  <si>
    <t>64237863_20260213_nf_34.pdf</t>
  </si>
  <si>
    <t>64237863_20260213_nf_26.pdf</t>
  </si>
  <si>
    <t>64237863_20260213_nf_29.pdf</t>
  </si>
  <si>
    <t>64238035_20260216_nf_16.pdf</t>
  </si>
  <si>
    <t>64238035_20260216_nf_19.pdf</t>
  </si>
  <si>
    <t>64238035_20260216_nf_20.pdf</t>
  </si>
  <si>
    <t>64238035_20260216_nf_18.pdf</t>
  </si>
  <si>
    <t>64238035_20260216_nf_01.pdf</t>
  </si>
  <si>
    <t>64238035_20260216_nf_02.pdf</t>
  </si>
  <si>
    <t>64238035_20260216_nf_10.pdf</t>
  </si>
  <si>
    <t>64238035_20260216_nf_03.pdf</t>
  </si>
  <si>
    <t>64238035_20260216_nf_14.pdf</t>
  </si>
  <si>
    <t>64238035_20260216_nf_05.pdf</t>
  </si>
  <si>
    <t>64238035_20260216_nf_15.pdf</t>
  </si>
  <si>
    <t>64238035_20260216_nf_08.pdf</t>
  </si>
  <si>
    <t>64238035_20260216_nf_12.pdf</t>
  </si>
  <si>
    <t>64238035_20260216_nf_13.pdf</t>
  </si>
  <si>
    <t>64238035_20260216_nf_04.pdf</t>
  </si>
  <si>
    <t>64238035_20260216_nf_17.pdf</t>
  </si>
  <si>
    <t>64238035_20260216_nf_07.pdf</t>
  </si>
  <si>
    <t>64238035_20260216_nf_06.pdf</t>
  </si>
  <si>
    <t>64238035_20260216_nf_09.pdf</t>
  </si>
  <si>
    <t>64238035_20260216_nf_11.pdf</t>
  </si>
  <si>
    <t>64238035_20260219_nf_10.pdf</t>
  </si>
  <si>
    <t>64238035_20260219_nf_13.pdf</t>
  </si>
  <si>
    <t>64238035_20260219_nf_12.pdf</t>
  </si>
  <si>
    <t>64238035_20260219_nf_11.pdf</t>
  </si>
  <si>
    <t>64238035_20260219_nf_05.pdf</t>
  </si>
  <si>
    <t>64238035_20260219_nf_09.pdf</t>
  </si>
  <si>
    <t>64238035_20260219_nf_14.pdf</t>
  </si>
  <si>
    <t>64238035_20260219_nf_16.pdf</t>
  </si>
  <si>
    <t>64238035_20260219_nf_15.pdf</t>
  </si>
  <si>
    <t>64238035_20260219_nf_18.pdf</t>
  </si>
  <si>
    <t>64238035_20260219_nf_03.pdf</t>
  </si>
  <si>
    <t>64238035_20260219_nf_19.pdf</t>
  </si>
  <si>
    <t>64238035_20260219_nf_01.pdf</t>
  </si>
  <si>
    <t>64238035_20260219_nf_02.pdf</t>
  </si>
  <si>
    <t>64238035_20260219_nf_17.pdf</t>
  </si>
  <si>
    <t>64238035_20260219_nf_08.pdf</t>
  </si>
  <si>
    <t>64238470_20260126_nf_07.pdf</t>
  </si>
  <si>
    <t>64238470_20260126_nf_05.pdf</t>
  </si>
  <si>
    <t>64238470_20260126_nf_09.pdf</t>
  </si>
  <si>
    <t>64238470_20260126_nf_11.pdf</t>
  </si>
  <si>
    <t>64238470_20260126_nf_01.pdf</t>
  </si>
  <si>
    <t>64238470_20260126_nf_03.pdf</t>
  </si>
  <si>
    <t>64238470_20260127_nf_02.pdf</t>
  </si>
  <si>
    <t>64238470_20260127_nf_06.pdf</t>
  </si>
  <si>
    <t>64238470_20260127_nf_07.pdf</t>
  </si>
  <si>
    <t>64238470_20260127_nf_08.pdf</t>
  </si>
  <si>
    <t>64238470_20260127_nf_03.pdf</t>
  </si>
  <si>
    <t>64238470_20260127_nf_10.pdf</t>
  </si>
  <si>
    <t>64238470_20260127_nf_11.pdf</t>
  </si>
  <si>
    <t>64238470_20260127_nf_01.pdf</t>
  </si>
  <si>
    <t>64238470_20260127_nf_09.pdf</t>
  </si>
  <si>
    <t>64238470_20260127_nf_05.pdf</t>
  </si>
  <si>
    <t>64238470_20260127_nf_04.pdf</t>
  </si>
  <si>
    <t>64238470_20260218_nf_11.pdf</t>
  </si>
  <si>
    <t>64238470_20260218_nf_02.pdf</t>
  </si>
  <si>
    <t>64238470_20260218_nf_04.pdf</t>
  </si>
  <si>
    <t>64238470_20260218_nf_14.pdf</t>
  </si>
  <si>
    <t>64238470_20260218_nf_05.pdf</t>
  </si>
  <si>
    <t>64238470_20260218_nf_06.pdf</t>
  </si>
  <si>
    <t>64238470_20260218_nf_10.pdf</t>
  </si>
  <si>
    <t>64238470_20260218_nf_13.pdf</t>
  </si>
  <si>
    <t>64238470_20260218_nf_12.pdf</t>
  </si>
  <si>
    <t>64238470_20260218_nf_07.pdf</t>
  </si>
  <si>
    <t>64238470_20260218_nf_08.pdf</t>
  </si>
  <si>
    <t>64238470_20260218_nf_17.pdf</t>
  </si>
  <si>
    <t>64238470_20260218_nf_20.pdf</t>
  </si>
  <si>
    <t>64238470_20260218_nf_01.pdf</t>
  </si>
  <si>
    <t>64238470_20260218_nf_19.pdf</t>
  </si>
  <si>
    <t>64238470_20260218_nf_09.pdf</t>
  </si>
  <si>
    <t>64238470_20260218_nf_18.pdf</t>
  </si>
  <si>
    <t>64238470_20260218_nf_16.pdf</t>
  </si>
  <si>
    <t>64238582_20260220_nf_21.pdf</t>
  </si>
  <si>
    <t>64238582_20260220_nf_01.pdf</t>
  </si>
  <si>
    <t>64238582_20260220_nf_20.pdf</t>
  </si>
  <si>
    <t>64238582_20260220_nf_22.pdf</t>
  </si>
  <si>
    <t>64238582_20260220_nf_23.pdf</t>
  </si>
  <si>
    <t>64238582_20260220_nf_02.pdf</t>
  </si>
  <si>
    <t>64238582_20260220_nf_04.pdf</t>
  </si>
  <si>
    <t>64238582_20260220_nf_06.pdf</t>
  </si>
  <si>
    <t>64238582_20260220_nf_17.pdf</t>
  </si>
  <si>
    <t>64238582_20260220_nf_10.pdf</t>
  </si>
  <si>
    <t>64238582_20260220_nf_18.pdf</t>
  </si>
  <si>
    <t>64238582_20260220_nf_19.pdf</t>
  </si>
  <si>
    <t>64238582_20260220_nf_13.pdf</t>
  </si>
  <si>
    <t>64238582_20260220_nf_07.pdf</t>
  </si>
  <si>
    <t>64238582_20260220_nf_15.pdf</t>
  </si>
  <si>
    <t>64238582_20260220_nf_16.pdf</t>
  </si>
  <si>
    <t>64238582_20260220_nf_09.pdf</t>
  </si>
  <si>
    <t>64238582_20260220_nf_11.pdf</t>
  </si>
  <si>
    <t>64238582_20260220_nf_12.pdf</t>
  </si>
  <si>
    <t>64238582_20260220_nf_05.pdf</t>
  </si>
  <si>
    <t>64238582_20260220_nf_14.pdf</t>
  </si>
  <si>
    <t>64238767_20260128_nf_05.pdf</t>
  </si>
  <si>
    <t>64238767_20260128_nf_11.pdf</t>
  </si>
  <si>
    <t>64238767_20260128_nf_02.pdf</t>
  </si>
  <si>
    <t>64238767_20260128_nf_03.pdf</t>
  </si>
  <si>
    <t>64238767_20260128_nf_08.pdf</t>
  </si>
  <si>
    <t>64238767_20260128_nf_10.pdf</t>
  </si>
  <si>
    <t>64238767_20260128_nf_12.pdf</t>
  </si>
  <si>
    <t>64238767_20260128_nf_01.pdf</t>
  </si>
  <si>
    <t>64238767_20260128_nf_13.pdf</t>
  </si>
  <si>
    <t>64238767_20260128_nf_06.pdf</t>
  </si>
  <si>
    <t>64238767_20260128_nf_07.pdf</t>
  </si>
  <si>
    <t>64238767_20260128_nf_09.pdf</t>
  </si>
  <si>
    <t>64238767_20260128_nf_04.pdf</t>
  </si>
  <si>
    <t>64238767_20260129_nf_01.pdf</t>
  </si>
  <si>
    <t>64238767_20260129_nf_03.pdf</t>
  </si>
  <si>
    <t>64238767_20260129_nf_02.pdf</t>
  </si>
  <si>
    <t>64238767_20260129_nf_04.pdf</t>
  </si>
  <si>
    <t>64238767_20260129_nf_06.pdf</t>
  </si>
  <si>
    <t>64238767_20260129_nf_05.pdf</t>
  </si>
  <si>
    <t>64238767_20260130_nf_04.pdf</t>
  </si>
  <si>
    <t>64238767_20260130_nf_06.pdf</t>
  </si>
  <si>
    <t>64238767_20260130_nf_01.pdf</t>
  </si>
  <si>
    <t>64238767_20260130_nf_05.pdf</t>
  </si>
  <si>
    <t>64238767_20260130_nf_02.pdf</t>
  </si>
  <si>
    <t>64238767_20260130_nf_07.pdf</t>
  </si>
  <si>
    <t>64238767_20260130_nf_03.pdf</t>
  </si>
  <si>
    <t>64238876_20260123_nf_02.pdf</t>
  </si>
  <si>
    <t>64238876_20260123_nf_01.pdf</t>
  </si>
  <si>
    <t>64307150_20260302_nf_01.pdf</t>
  </si>
  <si>
    <t>64307150_20260302_nf_02.pdf</t>
  </si>
  <si>
    <t>64307150_20260302_nf_04.pdf</t>
  </si>
  <si>
    <t>64307150_20260302_nf_03.pdf</t>
  </si>
  <si>
    <t>64307150_20260302_nf_07.pdf</t>
  </si>
  <si>
    <t>64307150_20260302_nf_23.pdf</t>
  </si>
  <si>
    <t>64307150_20260302_nf_11.pdf</t>
  </si>
  <si>
    <t>64307150_20260302_nf_18.pdf</t>
  </si>
  <si>
    <t>64307150_20260302_nf_06.pdf</t>
  </si>
  <si>
    <t>64307150_20260302_nf_22.pdf</t>
  </si>
  <si>
    <t>64307150_20260302_nf_10.pdf</t>
  </si>
  <si>
    <t>64307150_20260302_nf_36.pdf</t>
  </si>
  <si>
    <t>64307150_20260302_nf_24.pdf</t>
  </si>
  <si>
    <t>64307150_20260302_nf_13.pdf</t>
  </si>
  <si>
    <t>64307150_20260302_nf_15.pdf</t>
  </si>
  <si>
    <t>64307150_20260302_nf_30.pdf</t>
  </si>
  <si>
    <t>64307150_20260302_nf_17.pdf</t>
  </si>
  <si>
    <t>64307150_20260302_nf_05.pdf</t>
  </si>
  <si>
    <t>64307150_20260302_nf_33.pdf</t>
  </si>
  <si>
    <t>64307150_20260302_nf_25.pdf</t>
  </si>
  <si>
    <t>64307150_20260302_nf_26.pdf</t>
  </si>
  <si>
    <t>64307150_20260302_nf_38.pdf</t>
  </si>
  <si>
    <t>64307150_20260302_nf_32.pdf</t>
  </si>
  <si>
    <t>64307150_20260302_nf_31.pdf</t>
  </si>
  <si>
    <t>64307150_20260302_nf_09.pdf</t>
  </si>
  <si>
    <t>64307150_20260302_nf_14.pdf</t>
  </si>
  <si>
    <t>64307150_20260302_nf_12.pdf</t>
  </si>
  <si>
    <t>64307150_20260302_nf_16.pdf</t>
  </si>
  <si>
    <t>64307150_20260302_nf_29.pdf</t>
  </si>
  <si>
    <t>64307150_20260302_nf_27.pdf</t>
  </si>
  <si>
    <t>64307150_20260302_nf_28.pdf</t>
  </si>
  <si>
    <t>64307150_20260302_nf_21.pdf</t>
  </si>
  <si>
    <t>64307150_20260302_nf_34.pdf</t>
  </si>
  <si>
    <t>64307150_20260302_nf_40.pdf</t>
  </si>
  <si>
    <t>64307150_20260303_nf_01.pdf</t>
  </si>
  <si>
    <t>64307150_20260303_nf_03.pdf</t>
  </si>
  <si>
    <t>64307150_20260303_nf_13.pdf</t>
  </si>
  <si>
    <t>64307150_20260303_nf_17.pdf</t>
  </si>
  <si>
    <t>64307150_20260303_nf_11.pdf</t>
  </si>
  <si>
    <t>64307150_20260303_nf_28.pdf</t>
  </si>
  <si>
    <t>64307150_20260303_nf_09.pdf</t>
  </si>
  <si>
    <t>64307150_20260303_nf_23.pdf</t>
  </si>
  <si>
    <t>64307150_20260303_nf_19.pdf</t>
  </si>
  <si>
    <t>64307150_20260303_nf_20.pdf</t>
  </si>
  <si>
    <t>64307150_20260303_nf_04.pdf</t>
  </si>
  <si>
    <t>64307150_20260303_nf_21.pdf</t>
  </si>
  <si>
    <t>64307150_20260303_nf_12.pdf</t>
  </si>
  <si>
    <t>64307150_20260303_nf_29.pdf</t>
  </si>
  <si>
    <t>64307150_20260303_nf_30.pdf</t>
  </si>
  <si>
    <t>64307150_20260303_nf_07.pdf</t>
  </si>
  <si>
    <t>64307150_20260303_nf_10.pdf</t>
  </si>
  <si>
    <t>64307150_20260303_nf_26.pdf</t>
  </si>
  <si>
    <t>64307150_20260303_nf_18.pdf</t>
  </si>
  <si>
    <t>64307150_20260303_nf_15.pdf</t>
  </si>
  <si>
    <t>64307150_20260303_nf_08.pdf</t>
  </si>
  <si>
    <t>64307150_20260303_nf_27.pdf</t>
  </si>
  <si>
    <t>64307150_20260303_nf_06.pdf</t>
  </si>
  <si>
    <t>64307150_20260303_nf_43.pdf</t>
  </si>
  <si>
    <t>64307150_20260303_nf_57.pdf</t>
  </si>
  <si>
    <t>64307150_20260303_nf_36.pdf</t>
  </si>
  <si>
    <t>64307150_20260303_nf_42.pdf</t>
  </si>
  <si>
    <t>64307150_20260303_nf_40.pdf</t>
  </si>
  <si>
    <t>64307150_20260303_nf_44.pdf</t>
  </si>
  <si>
    <t>64307150_20260303_nf_38.pdf</t>
  </si>
  <si>
    <t>64307150_20260303_nf_46.pdf</t>
  </si>
  <si>
    <t>64307150_20260303_nf_39.pdf</t>
  </si>
  <si>
    <t>64307150_20260303_nf_52.pdf</t>
  </si>
  <si>
    <t>64307150_20260303_nf_37.pdf</t>
  </si>
  <si>
    <t>64307150_20260303_nf_55.pdf</t>
  </si>
  <si>
    <t>64307150_20260303_nf_31.pdf</t>
  </si>
  <si>
    <t>64307150_20260303_nf_33.pdf</t>
  </si>
  <si>
    <t>64307150_20260303_nf_48.pdf</t>
  </si>
  <si>
    <t>64307150_20260303_nf_35.pdf</t>
  </si>
  <si>
    <t>64307150_20260303_nf_53.pdf</t>
  </si>
  <si>
    <t>64307150_20260303_nf_50.pdf</t>
  </si>
  <si>
    <t>64307150_20260303_nf_54.pdf</t>
  </si>
  <si>
    <t>64307150_20260303_nf_34.pdf</t>
  </si>
  <si>
    <t>64307205_20260304_nf_54.pdf</t>
  </si>
  <si>
    <t>64307205_20260304_nf_02.pdf</t>
  </si>
  <si>
    <t>64307205_20260304_nf_11.pdf</t>
  </si>
  <si>
    <t>64307205_20260304_nf_13.pdf</t>
  </si>
  <si>
    <t>64307205_20260304_nf_01.pdf</t>
  </si>
  <si>
    <t>64307205_20260304_nf_14.pdf</t>
  </si>
  <si>
    <t>64307205_20260304_nf_44.pdf</t>
  </si>
  <si>
    <t>64307205_20260304_nf_12.pdf</t>
  </si>
  <si>
    <t>64307205_20260304_nf_49.pdf</t>
  </si>
  <si>
    <t>64307205_20260304_nf_24.pdf</t>
  </si>
  <si>
    <t>64307205_20260304_nf_07.pdf</t>
  </si>
  <si>
    <t>64307205_20260304_nf_09.pdf</t>
  </si>
  <si>
    <t>64307205_20260304_nf_08.pdf</t>
  </si>
  <si>
    <t>64307205_20260304_nf_27.pdf</t>
  </si>
  <si>
    <t>64307205_20260304_nf_15.pdf</t>
  </si>
  <si>
    <t>64307205_20260304_nf_10.pdf</t>
  </si>
  <si>
    <t>64307205_20260304_nf_32.pdf</t>
  </si>
  <si>
    <t>64307205_20260304_nf_03.pdf</t>
  </si>
  <si>
    <t>64307205_20260304_nf_19.pdf</t>
  </si>
  <si>
    <t>64307205_20260304_nf_34.pdf</t>
  </si>
  <si>
    <t>64307205_20260304_nf_21.pdf</t>
  </si>
  <si>
    <t>64307205_20260304_nf_17.pdf</t>
  </si>
  <si>
    <t>64307205_20260304_nf_36.pdf</t>
  </si>
  <si>
    <t>64307205_20260304_nf_05.pdf</t>
  </si>
  <si>
    <t>64307205_20260304_nf_31.pdf</t>
  </si>
  <si>
    <t>64307205_20260304_nf_26.pdf</t>
  </si>
  <si>
    <t>64307205_20260304_nf_33.pdf</t>
  </si>
  <si>
    <t>64307205_20260304_nf_22.pdf</t>
  </si>
  <si>
    <t>64307205_20260304_nf_53.pdf</t>
  </si>
  <si>
    <t>64307205_20260304_nf_16.pdf</t>
  </si>
  <si>
    <t>64307205_20260304_nf_51.pdf</t>
  </si>
  <si>
    <t>64307205_20260304_nf_06.pdf</t>
  </si>
  <si>
    <t>64307205_20260304_nf_28.pdf</t>
  </si>
  <si>
    <t>64307205_20260304_nf_39.pdf</t>
  </si>
  <si>
    <t>64307205_20260304_nf_18.pdf</t>
  </si>
  <si>
    <t>64307205_20260304_nf_29.pdf</t>
  </si>
  <si>
    <t>64307205_20260304_nf_42.pdf</t>
  </si>
  <si>
    <t>64307205_20260304_nf_46.pdf</t>
  </si>
  <si>
    <t>64307205_20260304_nf_37.pdf</t>
  </si>
  <si>
    <t>64307205_20260304_nf_40.pdf</t>
  </si>
  <si>
    <t>64307205_20260304_nf_35.pdf</t>
  </si>
  <si>
    <t>64307205_20260304_nf_52.pdf</t>
  </si>
  <si>
    <t>64307205_20260305_nf_01.pdf</t>
  </si>
  <si>
    <t>64307205_20260305_nf_03.pdf</t>
  </si>
  <si>
    <t>64307205_20260305_nf_04.pdf</t>
  </si>
  <si>
    <t>64307205_20260305_nf_02.pdf</t>
  </si>
  <si>
    <t>64307205_20260305_nf_19.pdf</t>
  </si>
  <si>
    <t>64307205_20260305_nf_06.pdf</t>
  </si>
  <si>
    <t>64307205_20260305_nf_12.pdf</t>
  </si>
  <si>
    <t>64307205_20260305_nf_14.pdf</t>
  </si>
  <si>
    <t>64307205_20260305_nf_15.pdf</t>
  </si>
  <si>
    <t>64307205_20260305_nf_17.pdf</t>
  </si>
  <si>
    <t>64307205_20260305_nf_07.pdf</t>
  </si>
  <si>
    <t>64307205_20260305_nf_23.pdf</t>
  </si>
  <si>
    <t>64307205_20260305_nf_09.pdf</t>
  </si>
  <si>
    <t>64307205_20260305_nf_16.pdf</t>
  </si>
  <si>
    <t>64307205_20260305_nf_18.pdf</t>
  </si>
  <si>
    <t>64307205_20260305_nf_21.pdf</t>
  </si>
  <si>
    <t>64307205_20260305_nf_22.pdf</t>
  </si>
  <si>
    <t>64307205_20260305_nf_11.pdf</t>
  </si>
  <si>
    <t>64307205_20260305_nf_08.pdf</t>
  </si>
  <si>
    <t>64307205_20260305_nf_13.pdf</t>
  </si>
  <si>
    <t>64307304_20260306_nf_10.pdf</t>
  </si>
  <si>
    <t>64307304_20260306_nf_03.pdf</t>
  </si>
  <si>
    <t>64307304_20260306_nf_01.pdf</t>
  </si>
  <si>
    <t>64307304_20260306_nf_08.pdf</t>
  </si>
  <si>
    <t>64307304_20260306_nf_05.pdf</t>
  </si>
  <si>
    <t>64307304_20260306_nf_06.pdf</t>
  </si>
  <si>
    <t>64307304_20260306_nf_02.pdf</t>
  </si>
  <si>
    <t>64307304_20260309_nf_04.pdf</t>
  </si>
  <si>
    <t>64307304_20260309_nf_01.pdf</t>
  </si>
  <si>
    <t>64307304_20260309_nf_06.pdf</t>
  </si>
  <si>
    <t>64307304_20260309_nf_19.pdf</t>
  </si>
  <si>
    <t>64307304_20260309_nf_08.pdf</t>
  </si>
  <si>
    <t>64307304_20260309_nf_11.pdf</t>
  </si>
  <si>
    <t>64307304_20260309_nf_21.pdf</t>
  </si>
  <si>
    <t>64307304_20260309_nf_16.pdf</t>
  </si>
  <si>
    <t>64307304_20260309_nf_13.pdf</t>
  </si>
  <si>
    <t>64307304_20260309_nf_14.pdf</t>
  </si>
  <si>
    <t>64307304_20260309_nf_18.pdf</t>
  </si>
  <si>
    <t>64307304_20260309_nf_02.pdf</t>
  </si>
  <si>
    <t>64307304_20260309_nf_10.pdf</t>
  </si>
  <si>
    <t>64307304_20260309_nf_20.pdf</t>
  </si>
  <si>
    <t>64307304_20260309_nf_03.pdf</t>
  </si>
  <si>
    <t>64307304_20260310_nf_05.pdf</t>
  </si>
  <si>
    <t>64307304_20260310_nf_13.pdf</t>
  </si>
  <si>
    <t>64307304_20260310_nf_03.pdf</t>
  </si>
  <si>
    <t>64307304_20260310_nf_16.pdf</t>
  </si>
  <si>
    <t>64307304_20260310_nf_02.pdf</t>
  </si>
  <si>
    <t>64307304_20260310_nf_10.pdf</t>
  </si>
  <si>
    <t>64307304_20260310_nf_09.pdf</t>
  </si>
  <si>
    <t>64307304_20260310_nf_01.pdf</t>
  </si>
  <si>
    <t>64307304_20260310_nf_22.pdf</t>
  </si>
  <si>
    <t>64307304_20260310_nf_23.pdf</t>
  </si>
  <si>
    <t>64307304_20260310_nf_07.pdf</t>
  </si>
  <si>
    <t>64307304_20260310_nf_20.pdf</t>
  </si>
  <si>
    <t>64307304_20260310_nf_19.pdf</t>
  </si>
  <si>
    <t>64307304_20260310_nf_12.pdf</t>
  </si>
  <si>
    <t>64307304_20260310_nf_15.pdf</t>
  </si>
  <si>
    <t>64307304_20260310_nf_27.pdf</t>
  </si>
  <si>
    <t>64307304_20260310_nf_17.pdf</t>
  </si>
  <si>
    <t>64307304_20260310_nf_26.pdf</t>
  </si>
  <si>
    <t>64307304_20260310_nf_25.pdf</t>
  </si>
  <si>
    <t>64307505_20260223_nf_12.pdf</t>
  </si>
  <si>
    <t>64307505_20260223_nf_16.pdf</t>
  </si>
  <si>
    <t>64307505_20260223_nf_03.pdf</t>
  </si>
  <si>
    <t>64307505_20260223_nf_02.pdf</t>
  </si>
  <si>
    <t>64307505_20260223_nf_06.pdf</t>
  </si>
  <si>
    <t>64307505_20260223_nf_07.pdf</t>
  </si>
  <si>
    <t>64307505_20260223_nf_18.pdf</t>
  </si>
  <si>
    <t>64307505_20260223_nf_22.pdf</t>
  </si>
  <si>
    <t>64307505_20260223_nf_10.pdf</t>
  </si>
  <si>
    <t>64307505_20260223_nf_08.pdf</t>
  </si>
  <si>
    <t>64307505_20260223_nf_13.pdf</t>
  </si>
  <si>
    <t>64307505_20260223_nf_14.pdf</t>
  </si>
  <si>
    <t>64307505_20260223_nf_01.pdf</t>
  </si>
  <si>
    <t>64307505_20260223_nf_15.pdf</t>
  </si>
  <si>
    <t>64307505_20260223_nf_05.pdf</t>
  </si>
  <si>
    <t>64307505_20260223_nf_21.pdf</t>
  </si>
  <si>
    <t>64307505_20260223_nf_11.pdf</t>
  </si>
  <si>
    <t>64307505_20260223_nf_24.pdf</t>
  </si>
  <si>
    <t>64307505_20260223_nf_04.pdf</t>
  </si>
  <si>
    <t>64307505_20260223_nf_26.pdf</t>
  </si>
  <si>
    <t>64307505_20260223_nf_27.pdf</t>
  </si>
  <si>
    <t>64307505_20260223_nf_19.pdf</t>
  </si>
  <si>
    <t>64307505_20260223_nf_09.pdf</t>
  </si>
  <si>
    <t>64307505_20260223_nf_20.pdf</t>
  </si>
  <si>
    <t>64307505_20260223_nf_23.pdf</t>
  </si>
  <si>
    <t>64307505_20260223_nf_17.pdf</t>
  </si>
  <si>
    <t>64307505_20260223_nf_28.pdf</t>
  </si>
  <si>
    <t>64307505_20260223_nf_29.pdf</t>
  </si>
  <si>
    <t>64307505_20260223_nf_25.pdf</t>
  </si>
  <si>
    <t>64307505_20260311_nf_02.pdf</t>
  </si>
  <si>
    <t>64307505_20260311_nf_03.pdf</t>
  </si>
  <si>
    <t>64307505_20260311_nf_06.pdf</t>
  </si>
  <si>
    <t>64307505_20260311_nf_08.pdf</t>
  </si>
  <si>
    <t>64307505_20260311_nf_09.pdf</t>
  </si>
  <si>
    <t>64307505_20260311_nf_04.pdf</t>
  </si>
  <si>
    <t>64307505_20260311_nf_01.pdf</t>
  </si>
  <si>
    <t>64307505_20260311_nf_36.pdf</t>
  </si>
  <si>
    <t>64307505_20260311_nf_21.pdf</t>
  </si>
  <si>
    <t>64307505_20260311_nf_15.pdf</t>
  </si>
  <si>
    <t>64307505_20260311_nf_17.pdf</t>
  </si>
  <si>
    <t>64307505_20260311_nf_23.pdf</t>
  </si>
  <si>
    <t>64307505_20260311_nf_11.pdf</t>
  </si>
  <si>
    <t>64307505_20260311_nf_19.pdf</t>
  </si>
  <si>
    <t>64307505_20260311_nf_12.pdf</t>
  </si>
  <si>
    <t>64307505_20260311_nf_16.pdf</t>
  </si>
  <si>
    <t>64307505_20260311_nf_26.pdf</t>
  </si>
  <si>
    <t>64307505_20260311_nf_22.pdf</t>
  </si>
  <si>
    <t>64307505_20260311_nf_20.pdf</t>
  </si>
  <si>
    <t>64307505_20260311_nf_29.pdf</t>
  </si>
  <si>
    <t>64307505_20260311_nf_27.pdf</t>
  </si>
  <si>
    <t>64307505_20260311_nf_30.pdf</t>
  </si>
  <si>
    <t>64307505_20260311_nf_14.pdf</t>
  </si>
  <si>
    <t>64307505_20260311_nf_32.pdf</t>
  </si>
  <si>
    <t>64307505_20260311_nf_34.pdf</t>
  </si>
  <si>
    <t>64307505_20260311_nf_24.pdf</t>
  </si>
  <si>
    <t>64307505_20260311_nf_35.pdf</t>
  </si>
  <si>
    <t>64307505_20260311_nf_07.pdf</t>
  </si>
  <si>
    <t>64307505_20260311_nf_33.pdf</t>
  </si>
  <si>
    <t>64307505_20260311_nf_05.pdf</t>
  </si>
  <si>
    <t>64307505_20260312_nf_08.pdf</t>
  </si>
  <si>
    <t>64307505_20260312_nf_04.pdf</t>
  </si>
  <si>
    <t>64307505_20260312_nf_01.pdf</t>
  </si>
  <si>
    <t>64307505_20260312_nf_09.pdf</t>
  </si>
  <si>
    <t>64307505_20260312_nf_11.pdf</t>
  </si>
  <si>
    <t>64307505_20260312_nf_02.pdf</t>
  </si>
  <si>
    <t>64307505_20260312_nf_05.pdf</t>
  </si>
  <si>
    <t>64307505_20260312_nf_07.pdf</t>
  </si>
  <si>
    <t>64307505_20260312_nf_06.pdf</t>
  </si>
  <si>
    <t>64307505_20260312_nf_10.pdf</t>
  </si>
  <si>
    <t>64307629_20260226_nf_05.pdf</t>
  </si>
  <si>
    <t>64307629_20260226_nf_03.pdf</t>
  </si>
  <si>
    <t>64307629_20260226_nf_01.pdf</t>
  </si>
  <si>
    <t>64307629_20260226_nf_02.pdf</t>
  </si>
  <si>
    <t>64307629_20260226_nf_07.pdf</t>
  </si>
  <si>
    <t>64307629_20260226_nf_08.pdf</t>
  </si>
  <si>
    <t>64307629_20260226_nf_21.pdf</t>
  </si>
  <si>
    <t>64307629_20260226_nf_14.pdf</t>
  </si>
  <si>
    <t>64307629_20260226_nf_04.pdf</t>
  </si>
  <si>
    <t>64307629_20260226_nf_19.pdf</t>
  </si>
  <si>
    <t>64307629_20260226_nf_06.pdf</t>
  </si>
  <si>
    <t>64307629_20260226_nf_23.pdf</t>
  </si>
  <si>
    <t>64307629_20260226_nf_24.pdf</t>
  </si>
  <si>
    <t>64307629_20260226_nf_12.pdf</t>
  </si>
  <si>
    <t>64307629_20260226_nf_09.pdf</t>
  </si>
  <si>
    <t>64307629_20260226_nf_26.pdf</t>
  </si>
  <si>
    <t>64307629_20260226_nf_13.pdf</t>
  </si>
  <si>
    <t>64307629_20260226_nf_27.pdf</t>
  </si>
  <si>
    <t>64307629_20260226_nf_33.pdf</t>
  </si>
  <si>
    <t>64307629_20260226_nf_32.pdf</t>
  </si>
  <si>
    <t>64307629_20260226_nf_10.pdf</t>
  </si>
  <si>
    <t>64307629_20260226_nf_25.pdf</t>
  </si>
  <si>
    <t>64307629_20260226_nf_28.pdf</t>
  </si>
  <si>
    <t>64307629_20260226_nf_11.pdf</t>
  </si>
  <si>
    <t>64307629_20260226_nf_29.pdf</t>
  </si>
  <si>
    <t>64307629_20260226_nf_15.pdf</t>
  </si>
  <si>
    <t>64307629_20260226_nf_31.pdf</t>
  </si>
  <si>
    <t>64307674_20260227_nf_01.pdf</t>
  </si>
  <si>
    <t>64307674_20260227_nf_07.pdf</t>
  </si>
  <si>
    <t>64307674_20260227_nf_38.pdf</t>
  </si>
  <si>
    <t>64307674_20260227_nf_03.pdf</t>
  </si>
  <si>
    <t>64307674_20260227_nf_32.pdf</t>
  </si>
  <si>
    <t>64307674_20260227_nf_33.pdf</t>
  </si>
  <si>
    <t>64307674_20260227_nf_11.pdf</t>
  </si>
  <si>
    <t>64307674_20260227_nf_12.pdf</t>
  </si>
  <si>
    <t>64307674_20260227_nf_05.pdf</t>
  </si>
  <si>
    <t>64307674_20260227_nf_14.pdf</t>
  </si>
  <si>
    <t>64307674_20260227_nf_15.pdf</t>
  </si>
  <si>
    <t>64307674_20260227_nf_08.pdf</t>
  </si>
  <si>
    <t>64307674_20260227_nf_53.pdf</t>
  </si>
  <si>
    <t>64307674_20260227_nf_10.pdf</t>
  </si>
  <si>
    <t>64307674_20260227_nf_22.pdf</t>
  </si>
  <si>
    <t>64307674_20260227_nf_25.pdf</t>
  </si>
  <si>
    <t>64307674_20260227_nf_09.pdf</t>
  </si>
  <si>
    <t>64307674_20260227_nf_13.pdf</t>
  </si>
  <si>
    <t>64307674_20260227_nf_28.pdf</t>
  </si>
  <si>
    <t>64307674_20260227_nf_20.pdf</t>
  </si>
  <si>
    <t>64307674_20260227_nf_30.pdf</t>
  </si>
  <si>
    <t>64307674_20260227_nf_31.pdf</t>
  </si>
  <si>
    <t>64307674_20260227_nf_50.pdf</t>
  </si>
  <si>
    <t>64307674_20260227_nf_26.pdf</t>
  </si>
  <si>
    <t>64307674_20260227_nf_35.pdf</t>
  </si>
  <si>
    <t>64307674_20260227_nf_40.pdf</t>
  </si>
  <si>
    <t>64307674_20260227_nf_27.pdf</t>
  </si>
  <si>
    <t>64307674_20260227_nf_16.pdf</t>
  </si>
  <si>
    <t>64307674_20260227_nf_41.pdf</t>
  </si>
  <si>
    <t>64307674_20260227_nf_29.pdf</t>
  </si>
  <si>
    <t>64307674_20260227_nf_43.pdf</t>
  </si>
  <si>
    <t>64307674_20260227_nf_24.pdf</t>
  </si>
  <si>
    <t>64307674_20260227_nf_44.pdf</t>
  </si>
  <si>
    <t>64307674_20260227_nf_18.pdf</t>
  </si>
  <si>
    <t>64307674_20260227_nf_45.pdf</t>
  </si>
  <si>
    <t>64307674_20260227_nf_49.pdf</t>
  </si>
  <si>
    <t>64307674_20260227_nf_23.pdf</t>
  </si>
  <si>
    <t>64307674_20260227_nf_52.pdf</t>
  </si>
  <si>
    <t>64307674_20260227_nf_47.pdf</t>
  </si>
  <si>
    <t>64307674_20260227_nf_46.pdf</t>
  </si>
  <si>
    <t>64307674_20260227_nf_34.pdf</t>
  </si>
  <si>
    <t>64307674_20260227_nf_42.pdf</t>
  </si>
  <si>
    <t>64307674_20260227_nf_36.pdf</t>
  </si>
  <si>
    <t>64307905_20260224_nf_04.pdf</t>
  </si>
  <si>
    <t>64307905_20260224_nf_03.pdf</t>
  </si>
  <si>
    <t>64307905_20260224_nf_01.pdf</t>
  </si>
  <si>
    <t>64307905_20260224_nf_15.pdf</t>
  </si>
  <si>
    <t>64307905_20260224_nf_06.pdf</t>
  </si>
  <si>
    <t>64307905_20260224_nf_08.pdf</t>
  </si>
  <si>
    <t>64307905_20260224_nf_09.pdf</t>
  </si>
  <si>
    <t>64307905_20260224_nf_43.pdf</t>
  </si>
  <si>
    <t>64307905_20260224_nf_11.pdf</t>
  </si>
  <si>
    <t>64307905_20260224_nf_13.pdf</t>
  </si>
  <si>
    <t>64307905_20260224_nf_05.pdf</t>
  </si>
  <si>
    <t>64307905_20260224_nf_16.pdf</t>
  </si>
  <si>
    <t>64307905_20260224_nf_02.pdf</t>
  </si>
  <si>
    <t>64307905_20260224_nf_18.pdf</t>
  </si>
  <si>
    <t>64307905_20260224_nf_20.pdf</t>
  </si>
  <si>
    <t>64307905_20260224_nf_22.pdf</t>
  </si>
  <si>
    <t>64307905_20260224_nf_12.pdf</t>
  </si>
  <si>
    <t>64307905_20260224_nf_17.pdf</t>
  </si>
  <si>
    <t>64307905_20260224_nf_14.pdf</t>
  </si>
  <si>
    <t>64307905_20260224_nf_19.pdf</t>
  </si>
  <si>
    <t>64307905_20260224_nf_31.pdf</t>
  </si>
  <si>
    <t>64307905_20260224_nf_33.pdf</t>
  </si>
  <si>
    <t>64307905_20260224_nf_23.pdf</t>
  </si>
  <si>
    <t>64307905_20260224_nf_35.pdf</t>
  </si>
  <si>
    <t>64307905_20260224_nf_26.pdf</t>
  </si>
  <si>
    <t>64307905_20260224_nf_24.pdf</t>
  </si>
  <si>
    <t>64307905_20260224_nf_34.pdf</t>
  </si>
  <si>
    <t>64307905_20260224_nf_28.pdf</t>
  </si>
  <si>
    <t>64307905_20260224_nf_27.pdf</t>
  </si>
  <si>
    <t>64307905_20260224_nf_29.pdf</t>
  </si>
  <si>
    <t>64307905_20260224_nf_30.pdf</t>
  </si>
  <si>
    <t>64307905_20260224_nf_42.pdf</t>
  </si>
  <si>
    <t>64307905_20260224_nf_36.pdf</t>
  </si>
  <si>
    <t>64307905_20260224_nf_39.pdf</t>
  </si>
  <si>
    <t>64307905_20260224_nf_25.pdf</t>
  </si>
  <si>
    <t>64307905_20260224_nf_41.pdf</t>
  </si>
  <si>
    <t>64307905_20260224_nf_37.pdf</t>
  </si>
  <si>
    <t>64307905_20260224_nf_32.pdf</t>
  </si>
  <si>
    <t>64307905_20260225_nf_06.pdf</t>
  </si>
  <si>
    <t>64307905_20260225_nf_40.pdf</t>
  </si>
  <si>
    <t>64307905_20260225_nf_05.pdf</t>
  </si>
  <si>
    <t>64307905_20260225_nf_14.pdf</t>
  </si>
  <si>
    <t>64307905_20260225_nf_04.pdf</t>
  </si>
  <si>
    <t>64307905_20260225_nf_08.pdf</t>
  </si>
  <si>
    <t>64307905_20260225_nf_21.pdf</t>
  </si>
  <si>
    <t>64307905_20260225_nf_22.pdf</t>
  </si>
  <si>
    <t>64307905_20260225_nf_38.pdf</t>
  </si>
  <si>
    <t>64307905_20260225_nf_01.pdf</t>
  </si>
  <si>
    <t>64307905_20260225_nf_03.pdf</t>
  </si>
  <si>
    <t>64307905_20260225_nf_24.pdf</t>
  </si>
  <si>
    <t>64307905_20260225_nf_20.pdf</t>
  </si>
  <si>
    <t>64307905_20260225_nf_33.pdf</t>
  </si>
  <si>
    <t>64307905_20260225_nf_23.pdf</t>
  </si>
  <si>
    <t>64307905_20260225_nf_32.pdf</t>
  </si>
  <si>
    <t>64307905_20260225_nf_12.pdf</t>
  </si>
  <si>
    <t>64307905_20260225_nf_39.pdf</t>
  </si>
  <si>
    <t>64307905_20260225_nf_30.pdf</t>
  </si>
  <si>
    <t>64307905_20260225_nf_28.pdf</t>
  </si>
  <si>
    <t>64307905_20260225_nf_31.pdf</t>
  </si>
  <si>
    <t>64307905_20260225_nf_15.pdf</t>
  </si>
  <si>
    <t>64307905_20260225_nf_35.pdf</t>
  </si>
  <si>
    <t>64307905_20260225_nf_17.pdf</t>
  </si>
  <si>
    <t>64307905_20260225_nf_27.pdf</t>
  </si>
  <si>
    <t>64307905_20260225_nf_10.pdf</t>
  </si>
  <si>
    <t>64307905_20260225_nf_26.pdf</t>
  </si>
  <si>
    <t>64374799_20260313_nf_04.pdf</t>
  </si>
  <si>
    <t>64374799_20260313_nf_01.pdf</t>
  </si>
  <si>
    <t>64374799_20260313_nf_03.pdf</t>
  </si>
  <si>
    <t>64374799_20260313_nf_06.pdf</t>
  </si>
  <si>
    <t>64374799_20260313_nf_12.pdf</t>
  </si>
  <si>
    <t>64374799_20260313_nf_02.pdf</t>
  </si>
  <si>
    <t>64374799_20260313_nf_15.pdf</t>
  </si>
  <si>
    <t>64374799_20260313_nf_05.pdf</t>
  </si>
  <si>
    <t>64374799_20260313_nf_07.pdf</t>
  </si>
  <si>
    <t>64374799_20260313_nf_08.pdf</t>
  </si>
  <si>
    <t>64374799_20260313_nf_20.pdf</t>
  </si>
  <si>
    <t>64374799_20260313_nf_11.pdf</t>
  </si>
  <si>
    <t>64374799_20260313_nf_23.pdf</t>
  </si>
  <si>
    <t>64374799_20260313_nf_21.pdf</t>
  </si>
  <si>
    <t>64374799_20260313_nf_10.pdf</t>
  </si>
  <si>
    <t>64374799_20260313_nf_19.pdf</t>
  </si>
  <si>
    <t>64374799_20260313_nf_17.pdf</t>
  </si>
  <si>
    <t>64374799_20260313_nf_09.pdf</t>
  </si>
  <si>
    <t>64374799_20260313_nf_22.pdf</t>
  </si>
  <si>
    <t>64374799_20260313_nf_13.pdf</t>
  </si>
  <si>
    <t>64374799_20260313_nf_25.pdf</t>
  </si>
  <si>
    <t>64374799_20260313_nf_14.pdf</t>
  </si>
  <si>
    <t>64374799_20260316_nf_05.pdf</t>
  </si>
  <si>
    <t>64374799_20260316_nf_06.pdf</t>
  </si>
  <si>
    <t>64374799_20260317_nf_04.pdf</t>
  </si>
  <si>
    <t>64374799_20260316_nf_01.pdf</t>
  </si>
  <si>
    <t>64374799_20260316_nf_04.pdf</t>
  </si>
  <si>
    <t>64374799_20260316_nf_08.pdf</t>
  </si>
  <si>
    <t>64374799_20260316_nf_11.pdf</t>
  </si>
  <si>
    <t>64374799_20260316_nf_20.pdf</t>
  </si>
  <si>
    <t>64374799_20260316_nf_03.pdf</t>
  </si>
  <si>
    <t>64374799_20260316_nf_24.pdf</t>
  </si>
  <si>
    <t>64374799_20260316_nf_17.pdf</t>
  </si>
  <si>
    <t>64374799_20260316_nf_35.pdf</t>
  </si>
  <si>
    <t>64374799_20260316_nf_19.pdf</t>
  </si>
  <si>
    <t>64374799_20260316_nf_09.pdf</t>
  </si>
  <si>
    <t>64374799_20260317_nf_02.pdf</t>
  </si>
  <si>
    <t>64374799_20260316_nf_13.pdf</t>
  </si>
  <si>
    <t>64374799_20260316_nf_22.pdf</t>
  </si>
  <si>
    <t>64374799_20260316_nf_23.pdf</t>
  </si>
  <si>
    <t>64374799_20260316_nf_28.pdf</t>
  </si>
  <si>
    <t>64374799_20260316_nf_15.pdf</t>
  </si>
  <si>
    <t>64374799_20260316_nf_26.pdf</t>
  </si>
  <si>
    <t>64374799_20260316_nf_29.pdf</t>
  </si>
  <si>
    <t>64374799_20260316_nf_10.pdf</t>
  </si>
  <si>
    <t>64374799_20260316_nf_12.pdf</t>
  </si>
  <si>
    <t>64374799_20260316_nf_21.pdf</t>
  </si>
  <si>
    <t>64374799_20260317_nf_01.pdf</t>
  </si>
  <si>
    <t>64374799_20260316_nf_32.pdf</t>
  </si>
  <si>
    <t>64374799_20260316_nf_34.pdf</t>
  </si>
  <si>
    <t>64374799_20260316_nf_36.pdf</t>
  </si>
  <si>
    <t>64374799_20260316_nf_30.pdf</t>
  </si>
  <si>
    <t>64374799_20260316_nf_18.pdf</t>
  </si>
  <si>
    <t>64374799_20260316_nf_02.pdf</t>
  </si>
  <si>
    <t>64307905_20260225_nf_18.pdf</t>
  </si>
  <si>
    <t>64307905_20260225_nf_37.pdf</t>
  </si>
  <si>
    <t>Link NF</t>
  </si>
  <si>
    <t>LINK NF</t>
  </si>
  <si>
    <t>TOTAL</t>
  </si>
  <si>
    <t>contem</t>
  </si>
  <si>
    <t>CONFERIDO</t>
  </si>
  <si>
    <t>OK</t>
  </si>
  <si>
    <t>Nome do Arquivo Original</t>
  </si>
  <si>
    <t>Data de Recebimento</t>
  </si>
  <si>
    <t>Nome do Arquivo Gerado</t>
  </si>
  <si>
    <t>64238876.pdf</t>
  </si>
  <si>
    <t>64238470.pdf</t>
  </si>
  <si>
    <t>64238470_20260126_nf_02.pdf</t>
  </si>
  <si>
    <t>64238470_20260126_nf_04.pdf</t>
  </si>
  <si>
    <t>64238470_20260126_nf_06.pdf</t>
  </si>
  <si>
    <t>64238470_20260126_nf_08.pdf</t>
  </si>
  <si>
    <t>64238470_20260126_nf_10.pdf</t>
  </si>
  <si>
    <t>64238470_20260126_nf_12.pdf</t>
  </si>
  <si>
    <t>64238470_20260127_nf_12.pdf</t>
  </si>
  <si>
    <t>64238767.pdf</t>
  </si>
  <si>
    <t>64237227.pdf</t>
  </si>
  <si>
    <t>64237227_20260203_nf_05.pdf</t>
  </si>
  <si>
    <t>64237227_20260203_nf_07.pdf</t>
  </si>
  <si>
    <t>64237413.pdf</t>
  </si>
  <si>
    <t>64237413_20260206_nf_12.pdf</t>
  </si>
  <si>
    <t>64237413_20260209_nf_02.pdf</t>
  </si>
  <si>
    <t>64237413_20260209_nf_04.pdf</t>
  </si>
  <si>
    <t>64237413_20260209_nf_13.pdf</t>
  </si>
  <si>
    <t>64237557.pdf</t>
  </si>
  <si>
    <t>64237775.pdf</t>
  </si>
  <si>
    <t>64237775_20260212_nf_05.pdf</t>
  </si>
  <si>
    <t>64237775_2.pdf</t>
  </si>
  <si>
    <t>64237863.pdf</t>
  </si>
  <si>
    <t>64237863_20260213_nf_15.pdf</t>
  </si>
  <si>
    <t>64237863_20260213_nf_37.pdf</t>
  </si>
  <si>
    <t>64237863_20260213_nf_39.pdf</t>
  </si>
  <si>
    <t>64238035.pdf</t>
  </si>
  <si>
    <t>64238035_20260216_nf_21.pdf</t>
  </si>
  <si>
    <t>64238470_20260218_nf_03.pdf</t>
  </si>
  <si>
    <t>64238470_20260218_nf_15.pdf</t>
  </si>
  <si>
    <t>64238035_20260219_nf_04.pdf</t>
  </si>
  <si>
    <t>64238035_20260219_nf_06.pdf</t>
  </si>
  <si>
    <t>64238035_20260219_nf_07.pdf</t>
  </si>
  <si>
    <t>64238582.pdf</t>
  </si>
  <si>
    <t>64238582_20260220_nf_03.pdf</t>
  </si>
  <si>
    <t>64238582_20260220_nf_08.pdf</t>
  </si>
  <si>
    <t>64307505.pdf</t>
  </si>
  <si>
    <t>64307505_20260223_nf_30.pdf</t>
  </si>
  <si>
    <t>64307905.pdf</t>
  </si>
  <si>
    <t>64307905_20260224_nf_07.pdf</t>
  </si>
  <si>
    <t>64307905_20260224_nf_10.pdf</t>
  </si>
  <si>
    <t>64307905_20260224_nf_21.pdf</t>
  </si>
  <si>
    <t>64307905_20260224_nf_38.pdf</t>
  </si>
  <si>
    <t>64307905_20260224_nf_40.pdf</t>
  </si>
  <si>
    <t>64307905_20260225_nf_02.pdf</t>
  </si>
  <si>
    <t>64307905_20260225_nf_07.pdf</t>
  </si>
  <si>
    <t>64307905_20260225_nf_09.pdf</t>
  </si>
  <si>
    <t>64307905_20260225_nf_11.pdf</t>
  </si>
  <si>
    <t>64307905_20260225_nf_13.pdf</t>
  </si>
  <si>
    <t>64307905_20260225_nf_16.pdf</t>
  </si>
  <si>
    <t>64307905_20260225_nf_19.pdf</t>
  </si>
  <si>
    <t>64307905_20260225_nf_25.pdf</t>
  </si>
  <si>
    <t>64307905_20260225_nf_29.pdf</t>
  </si>
  <si>
    <t>64307905_20260225_nf_34.pdf</t>
  </si>
  <si>
    <t>64307905_20260225_nf_36.pdf</t>
  </si>
  <si>
    <t>64307629.pdf</t>
  </si>
  <si>
    <t>64307629_20260226_nf_16.pdf</t>
  </si>
  <si>
    <t>64307629_20260226_nf_17.pdf</t>
  </si>
  <si>
    <t>64307629_20260226_nf_18.pdf</t>
  </si>
  <si>
    <t>64307629_20260226_nf_20.pdf</t>
  </si>
  <si>
    <t>64307629_20260226_nf_22.pdf</t>
  </si>
  <si>
    <t>64307629_20260226_nf_30.pdf</t>
  </si>
  <si>
    <t>64307674.pdf</t>
  </si>
  <si>
    <t>64307674_20260227_nf_02.pdf</t>
  </si>
  <si>
    <t>64307674_20260227_nf_04.pdf</t>
  </si>
  <si>
    <t>64307674_20260227_nf_06.pdf</t>
  </si>
  <si>
    <t>64307674_20260227_nf_17.pdf</t>
  </si>
  <si>
    <t>64307674_20260227_nf_19.pdf</t>
  </si>
  <si>
    <t>64307674_20260227_nf_21.pdf</t>
  </si>
  <si>
    <t>64307674_20260227_nf_37.pdf</t>
  </si>
  <si>
    <t>64307674_20260227_nf_39.pdf</t>
  </si>
  <si>
    <t>64307674_20260227_nf_48.pdf</t>
  </si>
  <si>
    <t>64307674_20260227_nf_51.pdf</t>
  </si>
  <si>
    <t>64307150.pdf</t>
  </si>
  <si>
    <t>64307150_20260302_nf_08.pdf</t>
  </si>
  <si>
    <t>64307150_20260302_nf_19.pdf</t>
  </si>
  <si>
    <t>64307150_20260302_nf_20.pdf</t>
  </si>
  <si>
    <t>64307150_20260302_nf_35.pdf</t>
  </si>
  <si>
    <t>64307150_20260302_nf_37.pdf</t>
  </si>
  <si>
    <t>64307150_20260302_nf_39.pdf</t>
  </si>
  <si>
    <t>64307150_20260303_nf_02.pdf</t>
  </si>
  <si>
    <t>64307150_20260303_nf_05.pdf</t>
  </si>
  <si>
    <t>64307150_20260303_nf_14.pdf</t>
  </si>
  <si>
    <t>64307150_20260303_nf_16.pdf</t>
  </si>
  <si>
    <t>64307150_20260303_nf_22.pdf</t>
  </si>
  <si>
    <t>64307150_20260303_nf_24.pdf</t>
  </si>
  <si>
    <t>64307150_20260303_nf_25.pdf</t>
  </si>
  <si>
    <t>64307150_20260303_nf_32.pdf</t>
  </si>
  <si>
    <t>64307150_20260303_nf_41.pdf</t>
  </si>
  <si>
    <t>64307150_20260303_nf_45.pdf</t>
  </si>
  <si>
    <t>64307150_20260303_nf_47.pdf</t>
  </si>
  <si>
    <t>64307150_20260303_nf_49.pdf</t>
  </si>
  <si>
    <t>64307150_20260303_nf_51.pdf</t>
  </si>
  <si>
    <t>64307150_20260303_nf_56.pdf</t>
  </si>
  <si>
    <t>64307205.pdf</t>
  </si>
  <si>
    <t>64307205_20260304_nf_04.pdf</t>
  </si>
  <si>
    <t>64307205_20260304_nf_20.pdf</t>
  </si>
  <si>
    <t>64307205_20260304_nf_23.pdf</t>
  </si>
  <si>
    <t>64307205_20260304_nf_25.pdf</t>
  </si>
  <si>
    <t>64307205_20260304_nf_30.pdf</t>
  </si>
  <si>
    <t>64307205_20260304_nf_38.pdf</t>
  </si>
  <si>
    <t>64307205_20260304_nf_41.pdf</t>
  </si>
  <si>
    <t>64307205_20260304_nf_43.pdf</t>
  </si>
  <si>
    <t>64307205_20260304_nf_45.pdf</t>
  </si>
  <si>
    <t>64307205_20260304_nf_47.pdf</t>
  </si>
  <si>
    <t>64307205_20260304_nf_48.pdf</t>
  </si>
  <si>
    <t>64307205_20260304_nf_50.pdf</t>
  </si>
  <si>
    <t>64307205_20260305_nf_05.pdf</t>
  </si>
  <si>
    <t>64307205_20260305_nf_10.pdf</t>
  </si>
  <si>
    <t>64307205_20260305_nf_20.pdf</t>
  </si>
  <si>
    <t>64307304.pdf</t>
  </si>
  <si>
    <t>64307304_20260306_nf_04.pdf</t>
  </si>
  <si>
    <t>64307304_20260306_nf_07.pdf</t>
  </si>
  <si>
    <t>64307304_20260306_nf_09.pdf</t>
  </si>
  <si>
    <t>64307304_20260309_nf_05.pdf</t>
  </si>
  <si>
    <t>64307304_20260309_nf_07.pdf</t>
  </si>
  <si>
    <t>64307304_20260309_nf_09.pdf</t>
  </si>
  <si>
    <t>64307304_20260309_nf_12.pdf</t>
  </si>
  <si>
    <t>64307304_20260309_nf_15.pdf</t>
  </si>
  <si>
    <t>64307304_20260309_nf_17.pdf</t>
  </si>
  <si>
    <t>64307304_20260310_nf_04.pdf</t>
  </si>
  <si>
    <t>64307304_20260310_nf_06.pdf</t>
  </si>
  <si>
    <t>64307304_20260310_nf_08.pdf</t>
  </si>
  <si>
    <t>64307304_20260310_nf_11.pdf</t>
  </si>
  <si>
    <t>64307304_20260310_nf_14.pdf</t>
  </si>
  <si>
    <t>64307304_20260310_nf_18.pdf</t>
  </si>
  <si>
    <t>64307304_20260310_nf_21.pdf</t>
  </si>
  <si>
    <t>64307304_20260310_nf_24.pdf</t>
  </si>
  <si>
    <t>64307505_20260311_nf_10.pdf</t>
  </si>
  <si>
    <t>64307505_20260311_nf_13.pdf</t>
  </si>
  <si>
    <t>64307505_20260311_nf_18.pdf</t>
  </si>
  <si>
    <t>64307505_20260311_nf_25.pdf</t>
  </si>
  <si>
    <t>64307505_20260311_nf_28.pdf</t>
  </si>
  <si>
    <t>64307505_20260311_nf_31.pdf</t>
  </si>
  <si>
    <t>64307505_20260312_nf_03.pdf</t>
  </si>
  <si>
    <t>64374799.pdf</t>
  </si>
  <si>
    <t>64374799_20260313_nf_16.pdf</t>
  </si>
  <si>
    <t>64374799_20260313_nf_18.pdf</t>
  </si>
  <si>
    <t>64374799_20260313_nf_24.pdf</t>
  </si>
  <si>
    <t>64374799_20260313_nf_26.pdf</t>
  </si>
  <si>
    <t>64374799_20260316_nf_07.pdf</t>
  </si>
  <si>
    <t>64374799_20260316_nf_14.pdf</t>
  </si>
  <si>
    <t>64374799_20260316_nf_16.pdf</t>
  </si>
  <si>
    <t>64374799_20260316_nf_25.pdf</t>
  </si>
  <si>
    <t>64374799_20260316_nf_27.pdf</t>
  </si>
  <si>
    <t>64374799_20260316_nf_31.pdf</t>
  </si>
  <si>
    <t>64374799_20260316_nf_33.pdf</t>
  </si>
  <si>
    <t>64374799_20260317_nf_03.pdf</t>
  </si>
  <si>
    <t>INDEXADO</t>
  </si>
  <si>
    <t>LINK</t>
  </si>
  <si>
    <t>FORNECEDOR</t>
  </si>
  <si>
    <t>CORRIGIDO</t>
  </si>
  <si>
    <t>032180300001-67</t>
  </si>
  <si>
    <t>OK - CNPJ DIVERGENTE</t>
  </si>
  <si>
    <t>053600510001-48</t>
  </si>
  <si>
    <t>VERIFICAR</t>
  </si>
  <si>
    <t>481817540001-11</t>
  </si>
  <si>
    <t>62136304003820</t>
  </si>
  <si>
    <t>421713730001-75</t>
  </si>
  <si>
    <t>13555994000154</t>
  </si>
  <si>
    <t>08623841000248</t>
  </si>
  <si>
    <t>436806870001-66</t>
  </si>
  <si>
    <t>367157170001-67</t>
  </si>
  <si>
    <t>226222130001-98</t>
  </si>
  <si>
    <t>763419570001-63</t>
  </si>
  <si>
    <t>14674740000118</t>
  </si>
  <si>
    <t>115043840001-04</t>
  </si>
  <si>
    <t>28567073000260</t>
  </si>
  <si>
    <t>GIRAR -90</t>
  </si>
  <si>
    <t>ROTAÇÃO OK</t>
  </si>
  <si>
    <t>05660045000378</t>
  </si>
  <si>
    <t>20 UNIDADES</t>
  </si>
  <si>
    <t>64237775_20260212_nf_20.pdf</t>
  </si>
  <si>
    <t>VIDA MELHOR EDITORA LTDA</t>
  </si>
  <si>
    <t>000</t>
  </si>
  <si>
    <t>CASA DOS LIVROS EDITORA LTDA</t>
  </si>
  <si>
    <t>271379610001-07</t>
  </si>
  <si>
    <t>Terra Sul Editora</t>
  </si>
  <si>
    <t>GC Editora LTDA</t>
  </si>
  <si>
    <t>PÁGINA EM BRANCO</t>
  </si>
  <si>
    <t>LOG e PRINT</t>
  </si>
  <si>
    <t>ROTA IMAGINÁRIA COMUNICAÇAO</t>
  </si>
  <si>
    <t>EDITORA FLOREAR LIVROS</t>
  </si>
  <si>
    <t>ALETRIA CONTOS E OUTRAS HISTORIAS LTDA</t>
  </si>
  <si>
    <t>BELA BRAVA CULTURAL LTDA</t>
  </si>
  <si>
    <t>SONHOS &amp; LETRAS EDITORA, LIVRARIA, DISTR</t>
  </si>
  <si>
    <t>ALETRIA EDITORA LTDA</t>
  </si>
  <si>
    <t>BETULA EDITORIAL LTDA</t>
  </si>
  <si>
    <t>04496460000103</t>
  </si>
  <si>
    <t>PLENAPRINT GRAFICA</t>
  </si>
  <si>
    <t>61545984000180</t>
  </si>
  <si>
    <t>EDITORA CAMOMILA LTDA</t>
  </si>
  <si>
    <t>EDITORA ENIGMA DO TEMPO LTDA</t>
  </si>
  <si>
    <t>INSTITUTO CULTURAL ALETRIA LTDA</t>
  </si>
  <si>
    <t xml:space="preserve">ESTUDIO CRIADEIRA LTDA </t>
  </si>
  <si>
    <t>DUNA DUETO EDITORA LTDA</t>
  </si>
  <si>
    <t>ALUMBRE PRODUCOES DIDATICAS E LITERARIAS LTDA</t>
  </si>
  <si>
    <t>EDITORA JOSE OLYMPIO LTDA</t>
  </si>
  <si>
    <t>OPALA EDITORA E LIVRARIA LTDA</t>
  </si>
  <si>
    <t>BEC BOOKS SOLUÇÕES EDUCACIONAIS</t>
  </si>
  <si>
    <t>EDITORA PAPAGAIO</t>
  </si>
  <si>
    <t>CARTA DE CORREÇÃO</t>
  </si>
  <si>
    <t>Tiragem</t>
  </si>
  <si>
    <t>Peso Tiragem</t>
  </si>
  <si>
    <t>612599580001-96</t>
  </si>
  <si>
    <t>174639630001-24</t>
  </si>
  <si>
    <t>141602310001-77</t>
  </si>
  <si>
    <t>417706190001-62</t>
  </si>
  <si>
    <t>165817820001-30</t>
  </si>
  <si>
    <t>433991930001-08</t>
  </si>
  <si>
    <t>766598200009-09</t>
  </si>
  <si>
    <t>333244840001-83</t>
  </si>
  <si>
    <t>349425870001-70</t>
  </si>
  <si>
    <t>349426710001-93</t>
  </si>
  <si>
    <t>401506500001-38</t>
  </si>
  <si>
    <t>410525080001-10</t>
  </si>
  <si>
    <t>398929930001-99</t>
  </si>
  <si>
    <t>127083580001-52</t>
  </si>
  <si>
    <t>399101960001-97</t>
  </si>
  <si>
    <t>387292430001-38</t>
  </si>
  <si>
    <t>201134740001-57</t>
  </si>
  <si>
    <t>076219050001-28</t>
  </si>
  <si>
    <t>298405610001-80</t>
  </si>
  <si>
    <t>199621010001-71</t>
  </si>
  <si>
    <t>154067230001-62</t>
  </si>
  <si>
    <t>199621040001-05</t>
  </si>
  <si>
    <t>271827250001-02</t>
  </si>
  <si>
    <t>200001830001-52</t>
  </si>
  <si>
    <t>016021770001-20</t>
  </si>
  <si>
    <t>584071070001-39</t>
  </si>
  <si>
    <t>093747510001-42</t>
  </si>
  <si>
    <t>115740340001-06</t>
  </si>
  <si>
    <t>134985990001-87</t>
  </si>
  <si>
    <t>240817340001-00</t>
  </si>
  <si>
    <t>077425500001-25</t>
  </si>
  <si>
    <t>436797040001-45</t>
  </si>
  <si>
    <t>434032510001-20</t>
  </si>
  <si>
    <t>014181570001-02</t>
  </si>
  <si>
    <t>145327870001-47</t>
  </si>
  <si>
    <t>382265060001-96</t>
  </si>
  <si>
    <t>025887170001-21</t>
  </si>
  <si>
    <t>611864900001-57</t>
  </si>
  <si>
    <t>441273550001-11</t>
  </si>
  <si>
    <t>20260204_NF_02.pdf</t>
  </si>
  <si>
    <t>20260204_NF_03.pdf</t>
  </si>
  <si>
    <t>20260204_NF_04.pdf</t>
  </si>
  <si>
    <t>20260204_NF_06.pdf</t>
  </si>
  <si>
    <t>20260204_NF_07.pdf</t>
  </si>
  <si>
    <t>20260204_nf_08.pdf</t>
  </si>
  <si>
    <t>20260211_NF_09.pdf</t>
  </si>
  <si>
    <t>20260211_NF_10.pdf</t>
  </si>
  <si>
    <t>20260204_nf_01.pdf</t>
  </si>
  <si>
    <t>20260211_NF_11.pdf</t>
  </si>
  <si>
    <t>20260211_NF_12.pdf</t>
  </si>
  <si>
    <t>20260211_nf_13.pdf</t>
  </si>
  <si>
    <t>20260211_nf_14.pdf</t>
  </si>
  <si>
    <t>20260211_nf_15.pdf</t>
  </si>
  <si>
    <t>20260211_nf_16.pdf</t>
  </si>
  <si>
    <t>20260211_nf_17.pdf</t>
  </si>
  <si>
    <t>20260211_nf_18.pdf</t>
  </si>
  <si>
    <t>20260211_nf_19.pdf</t>
  </si>
  <si>
    <t>20260212_nf_20.pdf</t>
  </si>
  <si>
    <t>20260212_nf_22.pdf</t>
  </si>
  <si>
    <t>20260212_nf_23.pdf</t>
  </si>
  <si>
    <t>20260212_nf_24.pdf</t>
  </si>
  <si>
    <t>20260212_nf_26.pdf</t>
  </si>
  <si>
    <t>20260212_nf_27.pdf</t>
  </si>
  <si>
    <t>20260212_nf_28.pdf</t>
  </si>
  <si>
    <t>20260212_nf_30.pdf</t>
  </si>
  <si>
    <t>20260212_nf_31.pdf</t>
  </si>
  <si>
    <t>20260318_nf_33.pdf</t>
  </si>
  <si>
    <t>20260212_nf_34.pdf</t>
  </si>
  <si>
    <t>20260212_nf_38.pdf</t>
  </si>
  <si>
    <t>20260212_nf_40.pdf</t>
  </si>
  <si>
    <t>20260213_nf_41.pdf</t>
  </si>
  <si>
    <t>20260318_nf_44.pdf</t>
  </si>
  <si>
    <t>20260326_nf_45.pdf</t>
  </si>
  <si>
    <t>20260326_nf_46.pdf</t>
  </si>
  <si>
    <t>20260616_nf_47.pdf</t>
  </si>
  <si>
    <t>20260616_nf_48.pdf</t>
  </si>
  <si>
    <t>20260211_nf_49.pdf</t>
  </si>
  <si>
    <t>20260212_nf_50.pdf</t>
  </si>
  <si>
    <t>20260211_nf_52.pdf</t>
  </si>
  <si>
    <t>20260211_nf_53.pdf</t>
  </si>
  <si>
    <t>20260211_nf_54.pdf</t>
  </si>
  <si>
    <t>20260211_nf_55.pdf</t>
  </si>
  <si>
    <t>20260212_nf_56.pdf</t>
  </si>
  <si>
    <t>20260227_nf_32.pdf</t>
  </si>
  <si>
    <t>20260212_nf_36.pdf</t>
  </si>
  <si>
    <t>20260224_nf_42.pdf</t>
  </si>
  <si>
    <t>20260226_nf_43.pdf</t>
  </si>
  <si>
    <t>20260212_nf_21.pdf</t>
  </si>
  <si>
    <t>Data Final Armazenamento</t>
  </si>
  <si>
    <t>Valor Unitário</t>
  </si>
  <si>
    <t>Qtd Paletes Recebidos</t>
  </si>
  <si>
    <t>Nome Link NF</t>
  </si>
  <si>
    <t>Unidades Armazenadas</t>
  </si>
  <si>
    <t>BENNU EDITORA E PROJETOS EDUCACIONAIS LTDA-BENNU EDITORA</t>
  </si>
  <si>
    <t>BOM BINI EDITORA E ASSESSORIA LTDA-BAMBOOZINHO</t>
  </si>
  <si>
    <t>CALIGRAMA EDITORIAL LTDA.-OBÁ EDITORIAL</t>
  </si>
  <si>
    <t>CULTURA ESCRITA EDIÇÃO E EDUCAÇÃO LTDA ME-CULTURA ESCRITA</t>
  </si>
  <si>
    <t>EDITORA COQUINHO LTDA-COQUINHO</t>
  </si>
  <si>
    <t>EDITORA GAIVOTA LTDA.-EDITORA GAIVOTA</t>
  </si>
  <si>
    <t>EDITORA PAZ E TERRA LTDA -EDITORA PAZ E TERRA</t>
  </si>
  <si>
    <t>EDITORA RECORD LTDA-EDITORA RECORD</t>
  </si>
  <si>
    <t>EDITORA MAMUTE LTDA-NÃO HÁ</t>
  </si>
  <si>
    <t>EDITORA UVINHA BEBÊ LTDA-UVINHA BEBÊ</t>
  </si>
  <si>
    <t>EMPRESA BRASILEIRA DE SISTEMAS DE ENSINO LTDA. -BR EDUCAÇÃO</t>
  </si>
  <si>
    <t>ESTÚDIO MADALENA PRODUÇÕES FOTOGRÁFICAS EIRELI-MADALENA</t>
  </si>
  <si>
    <t>FERNANDES &amp; WARTH EDITORA E DISTRIBUIDORA LTDA.-PALLAS MÍNI</t>
  </si>
  <si>
    <t>INSTITUTO ALBERIONE-SABERES E LETRAS</t>
  </si>
  <si>
    <t>KITS EDITORA COMÉRCIO E INDÚSTRIA LTDA-KIT´S EDITORA</t>
  </si>
  <si>
    <t>MEF EDITORA LTDA.-SEMEAR IDEIAS LTDA</t>
  </si>
  <si>
    <t>NANABOOKS EDITORA LTDA-NANABOOKS</t>
  </si>
  <si>
    <t>PÁGINAS EDITORA LTDA-PÁGINAS EDITORA</t>
  </si>
  <si>
    <t>RAKUN EDITORA E SERVIÇOS DE TEXTO LTDA.-RAKUN</t>
  </si>
  <si>
    <t>REAL EDITORA E DISTRIBUIDORA LTDA-REAL EDUCAÇÃO</t>
  </si>
  <si>
    <t>SERELEPE EDITORA LTDA-SERELEPE EDITORA</t>
  </si>
  <si>
    <t>TELOS EDITORA LTDA-TELOS EDITORA</t>
  </si>
  <si>
    <t>TIBI LIVROS LTDA ME-XXXXXXX</t>
  </si>
  <si>
    <t>ZUM ZUM EDITORA LTDA-ZUM ZUM</t>
  </si>
  <si>
    <t>ASSOCIAÇÃO PARANAENSE DE CULTURA – APC -EDITORA UNIVERSITÁRIA CHAMPAGNAT</t>
  </si>
  <si>
    <t>ATALANTE EDITORES LTDA.-ATALANTE</t>
  </si>
  <si>
    <t>BERLENDIS EDITORES LTDA-BERLENDIS &amp; VERTECCHIA</t>
  </si>
  <si>
    <t>CALLIS EDITORA LTDA.-CALLIS</t>
  </si>
  <si>
    <t>CAMILA WERNER 28178656850-C. WERNER EDITORIAL</t>
  </si>
  <si>
    <t>CASA DE LETRAS E GRAFICA LTDA-CASA DE LETRAS</t>
  </si>
  <si>
    <t>CULTURAMA EDITORA E DISTRIBUIDORA LTDA-CULTURAMA</t>
  </si>
  <si>
    <t>EDITORA ANZOL LTDA-NÃO HÁ</t>
  </si>
  <si>
    <t>EDITORA CIRCUITO LTDA-CIRCUITO</t>
  </si>
  <si>
    <t>EDITORA CORALINDA LTDA-CORALINDA</t>
  </si>
  <si>
    <t>EDITORA LÊ LTDA-EDITORA LÊ</t>
  </si>
  <si>
    <t>EDITORA MACS SERVIÇOS LTDA-EDITORA MACS SERVIÇOS LTDA</t>
  </si>
  <si>
    <t>EDITORA NOVA FRONTEIRA PARTICIPACOES S/A -NÃO HÁ</t>
  </si>
  <si>
    <t>EDITORA PEIXINHO DOURADO LTDA-PEIXINHO DOURADO</t>
  </si>
  <si>
    <t>EDITORA RELUME-DUMARA LTDA-NÃO HÁ</t>
  </si>
  <si>
    <t>EDITORA SAMBA LELE LTDA-EDITORA CORRE COTIA LTDA</t>
  </si>
  <si>
    <t>ENTREPALAVRAS PRODUÇÃO DE TEXTO -ENTREPALAVRAS</t>
  </si>
  <si>
    <t>J.G. EDITORA -J.G. EDITORA</t>
  </si>
  <si>
    <t>M.R. CORNACCHIA EDITORA LTDA.-PAPIRUS</t>
  </si>
  <si>
    <t>PINGO DE OURO EDITORES LTDA-PINGO DE OURO</t>
  </si>
  <si>
    <t>TEXTO EDITORES LTDA.-TEXTO EDITORES</t>
  </si>
  <si>
    <t>TIÊ EDIÇÕES LTDA-TIÊ EDIÇÕES</t>
  </si>
  <si>
    <t>VERBA EDITORIAL LTDA. EPP-VERBA EDITORIAL</t>
  </si>
  <si>
    <t>AFETO EDITORIAL LTDA-AFETO EDITORIAL</t>
  </si>
  <si>
    <t>AV EDIÇÕES E SERVIÇOS EIRELI-BADABUM</t>
  </si>
  <si>
    <t>CAMERON EDITORA E GRÁFICA LTDA -EDITORA CAMERON</t>
  </si>
  <si>
    <t>DIAN &amp; SILVA EMPREENDIMENTOS EDUCACIONAIS E EDITORIAIS LTDA-NADIANE SANTOS OLIVEIRA</t>
  </si>
  <si>
    <t>EDITORA ASTROLABIO LTDA-NÃO HÁ</t>
  </si>
  <si>
    <t>EDITORA BERTRAND BRASIL LTDA-EDITORA BERTRAND BRASIL</t>
  </si>
  <si>
    <t>EDITORA LULELE LTDA-EDITORA PENSAMENTO LTDA</t>
  </si>
  <si>
    <t>EDITORA MODERNA LTDA-MODERNA</t>
  </si>
  <si>
    <t>EDITORA PENSANTE LTDA-PENSANTE</t>
  </si>
  <si>
    <t>EPP PUBLICAÇÕES E PUBLICIDADE LTDA-CARAMURÊ PUBLICAÇÕES</t>
  </si>
  <si>
    <t>FINO TRAÇO EDITORA LTDA.-FINO TRAÇO EDITORA</t>
  </si>
  <si>
    <t>ISABELLA FELIX DE ARAUJO -ARTE DAS LETRAS</t>
  </si>
  <si>
    <t>LUCCA CULTURA LTDA-LUCCA</t>
  </si>
  <si>
    <t>PANTOGRAF GRÁFICA E EDITORA LTDA-PANTOGRAF</t>
  </si>
  <si>
    <t>RETICÊNCIAS PRODUÇÕES LITERÁRIAS E EDITORIAIS LTDA-RETICÊNCIAS...</t>
  </si>
  <si>
    <t>RICHMOND EDUCAÇÃO LTDA. -RICHMOND</t>
  </si>
  <si>
    <t>VERUS EDITORA LTDA-EDITORA VERUS</t>
  </si>
  <si>
    <t>AVALIA QUALIDADE EDUCACIONAL LTDA.-AVALIA</t>
  </si>
  <si>
    <t>BAZAR DO TEMPO PRODUÇÕES E EMPREENDIMENTOS CULTURAIS LTDA.-BAZAR DO TEMPO</t>
  </si>
  <si>
    <t>CAPITU EDITORA LTDA.-CAPITU</t>
  </si>
  <si>
    <t>CASA DOS LIVROS EDITORA LTDA-CASA DOS LIVROS EDITORA LTDA</t>
  </si>
  <si>
    <t>DIAS DOS SANTOS PARTICIPAÇÕES LTDA-CONTEMPORÂNEA</t>
  </si>
  <si>
    <t>DUNA DUETO EDITORA LTDA.-DUNA DUETO</t>
  </si>
  <si>
    <t>EDELBRA GRÁFICA LTDA-EDELBRA</t>
  </si>
  <si>
    <t>EDITORA DA PONTE SOLUÇÕES EM EDUCAÇÃO LTDA-EDITORA DA PONTE</t>
  </si>
  <si>
    <t>EDITORA GUTENBERG LTDA.-GUTENBERG</t>
  </si>
  <si>
    <t>EDITORA MADREPEROLA LTDA-EDITORA MADREPÉROLA</t>
  </si>
  <si>
    <t>EDITORA MUNDO JOVEM 2004 LTDA-EDITORA JOVEM</t>
  </si>
  <si>
    <t>EDITORA SEMENTE CULTURAL LTDA-SEMENTE EDITORIAL</t>
  </si>
  <si>
    <t>EDITORA SPARK LTDA-SPARK</t>
  </si>
  <si>
    <t>FLORESCER LIVRARIA E EDITORA LTDA-FLORESCER DISTRIBUIDORA DE LIVROS</t>
  </si>
  <si>
    <t>GRÁFICA E EDITORA COMUNICAÇÃO IMPRESSA LTDA-COMUNICAÇÃO IMPRESSA</t>
  </si>
  <si>
    <t>LEVE SOLUÇÕES EDITORIAIS LTDA-LEVE SOLUÇÕES EDITORIAIS</t>
  </si>
  <si>
    <t>LUISE BARROS COSTA LIMA-MIL CARAMIOLAS</t>
  </si>
  <si>
    <t>O GATO CHINÊS EDITORA LTDA.-O GATO CHINÊS</t>
  </si>
  <si>
    <t>EDITORA MOITARÁ LTDA-NÃO HÁ</t>
  </si>
  <si>
    <t>RIO 40O TRADE LTDA-</t>
  </si>
  <si>
    <t>SIGNO EDITORA LTDA-EDITORA SIGNO</t>
  </si>
  <si>
    <t>VIDA MELHOR EDITORA LTDA.-VIDA MELHOR EDITORA LTDA.</t>
  </si>
  <si>
    <t>ABACATTE EDITORIAL LTDA - EPP-ABACATTE EDITORIAL</t>
  </si>
  <si>
    <t>ALETRIA EDITORA LTDA-ALETRIA</t>
  </si>
  <si>
    <t>CAROCHINHA EDITORA LTDA.-CAROCHINHA</t>
  </si>
  <si>
    <t>CASA DOS MUNDOS PRODUCAO EDITORIAL E GAMES LTDA-CASA DOS MUNDOS</t>
  </si>
  <si>
    <t>DISTRIBUIDORA PALMARES - LTDA-EDITORA PALMARES</t>
  </si>
  <si>
    <t>EDELBRA EDITORA LTDA-EDELBRA</t>
  </si>
  <si>
    <t>EDITORA BEST SELLER LTDA.-EDITORA BEST SELLER</t>
  </si>
  <si>
    <t>EDITORA CAMOMILA LTDA-EDITORA CAMOMILA</t>
  </si>
  <si>
    <t>EDITORA DE CULTURA LTDA-EDITORA DE CULTURA LTDA</t>
  </si>
  <si>
    <t>EDITORA ILUMINURAS LTDA-ILUMINURAS</t>
  </si>
  <si>
    <t>EDITORA MAGRELA LTDA-EDITORA MAGRELA</t>
  </si>
  <si>
    <t>EDITORA ZAGUINHA LTDA-ZAGUINHA</t>
  </si>
  <si>
    <t>EDLAB PRESS EDITORA EIRELI-EDLAB</t>
  </si>
  <si>
    <t>ESTÚDIO CRIADEIRA LTDA ME-CRIADEIRA LIVROS</t>
  </si>
  <si>
    <t>EUREKA - SOLUÇÕES PEDAGÓGICAS LTDA-EUREKA - SOLUÇÕES PEDAGÓGICAS LTDA</t>
  </si>
  <si>
    <t>GUTENBERG DISTRIBUIDORA DE LIVROS LTDA.-YELLOWFANTE</t>
  </si>
  <si>
    <t>IBEP INST. BRASILEIRO DE EDIÇÕES PEDAGOGICAS-EDITORA IBEP</t>
  </si>
  <si>
    <t>JINKINGS EDITORES ASSOCIADOS LTDA.-BOITEMPO</t>
  </si>
  <si>
    <t>MLT PARTICIPAÇÕES SOCIETÁRIAS LTDA-EDITORA MLT</t>
  </si>
  <si>
    <t>MUTANTE EDITORA LTDA-MUTANTE</t>
  </si>
  <si>
    <t>O JOGO DE AMARELINHA SERVIÇOS EDITORIAIS LTDA-EDIÇÕES JOGO DE AMARELINHA</t>
  </si>
  <si>
    <t>EDITORA PIU LTDA-ME-EDITORA PIU</t>
  </si>
  <si>
    <t>RONA EDITORA LTDA-RONA</t>
  </si>
  <si>
    <t>SABIDURÍA EDITORA LTDA-SABIDURÍA</t>
  </si>
  <si>
    <t>SILVA LOBO EDITORIAL LTDA-EDITORA CASA DO LOBO E EDITORA LOBINHO</t>
  </si>
  <si>
    <t>TROIA EDITORA E DISTRIBUIDORA LTDA-TROIA EDITORA</t>
  </si>
  <si>
    <t>ALGODAO DOCE EDITORIAL LTDA-ALGODÃO DOCE</t>
  </si>
  <si>
    <t>BOOK EDITORA E DISTRIBUIDORA DE LIVROS LTDA.-BOOK EDITORA E DISTRIBUIDORA DE LIVROS LTDA.</t>
  </si>
  <si>
    <t>CARRION CARRACEDO LTDA - EPP-ENTRELINHAS EDITORA</t>
  </si>
  <si>
    <t>COMPANHIA EDITORA NACIONAL-EDITORA NACIONAL</t>
  </si>
  <si>
    <t>EDIÇÕES HÍBRIDAS LTDA-EDIÇÕES HÍBRIDAS LTDA</t>
  </si>
  <si>
    <t>EDIOURO DUETTO EDITORIAL LTDA-NÃO HÁ</t>
  </si>
  <si>
    <t>EDITORA BIJU LTDA-BIJU</t>
  </si>
  <si>
    <t>EDITORA ESCALADA LTDA-ESCALADA</t>
  </si>
  <si>
    <t>EDITORA HR LTDA-EDITORA HR LTDA</t>
  </si>
  <si>
    <t>EDITORA INTRINSECA LTDA-INTRÍNSECA</t>
  </si>
  <si>
    <t>EDITORA PINGO DE LUZ LTDA-LARISSA KOROVAEFF</t>
  </si>
  <si>
    <t>EDITORA PROJETO LTDA-PROJETO EDITORA</t>
  </si>
  <si>
    <t>EDITORA SORRISO LTDA-EDITORA SORRISO</t>
  </si>
  <si>
    <t>EUREKA DIGITAL EDIÇÃO DE LIVROS LTDA-EUREKA DIGITAL</t>
  </si>
  <si>
    <t>GUIA DOS CURIOSOS COMUNICAÇÕES LTDA.-GUIA DOS CURIOSOS COMUNICAÇÕES</t>
  </si>
  <si>
    <t>K. G. PANSA EDITORIAL LTDA-AMORA EDITORIAL</t>
  </si>
  <si>
    <t>MARCO ZERO EDITORA LTDA-MARCO ZERO EDITORA</t>
  </si>
  <si>
    <t>EDITORA TIMBÓ LTDA-NÃO HÁ</t>
  </si>
  <si>
    <t>N-1 EDITORA E DISTRIBUIDORA LTDA-N-1 EDIÇÕES</t>
  </si>
  <si>
    <t>OCEANO EDIÇÕES E IMPRESSÃO GRÁFICA LTDA -GRÁFICA OCEANO</t>
  </si>
  <si>
    <t>ROVELLE EDIÇÃO E COMERCIO DE LIVOS LTDA-EDITORA ROVELLE</t>
  </si>
  <si>
    <t>SOLISLUNA DESIGN E EDITORA LTDA-SOLISLUNA EDITORA</t>
  </si>
  <si>
    <t>ÁGAPE PRODUÇÕES DIDÁTICAS E LITERÁRIAS EIRELI-EDITORA FLOREAR LIVROS</t>
  </si>
  <si>
    <t>ALAÚDE EDITORIAL LTDA-EDITORA ALAÚDE</t>
  </si>
  <si>
    <t>ALUMBRE PRODUÇÕES DIDÁTICAS E LITERÁRIAS LTDA.-EDITORA ALUMBRE</t>
  </si>
  <si>
    <t>BIZU EDITORIAL LTDA-BIZU</t>
  </si>
  <si>
    <t>BORALÁ EDITORA LTDA.-BORALÁ</t>
  </si>
  <si>
    <t>CHUÁ EDITORA LTDA.-CHUÁ</t>
  </si>
  <si>
    <t>EDIÇÕES MMM EDITORA E LIVRARIA LTDA-EDIÇÕES MMM</t>
  </si>
  <si>
    <t>ENQUETE EDITORA E COMUNICAÇÃO LTDA-POTENCIAL EDITORA</t>
  </si>
  <si>
    <t>EDITORA BIRUTA LTDA-EDITORA BIRUTA</t>
  </si>
  <si>
    <t>EDITORA BRASILEIRINHO LTDA-EDITORA BRASILEIRINHO</t>
  </si>
  <si>
    <t>EDITORA ESTRELA CULTURAL LTDA-EDITORA ESTRELA CULTURAL</t>
  </si>
  <si>
    <t>EDITORA MEDIAÇÃO - DISTRIBUIDORA E LIVRARIA LTDA.-EDITORA MEDIAÇÃO</t>
  </si>
  <si>
    <t>EDITORIAL VINTE E CINCO LTDA-EDITORIAL25</t>
  </si>
  <si>
    <t>FARO EDITORIAL EIRELI-FARO EDITORIAL</t>
  </si>
  <si>
    <t>FRASE E EFEITO ESTUDIO EDITORIAL EIRELI-JUJUBA EDITORA</t>
  </si>
  <si>
    <t>MARIA BRANCA PRODUÇÃO CULTURAL E ARTÍSTICA LTDA-MARIA BRANCA</t>
  </si>
  <si>
    <t>OVERVIEW SERVICOS GRAFICOS LTDA-OVERVIEW</t>
  </si>
  <si>
    <t>PINGUE-PONGUE EDIÇÕES E BRINQUEDOS PEDAGÓGICOS LTDA-********</t>
  </si>
  <si>
    <t>PUBLIBOOK LIVROS E PAPÉIS LTDA.-L&amp;PM EDITORES</t>
  </si>
  <si>
    <t>SALAMANDRA EDITORIAL LTDA. -SALAMANDRA</t>
  </si>
  <si>
    <t>SOPA EDITORA E PRODUTORA LTDA -SOPA EDITORA</t>
  </si>
  <si>
    <t>WAGNER SACCHETTO GOMES JUNIOR - EPP-VW EDITORA GRÁFICA E COMERCIO</t>
  </si>
  <si>
    <t>ALCY PRODUÇÕES ARTISTICAS LTDA.-BIGODE</t>
  </si>
  <si>
    <t>AMARE EDITORA LTDA-AMARE</t>
  </si>
  <si>
    <t>BASE EDITORIAL-EDITORA BASE</t>
  </si>
  <si>
    <t>BOM DE LER EDITORA LTDA-NÃO HÁ</t>
  </si>
  <si>
    <t>BOTO ROSA EDITORA LTDA.-BOTO ROSA</t>
  </si>
  <si>
    <t>CHUVINHA EDITORA LTDA.-CHUVINHA</t>
  </si>
  <si>
    <t>D. PADILHA ESTÚDIO EDITORIAL-LITERATURA DE COLO EDITORA</t>
  </si>
  <si>
    <t>EDITORA BMH LTDA-EDITORA BMH</t>
  </si>
  <si>
    <t>EDITORA BRINCANTE LTDA-BRINCANTE</t>
  </si>
  <si>
    <t>EDITORA JOSÉ OLYMPIO LTDA-EDITORA JOSÉ OLYMPIO</t>
  </si>
  <si>
    <t>EDITORA PAPA GOIABA LTDA-PAPA GOIABA</t>
  </si>
  <si>
    <t>EDITORA RODOPIO LTDA-NÃO HÁ</t>
  </si>
  <si>
    <t>EDITORA VESTÍGIO LTDA.-VESTÍGIO</t>
  </si>
  <si>
    <t>EDITORA VIA LÁCTEA LTDA.-VIA LÁCTEA</t>
  </si>
  <si>
    <t>EDITORA VOLTA-E-MEIA LTDA-EDITORA VOLTA-E-MEIA</t>
  </si>
  <si>
    <t>ELEFANTE LETRADO SERVIÇOS EDUCACIONAIS LTDA-PLATAFORMA DE LEITURA ELEFANTE LETRADO</t>
  </si>
  <si>
    <t>FLUIDEZ EDITORA LTDA-FLUIDEZ EDITORA</t>
  </si>
  <si>
    <t>GALERIA SABER E LER COMERCIO DE LIVROS LTDA-GALERIA SABER E LER</t>
  </si>
  <si>
    <t>IGREJINHA EDITORA LTDA -IGREJINHA</t>
  </si>
  <si>
    <t>KRAUSS E FREITAS COMERCIO LTDA EPP-CASA CULTURAL</t>
  </si>
  <si>
    <t>LIVRARIA CORTEZ LTDA-LIVRARIA CORTEZ</t>
  </si>
  <si>
    <t>MAZZA EDIÇÕES LTDA-MAZZA EDIÇÕES</t>
  </si>
  <si>
    <t>NEWTEC EDITORES LTDA-NEWTEC</t>
  </si>
  <si>
    <t>ÔZÉ EDITORA E LIVRARIA LTDA-ÔZÉ EDITORA</t>
  </si>
  <si>
    <t>PIPOCA DOCE CASA EDITORIAL LTDA-PIPOCA DOCE</t>
  </si>
  <si>
    <t>QUASE OITO EDITORA E LIVRARIA LTDA.-QUASE OITO</t>
  </si>
  <si>
    <t>TACACÁ EDITORIAL LTDA-TACACA EDITORIAL</t>
  </si>
  <si>
    <t>UNIÃO BRASILEIRA DE EDUCAÇÃO E ASSISTÊNCIA-EDIPUCRS</t>
  </si>
  <si>
    <t>VERNE EDITORA LTDA-EDITORA VERNE</t>
  </si>
  <si>
    <t>AGIR EDITORA LTDA-NÃO HÁ</t>
  </si>
  <si>
    <t>BELA BRAVA CULTURAL LTDA.-EDITORA BELA BRAVA</t>
  </si>
  <si>
    <t>CLB PRODUÇÕES ARTÍSTICAS LTDA-CLB PRODUÇÕES</t>
  </si>
  <si>
    <t>DISTRIBUIDORA RECORD DE SERVIÇOS DE IMPRENSA S/A-DISTRIBUIDORA RECORD</t>
  </si>
  <si>
    <t>DOCES HISTÓRIAS LTDA - ME-DOCES HISTÓRIAS</t>
  </si>
  <si>
    <t>EDITORA CABO ORANGE LTDA-CABO ORANGE</t>
  </si>
  <si>
    <t>EDITORA FEJUKA LTDA-FEJUKA</t>
  </si>
  <si>
    <t>EDITORA LAFONTE LTDA-EDITORA LAFONTE</t>
  </si>
  <si>
    <t>EDITORA PAPAGAIO LTDA-PAPAGAIO</t>
  </si>
  <si>
    <t>EDITORA PRAXIS LTDA-EDITORA PRAXIS</t>
  </si>
  <si>
    <t>EDITORA QUATTRO LTDA-EDITORA QUATTRO</t>
  </si>
  <si>
    <t>EDITORA TERRA BRASILIS LTDA-NÃO HÁ</t>
  </si>
  <si>
    <t>EDITORA WMF MARTINS FONTES LTDA-EDITORA WMF MARTINS FONTES</t>
  </si>
  <si>
    <t>EDITORA ZIG-ZAG LTDA-ZIG-ZAG</t>
  </si>
  <si>
    <t>ELEMENTAR PUBLICAÇÕES E EDITORA LTDA-ELEMENTAR PUBLICAÇÕES</t>
  </si>
  <si>
    <t>FBF CULTURAL LTDA-EDITORA EVOLUIR</t>
  </si>
  <si>
    <t>GERAÇÃO EDITORIAL LTDA-GERAÇÃO EDITORIAL</t>
  </si>
  <si>
    <t>LIVRARIA LA FONTAINE LTDA-LA FONTAINE</t>
  </si>
  <si>
    <t>QUINTETO EDITORIAL LTDA.-QUINTETO</t>
  </si>
  <si>
    <t>TERRA SUL EDITORA LTDA-TERRA SUL EDITORA</t>
  </si>
  <si>
    <t>EDITORA ONCA-PINTADA LTDA-NÃO HÁ</t>
  </si>
  <si>
    <t>ABACATEIRO EDIÇÕES LTDA-A SEMENTE</t>
  </si>
  <si>
    <t>AYLLON EDITORA LTDA-AYLLON</t>
  </si>
  <si>
    <t>CAIXOTE EDITORA, COMÉRCIO DE LIVROS E DES. DE SOFT. EIRELI-EDITORA CAIXOTE</t>
  </si>
  <si>
    <t>COMBOIO DE CORDA EDITORA LTDA-NÃO HÁ</t>
  </si>
  <si>
    <t>EDIOURO PUBLICACOES DE LAZER E CULTURA LTDA-NÃO HÁ</t>
  </si>
  <si>
    <t>EDITORA CANGURU LTDA-EDITORA CANGURU</t>
  </si>
  <si>
    <t>EDITORA FLORESCENDO LTDA-FLORESCENDO</t>
  </si>
  <si>
    <t>EDITORA NEMO LTDA.-NEMO</t>
  </si>
  <si>
    <t>EDITORA PASSARINHO LTDA-EDITORA PASSARINHO</t>
  </si>
  <si>
    <t>EDITORA PULO DO GATO LTDA-EDITORA PULO DO GATO</t>
  </si>
  <si>
    <t>EDITORA TUCUPI LTDA-TUCUPI</t>
  </si>
  <si>
    <t>EDITORA WISDOM LTDA -EDITORA WISDOM</t>
  </si>
  <si>
    <t>GARCIA E GARCIA PRODUCOES LTDA-EDITORA NAVEGARE</t>
  </si>
  <si>
    <t>GILMAR CASSOL EDITORA LTDA-LIVRARIA E EDITORA CASSOL</t>
  </si>
  <si>
    <t>IMPERIAL NOVO MILÊNIO GRÁFICA E EDITORA LTDA-IMPERIAL NOVO MILÊNIO</t>
  </si>
  <si>
    <t>PALLAS EDITORA E DISTRIBUIDORA LTDA.-PALLAS EDITORA</t>
  </si>
  <si>
    <t>PRIME EDITORIAL LTDA-PRIME</t>
  </si>
  <si>
    <t>RAFAEL ILELIS DE B. SILVA EDITORIAL-OSS EDITORIAL</t>
  </si>
  <si>
    <t>SOWILO EDITORA E DISTRIBUIDORA DE LIVROS LTDA.-SOWILO</t>
  </si>
  <si>
    <t>VERSOS COMERCIO E EDITORA LTDA-EDITORA VERSOS</t>
  </si>
  <si>
    <t>EDITORA ANA JULIA LTDA-ANA JULIA</t>
  </si>
  <si>
    <t>EDITORA BRASIL EQUATORIAL LTDA-EDITORA BRASIL EQUATORIAL</t>
  </si>
  <si>
    <t>ESTANTE DE LIVROS EDITORA LTDA-NÃO HÁ</t>
  </si>
  <si>
    <t>FORMATA - EDITORA EDUCACIONAL-FORMATA - EDUCAÇÃO E TECNOLOGIA</t>
  </si>
  <si>
    <t>ROTA IMAGINÁRIA COMUNICAÇÃO E COMÉRCIO DE LIVROS LTDA. -ROTA IMAGINÁRIA</t>
  </si>
  <si>
    <t>CIRANDA CULTURAL EDITORA E DISTRIBUIDORA LTDA-********</t>
  </si>
  <si>
    <t>EDITORA JULIETA LTDA-JULIETA</t>
  </si>
  <si>
    <t>EDITORA FABULOSAS LTDA-FABULOSAS</t>
  </si>
  <si>
    <t>PETRA EDITORIAL LTDA -NÃO HÁ</t>
  </si>
  <si>
    <t>EDITORA VERMELHO MARINHO USINA DE LETRAS LTDA.-VERMELHO MARINHO</t>
  </si>
  <si>
    <t>ESCALA EMPRESA DE COMUNICAÇÃO INTEGRADA LTDA -ESCALA INTEGRADA</t>
  </si>
  <si>
    <t>ANDRE ALEXANDRE VASCONCELOS EPP-AMOLER</t>
  </si>
  <si>
    <t>EDITORA CAMPOS LTDA ME-VENETA</t>
  </si>
  <si>
    <t>EMEDIATO EDITORES LTDA-JARDIM DOS LIVROS</t>
  </si>
  <si>
    <t>GARAMILINCA PROJETOS PARA A INFÂNCIA LTDA. ME-GARAMILINCA</t>
  </si>
  <si>
    <t>ACORDE PRODUÇÕES MUSICAIS LTDA-ACORDE</t>
  </si>
  <si>
    <t>EMPREENDIMENTOS MEDEIROS LTDA-D'NIRO</t>
  </si>
  <si>
    <t>ESTUDIO ÁGUA EDITORA LTDA-ESTUDIO ÁGUA EDITORA</t>
  </si>
  <si>
    <t>GC EDITORA EIRELI-GUAXINIM EDITORA</t>
  </si>
  <si>
    <t>AMOK SERVIÇOS LTDA ME-AMOK</t>
  </si>
  <si>
    <t>CONFETE EDITORIAL LTDA-CONFETE</t>
  </si>
  <si>
    <t>VITRINE EDITORA LTDA-NÃO HÁ</t>
  </si>
  <si>
    <t>PADARIA DE TEXTOS LTDA.-PADARIA DE LIVROS</t>
  </si>
  <si>
    <t>PUBLICAÇÕES MERCURYO NOVO TEMPO LTDA-MERCURYO JOVEM</t>
  </si>
  <si>
    <t>CONRAD EDITORA DO BRASIL-CONRAD</t>
  </si>
  <si>
    <t>EDITORA SALTO GRANDE LTDA-EDIÇÕES RONIN LTDA</t>
  </si>
  <si>
    <t>GIRASSOL BRASIL EDIÇÕES LTDA.-GIRASSOL</t>
  </si>
  <si>
    <t>M. J. KARAS EDIÇÕES EIRELI-OLHO DE VIDRO</t>
  </si>
  <si>
    <t>TM CASCABULHO EDITORA ME-THIAGO MACHADO CASCABULHO</t>
  </si>
  <si>
    <t>ZAPT EDITORA LTDA.-ZAPT EDITORA</t>
  </si>
  <si>
    <t>CAROLINA DE SOUZA LEAL 12247945759-CURVA EDITORIAL</t>
  </si>
  <si>
    <t>EDITORA FOCA NO LIVRO LTDA-EDITORA FOCA NO LIVRO</t>
  </si>
  <si>
    <t>EDITORA FTD S.A.-FTD EDUCAÇÃO</t>
  </si>
  <si>
    <t>EDITORA OCTAVO LTDA.-OCTAVO</t>
  </si>
  <si>
    <t>FALARE EDITORA TECNOLOGIA DA COMUNICAÇÃO COMÉRCIO DE SERVIÇOS E PRODUTOS LTDA.-FALARE EDITORA E TECNOLOGIA DA COMUNICAÇÃO</t>
  </si>
  <si>
    <t>TODAVIA EDITORA S.A.-TODAVIA</t>
  </si>
  <si>
    <t>EDITORA IMMANUEL KANT LTDA-KANT EDITORIAL</t>
  </si>
  <si>
    <t>FB PUBLICAÇÕES EIRELI -FB PUBLICAÇÕES</t>
  </si>
  <si>
    <t>JOSE LUIZ PRADO 75633078772-ARTESCRITA</t>
  </si>
  <si>
    <t>MORALES PERLINGEIRO EDITORA E ASSESSORIA LTDA-MEMÓRIA VISUAL</t>
  </si>
  <si>
    <t>BOX EDITORA LTDA -MAR AZUL</t>
  </si>
  <si>
    <t>DANIELA ANTONIETA LUZ MACHADO 95725440044-PHYSALIS EDITORA</t>
  </si>
  <si>
    <t>GULLIVER EDITORA LTDA-GULLIVER EDITORA</t>
  </si>
  <si>
    <t>MARIA EMILIA PALHA FARIA 06723475631-FRANCESINHA EDITORA</t>
  </si>
  <si>
    <t>NOVO SÉCULO EDITORA COMPANY LTDA-GRUPO NOVO SÉCULO</t>
  </si>
  <si>
    <t>ATELIÊ DA ESCRITA EDITORA LTDA-ATELIÊ DA ESCRITA</t>
  </si>
  <si>
    <t>EDITORA DIMENSÃO LTDA-DIMENSÃO</t>
  </si>
  <si>
    <t>EDITORA ORIGINAL LTDA.-PANDA BOOKS</t>
  </si>
  <si>
    <t>EDITORA SEI LTDA-EDITORA SEI</t>
  </si>
  <si>
    <t>ELEONORA RODRIGUES DE MEDEIROS ME-ESTUDIO NINHO LITERARIO</t>
  </si>
  <si>
    <t>TRAMA EDITORA LTDA-NÃO HÁ</t>
  </si>
  <si>
    <t>RODRIGUES &amp; RODRIGUES EDITORA LTDA. EPP-QUATRO CANTOS</t>
  </si>
  <si>
    <t>FÁBULAS DE ESOPO - LIVRO DO ESTUDANTE</t>
  </si>
  <si>
    <t>ALÔ</t>
  </si>
  <si>
    <t>RAUL, O LOBINHO</t>
  </si>
  <si>
    <t>O CONVIDADOR DE PIRILAMPOS - LIVRO DO ESTUDANTE</t>
  </si>
  <si>
    <t xml:space="preserve">JUNTOS E MISTURADOS - UMA HISTÓRIA DE GALINHAS - LIVRO DO ESTUDANTE IMPRESSO </t>
  </si>
  <si>
    <t>VOCÊ É IMPORTANTE - LIVRO DO ESTUDANTE IMPRESSO</t>
  </si>
  <si>
    <t>VAMOS TOCAR O ABC</t>
  </si>
  <si>
    <t>HORA DA ESCOLA - LIVRO DO ESTUDANTE IMPRESSO</t>
  </si>
  <si>
    <t>NAMARAMA (LIVRO DO ESTUDANTE)</t>
  </si>
  <si>
    <t xml:space="preserve">HEIDI </t>
  </si>
  <si>
    <t>QUANDO UMA HISTÓRIA NÃO TEM COMEÇO NEM FIM...</t>
  </si>
  <si>
    <t>LÁ VAI JOÃO - LIVRO DO ESTUDANTE</t>
  </si>
  <si>
    <t>A MENINA QUE ABRAÇA O VENTO : A HISTÓRIA DE UMA REFUGIADA CONGOLESA</t>
  </si>
  <si>
    <t>- FOI! - NÃO FOI!</t>
  </si>
  <si>
    <t xml:space="preserve">AMORES DE ARTISTAS </t>
  </si>
  <si>
    <t>CABEÇA, PRA QUE TE QUERO! - LIVRO DO ESTUDANTE</t>
  </si>
  <si>
    <t>A NUVEM (LIVRO DO ESTUDANTE)</t>
  </si>
  <si>
    <t xml:space="preserve">O REI TRISTÊS E A ORQUESTRA MONSTRÊS </t>
  </si>
  <si>
    <t>BICHOS DAQUI, E LÁ E DE ALÉM</t>
  </si>
  <si>
    <t xml:space="preserve"> MENINO GIGANTE</t>
  </si>
  <si>
    <t>FOLHINHAS (LIVRO DO ESTUDANTE)</t>
  </si>
  <si>
    <t xml:space="preserve">A PROFESSORA DA FLORESTA E A GRANDE SERPENTE </t>
  </si>
  <si>
    <t>COMO AS MAMÃE AMAM SEUS BEBÊS</t>
  </si>
  <si>
    <t>AS AVENTURAS DE RALF E CARLOS NO MUNDO DA LUA (LIVRO DO ESTUDANTE)</t>
  </si>
  <si>
    <t>LOURENÇO, UM BICHO QUASE PAPÃO (LIVRO DO ESTUDANTE)</t>
  </si>
  <si>
    <t>LIVRO IMPRESSO DO ESTUDANTE</t>
  </si>
  <si>
    <t xml:space="preserve">AS MIL E UMA HISTÓRIAS DE MANUELA </t>
  </si>
  <si>
    <t xml:space="preserve">MINHAS PRIMEIRAS HISTÓRIAS BÍBLICAS </t>
  </si>
  <si>
    <t>RATINHA DA LIVRARIA - LIVRO DO ESTUDANTE</t>
  </si>
  <si>
    <t xml:space="preserve">FRANCISCO BRAÇOS COMPRIDOS </t>
  </si>
  <si>
    <t xml:space="preserve"> A BALEIA QUE CARREGOU O OCEANO</t>
  </si>
  <si>
    <t>ME LEVA COM VOCÊ?: LIVRO DO ESTUDANTE</t>
  </si>
  <si>
    <t>ELVIS, O CÃO COM ASAS LIVRO DO ALUNO</t>
  </si>
  <si>
    <t xml:space="preserve"> A CASA DA AVÓ DAS PALAVRAS</t>
  </si>
  <si>
    <t>BUMBA MEU BOI - LIVRO DO ESTUDANTE IMPRESSO</t>
  </si>
  <si>
    <t xml:space="preserve"> CURUPIRA E A FLORESTA DAS LETRAS</t>
  </si>
  <si>
    <t>CHÁ DE SUMIÇO E OUTROS POEMAS ASSOMBRADOS</t>
  </si>
  <si>
    <t>GREVE - LIVRO DO ESTUDANTE IMPRESSO</t>
  </si>
  <si>
    <t xml:space="preserve"> ABECEDÁRIO (POÉTICO) DAS FRUTAS</t>
  </si>
  <si>
    <t xml:space="preserve"> O DONO DA LUA</t>
  </si>
  <si>
    <t xml:space="preserve"> AQUI, BEM PERTO</t>
  </si>
  <si>
    <t>BICHOS - LIVRO DO ESTUDANTE</t>
  </si>
  <si>
    <t>ANDREIA BALEIA - LIVRO DO ESTUDANTE IMPRESSO</t>
  </si>
  <si>
    <t>FALANDO TUPI - LIVRO DO ESTUDANTE</t>
  </si>
  <si>
    <t>FLORIS E BRANCAFLOR, A JORNADA DO AMOR - LIVRO DO ESTUDANTE</t>
  </si>
  <si>
    <t>DORA A RAÇA DO AMOR</t>
  </si>
  <si>
    <t>ABRAÇO DE PELÚCIA E MAIS POEMAS</t>
  </si>
  <si>
    <t>AMAL: E A VIAGEM MAIS IMPORTANTE DE SUA VIDA</t>
  </si>
  <si>
    <t>A ROUPA NOVA DO REI - LIVRO DO ESTUDANTE</t>
  </si>
  <si>
    <t>O MÁGICO DE OZ </t>
  </si>
  <si>
    <t>OCEANOS: LIVRO DO ESTUDANTE</t>
  </si>
  <si>
    <t>UMA HISTÓRIA DE ANTES DE NÓS - LIVRO DO ESTUDANTE</t>
  </si>
  <si>
    <t>ESPINAFRA - LIVRO DO ESTUDANTE</t>
  </si>
  <si>
    <t>A HISTÓRIA DE DESPEREAUX - LIVRO DO ESTUDANTE IMPRESSO</t>
  </si>
  <si>
    <t>O COMPADRE DA MORTE - LIVRO DO ESTUDANTE</t>
  </si>
  <si>
    <t xml:space="preserve">OS GATOS DETETIVES E O SUMIÇO DO CANARINHO </t>
  </si>
  <si>
    <t xml:space="preserve"> A CASA PRETA</t>
  </si>
  <si>
    <t xml:space="preserve">O ROUXINOL E OUTRAS HISTÓRIAS </t>
  </si>
  <si>
    <t xml:space="preserve">O PULO DO GATO </t>
  </si>
  <si>
    <t>O INTERRUPTOR DEBAIXO DA ESCADA - LIVRO DO ESTUDANTE IMPRESSO</t>
  </si>
  <si>
    <t>O MEDO QUE A GENTE TEM (LIVRO DO ESTUDANTE)</t>
  </si>
  <si>
    <t xml:space="preserve"> BISA BIA, BISA BEL</t>
  </si>
  <si>
    <t>SENHORA INCERTEZA - LIVRO DO ESTUDANTE</t>
  </si>
  <si>
    <t>BICHIONÁRIO LIVRO DO ALUNO</t>
  </si>
  <si>
    <t>A BELA E A FERA E OUTROS CONTOS DE FADAS DE MADAME LEPRINCE DE BEAUMONT</t>
  </si>
  <si>
    <t>A BRUXA DO BATOM BORRADO - LIVRO DO ESTUDANTE</t>
  </si>
  <si>
    <t xml:space="preserve">AS AVENTURAS DE MU: UM EXTRATERRESTRE NA ESCOLA! </t>
  </si>
  <si>
    <t xml:space="preserve">O AZULÃO E O SOL </t>
  </si>
  <si>
    <t>Ô, SEU MENINO! (LIVRO DO ESTUDANTE)</t>
  </si>
  <si>
    <t>O CAVALEIRO DO SONHO - AS AVENTURAS E DESVENTURAS DE DOM QUIXOTE DE LA MANCHA</t>
  </si>
  <si>
    <t xml:space="preserve"> ÁGUA, GAIA, FOGO E AR</t>
  </si>
  <si>
    <t>BHADRA - O PRÍNCIPE E O CONSELHEIRO (LIVRO DO ESTUDANTE)</t>
  </si>
  <si>
    <t>O SONHO DA BUYA-WASÚ (LIVRO DO ESTUDANTE)</t>
  </si>
  <si>
    <t>O PASTOR A BORDADEIRA: UMA LENDA CHINESA</t>
  </si>
  <si>
    <t>SOU DE VERDADE - LIVRO DO ESTUDANTE</t>
  </si>
  <si>
    <t xml:space="preserve">20.000 LÉGUAS SUBMARINAS EM QUADRINHOS </t>
  </si>
  <si>
    <t>SEM-NO E JORGE - LIVRO DO ESTUDANTE</t>
  </si>
  <si>
    <t>LIVRO LITERÁRIO  DO ESTUDANTE - IMPRESSO</t>
  </si>
  <si>
    <t>CRIANÇAS - LIVRO DO ESTUDANTE</t>
  </si>
  <si>
    <t>PARA ONDE ME LEVAM OS MEUS PÉS? - LIVRO DO ESTUDANTE</t>
  </si>
  <si>
    <t>LIVRO DO ESTUDANTE IMPRESSO</t>
  </si>
  <si>
    <t>MICKEY E DONALD EM: 20.000 LÉGUAS SUBMARINAS - LIVRO DO ESTUDANTE IMPRESSO</t>
  </si>
  <si>
    <t xml:space="preserve"> OS MEDOS SECRETOS DO TIJOLO OCO</t>
  </si>
  <si>
    <t>O RECICLADOR DE PALAVRAS - LIVRO DO ESTUDANTE</t>
  </si>
  <si>
    <t>ODE A UMA ESTRELA - LIVRO DO ESTUDANTE IMPRESSO</t>
  </si>
  <si>
    <t>QUANDO AS CASAS VOLTARAM FLUTUANDO - LIVRO DO ESTUDANTE IMPRESSO</t>
  </si>
  <si>
    <t xml:space="preserve">O REI DAS PALAVRAS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</si>
</sst>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h:mm;@"/>
    <numFmt numFmtId="165" formatCode="_-* #,##0_-;\-* #,##0_-;_-* &quot;-&quot;??_-;_-@_-"/>
    <numFmt numFmtId="166" formatCode="&quot;R$&quot;\ #,##0.00"/>
    <numFmt numFmtId="167" formatCode="0.000"/>
    <numFmt numFmtId="168" formatCode="_-* #,##0.00000_-;\-* #,##0.000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0" borderId="0" xfId="1" applyAlignment="1">
      <alignment horizontal="center"/>
    </xf>
    <xf numFmtId="0" fontId="2" fillId="0" borderId="0" xfId="1"/>
    <xf numFmtId="0" fontId="1" fillId="0" borderId="0" xfId="1" applyFont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/>
    <xf numFmtId="0" fontId="2" fillId="0" borderId="1" xfId="1" applyBorder="1"/>
    <xf numFmtId="0" fontId="2" fillId="3" borderId="1" xfId="1" applyFill="1" applyBorder="1"/>
    <xf numFmtId="0" fontId="4" fillId="3" borderId="1" xfId="1" applyFont="1" applyFill="1" applyBorder="1" applyAlignment="1">
      <alignment horizontal="center"/>
    </xf>
    <xf numFmtId="165" fontId="0" fillId="0" borderId="1" xfId="2" applyNumberFormat="1" applyFont="1" applyBorder="1"/>
    <xf numFmtId="165" fontId="2" fillId="3" borderId="1" xfId="1" applyNumberFormat="1" applyFill="1" applyBorder="1"/>
    <xf numFmtId="44" fontId="0" fillId="0" borderId="1" xfId="3" applyFont="1" applyBorder="1"/>
    <xf numFmtId="0" fontId="2" fillId="4" borderId="1" xfId="1" applyFill="1" applyBorder="1"/>
    <xf numFmtId="0" fontId="4" fillId="4" borderId="1" xfId="1" applyFont="1" applyFill="1" applyBorder="1" applyAlignment="1">
      <alignment horizontal="center"/>
    </xf>
    <xf numFmtId="165" fontId="0" fillId="4" borderId="1" xfId="2" applyNumberFormat="1" applyFont="1" applyFill="1" applyBorder="1"/>
    <xf numFmtId="165" fontId="2" fillId="4" borderId="1" xfId="1" applyNumberFormat="1" applyFill="1" applyBorder="1"/>
    <xf numFmtId="44" fontId="0" fillId="4" borderId="1" xfId="3" applyFont="1" applyFill="1" applyBorder="1"/>
    <xf numFmtId="0" fontId="2" fillId="0" borderId="1" xfId="1" applyBorder="1" applyAlignment="1">
      <alignment horizontal="center"/>
    </xf>
    <xf numFmtId="0" fontId="2" fillId="3" borderId="1" xfId="1" applyFill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165" fontId="2" fillId="3" borderId="1" xfId="1" applyNumberFormat="1" applyFill="1" applyBorder="1" applyAlignment="1">
      <alignment horizontal="center"/>
    </xf>
    <xf numFmtId="165" fontId="0" fillId="3" borderId="1" xfId="2" applyNumberFormat="1" applyFont="1" applyFill="1" applyBorder="1"/>
    <xf numFmtId="44" fontId="0" fillId="3" borderId="1" xfId="3" applyFont="1" applyFill="1" applyBorder="1"/>
    <xf numFmtId="0" fontId="2" fillId="3" borderId="1" xfId="1" applyFill="1" applyBorder="1" applyAlignment="1">
      <alignment horizontal="left"/>
    </xf>
    <xf numFmtId="14" fontId="3" fillId="2" borderId="0" xfId="1" applyNumberFormat="1" applyFont="1" applyFill="1" applyBorder="1"/>
    <xf numFmtId="14" fontId="0" fillId="0" borderId="0" xfId="3" applyNumberFormat="1" applyFont="1" applyBorder="1"/>
    <xf numFmtId="14" fontId="2" fillId="0" borderId="0" xfId="1" applyNumberFormat="1"/>
    <xf numFmtId="166" fontId="0" fillId="0" borderId="0" xfId="0" applyNumberFormat="1"/>
    <xf numFmtId="0" fontId="5" fillId="0" borderId="0" xfId="4"/>
    <xf numFmtId="0" fontId="0" fillId="5" borderId="0" xfId="0" applyFill="1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2" fillId="0" borderId="1" xfId="1" quotePrefix="1" applyBorder="1"/>
    <xf numFmtId="49" fontId="2" fillId="0" borderId="1" xfId="1" applyNumberFormat="1" applyBorder="1"/>
    <xf numFmtId="0" fontId="2" fillId="0" borderId="0" xfId="1" applyAlignment="1"/>
    <xf numFmtId="49" fontId="0" fillId="0" borderId="0" xfId="0" quotePrefix="1" applyNumberFormat="1"/>
    <xf numFmtId="0" fontId="0" fillId="0" borderId="0" xfId="0" applyAlignment="1">
      <alignment horizontal="center" wrapText="1"/>
    </xf>
    <xf numFmtId="167" fontId="0" fillId="0" borderId="0" xfId="0" applyNumberFormat="1"/>
    <xf numFmtId="168" fontId="2" fillId="3" borderId="1" xfId="1" applyNumberFormat="1" applyFill="1" applyBorder="1"/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" fontId="0" fillId="0" borderId="0" xfId="0" applyNumberFormat="1"/>
    <xf numFmtId="0" fontId="0" fillId="6" borderId="0" xfId="0" applyFill="1"/>
    <xf numFmtId="2" fontId="0" fillId="0" borderId="0" xfId="0" applyNumberFormat="1"/>
  </cellXfs>
  <cellStyles count="5">
    <cellStyle name="Hiperlink" xfId="4" builtinId="8"/>
    <cellStyle name="Moeda 2" xfId="3"/>
    <cellStyle name="Normal" xfId="0" builtinId="0"/>
    <cellStyle name="Normal 2" xfId="1"/>
    <cellStyle name="Vírgula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808"/>
  <sheetViews>
    <sheetView workbookViewId="0">
      <selection activeCell="G350" sqref="G350"/>
    </sheetView>
  </sheetViews>
  <sheetFormatPr defaultRowHeight="15" x14ac:dyDescent="0.25"/>
  <cols>
    <col min="1" max="1" width="51" customWidth="1"/>
    <col min="2" max="2" width="38.140625" customWidth="1"/>
    <col min="3" max="3" width="8.5703125" bestFit="1" customWidth="1"/>
    <col min="4" max="4" width="10.140625" bestFit="1" customWidth="1"/>
    <col min="5" max="5" width="11.42578125" bestFit="1" customWidth="1"/>
    <col min="6" max="6" width="23.7109375" bestFit="1" customWidth="1"/>
    <col min="7" max="7" width="19.42578125" bestFit="1" customWidth="1"/>
    <col min="8" max="8" width="52" bestFit="1" customWidth="1"/>
    <col min="9" max="9" width="51.42578125" bestFit="1" customWidth="1"/>
    <col min="10" max="10" width="62.42578125" bestFit="1" customWidth="1"/>
    <col min="11" max="11" width="20" bestFit="1" customWidth="1"/>
    <col min="12" max="12" width="35.5703125" bestFit="1" customWidth="1"/>
    <col min="13" max="13" width="37.7109375" bestFit="1" customWidth="1"/>
    <col min="14" max="14" width="19.140625" bestFit="1" customWidth="1"/>
    <col min="15" max="15" width="9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 t="s">
        <v>15</v>
      </c>
      <c r="B2" t="s">
        <v>16</v>
      </c>
      <c r="C2" t="e">
        <v>#NAME?</v>
      </c>
      <c r="D2" t="e">
        <v>#NAME?</v>
      </c>
      <c r="E2">
        <v>34858</v>
      </c>
      <c r="F2">
        <v>5</v>
      </c>
      <c r="G2">
        <v>4078</v>
      </c>
      <c r="H2" s="1">
        <v>46042</v>
      </c>
      <c r="I2" s="1">
        <v>46045</v>
      </c>
      <c r="J2" s="1">
        <v>46045</v>
      </c>
      <c r="K2" s="2">
        <v>0.375</v>
      </c>
      <c r="O2" t="s">
        <v>17</v>
      </c>
    </row>
    <row r="3" spans="1:15" hidden="1" x14ac:dyDescent="0.25">
      <c r="A3" t="s">
        <v>18</v>
      </c>
      <c r="B3" t="s">
        <v>19</v>
      </c>
      <c r="C3" t="e">
        <v>#NAME?</v>
      </c>
      <c r="D3" t="e">
        <v>#NAME?</v>
      </c>
      <c r="E3">
        <v>30241</v>
      </c>
      <c r="F3">
        <v>7</v>
      </c>
      <c r="G3">
        <v>5171</v>
      </c>
      <c r="H3" s="1">
        <v>46042</v>
      </c>
      <c r="I3" s="1">
        <v>46045</v>
      </c>
      <c r="J3" s="1">
        <v>46045</v>
      </c>
      <c r="K3" s="2">
        <v>0.375</v>
      </c>
      <c r="L3" t="s">
        <v>20</v>
      </c>
      <c r="O3" t="s">
        <v>17</v>
      </c>
    </row>
    <row r="4" spans="1:15" hidden="1" x14ac:dyDescent="0.25">
      <c r="A4" t="s">
        <v>15</v>
      </c>
      <c r="B4" t="s">
        <v>21</v>
      </c>
      <c r="C4" t="e">
        <v>#NAME?</v>
      </c>
      <c r="D4" t="e">
        <v>#NAME?</v>
      </c>
      <c r="E4">
        <v>32777</v>
      </c>
      <c r="F4">
        <v>6</v>
      </c>
      <c r="G4">
        <v>3835</v>
      </c>
      <c r="H4" s="1">
        <v>46042</v>
      </c>
      <c r="I4" s="1">
        <v>46045</v>
      </c>
      <c r="J4" s="1">
        <v>46045</v>
      </c>
      <c r="K4" s="2">
        <v>0.375</v>
      </c>
      <c r="L4" t="s">
        <v>20</v>
      </c>
      <c r="O4" t="s">
        <v>17</v>
      </c>
    </row>
    <row r="5" spans="1:15" hidden="1" x14ac:dyDescent="0.25">
      <c r="A5" t="s">
        <v>18</v>
      </c>
      <c r="B5" t="s">
        <v>22</v>
      </c>
      <c r="C5" t="e">
        <v>#NAME?</v>
      </c>
      <c r="D5" t="e">
        <v>#NAME?</v>
      </c>
      <c r="E5">
        <v>46437</v>
      </c>
      <c r="F5">
        <v>6</v>
      </c>
      <c r="G5">
        <v>5433</v>
      </c>
      <c r="H5" s="1">
        <v>46042</v>
      </c>
      <c r="I5" s="1">
        <v>46045</v>
      </c>
      <c r="J5" s="1">
        <v>46045</v>
      </c>
      <c r="K5" s="2">
        <v>0.375</v>
      </c>
      <c r="O5" t="s">
        <v>17</v>
      </c>
    </row>
    <row r="6" spans="1:15" hidden="1" x14ac:dyDescent="0.25">
      <c r="A6" t="s">
        <v>23</v>
      </c>
      <c r="B6" t="s">
        <v>24</v>
      </c>
      <c r="C6" t="e">
        <v>#NAME?</v>
      </c>
      <c r="D6" t="e">
        <v>#NAME?</v>
      </c>
      <c r="E6">
        <v>26425</v>
      </c>
      <c r="F6">
        <v>4</v>
      </c>
      <c r="G6">
        <v>3092</v>
      </c>
      <c r="H6" s="1">
        <v>46042</v>
      </c>
      <c r="I6" s="1">
        <v>46048</v>
      </c>
      <c r="J6" s="1">
        <v>46048</v>
      </c>
      <c r="K6" s="2">
        <v>0.375</v>
      </c>
      <c r="L6" t="s">
        <v>20</v>
      </c>
      <c r="O6" t="s">
        <v>17</v>
      </c>
    </row>
    <row r="7" spans="1:15" hidden="1" x14ac:dyDescent="0.25">
      <c r="A7" t="s">
        <v>23</v>
      </c>
      <c r="B7" t="s">
        <v>25</v>
      </c>
      <c r="C7" t="e">
        <v>#NAME?</v>
      </c>
      <c r="D7" t="e">
        <v>#NAME?</v>
      </c>
      <c r="E7">
        <v>33101</v>
      </c>
      <c r="F7">
        <v>6</v>
      </c>
      <c r="G7">
        <v>4469</v>
      </c>
      <c r="H7" s="1">
        <v>46042</v>
      </c>
      <c r="I7" s="1">
        <v>46048</v>
      </c>
      <c r="J7" s="1">
        <v>46048</v>
      </c>
      <c r="K7" s="2">
        <v>0.375</v>
      </c>
      <c r="L7" t="s">
        <v>20</v>
      </c>
      <c r="O7" t="s">
        <v>17</v>
      </c>
    </row>
    <row r="8" spans="1:15" hidden="1" x14ac:dyDescent="0.25">
      <c r="A8" t="s">
        <v>26</v>
      </c>
      <c r="B8" t="s">
        <v>27</v>
      </c>
      <c r="C8" t="e">
        <v>#NAME?</v>
      </c>
      <c r="D8" t="e">
        <v>#NAME?</v>
      </c>
      <c r="E8">
        <v>63912</v>
      </c>
      <c r="F8">
        <v>8</v>
      </c>
      <c r="G8">
        <v>9779</v>
      </c>
      <c r="H8" s="1">
        <v>46042</v>
      </c>
      <c r="I8" s="1">
        <v>46048</v>
      </c>
      <c r="J8" s="1">
        <v>46048</v>
      </c>
      <c r="K8" s="2">
        <v>0.39583333333333331</v>
      </c>
      <c r="L8" t="s">
        <v>20</v>
      </c>
      <c r="O8" t="s">
        <v>17</v>
      </c>
    </row>
    <row r="9" spans="1:15" hidden="1" x14ac:dyDescent="0.25">
      <c r="A9" t="s">
        <v>26</v>
      </c>
      <c r="B9" t="s">
        <v>28</v>
      </c>
      <c r="C9" t="e">
        <v>#NAME?</v>
      </c>
      <c r="D9" t="e">
        <v>#NAME?</v>
      </c>
      <c r="E9">
        <v>103512</v>
      </c>
      <c r="F9">
        <v>10</v>
      </c>
      <c r="G9">
        <v>6832</v>
      </c>
      <c r="H9" s="1">
        <v>46042</v>
      </c>
      <c r="I9" s="1">
        <v>46048</v>
      </c>
      <c r="J9" s="1">
        <v>46048</v>
      </c>
      <c r="K9" s="2">
        <v>0.39583333333333331</v>
      </c>
      <c r="L9" t="s">
        <v>20</v>
      </c>
      <c r="O9" t="s">
        <v>17</v>
      </c>
    </row>
    <row r="10" spans="1:15" hidden="1" x14ac:dyDescent="0.25">
      <c r="A10" t="s">
        <v>29</v>
      </c>
      <c r="B10" t="s">
        <v>30</v>
      </c>
      <c r="C10" t="e">
        <v>#NAME?</v>
      </c>
      <c r="D10" t="e">
        <v>#NAME?</v>
      </c>
      <c r="E10">
        <v>38892</v>
      </c>
      <c r="F10">
        <v>3</v>
      </c>
      <c r="G10">
        <v>3734</v>
      </c>
      <c r="H10" s="1">
        <v>46045</v>
      </c>
      <c r="I10" s="1">
        <v>46048</v>
      </c>
      <c r="J10" s="1">
        <v>46048</v>
      </c>
      <c r="K10" s="2">
        <v>0.41666666666666669</v>
      </c>
      <c r="L10" t="s">
        <v>31</v>
      </c>
      <c r="O10" t="s">
        <v>17</v>
      </c>
    </row>
    <row r="11" spans="1:15" hidden="1" x14ac:dyDescent="0.25">
      <c r="A11" t="s">
        <v>29</v>
      </c>
      <c r="B11" t="s">
        <v>32</v>
      </c>
      <c r="C11" t="e">
        <v>#NAME?</v>
      </c>
      <c r="D11" t="e">
        <v>#NAME?</v>
      </c>
      <c r="E11">
        <v>23722</v>
      </c>
      <c r="F11">
        <v>5</v>
      </c>
      <c r="G11">
        <v>3867</v>
      </c>
      <c r="H11" s="1">
        <v>46045</v>
      </c>
      <c r="I11" s="1">
        <v>46048</v>
      </c>
      <c r="J11" s="1">
        <v>46048</v>
      </c>
      <c r="K11" s="2">
        <v>0.41666666666666669</v>
      </c>
      <c r="L11" t="s">
        <v>20</v>
      </c>
      <c r="O11" t="s">
        <v>17</v>
      </c>
    </row>
    <row r="12" spans="1:15" hidden="1" x14ac:dyDescent="0.25">
      <c r="A12" t="s">
        <v>33</v>
      </c>
      <c r="B12" t="s">
        <v>34</v>
      </c>
      <c r="C12" t="e">
        <v>#NAME?</v>
      </c>
      <c r="D12" t="e">
        <v>#NAME?</v>
      </c>
      <c r="E12">
        <v>63210</v>
      </c>
      <c r="F12">
        <v>7</v>
      </c>
      <c r="G12">
        <v>6068</v>
      </c>
      <c r="H12" s="1">
        <v>46045</v>
      </c>
      <c r="I12" s="1">
        <v>46048</v>
      </c>
      <c r="J12" s="1">
        <v>46048</v>
      </c>
      <c r="K12" s="2">
        <v>0.41666666666666669</v>
      </c>
      <c r="L12" t="s">
        <v>20</v>
      </c>
      <c r="O12" t="s">
        <v>17</v>
      </c>
    </row>
    <row r="13" spans="1:15" hidden="1" x14ac:dyDescent="0.25">
      <c r="A13" t="s">
        <v>35</v>
      </c>
      <c r="B13" t="s">
        <v>36</v>
      </c>
      <c r="C13" t="e">
        <v>#NAME?</v>
      </c>
      <c r="D13" t="e">
        <v>#NAME?</v>
      </c>
      <c r="E13">
        <v>27515</v>
      </c>
      <c r="F13">
        <v>3</v>
      </c>
      <c r="G13">
        <v>2174</v>
      </c>
      <c r="H13" s="1">
        <v>46045</v>
      </c>
      <c r="I13" s="1">
        <v>46048</v>
      </c>
      <c r="J13" s="1">
        <v>46048</v>
      </c>
      <c r="K13" s="2">
        <v>0.41666666666666669</v>
      </c>
      <c r="L13" t="s">
        <v>31</v>
      </c>
      <c r="O13" t="s">
        <v>17</v>
      </c>
    </row>
    <row r="14" spans="1:15" hidden="1" x14ac:dyDescent="0.25">
      <c r="A14" t="s">
        <v>35</v>
      </c>
      <c r="B14" t="s">
        <v>37</v>
      </c>
      <c r="C14" t="e">
        <v>#NAME?</v>
      </c>
      <c r="D14" t="e">
        <v>#NAME?</v>
      </c>
      <c r="E14">
        <v>38929</v>
      </c>
      <c r="F14">
        <v>4</v>
      </c>
      <c r="G14">
        <v>3075</v>
      </c>
      <c r="H14" s="1">
        <v>46045</v>
      </c>
      <c r="I14" s="1">
        <v>46048</v>
      </c>
      <c r="J14" s="1">
        <v>46048</v>
      </c>
      <c r="K14" s="2">
        <v>0.41666666666666669</v>
      </c>
      <c r="L14" t="s">
        <v>20</v>
      </c>
      <c r="M14" t="s">
        <v>38</v>
      </c>
      <c r="O14" t="s">
        <v>17</v>
      </c>
    </row>
    <row r="15" spans="1:15" hidden="1" x14ac:dyDescent="0.25">
      <c r="A15" t="s">
        <v>39</v>
      </c>
      <c r="B15" t="s">
        <v>40</v>
      </c>
      <c r="C15" t="e">
        <v>#NAME?</v>
      </c>
      <c r="D15" t="e">
        <v>#NAME?</v>
      </c>
      <c r="E15">
        <v>38581</v>
      </c>
      <c r="F15">
        <v>4</v>
      </c>
      <c r="G15">
        <v>3704</v>
      </c>
      <c r="H15" s="1">
        <v>46045</v>
      </c>
      <c r="I15" s="1">
        <v>46048</v>
      </c>
      <c r="J15" s="1">
        <v>46048</v>
      </c>
      <c r="K15" s="2">
        <v>0.41666666666666669</v>
      </c>
      <c r="L15" t="s">
        <v>20</v>
      </c>
      <c r="O15" t="s">
        <v>17</v>
      </c>
    </row>
    <row r="16" spans="1:15" hidden="1" x14ac:dyDescent="0.25">
      <c r="A16" t="s">
        <v>39</v>
      </c>
      <c r="B16" t="s">
        <v>41</v>
      </c>
      <c r="C16" t="e">
        <v>#NAME?</v>
      </c>
      <c r="D16" t="e">
        <v>#NAME?</v>
      </c>
      <c r="E16">
        <v>23707</v>
      </c>
      <c r="F16">
        <v>4</v>
      </c>
      <c r="G16">
        <v>2276</v>
      </c>
      <c r="H16" s="1">
        <v>46045</v>
      </c>
      <c r="I16" s="1">
        <v>46048</v>
      </c>
      <c r="J16" s="1">
        <v>46048</v>
      </c>
      <c r="K16" s="2">
        <v>0.41666666666666669</v>
      </c>
      <c r="L16" t="s">
        <v>20</v>
      </c>
      <c r="O16" t="s">
        <v>17</v>
      </c>
    </row>
    <row r="17" spans="1:15" hidden="1" x14ac:dyDescent="0.25">
      <c r="A17" t="s">
        <v>42</v>
      </c>
      <c r="B17" t="s">
        <v>43</v>
      </c>
      <c r="C17" t="e">
        <v>#NAME?</v>
      </c>
      <c r="D17" t="e">
        <v>#NAME?</v>
      </c>
      <c r="E17">
        <v>102566</v>
      </c>
      <c r="F17">
        <v>13</v>
      </c>
      <c r="G17">
        <v>10359</v>
      </c>
      <c r="H17" s="1">
        <v>46042</v>
      </c>
      <c r="I17" s="1">
        <v>46049</v>
      </c>
      <c r="J17" s="1">
        <v>46049</v>
      </c>
      <c r="K17" s="2">
        <v>0.375</v>
      </c>
      <c r="L17" t="s">
        <v>31</v>
      </c>
      <c r="M17" t="s">
        <v>44</v>
      </c>
      <c r="N17">
        <v>10359.165999999999</v>
      </c>
      <c r="O17" t="s">
        <v>17</v>
      </c>
    </row>
    <row r="18" spans="1:15" hidden="1" x14ac:dyDescent="0.25">
      <c r="A18" t="s">
        <v>42</v>
      </c>
      <c r="B18" t="s">
        <v>45</v>
      </c>
      <c r="C18" t="e">
        <v>#NAME?</v>
      </c>
      <c r="D18" t="e">
        <v>#NAME?</v>
      </c>
      <c r="E18">
        <v>33601</v>
      </c>
      <c r="F18">
        <v>5</v>
      </c>
      <c r="G18">
        <v>3931</v>
      </c>
      <c r="H18" s="1">
        <v>46042</v>
      </c>
      <c r="I18" s="1">
        <v>46049</v>
      </c>
      <c r="J18" s="1">
        <v>46049</v>
      </c>
      <c r="K18" s="2">
        <v>0.375</v>
      </c>
      <c r="L18" t="s">
        <v>20</v>
      </c>
      <c r="M18" t="s">
        <v>44</v>
      </c>
      <c r="N18">
        <v>3931.317</v>
      </c>
      <c r="O18" t="s">
        <v>17</v>
      </c>
    </row>
    <row r="19" spans="1:15" hidden="1" x14ac:dyDescent="0.25">
      <c r="A19" t="s">
        <v>46</v>
      </c>
      <c r="B19" t="s">
        <v>47</v>
      </c>
      <c r="C19" t="e">
        <v>#NAME?</v>
      </c>
      <c r="D19" t="e">
        <v>#NAME?</v>
      </c>
      <c r="E19">
        <v>44353</v>
      </c>
      <c r="F19">
        <v>5</v>
      </c>
      <c r="G19">
        <v>4391</v>
      </c>
      <c r="H19" s="1">
        <v>46042</v>
      </c>
      <c r="I19" s="1">
        <v>46049</v>
      </c>
      <c r="J19" s="1">
        <v>46049</v>
      </c>
      <c r="K19" s="2">
        <v>0.39583333333333331</v>
      </c>
      <c r="L19" t="s">
        <v>31</v>
      </c>
      <c r="M19" t="s">
        <v>44</v>
      </c>
      <c r="N19">
        <v>4390.9470000000001</v>
      </c>
      <c r="O19" t="s">
        <v>17</v>
      </c>
    </row>
    <row r="20" spans="1:15" hidden="1" x14ac:dyDescent="0.25">
      <c r="A20" t="s">
        <v>46</v>
      </c>
      <c r="B20" t="s">
        <v>48</v>
      </c>
      <c r="C20" t="e">
        <v>#NAME?</v>
      </c>
      <c r="D20" t="e">
        <v>#NAME?</v>
      </c>
      <c r="E20">
        <v>46765</v>
      </c>
      <c r="F20">
        <v>8</v>
      </c>
      <c r="G20">
        <v>6313</v>
      </c>
      <c r="H20" s="1">
        <v>46042</v>
      </c>
      <c r="I20" s="1">
        <v>46049</v>
      </c>
      <c r="J20" s="1">
        <v>46049</v>
      </c>
      <c r="K20" s="2">
        <v>0.39583333333333331</v>
      </c>
      <c r="L20" t="s">
        <v>31</v>
      </c>
      <c r="M20" t="s">
        <v>44</v>
      </c>
      <c r="N20">
        <v>6313.2749999999996</v>
      </c>
      <c r="O20" t="s">
        <v>17</v>
      </c>
    </row>
    <row r="21" spans="1:15" hidden="1" x14ac:dyDescent="0.25">
      <c r="A21" t="s">
        <v>49</v>
      </c>
      <c r="B21" t="s">
        <v>50</v>
      </c>
      <c r="C21" t="e">
        <v>#NAME?</v>
      </c>
      <c r="D21" t="e">
        <v>#NAME?</v>
      </c>
      <c r="E21">
        <v>37023</v>
      </c>
      <c r="F21">
        <v>6</v>
      </c>
      <c r="G21">
        <v>3554</v>
      </c>
      <c r="H21" s="1">
        <v>46042</v>
      </c>
      <c r="I21" s="1">
        <v>46049</v>
      </c>
      <c r="J21" s="1">
        <v>46049</v>
      </c>
      <c r="K21" s="2">
        <v>0.41666666666666669</v>
      </c>
      <c r="L21" t="s">
        <v>31</v>
      </c>
      <c r="M21" t="s">
        <v>51</v>
      </c>
      <c r="N21">
        <v>4980.7</v>
      </c>
      <c r="O21" t="s">
        <v>17</v>
      </c>
    </row>
    <row r="22" spans="1:15" hidden="1" x14ac:dyDescent="0.25">
      <c r="A22" t="s">
        <v>49</v>
      </c>
      <c r="B22" t="s">
        <v>52</v>
      </c>
      <c r="C22" t="e">
        <v>#NAME?</v>
      </c>
      <c r="D22" t="e">
        <v>#NAME?</v>
      </c>
      <c r="E22">
        <v>24255</v>
      </c>
      <c r="F22">
        <v>3</v>
      </c>
      <c r="G22">
        <v>1916</v>
      </c>
      <c r="H22" s="1">
        <v>46042</v>
      </c>
      <c r="I22" s="1">
        <v>46049</v>
      </c>
      <c r="J22" s="1">
        <v>46049</v>
      </c>
      <c r="K22" s="2">
        <v>0.41666666666666669</v>
      </c>
      <c r="L22" t="s">
        <v>31</v>
      </c>
      <c r="M22" t="s">
        <v>53</v>
      </c>
      <c r="N22">
        <v>2232</v>
      </c>
      <c r="O22" t="s">
        <v>17</v>
      </c>
    </row>
    <row r="23" spans="1:15" hidden="1" x14ac:dyDescent="0.25">
      <c r="A23" t="s">
        <v>54</v>
      </c>
      <c r="B23" t="s">
        <v>55</v>
      </c>
      <c r="C23" t="e">
        <v>#NAME?</v>
      </c>
      <c r="D23" t="e">
        <v>#NAME?</v>
      </c>
      <c r="E23">
        <v>48043</v>
      </c>
      <c r="F23">
        <v>7</v>
      </c>
      <c r="G23">
        <v>4612</v>
      </c>
      <c r="H23" s="1">
        <v>46042</v>
      </c>
      <c r="I23" s="1">
        <v>46049</v>
      </c>
      <c r="J23" s="1">
        <v>46049</v>
      </c>
      <c r="K23" s="2">
        <v>0.41666666666666669</v>
      </c>
      <c r="L23" t="s">
        <v>31</v>
      </c>
      <c r="M23" t="s">
        <v>51</v>
      </c>
      <c r="N23">
        <v>6245.59</v>
      </c>
      <c r="O23" t="s">
        <v>17</v>
      </c>
    </row>
    <row r="24" spans="1:15" hidden="1" x14ac:dyDescent="0.25">
      <c r="A24" t="s">
        <v>54</v>
      </c>
      <c r="B24" t="s">
        <v>56</v>
      </c>
      <c r="C24" t="e">
        <v>#NAME?</v>
      </c>
      <c r="D24" t="e">
        <v>#NAME?</v>
      </c>
      <c r="E24">
        <v>31228</v>
      </c>
      <c r="F24">
        <v>3</v>
      </c>
      <c r="G24">
        <v>1468</v>
      </c>
      <c r="H24" s="1">
        <v>46042</v>
      </c>
      <c r="I24" s="1">
        <v>46049</v>
      </c>
      <c r="J24" s="1">
        <v>46049</v>
      </c>
      <c r="K24" s="2">
        <v>0.41666666666666669</v>
      </c>
      <c r="L24" t="s">
        <v>31</v>
      </c>
      <c r="M24" t="s">
        <v>53</v>
      </c>
      <c r="N24">
        <v>2029.82</v>
      </c>
      <c r="O24" t="s">
        <v>17</v>
      </c>
    </row>
    <row r="25" spans="1:15" hidden="1" x14ac:dyDescent="0.25">
      <c r="A25" t="s">
        <v>57</v>
      </c>
      <c r="B25" t="s">
        <v>58</v>
      </c>
      <c r="C25" t="e">
        <v>#NAME?</v>
      </c>
      <c r="D25" t="e">
        <v>#NAME?</v>
      </c>
      <c r="E25">
        <v>86938</v>
      </c>
      <c r="F25">
        <v>15</v>
      </c>
      <c r="G25">
        <v>7998</v>
      </c>
      <c r="H25" s="1">
        <v>46045</v>
      </c>
      <c r="I25" s="1">
        <v>46049</v>
      </c>
      <c r="J25" s="1">
        <v>46049</v>
      </c>
      <c r="K25" s="2">
        <v>0.4375</v>
      </c>
      <c r="L25" t="s">
        <v>31</v>
      </c>
      <c r="M25" t="s">
        <v>59</v>
      </c>
      <c r="N25">
        <v>7303</v>
      </c>
      <c r="O25" t="s">
        <v>17</v>
      </c>
    </row>
    <row r="26" spans="1:15" hidden="1" x14ac:dyDescent="0.25">
      <c r="A26" t="s">
        <v>57</v>
      </c>
      <c r="B26" t="s">
        <v>60</v>
      </c>
      <c r="C26" t="e">
        <v>#NAME?</v>
      </c>
      <c r="D26" t="e">
        <v>#NAME?</v>
      </c>
      <c r="E26">
        <v>37781</v>
      </c>
      <c r="F26">
        <v>15</v>
      </c>
      <c r="G26">
        <v>6801</v>
      </c>
      <c r="H26" s="1">
        <v>46045</v>
      </c>
      <c r="I26" s="1">
        <v>46049</v>
      </c>
      <c r="J26" s="1">
        <v>46049</v>
      </c>
      <c r="K26" s="2">
        <v>0.4375</v>
      </c>
      <c r="L26" t="s">
        <v>31</v>
      </c>
      <c r="M26" t="s">
        <v>59</v>
      </c>
      <c r="N26">
        <v>6726.7979999999998</v>
      </c>
      <c r="O26" t="s">
        <v>17</v>
      </c>
    </row>
    <row r="27" spans="1:15" hidden="1" x14ac:dyDescent="0.25">
      <c r="A27" t="s">
        <v>61</v>
      </c>
      <c r="B27" t="s">
        <v>62</v>
      </c>
      <c r="C27" t="e">
        <v>#NAME?</v>
      </c>
      <c r="D27" t="e">
        <v>#NAME?</v>
      </c>
      <c r="E27">
        <v>29030</v>
      </c>
      <c r="F27">
        <v>5</v>
      </c>
      <c r="G27">
        <v>2961</v>
      </c>
      <c r="H27" s="1">
        <v>46045</v>
      </c>
      <c r="I27" s="1">
        <v>46049</v>
      </c>
      <c r="J27" s="1">
        <v>46049</v>
      </c>
      <c r="K27" s="2">
        <v>0.45833333333333331</v>
      </c>
      <c r="L27" t="s">
        <v>31</v>
      </c>
      <c r="M27" t="s">
        <v>63</v>
      </c>
      <c r="N27">
        <v>677.42499999999995</v>
      </c>
      <c r="O27" t="s">
        <v>17</v>
      </c>
    </row>
    <row r="28" spans="1:15" hidden="1" x14ac:dyDescent="0.25">
      <c r="A28" t="s">
        <v>64</v>
      </c>
      <c r="B28" t="s">
        <v>65</v>
      </c>
      <c r="C28" t="e">
        <v>#NAME?</v>
      </c>
      <c r="D28" t="e">
        <v>#NAME?</v>
      </c>
      <c r="E28">
        <v>27065</v>
      </c>
      <c r="F28">
        <v>4</v>
      </c>
      <c r="G28">
        <v>2761</v>
      </c>
      <c r="H28" s="1">
        <v>46045</v>
      </c>
      <c r="I28" s="1">
        <v>46049</v>
      </c>
      <c r="J28" s="1">
        <v>46049</v>
      </c>
      <c r="K28" s="2">
        <v>0.45833333333333331</v>
      </c>
      <c r="L28" t="s">
        <v>31</v>
      </c>
      <c r="M28" t="s">
        <v>63</v>
      </c>
      <c r="N28">
        <v>681.125</v>
      </c>
      <c r="O28" t="s">
        <v>17</v>
      </c>
    </row>
    <row r="29" spans="1:15" hidden="1" x14ac:dyDescent="0.25">
      <c r="A29" t="s">
        <v>66</v>
      </c>
      <c r="B29" t="s">
        <v>67</v>
      </c>
      <c r="C29" t="e">
        <v>#NAME?</v>
      </c>
      <c r="D29" t="e">
        <v>#NAME?</v>
      </c>
      <c r="E29">
        <v>32623</v>
      </c>
      <c r="F29">
        <v>5</v>
      </c>
      <c r="G29">
        <v>3328</v>
      </c>
      <c r="H29" s="1">
        <v>46045</v>
      </c>
      <c r="I29" s="1">
        <v>46049</v>
      </c>
      <c r="J29" s="1">
        <v>46049</v>
      </c>
      <c r="K29" s="2">
        <v>0.47916666666666669</v>
      </c>
      <c r="L29" t="s">
        <v>31</v>
      </c>
      <c r="M29" t="s">
        <v>63</v>
      </c>
      <c r="N29">
        <v>3330</v>
      </c>
      <c r="O29" t="s">
        <v>17</v>
      </c>
    </row>
    <row r="30" spans="1:15" hidden="1" x14ac:dyDescent="0.25">
      <c r="A30" t="s">
        <v>66</v>
      </c>
      <c r="B30" t="s">
        <v>68</v>
      </c>
      <c r="C30" t="e">
        <v>#NAME?</v>
      </c>
      <c r="D30" t="e">
        <v>#NAME?</v>
      </c>
      <c r="E30">
        <v>37674</v>
      </c>
      <c r="F30">
        <v>6</v>
      </c>
      <c r="G30">
        <v>3843</v>
      </c>
      <c r="H30" s="1">
        <v>46045</v>
      </c>
      <c r="I30" s="1">
        <v>46049</v>
      </c>
      <c r="J30" s="1">
        <v>46049</v>
      </c>
      <c r="K30" s="2">
        <v>0.47916666666666669</v>
      </c>
      <c r="L30" t="s">
        <v>31</v>
      </c>
      <c r="M30" t="s">
        <v>63</v>
      </c>
      <c r="N30">
        <v>683.07500000000005</v>
      </c>
      <c r="O30" t="s">
        <v>17</v>
      </c>
    </row>
    <row r="31" spans="1:15" hidden="1" x14ac:dyDescent="0.25">
      <c r="A31" t="s">
        <v>69</v>
      </c>
      <c r="B31" t="s">
        <v>70</v>
      </c>
      <c r="C31" t="e">
        <v>#NAME?</v>
      </c>
      <c r="D31" t="e">
        <v>#NAME?</v>
      </c>
      <c r="E31">
        <v>34549</v>
      </c>
      <c r="F31">
        <v>4</v>
      </c>
      <c r="G31">
        <v>3593</v>
      </c>
      <c r="H31" s="1">
        <v>46048</v>
      </c>
      <c r="I31" s="1">
        <v>46050</v>
      </c>
      <c r="J31" s="1">
        <v>46050</v>
      </c>
      <c r="K31" s="2">
        <v>0.375</v>
      </c>
      <c r="L31" t="s">
        <v>31</v>
      </c>
      <c r="N31">
        <v>3393</v>
      </c>
      <c r="O31" t="s">
        <v>17</v>
      </c>
    </row>
    <row r="32" spans="1:15" hidden="1" x14ac:dyDescent="0.25">
      <c r="A32" t="s">
        <v>71</v>
      </c>
      <c r="B32" t="s">
        <v>72</v>
      </c>
      <c r="C32" t="e">
        <v>#NAME?</v>
      </c>
      <c r="D32" t="e">
        <v>#NAME?</v>
      </c>
      <c r="E32">
        <v>34964</v>
      </c>
      <c r="F32">
        <v>4</v>
      </c>
      <c r="G32">
        <v>3357</v>
      </c>
      <c r="H32" s="1">
        <v>46048</v>
      </c>
      <c r="I32" s="1">
        <v>46050</v>
      </c>
      <c r="J32" s="1">
        <v>46050</v>
      </c>
      <c r="K32" s="2">
        <v>0.375</v>
      </c>
      <c r="L32" t="s">
        <v>31</v>
      </c>
      <c r="N32">
        <v>3356</v>
      </c>
      <c r="O32" t="s">
        <v>17</v>
      </c>
    </row>
    <row r="33" spans="1:15" hidden="1" x14ac:dyDescent="0.25">
      <c r="A33" t="s">
        <v>71</v>
      </c>
      <c r="B33" t="s">
        <v>73</v>
      </c>
      <c r="C33" t="e">
        <v>#NAME?</v>
      </c>
      <c r="D33" t="e">
        <v>#NAME?</v>
      </c>
      <c r="E33">
        <v>27080</v>
      </c>
      <c r="F33">
        <v>3</v>
      </c>
      <c r="G33">
        <v>2139</v>
      </c>
      <c r="H33" s="1">
        <v>46048</v>
      </c>
      <c r="I33" s="1">
        <v>46050</v>
      </c>
      <c r="J33" s="1">
        <v>46050</v>
      </c>
      <c r="K33" s="2">
        <v>0.375</v>
      </c>
      <c r="L33" t="s">
        <v>31</v>
      </c>
      <c r="N33">
        <v>2139</v>
      </c>
      <c r="O33" t="s">
        <v>17</v>
      </c>
    </row>
    <row r="34" spans="1:15" hidden="1" x14ac:dyDescent="0.25">
      <c r="A34" t="s">
        <v>69</v>
      </c>
      <c r="B34" t="s">
        <v>74</v>
      </c>
      <c r="C34" t="e">
        <v>#NAME?</v>
      </c>
      <c r="D34" t="e">
        <v>#NAME?</v>
      </c>
      <c r="E34">
        <v>43187</v>
      </c>
      <c r="F34">
        <v>4</v>
      </c>
      <c r="G34">
        <v>3412</v>
      </c>
      <c r="H34" s="1">
        <v>46048</v>
      </c>
      <c r="I34" s="1">
        <v>46050</v>
      </c>
      <c r="J34" s="1">
        <v>46050</v>
      </c>
      <c r="K34" s="2">
        <v>0.375</v>
      </c>
      <c r="L34" t="s">
        <v>31</v>
      </c>
      <c r="N34">
        <v>3411</v>
      </c>
      <c r="O34" t="s">
        <v>17</v>
      </c>
    </row>
    <row r="35" spans="1:15" hidden="1" x14ac:dyDescent="0.25">
      <c r="A35" t="s">
        <v>75</v>
      </c>
      <c r="B35" t="s">
        <v>76</v>
      </c>
      <c r="C35" t="e">
        <v>#NAME?</v>
      </c>
      <c r="D35" t="e">
        <v>#NAME?</v>
      </c>
      <c r="E35">
        <v>44922</v>
      </c>
      <c r="F35">
        <v>5</v>
      </c>
      <c r="G35">
        <v>4717</v>
      </c>
      <c r="H35" s="1">
        <v>46048</v>
      </c>
      <c r="I35" s="1">
        <v>46050</v>
      </c>
      <c r="J35" s="1">
        <v>46050</v>
      </c>
      <c r="K35" s="2">
        <v>0.39583333333333331</v>
      </c>
      <c r="L35" t="s">
        <v>31</v>
      </c>
      <c r="N35">
        <v>4716</v>
      </c>
      <c r="O35" t="s">
        <v>17</v>
      </c>
    </row>
    <row r="36" spans="1:15" hidden="1" x14ac:dyDescent="0.25">
      <c r="A36" t="s">
        <v>75</v>
      </c>
      <c r="B36" t="s">
        <v>77</v>
      </c>
      <c r="C36" t="e">
        <v>#NAME?</v>
      </c>
      <c r="D36" t="e">
        <v>#NAME?</v>
      </c>
      <c r="E36">
        <v>29115</v>
      </c>
      <c r="F36">
        <v>4</v>
      </c>
      <c r="G36">
        <v>3057</v>
      </c>
      <c r="H36" s="1">
        <v>46048</v>
      </c>
      <c r="I36" s="1">
        <v>46050</v>
      </c>
      <c r="J36" s="1">
        <v>46050</v>
      </c>
      <c r="K36" s="2">
        <v>0.39583333333333331</v>
      </c>
      <c r="L36" t="s">
        <v>31</v>
      </c>
      <c r="N36">
        <v>2854</v>
      </c>
      <c r="O36" t="s">
        <v>17</v>
      </c>
    </row>
    <row r="37" spans="1:15" hidden="1" x14ac:dyDescent="0.25">
      <c r="A37" t="s">
        <v>78</v>
      </c>
      <c r="B37" t="s">
        <v>79</v>
      </c>
      <c r="C37" t="e">
        <v>#NAME?</v>
      </c>
      <c r="D37" t="e">
        <v>#NAME?</v>
      </c>
      <c r="E37">
        <v>37358</v>
      </c>
      <c r="F37">
        <v>4</v>
      </c>
      <c r="G37">
        <v>3586</v>
      </c>
      <c r="H37" s="1">
        <v>46048</v>
      </c>
      <c r="I37" s="1">
        <v>46050</v>
      </c>
      <c r="J37" s="1">
        <v>46050</v>
      </c>
      <c r="K37" s="2">
        <v>0.39583333333333331</v>
      </c>
      <c r="L37" t="s">
        <v>31</v>
      </c>
      <c r="N37">
        <v>3586</v>
      </c>
      <c r="O37" t="s">
        <v>17</v>
      </c>
    </row>
    <row r="38" spans="1:15" hidden="1" x14ac:dyDescent="0.25">
      <c r="A38" t="s">
        <v>78</v>
      </c>
      <c r="B38" t="s">
        <v>80</v>
      </c>
      <c r="C38" t="e">
        <v>#NAME?</v>
      </c>
      <c r="D38" t="e">
        <v>#NAME?</v>
      </c>
      <c r="E38">
        <v>46215</v>
      </c>
      <c r="F38">
        <v>6</v>
      </c>
      <c r="G38">
        <v>4437</v>
      </c>
      <c r="H38" s="1">
        <v>46048</v>
      </c>
      <c r="I38" s="1">
        <v>46050</v>
      </c>
      <c r="J38" s="1">
        <v>46050</v>
      </c>
      <c r="K38" s="2">
        <v>0.39583333333333331</v>
      </c>
      <c r="L38" t="s">
        <v>31</v>
      </c>
      <c r="N38">
        <v>4613.07</v>
      </c>
      <c r="O38" t="s">
        <v>17</v>
      </c>
    </row>
    <row r="39" spans="1:15" hidden="1" x14ac:dyDescent="0.25">
      <c r="A39" t="s">
        <v>81</v>
      </c>
      <c r="B39" t="s">
        <v>82</v>
      </c>
      <c r="C39" t="e">
        <v>#NAME?</v>
      </c>
      <c r="D39" t="e">
        <v>#NAME?</v>
      </c>
      <c r="E39">
        <v>33264</v>
      </c>
      <c r="F39">
        <v>5</v>
      </c>
      <c r="G39">
        <v>2362</v>
      </c>
      <c r="H39" s="1">
        <v>46048</v>
      </c>
      <c r="I39" s="1">
        <v>46050</v>
      </c>
      <c r="J39" s="1">
        <v>46050</v>
      </c>
      <c r="K39" s="2">
        <v>0.41666666666666669</v>
      </c>
      <c r="L39" t="s">
        <v>31</v>
      </c>
      <c r="M39" t="s">
        <v>83</v>
      </c>
      <c r="N39">
        <v>3539</v>
      </c>
      <c r="O39" t="s">
        <v>17</v>
      </c>
    </row>
    <row r="40" spans="1:15" hidden="1" x14ac:dyDescent="0.25">
      <c r="A40" t="s">
        <v>84</v>
      </c>
      <c r="B40" t="s">
        <v>85</v>
      </c>
      <c r="C40" t="e">
        <v>#NAME?</v>
      </c>
      <c r="D40" t="e">
        <v>#NAME?</v>
      </c>
      <c r="E40">
        <v>58821</v>
      </c>
      <c r="F40">
        <v>7</v>
      </c>
      <c r="G40">
        <v>5647</v>
      </c>
      <c r="H40" s="1">
        <v>46048</v>
      </c>
      <c r="I40" s="1">
        <v>46050</v>
      </c>
      <c r="J40" s="1">
        <v>46050</v>
      </c>
      <c r="K40" s="2">
        <v>0.4375</v>
      </c>
      <c r="L40" t="s">
        <v>31</v>
      </c>
      <c r="M40" t="s">
        <v>86</v>
      </c>
      <c r="N40">
        <v>5778</v>
      </c>
      <c r="O40" t="s">
        <v>17</v>
      </c>
    </row>
    <row r="41" spans="1:15" hidden="1" x14ac:dyDescent="0.25">
      <c r="A41" t="s">
        <v>87</v>
      </c>
      <c r="B41" t="s">
        <v>88</v>
      </c>
      <c r="C41" t="e">
        <v>#NAME?</v>
      </c>
      <c r="D41" t="e">
        <v>#NAME?</v>
      </c>
      <c r="E41">
        <v>44982</v>
      </c>
      <c r="F41">
        <v>7</v>
      </c>
      <c r="G41">
        <v>5083</v>
      </c>
      <c r="H41" s="1">
        <v>46048</v>
      </c>
      <c r="I41" s="1">
        <v>46050</v>
      </c>
      <c r="J41" s="1">
        <v>46050</v>
      </c>
      <c r="K41" s="2">
        <v>0.45833333333333331</v>
      </c>
      <c r="L41" t="s">
        <v>31</v>
      </c>
      <c r="M41" t="s">
        <v>86</v>
      </c>
      <c r="N41">
        <v>5435</v>
      </c>
      <c r="O41" t="s">
        <v>17</v>
      </c>
    </row>
    <row r="42" spans="1:15" hidden="1" x14ac:dyDescent="0.25">
      <c r="A42" t="s">
        <v>89</v>
      </c>
      <c r="B42" t="s">
        <v>90</v>
      </c>
      <c r="C42" t="e">
        <v>#NAME?</v>
      </c>
      <c r="D42" t="e">
        <v>#NAME?</v>
      </c>
      <c r="E42">
        <v>60776</v>
      </c>
      <c r="F42">
        <v>7</v>
      </c>
      <c r="G42">
        <v>5834</v>
      </c>
      <c r="H42" s="1">
        <v>46048</v>
      </c>
      <c r="I42" s="1">
        <v>46050</v>
      </c>
      <c r="J42" s="1">
        <v>46050</v>
      </c>
      <c r="K42" s="2">
        <v>0.47916666666666669</v>
      </c>
      <c r="L42" t="s">
        <v>31</v>
      </c>
      <c r="M42" t="s">
        <v>86</v>
      </c>
      <c r="N42">
        <v>6001</v>
      </c>
      <c r="O42" t="s">
        <v>17</v>
      </c>
    </row>
    <row r="43" spans="1:15" hidden="1" x14ac:dyDescent="0.25">
      <c r="A43" t="s">
        <v>91</v>
      </c>
      <c r="B43" t="s">
        <v>92</v>
      </c>
      <c r="C43" t="e">
        <v>#NAME?</v>
      </c>
      <c r="D43" t="e">
        <v>#NAME?</v>
      </c>
      <c r="E43">
        <v>59325</v>
      </c>
      <c r="F43">
        <v>7</v>
      </c>
      <c r="G43">
        <v>5695</v>
      </c>
      <c r="H43" s="1">
        <v>46048</v>
      </c>
      <c r="I43" s="1">
        <v>46050</v>
      </c>
      <c r="J43" s="1">
        <v>46050</v>
      </c>
      <c r="K43" s="2">
        <v>0.54166666666666663</v>
      </c>
      <c r="L43" t="s">
        <v>31</v>
      </c>
      <c r="M43" t="s">
        <v>86</v>
      </c>
      <c r="N43">
        <v>5748</v>
      </c>
      <c r="O43" t="s">
        <v>17</v>
      </c>
    </row>
    <row r="44" spans="1:15" hidden="1" x14ac:dyDescent="0.25">
      <c r="A44" t="s">
        <v>81</v>
      </c>
      <c r="B44" t="s">
        <v>93</v>
      </c>
      <c r="C44" t="e">
        <v>#NAME?</v>
      </c>
      <c r="D44" t="e">
        <v>#NAME?</v>
      </c>
      <c r="E44">
        <v>35736</v>
      </c>
      <c r="F44">
        <v>6</v>
      </c>
      <c r="G44">
        <v>6432</v>
      </c>
      <c r="H44" s="1">
        <v>46048</v>
      </c>
      <c r="I44" s="1">
        <v>46050</v>
      </c>
      <c r="J44" s="1">
        <v>46050</v>
      </c>
      <c r="K44" s="2">
        <v>0.5625</v>
      </c>
      <c r="L44" t="s">
        <v>31</v>
      </c>
      <c r="M44" t="s">
        <v>83</v>
      </c>
      <c r="N44">
        <v>3650</v>
      </c>
      <c r="O44" t="s">
        <v>17</v>
      </c>
    </row>
    <row r="45" spans="1:15" hidden="1" x14ac:dyDescent="0.25">
      <c r="A45" t="s">
        <v>94</v>
      </c>
      <c r="B45" t="s">
        <v>95</v>
      </c>
      <c r="C45" t="e">
        <v>#NAME?</v>
      </c>
      <c r="D45" t="e">
        <v>#NAME?</v>
      </c>
      <c r="E45">
        <v>24955</v>
      </c>
      <c r="F45">
        <v>3</v>
      </c>
      <c r="G45">
        <v>1897</v>
      </c>
      <c r="H45" s="1">
        <v>46049</v>
      </c>
      <c r="I45" s="1">
        <v>46051</v>
      </c>
      <c r="J45" s="1">
        <v>46051</v>
      </c>
      <c r="K45" s="2">
        <v>0.375</v>
      </c>
      <c r="L45" t="s">
        <v>20</v>
      </c>
      <c r="M45" t="s">
        <v>96</v>
      </c>
      <c r="N45">
        <v>2637</v>
      </c>
      <c r="O45" t="s">
        <v>17</v>
      </c>
    </row>
    <row r="46" spans="1:15" hidden="1" x14ac:dyDescent="0.25">
      <c r="A46" t="s">
        <v>97</v>
      </c>
      <c r="B46" t="s">
        <v>98</v>
      </c>
      <c r="C46" t="e">
        <v>#NAME?</v>
      </c>
      <c r="D46" t="e">
        <v>#NAME?</v>
      </c>
      <c r="E46">
        <v>46412</v>
      </c>
      <c r="F46">
        <v>4</v>
      </c>
      <c r="G46">
        <v>2645</v>
      </c>
      <c r="H46" s="1">
        <v>46049</v>
      </c>
      <c r="I46" s="1">
        <v>46051</v>
      </c>
      <c r="J46" s="1">
        <v>46051</v>
      </c>
      <c r="K46" s="2">
        <v>0.375</v>
      </c>
      <c r="L46" t="s">
        <v>20</v>
      </c>
      <c r="M46" t="s">
        <v>96</v>
      </c>
      <c r="N46">
        <v>3908</v>
      </c>
      <c r="O46" t="s">
        <v>17</v>
      </c>
    </row>
    <row r="47" spans="1:15" hidden="1" x14ac:dyDescent="0.25">
      <c r="A47" t="s">
        <v>97</v>
      </c>
      <c r="B47" t="s">
        <v>99</v>
      </c>
      <c r="C47" t="e">
        <v>#NAME?</v>
      </c>
      <c r="D47" t="e">
        <v>#NAME?</v>
      </c>
      <c r="E47">
        <v>31089</v>
      </c>
      <c r="F47">
        <v>5</v>
      </c>
      <c r="G47">
        <v>3575</v>
      </c>
      <c r="H47" s="1">
        <v>46049</v>
      </c>
      <c r="I47" s="1">
        <v>46051</v>
      </c>
      <c r="J47" s="1">
        <v>46051</v>
      </c>
      <c r="K47" s="2">
        <v>0.375</v>
      </c>
      <c r="L47" t="s">
        <v>20</v>
      </c>
      <c r="M47" t="s">
        <v>96</v>
      </c>
      <c r="N47">
        <v>4337</v>
      </c>
      <c r="O47" t="s">
        <v>17</v>
      </c>
    </row>
    <row r="48" spans="1:15" hidden="1" x14ac:dyDescent="0.25">
      <c r="A48" t="s">
        <v>100</v>
      </c>
      <c r="B48" t="s">
        <v>101</v>
      </c>
      <c r="C48" t="e">
        <v>#NAME?</v>
      </c>
      <c r="D48" t="e">
        <v>#NAME?</v>
      </c>
      <c r="E48">
        <v>76774</v>
      </c>
      <c r="F48">
        <v>11</v>
      </c>
      <c r="G48">
        <v>8829</v>
      </c>
      <c r="H48" s="1">
        <v>46049</v>
      </c>
      <c r="I48" s="1">
        <v>46051</v>
      </c>
      <c r="J48" s="1">
        <v>46051</v>
      </c>
      <c r="K48" s="2">
        <v>0.375</v>
      </c>
      <c r="L48" t="s">
        <v>20</v>
      </c>
      <c r="M48" t="s">
        <v>96</v>
      </c>
      <c r="N48">
        <v>10790</v>
      </c>
      <c r="O48" t="s">
        <v>17</v>
      </c>
    </row>
    <row r="49" spans="1:15" hidden="1" x14ac:dyDescent="0.25">
      <c r="A49" t="s">
        <v>94</v>
      </c>
      <c r="B49" t="s">
        <v>102</v>
      </c>
      <c r="C49" t="e">
        <v>#NAME?</v>
      </c>
      <c r="D49" t="e">
        <v>#NAME?</v>
      </c>
      <c r="E49">
        <v>33389</v>
      </c>
      <c r="F49">
        <v>4</v>
      </c>
      <c r="G49">
        <v>2538</v>
      </c>
      <c r="H49" s="1">
        <v>46049</v>
      </c>
      <c r="I49" s="1">
        <v>46051</v>
      </c>
      <c r="J49" s="1">
        <v>46051</v>
      </c>
      <c r="K49" s="2">
        <v>0.375</v>
      </c>
      <c r="L49" t="s">
        <v>20</v>
      </c>
      <c r="M49" t="s">
        <v>96</v>
      </c>
      <c r="N49">
        <v>3451</v>
      </c>
      <c r="O49" t="s">
        <v>17</v>
      </c>
    </row>
    <row r="50" spans="1:15" hidden="1" x14ac:dyDescent="0.25">
      <c r="A50" t="s">
        <v>100</v>
      </c>
      <c r="B50" t="s">
        <v>103</v>
      </c>
      <c r="C50" t="e">
        <v>#NAME?</v>
      </c>
      <c r="D50" t="e">
        <v>#NAME?</v>
      </c>
      <c r="E50">
        <v>34867</v>
      </c>
      <c r="F50">
        <v>4</v>
      </c>
      <c r="G50">
        <v>2650</v>
      </c>
      <c r="H50" s="1">
        <v>46049</v>
      </c>
      <c r="I50" s="1">
        <v>46051</v>
      </c>
      <c r="J50" s="1">
        <v>46051</v>
      </c>
      <c r="K50" s="2">
        <v>0.375</v>
      </c>
      <c r="L50" t="s">
        <v>20</v>
      </c>
      <c r="M50" t="s">
        <v>96</v>
      </c>
      <c r="N50">
        <v>3445</v>
      </c>
      <c r="O50" t="s">
        <v>17</v>
      </c>
    </row>
    <row r="51" spans="1:15" hidden="1" x14ac:dyDescent="0.25">
      <c r="A51" t="s">
        <v>91</v>
      </c>
      <c r="B51" t="s">
        <v>104</v>
      </c>
      <c r="C51" t="e">
        <v>#NAME?</v>
      </c>
      <c r="D51" t="e">
        <v>#NAME?</v>
      </c>
      <c r="E51">
        <v>33761</v>
      </c>
      <c r="F51">
        <v>6</v>
      </c>
      <c r="G51">
        <v>4389</v>
      </c>
      <c r="H51" s="1">
        <v>46048</v>
      </c>
      <c r="I51" s="1">
        <v>46052</v>
      </c>
      <c r="J51" s="1">
        <v>46052</v>
      </c>
      <c r="K51" s="2">
        <v>0.375</v>
      </c>
      <c r="L51" t="s">
        <v>20</v>
      </c>
      <c r="M51" t="s">
        <v>105</v>
      </c>
      <c r="N51">
        <v>4497</v>
      </c>
      <c r="O51" t="s">
        <v>17</v>
      </c>
    </row>
    <row r="52" spans="1:15" hidden="1" x14ac:dyDescent="0.25">
      <c r="A52" t="s">
        <v>89</v>
      </c>
      <c r="B52" t="s">
        <v>106</v>
      </c>
      <c r="C52" t="e">
        <v>#NAME?</v>
      </c>
      <c r="D52" t="e">
        <v>#NAME?</v>
      </c>
      <c r="E52">
        <v>25861</v>
      </c>
      <c r="F52">
        <v>5</v>
      </c>
      <c r="G52">
        <v>3802</v>
      </c>
      <c r="H52" s="1">
        <v>46048</v>
      </c>
      <c r="I52" s="1">
        <v>46052</v>
      </c>
      <c r="J52" s="1">
        <v>46052</v>
      </c>
      <c r="K52" s="2">
        <v>0.375</v>
      </c>
      <c r="L52" t="s">
        <v>20</v>
      </c>
      <c r="M52" t="s">
        <v>105</v>
      </c>
      <c r="N52">
        <v>4032</v>
      </c>
      <c r="O52" t="s">
        <v>17</v>
      </c>
    </row>
    <row r="53" spans="1:15" hidden="1" x14ac:dyDescent="0.25">
      <c r="A53" t="s">
        <v>107</v>
      </c>
      <c r="B53" t="s">
        <v>108</v>
      </c>
      <c r="C53" t="e">
        <v>#NAME?</v>
      </c>
      <c r="D53" t="e">
        <v>#NAME?</v>
      </c>
      <c r="E53">
        <v>53413</v>
      </c>
      <c r="F53">
        <v>9</v>
      </c>
      <c r="G53">
        <v>9881</v>
      </c>
      <c r="H53" s="1">
        <v>46048</v>
      </c>
      <c r="I53" s="1">
        <v>46052</v>
      </c>
      <c r="J53" s="1">
        <v>46052</v>
      </c>
      <c r="K53" s="2">
        <v>0.375</v>
      </c>
      <c r="L53" t="s">
        <v>31</v>
      </c>
      <c r="M53" t="s">
        <v>109</v>
      </c>
      <c r="N53">
        <v>6769</v>
      </c>
      <c r="O53" t="s">
        <v>17</v>
      </c>
    </row>
    <row r="54" spans="1:15" hidden="1" x14ac:dyDescent="0.25">
      <c r="A54" t="s">
        <v>84</v>
      </c>
      <c r="B54" t="s">
        <v>110</v>
      </c>
      <c r="C54" t="e">
        <v>#NAME?</v>
      </c>
      <c r="D54" t="e">
        <v>#NAME?</v>
      </c>
      <c r="E54">
        <v>27442</v>
      </c>
      <c r="F54">
        <v>4</v>
      </c>
      <c r="G54">
        <v>3101</v>
      </c>
      <c r="H54" s="1">
        <v>46048</v>
      </c>
      <c r="I54" s="1">
        <v>46052</v>
      </c>
      <c r="J54" s="1">
        <v>46052</v>
      </c>
      <c r="K54" s="2">
        <v>0.375</v>
      </c>
      <c r="L54" t="s">
        <v>20</v>
      </c>
      <c r="M54" t="s">
        <v>105</v>
      </c>
      <c r="N54">
        <v>3341</v>
      </c>
      <c r="O54" t="s">
        <v>17</v>
      </c>
    </row>
    <row r="55" spans="1:15" hidden="1" x14ac:dyDescent="0.25">
      <c r="A55" t="s">
        <v>111</v>
      </c>
      <c r="B55" t="s">
        <v>112</v>
      </c>
      <c r="C55" t="e">
        <v>#NAME?</v>
      </c>
      <c r="D55" t="e">
        <v>#NAME?</v>
      </c>
      <c r="E55">
        <v>33131</v>
      </c>
      <c r="F55">
        <v>5</v>
      </c>
      <c r="G55">
        <v>3744</v>
      </c>
      <c r="H55" s="1">
        <v>46049</v>
      </c>
      <c r="I55" s="1">
        <v>46052</v>
      </c>
      <c r="J55" s="1">
        <v>46052</v>
      </c>
      <c r="K55" s="2">
        <v>0.39583333333333331</v>
      </c>
      <c r="L55" t="s">
        <v>31</v>
      </c>
      <c r="M55" t="s">
        <v>105</v>
      </c>
      <c r="N55">
        <v>3974</v>
      </c>
      <c r="O55" t="s">
        <v>17</v>
      </c>
    </row>
    <row r="56" spans="1:15" hidden="1" x14ac:dyDescent="0.25">
      <c r="A56" t="s">
        <v>111</v>
      </c>
      <c r="B56" t="s">
        <v>113</v>
      </c>
      <c r="C56" t="e">
        <v>#NAME?</v>
      </c>
      <c r="D56" t="e">
        <v>#NAME?</v>
      </c>
      <c r="E56">
        <v>28015</v>
      </c>
      <c r="F56">
        <v>5</v>
      </c>
      <c r="G56">
        <v>2942</v>
      </c>
      <c r="H56" s="1">
        <v>46049</v>
      </c>
      <c r="I56" s="1">
        <v>46052</v>
      </c>
      <c r="J56" s="1">
        <v>46052</v>
      </c>
      <c r="K56" s="2">
        <v>0.39583333333333331</v>
      </c>
      <c r="L56" t="s">
        <v>31</v>
      </c>
      <c r="M56" t="s">
        <v>105</v>
      </c>
      <c r="N56">
        <v>3027</v>
      </c>
      <c r="O56" t="s">
        <v>17</v>
      </c>
    </row>
    <row r="57" spans="1:15" hidden="1" x14ac:dyDescent="0.25">
      <c r="A57" t="s">
        <v>114</v>
      </c>
      <c r="B57" t="s">
        <v>115</v>
      </c>
      <c r="C57" t="e">
        <v>#NAME?</v>
      </c>
      <c r="D57" t="e">
        <v>#NAME?</v>
      </c>
      <c r="E57">
        <v>44785</v>
      </c>
      <c r="F57">
        <v>6</v>
      </c>
      <c r="G57">
        <v>5419</v>
      </c>
      <c r="H57" s="1">
        <v>46050</v>
      </c>
      <c r="I57" s="1">
        <v>46052</v>
      </c>
      <c r="J57" s="1">
        <v>46052</v>
      </c>
      <c r="K57" s="2">
        <v>0.41666666666666669</v>
      </c>
      <c r="L57" t="s">
        <v>20</v>
      </c>
      <c r="M57" t="s">
        <v>116</v>
      </c>
      <c r="N57">
        <v>5820</v>
      </c>
      <c r="O57" t="s">
        <v>17</v>
      </c>
    </row>
    <row r="58" spans="1:15" hidden="1" x14ac:dyDescent="0.25">
      <c r="A58" t="s">
        <v>114</v>
      </c>
      <c r="B58" t="s">
        <v>117</v>
      </c>
      <c r="C58" t="e">
        <v>#NAME?</v>
      </c>
      <c r="D58" t="e">
        <v>#NAME?</v>
      </c>
      <c r="E58">
        <v>33095</v>
      </c>
      <c r="F58">
        <v>4</v>
      </c>
      <c r="G58">
        <v>3740</v>
      </c>
      <c r="H58" s="1">
        <v>46050</v>
      </c>
      <c r="I58" s="1">
        <v>46052</v>
      </c>
      <c r="J58" s="1">
        <v>46052</v>
      </c>
      <c r="K58" s="2">
        <v>0.41666666666666669</v>
      </c>
      <c r="L58" t="s">
        <v>20</v>
      </c>
      <c r="M58" t="s">
        <v>116</v>
      </c>
      <c r="N58">
        <v>3775</v>
      </c>
      <c r="O58" t="s">
        <v>17</v>
      </c>
    </row>
    <row r="59" spans="1:15" hidden="1" x14ac:dyDescent="0.25">
      <c r="A59" t="s">
        <v>118</v>
      </c>
      <c r="B59" t="s">
        <v>119</v>
      </c>
      <c r="C59" t="e">
        <v>#NAME?</v>
      </c>
      <c r="D59" t="e">
        <v>#NAME?</v>
      </c>
      <c r="E59">
        <v>33052</v>
      </c>
      <c r="F59">
        <v>4</v>
      </c>
      <c r="G59">
        <v>3735</v>
      </c>
      <c r="H59" s="1">
        <v>46050</v>
      </c>
      <c r="I59" s="1">
        <v>46052</v>
      </c>
      <c r="J59" s="1">
        <v>46052</v>
      </c>
      <c r="K59" s="2">
        <v>0.625</v>
      </c>
      <c r="L59">
        <v>197</v>
      </c>
      <c r="M59" t="s">
        <v>116</v>
      </c>
      <c r="N59">
        <v>3075</v>
      </c>
      <c r="O59" t="s">
        <v>17</v>
      </c>
    </row>
    <row r="60" spans="1:15" hidden="1" x14ac:dyDescent="0.25">
      <c r="A60" t="s">
        <v>118</v>
      </c>
      <c r="B60" t="s">
        <v>120</v>
      </c>
      <c r="C60" t="e">
        <v>#NAME?</v>
      </c>
      <c r="D60" t="e">
        <v>#NAME?</v>
      </c>
      <c r="E60">
        <v>23676</v>
      </c>
      <c r="F60">
        <v>3</v>
      </c>
      <c r="G60">
        <v>2273</v>
      </c>
      <c r="H60" s="1">
        <v>46050</v>
      </c>
      <c r="I60" s="1">
        <v>46052</v>
      </c>
      <c r="J60" s="1">
        <v>46052</v>
      </c>
      <c r="K60" s="2">
        <v>0.625</v>
      </c>
      <c r="L60" t="s">
        <v>20</v>
      </c>
      <c r="M60" t="s">
        <v>116</v>
      </c>
      <c r="N60">
        <v>2300</v>
      </c>
      <c r="O60" t="s">
        <v>17</v>
      </c>
    </row>
    <row r="61" spans="1:15" hidden="1" x14ac:dyDescent="0.25">
      <c r="A61" t="s">
        <v>121</v>
      </c>
      <c r="B61" t="s">
        <v>122</v>
      </c>
      <c r="C61" t="e">
        <v>#NAME?</v>
      </c>
      <c r="D61" t="e">
        <v>#NAME?</v>
      </c>
      <c r="E61">
        <v>33010</v>
      </c>
      <c r="F61">
        <v>3</v>
      </c>
      <c r="G61">
        <v>1551</v>
      </c>
      <c r="H61" s="1">
        <v>46051</v>
      </c>
      <c r="I61" s="1">
        <v>46056</v>
      </c>
      <c r="J61" s="1">
        <v>46056</v>
      </c>
      <c r="K61" s="2">
        <v>0.375</v>
      </c>
      <c r="L61" t="s">
        <v>20</v>
      </c>
      <c r="O61" t="s">
        <v>17</v>
      </c>
    </row>
    <row r="62" spans="1:15" hidden="1" x14ac:dyDescent="0.25">
      <c r="A62" t="s">
        <v>123</v>
      </c>
      <c r="B62" t="s">
        <v>124</v>
      </c>
      <c r="C62" t="e">
        <v>#NAME?</v>
      </c>
      <c r="D62" t="e">
        <v>#NAME?</v>
      </c>
      <c r="E62">
        <v>23632</v>
      </c>
      <c r="F62">
        <v>4</v>
      </c>
      <c r="G62">
        <v>1111</v>
      </c>
      <c r="H62" s="1">
        <v>46051</v>
      </c>
      <c r="I62" s="1">
        <v>46056</v>
      </c>
      <c r="J62" s="1">
        <v>46056</v>
      </c>
      <c r="K62" s="2">
        <v>0.375</v>
      </c>
      <c r="L62" t="s">
        <v>20</v>
      </c>
      <c r="O62" t="s">
        <v>17</v>
      </c>
    </row>
    <row r="63" spans="1:15" hidden="1" x14ac:dyDescent="0.25">
      <c r="A63" t="s">
        <v>121</v>
      </c>
      <c r="B63" t="s">
        <v>125</v>
      </c>
      <c r="C63" t="e">
        <v>#NAME?</v>
      </c>
      <c r="D63" t="e">
        <v>#NAME?</v>
      </c>
      <c r="E63">
        <v>23707</v>
      </c>
      <c r="F63">
        <v>6</v>
      </c>
      <c r="G63">
        <v>4670</v>
      </c>
      <c r="H63" s="1">
        <v>46051</v>
      </c>
      <c r="I63" s="1">
        <v>46056</v>
      </c>
      <c r="J63" s="1">
        <v>46056</v>
      </c>
      <c r="K63" s="2">
        <v>0.375</v>
      </c>
      <c r="L63" t="s">
        <v>20</v>
      </c>
      <c r="O63" t="s">
        <v>17</v>
      </c>
    </row>
    <row r="64" spans="1:15" hidden="1" x14ac:dyDescent="0.25">
      <c r="A64" t="s">
        <v>126</v>
      </c>
      <c r="B64" t="s">
        <v>127</v>
      </c>
      <c r="C64" t="e">
        <v>#NAME?</v>
      </c>
      <c r="D64" t="e">
        <v>#NAME?</v>
      </c>
      <c r="E64">
        <v>33219</v>
      </c>
      <c r="F64">
        <v>2</v>
      </c>
      <c r="G64">
        <v>2624</v>
      </c>
      <c r="H64" s="1">
        <v>46051</v>
      </c>
      <c r="I64" s="1">
        <v>46056</v>
      </c>
      <c r="J64" s="1">
        <v>46056</v>
      </c>
      <c r="K64" s="2">
        <v>0.375</v>
      </c>
      <c r="L64" t="s">
        <v>20</v>
      </c>
      <c r="O64" t="s">
        <v>17</v>
      </c>
    </row>
    <row r="65" spans="1:15" hidden="1" x14ac:dyDescent="0.25">
      <c r="A65" t="s">
        <v>126</v>
      </c>
      <c r="B65" t="s">
        <v>128</v>
      </c>
      <c r="C65" t="e">
        <v>#NAME?</v>
      </c>
      <c r="D65" t="e">
        <v>#NAME?</v>
      </c>
      <c r="E65">
        <v>32589</v>
      </c>
      <c r="F65">
        <v>6</v>
      </c>
      <c r="G65">
        <v>3129</v>
      </c>
      <c r="H65" s="1">
        <v>46051</v>
      </c>
      <c r="I65" s="1">
        <v>46056</v>
      </c>
      <c r="J65" s="1">
        <v>46056</v>
      </c>
      <c r="K65" s="2">
        <v>0.375</v>
      </c>
      <c r="L65" t="s">
        <v>20</v>
      </c>
      <c r="O65" t="s">
        <v>17</v>
      </c>
    </row>
    <row r="66" spans="1:15" hidden="1" x14ac:dyDescent="0.25">
      <c r="A66" t="s">
        <v>123</v>
      </c>
      <c r="B66" t="s">
        <v>129</v>
      </c>
      <c r="C66" t="e">
        <v>#NAME?</v>
      </c>
      <c r="D66" t="e">
        <v>#NAME?</v>
      </c>
      <c r="E66">
        <v>41754</v>
      </c>
      <c r="F66">
        <v>4</v>
      </c>
      <c r="G66">
        <v>4008</v>
      </c>
      <c r="H66" s="1">
        <v>46051</v>
      </c>
      <c r="I66" s="1">
        <v>46056</v>
      </c>
      <c r="J66" s="1">
        <v>46056</v>
      </c>
      <c r="K66" s="2">
        <v>0.375</v>
      </c>
      <c r="L66" t="s">
        <v>20</v>
      </c>
      <c r="O66" t="s">
        <v>17</v>
      </c>
    </row>
    <row r="67" spans="1:15" hidden="1" x14ac:dyDescent="0.25">
      <c r="A67" t="s">
        <v>130</v>
      </c>
      <c r="B67" t="s">
        <v>131</v>
      </c>
      <c r="C67" t="e">
        <v>#NAME?</v>
      </c>
      <c r="D67" t="e">
        <v>#NAME?</v>
      </c>
      <c r="E67">
        <v>33938</v>
      </c>
      <c r="F67">
        <v>4</v>
      </c>
      <c r="G67">
        <v>2987</v>
      </c>
      <c r="H67" s="1">
        <v>46051</v>
      </c>
      <c r="I67" s="1">
        <v>46056</v>
      </c>
      <c r="J67" s="1">
        <v>46056</v>
      </c>
      <c r="K67" s="2">
        <v>0.39583333333333331</v>
      </c>
      <c r="L67" t="s">
        <v>132</v>
      </c>
      <c r="M67" t="s">
        <v>133</v>
      </c>
      <c r="N67">
        <v>4702</v>
      </c>
      <c r="O67" t="s">
        <v>17</v>
      </c>
    </row>
    <row r="68" spans="1:15" hidden="1" x14ac:dyDescent="0.25">
      <c r="A68" t="s">
        <v>134</v>
      </c>
      <c r="B68" t="s">
        <v>135</v>
      </c>
      <c r="C68" t="e">
        <v>#NAME?</v>
      </c>
      <c r="D68" t="e">
        <v>#NAME?</v>
      </c>
      <c r="E68">
        <v>35540</v>
      </c>
      <c r="F68">
        <v>6</v>
      </c>
      <c r="G68">
        <v>4052</v>
      </c>
      <c r="H68" s="1">
        <v>46051</v>
      </c>
      <c r="I68" s="1">
        <v>46056</v>
      </c>
      <c r="J68" s="1">
        <v>46056</v>
      </c>
      <c r="K68" s="2">
        <v>0.39583333333333331</v>
      </c>
      <c r="L68" t="s">
        <v>132</v>
      </c>
      <c r="O68" t="s">
        <v>17</v>
      </c>
    </row>
    <row r="69" spans="1:15" hidden="1" x14ac:dyDescent="0.25">
      <c r="A69" t="s">
        <v>130</v>
      </c>
      <c r="B69" t="s">
        <v>136</v>
      </c>
      <c r="C69" t="e">
        <v>#NAME?</v>
      </c>
      <c r="D69" t="e">
        <v>#NAME?</v>
      </c>
      <c r="E69">
        <v>47300</v>
      </c>
      <c r="F69">
        <v>3</v>
      </c>
      <c r="G69">
        <v>4162</v>
      </c>
      <c r="H69" s="1">
        <v>46051</v>
      </c>
      <c r="I69" s="1">
        <v>46056</v>
      </c>
      <c r="J69" s="1">
        <v>46056</v>
      </c>
      <c r="K69" s="2">
        <v>0.39583333333333331</v>
      </c>
      <c r="L69" t="s">
        <v>132</v>
      </c>
      <c r="O69" t="s">
        <v>17</v>
      </c>
    </row>
    <row r="70" spans="1:15" hidden="1" x14ac:dyDescent="0.25">
      <c r="A70" t="s">
        <v>137</v>
      </c>
      <c r="B70" t="s">
        <v>138</v>
      </c>
      <c r="C70" t="e">
        <v>#NAME?</v>
      </c>
      <c r="D70" t="e">
        <v>#NAME?</v>
      </c>
      <c r="E70">
        <v>33180</v>
      </c>
      <c r="F70">
        <v>4</v>
      </c>
      <c r="G70">
        <v>2555</v>
      </c>
      <c r="H70" s="1">
        <v>46052</v>
      </c>
      <c r="I70" s="1">
        <v>46056</v>
      </c>
      <c r="J70" s="1">
        <v>46056</v>
      </c>
      <c r="K70" s="2">
        <v>0.41666666666666669</v>
      </c>
      <c r="L70" t="s">
        <v>20</v>
      </c>
      <c r="O70" t="s">
        <v>17</v>
      </c>
    </row>
    <row r="71" spans="1:15" hidden="1" x14ac:dyDescent="0.25">
      <c r="A71" t="s">
        <v>139</v>
      </c>
      <c r="B71" t="s">
        <v>140</v>
      </c>
      <c r="C71" t="e">
        <v>#NAME?</v>
      </c>
      <c r="D71" t="e">
        <v>#NAME?</v>
      </c>
      <c r="E71">
        <v>33270</v>
      </c>
      <c r="F71">
        <v>4</v>
      </c>
      <c r="G71">
        <v>3327</v>
      </c>
      <c r="H71" s="1">
        <v>46052</v>
      </c>
      <c r="I71" s="1">
        <v>46056</v>
      </c>
      <c r="J71" s="1">
        <v>46056</v>
      </c>
      <c r="K71" s="2">
        <v>0.41666666666666669</v>
      </c>
      <c r="L71" t="s">
        <v>20</v>
      </c>
      <c r="O71" t="s">
        <v>17</v>
      </c>
    </row>
    <row r="72" spans="1:15" hidden="1" x14ac:dyDescent="0.25">
      <c r="A72" t="s">
        <v>137</v>
      </c>
      <c r="B72" t="s">
        <v>141</v>
      </c>
      <c r="C72" t="e">
        <v>#NAME?</v>
      </c>
      <c r="D72" t="e">
        <v>#NAME?</v>
      </c>
      <c r="E72">
        <v>32236</v>
      </c>
      <c r="F72">
        <v>4</v>
      </c>
      <c r="G72">
        <v>2482</v>
      </c>
      <c r="H72" s="1">
        <v>46052</v>
      </c>
      <c r="I72" s="1">
        <v>46056</v>
      </c>
      <c r="J72" s="1">
        <v>46056</v>
      </c>
      <c r="K72" s="2">
        <v>0.41666666666666669</v>
      </c>
      <c r="L72" t="s">
        <v>20</v>
      </c>
      <c r="O72" t="s">
        <v>17</v>
      </c>
    </row>
    <row r="73" spans="1:15" hidden="1" x14ac:dyDescent="0.25">
      <c r="A73" t="s">
        <v>142</v>
      </c>
      <c r="B73" t="s">
        <v>143</v>
      </c>
      <c r="C73" t="e">
        <v>#NAME?</v>
      </c>
      <c r="D73" t="e">
        <v>#NAME?</v>
      </c>
      <c r="E73">
        <v>63081</v>
      </c>
      <c r="F73">
        <v>7</v>
      </c>
      <c r="G73">
        <v>6624</v>
      </c>
      <c r="H73" s="1">
        <v>46052</v>
      </c>
      <c r="I73" s="1">
        <v>46056</v>
      </c>
      <c r="J73" s="1">
        <v>46056</v>
      </c>
      <c r="K73" s="2">
        <v>0.41666666666666669</v>
      </c>
      <c r="L73" t="s">
        <v>20</v>
      </c>
      <c r="O73" t="s">
        <v>17</v>
      </c>
    </row>
    <row r="74" spans="1:15" hidden="1" x14ac:dyDescent="0.25">
      <c r="A74" t="s">
        <v>144</v>
      </c>
      <c r="B74" t="s">
        <v>145</v>
      </c>
      <c r="C74" t="e">
        <v>#NAME?</v>
      </c>
      <c r="D74" t="e">
        <v>#NAME?</v>
      </c>
      <c r="E74">
        <v>43437</v>
      </c>
      <c r="F74">
        <v>5</v>
      </c>
      <c r="G74">
        <v>4995</v>
      </c>
      <c r="H74" s="1">
        <v>46052</v>
      </c>
      <c r="I74" s="1">
        <v>46056</v>
      </c>
      <c r="J74" s="1">
        <v>46056</v>
      </c>
      <c r="K74" s="2">
        <v>0.41666666666666669</v>
      </c>
      <c r="L74" t="s">
        <v>20</v>
      </c>
      <c r="O74" t="s">
        <v>17</v>
      </c>
    </row>
    <row r="75" spans="1:15" hidden="1" x14ac:dyDescent="0.25">
      <c r="A75" t="s">
        <v>146</v>
      </c>
      <c r="B75" t="s">
        <v>147</v>
      </c>
      <c r="C75" t="e">
        <v>#NAME?</v>
      </c>
      <c r="D75" t="e">
        <v>#NAME?</v>
      </c>
      <c r="E75">
        <v>33437</v>
      </c>
      <c r="F75">
        <v>4</v>
      </c>
      <c r="G75">
        <v>2575</v>
      </c>
      <c r="H75" s="1">
        <v>46052</v>
      </c>
      <c r="I75" s="1">
        <v>46056</v>
      </c>
      <c r="J75" s="1">
        <v>46056</v>
      </c>
      <c r="K75" s="2">
        <v>0.41666666666666669</v>
      </c>
      <c r="L75" t="s">
        <v>20</v>
      </c>
      <c r="O75" t="s">
        <v>17</v>
      </c>
    </row>
    <row r="76" spans="1:15" hidden="1" x14ac:dyDescent="0.25">
      <c r="A76" t="s">
        <v>148</v>
      </c>
      <c r="B76" t="s">
        <v>149</v>
      </c>
      <c r="C76" t="e">
        <v>#NAME?</v>
      </c>
      <c r="D76" t="e">
        <v>#NAME?</v>
      </c>
      <c r="E76">
        <v>56587</v>
      </c>
      <c r="F76">
        <v>3</v>
      </c>
      <c r="G76">
        <v>2207</v>
      </c>
      <c r="H76" s="1">
        <v>46052</v>
      </c>
      <c r="I76" s="1">
        <v>46057</v>
      </c>
      <c r="J76" s="1">
        <v>46057</v>
      </c>
      <c r="K76" s="2">
        <v>0.375</v>
      </c>
      <c r="L76" t="s">
        <v>20</v>
      </c>
      <c r="M76" t="s">
        <v>150</v>
      </c>
      <c r="N76">
        <v>2265</v>
      </c>
      <c r="O76" t="s">
        <v>17</v>
      </c>
    </row>
    <row r="77" spans="1:15" hidden="1" x14ac:dyDescent="0.25">
      <c r="A77" t="s">
        <v>148</v>
      </c>
      <c r="B77" t="s">
        <v>151</v>
      </c>
      <c r="C77" t="e">
        <v>#NAME?</v>
      </c>
      <c r="D77" t="e">
        <v>#NAME?</v>
      </c>
      <c r="E77">
        <v>41458</v>
      </c>
      <c r="F77">
        <v>14</v>
      </c>
      <c r="G77">
        <v>10986</v>
      </c>
      <c r="H77" s="1">
        <v>46052</v>
      </c>
      <c r="I77" s="1">
        <v>46057</v>
      </c>
      <c r="J77" s="1">
        <v>46057</v>
      </c>
      <c r="K77" s="2">
        <v>0.375</v>
      </c>
      <c r="L77" t="s">
        <v>20</v>
      </c>
      <c r="M77" t="s">
        <v>150</v>
      </c>
      <c r="N77">
        <v>10987</v>
      </c>
      <c r="O77" t="s">
        <v>17</v>
      </c>
    </row>
    <row r="78" spans="1:15" hidden="1" x14ac:dyDescent="0.25">
      <c r="A78" t="s">
        <v>152</v>
      </c>
      <c r="B78" t="s">
        <v>153</v>
      </c>
      <c r="C78" t="e">
        <v>#NAME?</v>
      </c>
      <c r="D78" t="e">
        <v>#NAME?</v>
      </c>
      <c r="E78">
        <v>46836</v>
      </c>
      <c r="F78">
        <v>8</v>
      </c>
      <c r="G78">
        <v>5292</v>
      </c>
      <c r="H78" s="1">
        <v>46052</v>
      </c>
      <c r="I78" s="1">
        <v>46057</v>
      </c>
      <c r="J78" s="1">
        <v>46057</v>
      </c>
      <c r="K78" s="2">
        <v>0.375</v>
      </c>
      <c r="L78" t="s">
        <v>20</v>
      </c>
      <c r="M78" t="s">
        <v>150</v>
      </c>
      <c r="N78">
        <v>4645</v>
      </c>
      <c r="O78" t="s">
        <v>17</v>
      </c>
    </row>
    <row r="79" spans="1:15" hidden="1" x14ac:dyDescent="0.25">
      <c r="A79" t="s">
        <v>152</v>
      </c>
      <c r="B79" t="s">
        <v>154</v>
      </c>
      <c r="C79" t="e">
        <v>#NAME?</v>
      </c>
      <c r="D79" t="e">
        <v>#NAME?</v>
      </c>
      <c r="E79">
        <v>25349</v>
      </c>
      <c r="F79">
        <v>2</v>
      </c>
      <c r="G79">
        <v>2434</v>
      </c>
      <c r="H79" s="1">
        <v>46052</v>
      </c>
      <c r="I79" s="1">
        <v>46057</v>
      </c>
      <c r="J79" s="1">
        <v>46057</v>
      </c>
      <c r="K79" s="2">
        <v>0.375</v>
      </c>
      <c r="L79" t="s">
        <v>20</v>
      </c>
      <c r="M79" t="s">
        <v>150</v>
      </c>
      <c r="N79">
        <v>2538</v>
      </c>
      <c r="O79" t="s">
        <v>17</v>
      </c>
    </row>
    <row r="80" spans="1:15" hidden="1" x14ac:dyDescent="0.25">
      <c r="A80" t="s">
        <v>155</v>
      </c>
      <c r="B80" t="s">
        <v>156</v>
      </c>
      <c r="C80" t="e">
        <v>#NAME?</v>
      </c>
      <c r="D80" t="e">
        <v>#NAME?</v>
      </c>
      <c r="E80">
        <v>55032</v>
      </c>
      <c r="F80">
        <v>6</v>
      </c>
      <c r="G80">
        <v>9906</v>
      </c>
      <c r="H80" s="1">
        <v>46055</v>
      </c>
      <c r="I80" s="1">
        <v>46057</v>
      </c>
      <c r="J80" s="1">
        <v>46057</v>
      </c>
      <c r="K80" s="2">
        <v>0.47916666666666669</v>
      </c>
      <c r="L80" t="s">
        <v>20</v>
      </c>
      <c r="N80">
        <v>5394</v>
      </c>
      <c r="O80" t="s">
        <v>17</v>
      </c>
    </row>
    <row r="81" spans="1:15" hidden="1" x14ac:dyDescent="0.25">
      <c r="A81" t="s">
        <v>157</v>
      </c>
      <c r="B81" t="s">
        <v>158</v>
      </c>
      <c r="C81" t="e">
        <v>#NAME?</v>
      </c>
      <c r="D81" t="e">
        <v>#NAME?</v>
      </c>
      <c r="E81">
        <v>39020</v>
      </c>
      <c r="F81">
        <v>5</v>
      </c>
      <c r="G81">
        <v>7024</v>
      </c>
      <c r="H81" s="1">
        <v>46055</v>
      </c>
      <c r="I81" s="1">
        <v>46057</v>
      </c>
      <c r="J81" s="1">
        <v>46057</v>
      </c>
      <c r="K81" s="2">
        <v>0.47916666666666669</v>
      </c>
      <c r="L81" t="s">
        <v>20</v>
      </c>
      <c r="N81">
        <v>3968</v>
      </c>
      <c r="O81" t="s">
        <v>17</v>
      </c>
    </row>
    <row r="82" spans="1:15" hidden="1" x14ac:dyDescent="0.25">
      <c r="A82" t="s">
        <v>159</v>
      </c>
      <c r="B82" t="s">
        <v>160</v>
      </c>
      <c r="C82" t="e">
        <v>#NAME?</v>
      </c>
      <c r="D82" t="e">
        <v>#NAME?</v>
      </c>
      <c r="E82">
        <v>73426</v>
      </c>
      <c r="F82">
        <v>9</v>
      </c>
      <c r="G82">
        <v>7710</v>
      </c>
      <c r="H82" s="1">
        <v>46055</v>
      </c>
      <c r="I82" s="1">
        <v>46057</v>
      </c>
      <c r="J82" s="1">
        <v>46057</v>
      </c>
      <c r="K82" s="2">
        <v>0.47916666666666669</v>
      </c>
      <c r="L82" t="s">
        <v>20</v>
      </c>
      <c r="N82">
        <v>7196</v>
      </c>
      <c r="O82" t="s">
        <v>17</v>
      </c>
    </row>
    <row r="83" spans="1:15" hidden="1" x14ac:dyDescent="0.25">
      <c r="A83" t="s">
        <v>159</v>
      </c>
      <c r="B83" t="s">
        <v>161</v>
      </c>
      <c r="C83" t="e">
        <v>#NAME?</v>
      </c>
      <c r="D83" t="e">
        <v>#NAME?</v>
      </c>
      <c r="E83">
        <v>33019</v>
      </c>
      <c r="F83">
        <v>4</v>
      </c>
      <c r="G83">
        <v>3467</v>
      </c>
      <c r="H83" s="1">
        <v>46055</v>
      </c>
      <c r="I83" s="1">
        <v>46057</v>
      </c>
      <c r="J83" s="1">
        <v>46057</v>
      </c>
      <c r="K83" s="2">
        <v>0.47916666666666669</v>
      </c>
      <c r="L83" t="s">
        <v>20</v>
      </c>
      <c r="N83">
        <v>3236</v>
      </c>
      <c r="O83" t="s">
        <v>17</v>
      </c>
    </row>
    <row r="84" spans="1:15" hidden="1" x14ac:dyDescent="0.25">
      <c r="A84" t="s">
        <v>162</v>
      </c>
      <c r="B84" t="s">
        <v>163</v>
      </c>
      <c r="C84" t="e">
        <v>#NAME?</v>
      </c>
      <c r="D84" t="e">
        <v>#NAME?</v>
      </c>
      <c r="E84">
        <v>32422</v>
      </c>
      <c r="F84">
        <v>4</v>
      </c>
      <c r="G84">
        <v>3404</v>
      </c>
      <c r="H84" s="1">
        <v>46055</v>
      </c>
      <c r="I84" s="1">
        <v>46057</v>
      </c>
      <c r="J84" s="1">
        <v>46057</v>
      </c>
      <c r="K84" s="2">
        <v>0.47916666666666669</v>
      </c>
      <c r="L84" t="s">
        <v>20</v>
      </c>
      <c r="N84">
        <v>3178</v>
      </c>
      <c r="O84" t="s">
        <v>17</v>
      </c>
    </row>
    <row r="85" spans="1:15" hidden="1" x14ac:dyDescent="0.25">
      <c r="A85" t="s">
        <v>164</v>
      </c>
      <c r="B85" t="s">
        <v>165</v>
      </c>
      <c r="C85" t="e">
        <v>#NAME?</v>
      </c>
      <c r="D85" t="e">
        <v>#NAME?</v>
      </c>
      <c r="E85">
        <v>24025</v>
      </c>
      <c r="F85">
        <v>3</v>
      </c>
      <c r="G85">
        <v>2523</v>
      </c>
      <c r="H85" s="1">
        <v>46055</v>
      </c>
      <c r="I85" s="1">
        <v>46058</v>
      </c>
      <c r="J85" s="1">
        <v>46058</v>
      </c>
      <c r="K85" s="2">
        <v>0.375</v>
      </c>
      <c r="L85" t="s">
        <v>20</v>
      </c>
      <c r="M85" t="s">
        <v>166</v>
      </c>
      <c r="N85">
        <v>2355</v>
      </c>
      <c r="O85" t="s">
        <v>17</v>
      </c>
    </row>
    <row r="86" spans="1:15" hidden="1" x14ac:dyDescent="0.25">
      <c r="A86" t="s">
        <v>167</v>
      </c>
      <c r="B86" t="s">
        <v>168</v>
      </c>
      <c r="C86" t="e">
        <v>#NAME?</v>
      </c>
      <c r="D86" t="e">
        <v>#NAME?</v>
      </c>
      <c r="E86">
        <v>32483</v>
      </c>
      <c r="F86">
        <v>4</v>
      </c>
      <c r="G86">
        <v>3346</v>
      </c>
      <c r="H86" s="1">
        <v>46055</v>
      </c>
      <c r="I86" s="1">
        <v>46058</v>
      </c>
      <c r="J86" s="1">
        <v>46058</v>
      </c>
      <c r="K86" s="2">
        <v>0.375</v>
      </c>
      <c r="L86" t="s">
        <v>20</v>
      </c>
      <c r="M86" t="s">
        <v>166</v>
      </c>
      <c r="N86">
        <v>3184</v>
      </c>
      <c r="O86" t="s">
        <v>17</v>
      </c>
    </row>
    <row r="87" spans="1:15" hidden="1" x14ac:dyDescent="0.25">
      <c r="A87" t="s">
        <v>169</v>
      </c>
      <c r="B87" t="s">
        <v>170</v>
      </c>
      <c r="C87" t="e">
        <v>#NAME?</v>
      </c>
      <c r="D87" t="e">
        <v>#NAME?</v>
      </c>
      <c r="E87">
        <v>36587</v>
      </c>
      <c r="F87">
        <v>5</v>
      </c>
      <c r="G87">
        <v>3659</v>
      </c>
      <c r="H87" s="1">
        <v>46055</v>
      </c>
      <c r="I87" s="1">
        <v>46058</v>
      </c>
      <c r="J87" s="1">
        <v>46058</v>
      </c>
      <c r="K87" s="2">
        <v>0.375</v>
      </c>
      <c r="L87" t="s">
        <v>20</v>
      </c>
      <c r="M87" t="s">
        <v>166</v>
      </c>
      <c r="N87">
        <v>3863</v>
      </c>
      <c r="O87" t="s">
        <v>17</v>
      </c>
    </row>
    <row r="88" spans="1:15" hidden="1" x14ac:dyDescent="0.25">
      <c r="A88" t="s">
        <v>171</v>
      </c>
      <c r="B88" t="s">
        <v>172</v>
      </c>
      <c r="C88" t="e">
        <v>#NAME?</v>
      </c>
      <c r="D88" t="e">
        <v>#NAME?</v>
      </c>
      <c r="E88">
        <v>39724</v>
      </c>
      <c r="F88">
        <v>5</v>
      </c>
      <c r="G88">
        <v>4171</v>
      </c>
      <c r="H88" s="1">
        <v>46055</v>
      </c>
      <c r="I88" s="1">
        <v>46058</v>
      </c>
      <c r="J88" s="1">
        <v>46058</v>
      </c>
      <c r="K88" s="2">
        <v>0.375</v>
      </c>
      <c r="L88" t="s">
        <v>20</v>
      </c>
      <c r="M88" t="s">
        <v>166</v>
      </c>
      <c r="N88">
        <v>3893</v>
      </c>
      <c r="O88" t="s">
        <v>17</v>
      </c>
    </row>
    <row r="89" spans="1:15" hidden="1" x14ac:dyDescent="0.25">
      <c r="A89" t="s">
        <v>173</v>
      </c>
      <c r="B89" t="s">
        <v>174</v>
      </c>
      <c r="C89" t="e">
        <v>#NAME?</v>
      </c>
      <c r="D89" t="e">
        <v>#NAME?</v>
      </c>
      <c r="E89">
        <v>33225</v>
      </c>
      <c r="F89">
        <v>4</v>
      </c>
      <c r="G89">
        <v>3489</v>
      </c>
      <c r="H89" s="1">
        <v>46055</v>
      </c>
      <c r="I89" s="1">
        <v>46058</v>
      </c>
      <c r="J89" s="1">
        <v>46058</v>
      </c>
      <c r="K89" s="2">
        <v>0.375</v>
      </c>
      <c r="L89" t="s">
        <v>20</v>
      </c>
      <c r="M89" t="s">
        <v>166</v>
      </c>
      <c r="N89">
        <v>2984</v>
      </c>
      <c r="O89" t="s">
        <v>17</v>
      </c>
    </row>
    <row r="90" spans="1:15" hidden="1" x14ac:dyDescent="0.25">
      <c r="A90" t="s">
        <v>175</v>
      </c>
      <c r="B90" t="s">
        <v>176</v>
      </c>
      <c r="C90" t="e">
        <v>#NAME?</v>
      </c>
      <c r="D90" t="e">
        <v>#NAME?</v>
      </c>
      <c r="E90">
        <v>48444</v>
      </c>
      <c r="F90">
        <v>6</v>
      </c>
      <c r="G90">
        <v>5087</v>
      </c>
      <c r="H90" s="1">
        <v>46055</v>
      </c>
      <c r="I90" s="1">
        <v>46058</v>
      </c>
      <c r="J90" s="1">
        <v>46058</v>
      </c>
      <c r="K90" s="2">
        <v>0.375</v>
      </c>
      <c r="L90" t="s">
        <v>20</v>
      </c>
      <c r="M90" t="s">
        <v>166</v>
      </c>
      <c r="N90">
        <v>4748</v>
      </c>
      <c r="O90" t="s">
        <v>17</v>
      </c>
    </row>
    <row r="91" spans="1:15" hidden="1" x14ac:dyDescent="0.25">
      <c r="A91" t="s">
        <v>177</v>
      </c>
      <c r="B91" t="s">
        <v>178</v>
      </c>
      <c r="C91" t="e">
        <v>#NAME?</v>
      </c>
      <c r="D91" t="e">
        <v>#NAME?</v>
      </c>
      <c r="E91">
        <v>23799</v>
      </c>
      <c r="F91">
        <v>4</v>
      </c>
      <c r="G91">
        <v>2689</v>
      </c>
      <c r="H91" s="1">
        <v>46045</v>
      </c>
      <c r="I91" s="1">
        <v>46058</v>
      </c>
      <c r="J91" s="1">
        <v>46058</v>
      </c>
      <c r="K91" s="2">
        <v>0.39583333333333331</v>
      </c>
      <c r="L91" t="s">
        <v>20</v>
      </c>
      <c r="M91" t="s">
        <v>179</v>
      </c>
      <c r="N91">
        <v>2761.71</v>
      </c>
      <c r="O91" t="s">
        <v>17</v>
      </c>
    </row>
    <row r="92" spans="1:15" hidden="1" x14ac:dyDescent="0.25">
      <c r="A92" t="s">
        <v>180</v>
      </c>
      <c r="B92" t="s">
        <v>181</v>
      </c>
      <c r="C92" t="e">
        <v>#NAME?</v>
      </c>
      <c r="D92" t="e">
        <v>#NAME?</v>
      </c>
      <c r="E92">
        <v>34249</v>
      </c>
      <c r="F92">
        <v>4</v>
      </c>
      <c r="G92">
        <v>3596</v>
      </c>
      <c r="H92" s="1">
        <v>46057</v>
      </c>
      <c r="I92" s="1">
        <v>46059</v>
      </c>
      <c r="J92" s="1">
        <v>46059</v>
      </c>
      <c r="K92" s="2">
        <v>0.375</v>
      </c>
      <c r="L92" t="s">
        <v>31</v>
      </c>
      <c r="M92" t="s">
        <v>182</v>
      </c>
      <c r="N92">
        <v>3389</v>
      </c>
      <c r="O92" t="s">
        <v>17</v>
      </c>
    </row>
    <row r="93" spans="1:15" hidden="1" x14ac:dyDescent="0.25">
      <c r="A93" t="s">
        <v>183</v>
      </c>
      <c r="B93" t="s">
        <v>184</v>
      </c>
      <c r="C93" t="e">
        <v>#NAME?</v>
      </c>
      <c r="D93" t="e">
        <v>#NAME?</v>
      </c>
      <c r="E93">
        <v>46412</v>
      </c>
      <c r="F93">
        <v>5</v>
      </c>
      <c r="G93">
        <v>5755</v>
      </c>
      <c r="H93" s="1">
        <v>46057</v>
      </c>
      <c r="I93" s="1">
        <v>46059</v>
      </c>
      <c r="J93" s="1">
        <v>46059</v>
      </c>
      <c r="K93" s="2">
        <v>0.375</v>
      </c>
      <c r="L93" t="s">
        <v>31</v>
      </c>
      <c r="M93" t="s">
        <v>182</v>
      </c>
      <c r="N93">
        <v>4552</v>
      </c>
      <c r="O93" t="s">
        <v>17</v>
      </c>
    </row>
    <row r="94" spans="1:15" hidden="1" x14ac:dyDescent="0.25">
      <c r="A94" t="s">
        <v>185</v>
      </c>
      <c r="B94" t="s">
        <v>186</v>
      </c>
      <c r="C94" t="e">
        <v>#NAME?</v>
      </c>
      <c r="D94" t="e">
        <v>#NAME?</v>
      </c>
      <c r="E94">
        <v>23988</v>
      </c>
      <c r="F94">
        <v>3</v>
      </c>
      <c r="G94">
        <v>2519</v>
      </c>
      <c r="H94" s="1">
        <v>46057</v>
      </c>
      <c r="I94" s="1">
        <v>46059</v>
      </c>
      <c r="J94" s="1">
        <v>46059</v>
      </c>
      <c r="K94" s="2">
        <v>0.375</v>
      </c>
      <c r="L94" t="s">
        <v>31</v>
      </c>
      <c r="M94" t="s">
        <v>182</v>
      </c>
      <c r="N94">
        <v>2176</v>
      </c>
      <c r="O94" t="s">
        <v>17</v>
      </c>
    </row>
    <row r="95" spans="1:15" hidden="1" x14ac:dyDescent="0.25">
      <c r="A95" t="s">
        <v>187</v>
      </c>
      <c r="B95" t="s">
        <v>188</v>
      </c>
      <c r="C95" t="e">
        <v>#NAME?</v>
      </c>
      <c r="D95" t="e">
        <v>#NAME?</v>
      </c>
      <c r="E95">
        <v>23533</v>
      </c>
      <c r="F95">
        <v>3</v>
      </c>
      <c r="G95">
        <v>2471</v>
      </c>
      <c r="H95" s="1">
        <v>46057</v>
      </c>
      <c r="I95" s="1">
        <v>46059</v>
      </c>
      <c r="J95" s="1">
        <v>46059</v>
      </c>
      <c r="K95" s="2">
        <v>0.375</v>
      </c>
      <c r="L95" t="s">
        <v>31</v>
      </c>
      <c r="M95" t="s">
        <v>182</v>
      </c>
      <c r="N95">
        <v>2321</v>
      </c>
      <c r="O95" t="s">
        <v>17</v>
      </c>
    </row>
    <row r="96" spans="1:15" hidden="1" x14ac:dyDescent="0.25">
      <c r="A96" t="s">
        <v>189</v>
      </c>
      <c r="B96" t="s">
        <v>190</v>
      </c>
      <c r="C96" t="e">
        <v>#NAME?</v>
      </c>
      <c r="D96" t="e">
        <v>#NAME?</v>
      </c>
      <c r="E96">
        <v>26828</v>
      </c>
      <c r="F96">
        <v>3</v>
      </c>
      <c r="G96">
        <v>2683</v>
      </c>
      <c r="H96" s="1">
        <v>46057</v>
      </c>
      <c r="I96" s="1">
        <v>46059</v>
      </c>
      <c r="J96" s="1">
        <v>46059</v>
      </c>
      <c r="K96" s="2">
        <v>0.375</v>
      </c>
      <c r="L96" t="s">
        <v>31</v>
      </c>
      <c r="M96" t="s">
        <v>182</v>
      </c>
      <c r="N96">
        <v>2375</v>
      </c>
      <c r="O96" t="s">
        <v>17</v>
      </c>
    </row>
    <row r="97" spans="1:15" hidden="1" x14ac:dyDescent="0.25">
      <c r="A97" t="s">
        <v>191</v>
      </c>
      <c r="B97" t="s">
        <v>192</v>
      </c>
      <c r="C97" t="e">
        <v>#NAME?</v>
      </c>
      <c r="D97" t="e">
        <v>#NAME?</v>
      </c>
      <c r="E97">
        <v>43377</v>
      </c>
      <c r="F97">
        <v>9</v>
      </c>
      <c r="G97">
        <v>3557</v>
      </c>
      <c r="H97" s="1">
        <v>46044</v>
      </c>
      <c r="I97" s="1">
        <v>46059</v>
      </c>
      <c r="J97" s="1">
        <v>46059</v>
      </c>
      <c r="K97" s="2">
        <v>0.375</v>
      </c>
      <c r="L97" t="s">
        <v>31</v>
      </c>
      <c r="M97" t="s">
        <v>193</v>
      </c>
      <c r="N97">
        <v>5194.9599999999991</v>
      </c>
      <c r="O97" t="s">
        <v>17</v>
      </c>
    </row>
    <row r="98" spans="1:15" hidden="1" x14ac:dyDescent="0.25">
      <c r="A98" t="s">
        <v>191</v>
      </c>
      <c r="B98" t="s">
        <v>194</v>
      </c>
      <c r="C98" t="e">
        <v>#NAME?</v>
      </c>
      <c r="D98" t="e">
        <v>#NAME?</v>
      </c>
      <c r="E98">
        <v>40605</v>
      </c>
      <c r="F98">
        <v>9</v>
      </c>
      <c r="G98">
        <v>4264</v>
      </c>
      <c r="H98" s="1">
        <v>46044</v>
      </c>
      <c r="I98" s="1">
        <v>46059</v>
      </c>
      <c r="J98" s="1">
        <v>46059</v>
      </c>
      <c r="K98" s="2">
        <v>0.375</v>
      </c>
      <c r="L98" t="s">
        <v>31</v>
      </c>
      <c r="M98" t="s">
        <v>193</v>
      </c>
      <c r="N98">
        <v>4304.97</v>
      </c>
      <c r="O98" t="s">
        <v>17</v>
      </c>
    </row>
    <row r="99" spans="1:15" hidden="1" x14ac:dyDescent="0.25">
      <c r="A99" t="s">
        <v>195</v>
      </c>
      <c r="B99" t="s">
        <v>196</v>
      </c>
      <c r="C99" t="e">
        <v>#NAME?</v>
      </c>
      <c r="D99" t="e">
        <v>#NAME?</v>
      </c>
      <c r="E99">
        <v>39096</v>
      </c>
      <c r="F99">
        <v>5</v>
      </c>
      <c r="G99">
        <v>3010</v>
      </c>
      <c r="H99" s="1">
        <v>46057</v>
      </c>
      <c r="I99" s="1">
        <v>46059</v>
      </c>
      <c r="J99" s="1">
        <v>46059</v>
      </c>
      <c r="K99" s="2">
        <v>0.375</v>
      </c>
      <c r="L99" t="s">
        <v>31</v>
      </c>
      <c r="M99" t="s">
        <v>182</v>
      </c>
      <c r="N99">
        <v>3835</v>
      </c>
      <c r="O99" t="s">
        <v>17</v>
      </c>
    </row>
    <row r="100" spans="1:15" hidden="1" x14ac:dyDescent="0.25">
      <c r="A100" t="s">
        <v>197</v>
      </c>
      <c r="B100" t="s">
        <v>198</v>
      </c>
      <c r="C100" t="e">
        <v>#NAME?</v>
      </c>
      <c r="D100" t="e">
        <v>#NAME?</v>
      </c>
      <c r="E100">
        <v>46022</v>
      </c>
      <c r="F100">
        <v>5</v>
      </c>
      <c r="G100">
        <v>4832</v>
      </c>
      <c r="H100" s="1">
        <v>46057</v>
      </c>
      <c r="I100" s="1">
        <v>46059</v>
      </c>
      <c r="J100" s="1">
        <v>46059</v>
      </c>
      <c r="K100" s="2">
        <v>0.375</v>
      </c>
      <c r="L100" t="s">
        <v>31</v>
      </c>
      <c r="M100" t="s">
        <v>182</v>
      </c>
      <c r="N100">
        <v>3626</v>
      </c>
      <c r="O100" t="s">
        <v>17</v>
      </c>
    </row>
    <row r="101" spans="1:15" hidden="1" x14ac:dyDescent="0.25">
      <c r="A101" t="s">
        <v>199</v>
      </c>
      <c r="B101" t="s">
        <v>200</v>
      </c>
      <c r="C101" t="e">
        <v>#NAME?</v>
      </c>
      <c r="D101" t="e">
        <v>#NAME?</v>
      </c>
      <c r="E101">
        <v>23919</v>
      </c>
      <c r="F101">
        <v>4</v>
      </c>
      <c r="G101">
        <v>3660</v>
      </c>
      <c r="H101" s="1">
        <v>46057</v>
      </c>
      <c r="I101" s="1">
        <v>46059</v>
      </c>
      <c r="J101" s="1">
        <v>46059</v>
      </c>
      <c r="K101" s="2">
        <v>0.39583333333333331</v>
      </c>
      <c r="L101" t="s">
        <v>31</v>
      </c>
      <c r="M101" t="s">
        <v>201</v>
      </c>
      <c r="N101">
        <v>2772.36</v>
      </c>
      <c r="O101" t="s">
        <v>17</v>
      </c>
    </row>
    <row r="102" spans="1:15" hidden="1" x14ac:dyDescent="0.25">
      <c r="A102" t="s">
        <v>202</v>
      </c>
      <c r="B102" t="s">
        <v>203</v>
      </c>
      <c r="C102" t="e">
        <v>#NAME?</v>
      </c>
      <c r="D102" t="e">
        <v>#NAME?</v>
      </c>
      <c r="E102">
        <v>43589</v>
      </c>
      <c r="F102">
        <v>6</v>
      </c>
      <c r="G102">
        <v>5405</v>
      </c>
      <c r="H102" s="1">
        <v>46057</v>
      </c>
      <c r="I102" s="1">
        <v>46059</v>
      </c>
      <c r="J102" s="1">
        <v>46059</v>
      </c>
      <c r="K102" s="2">
        <v>0.39583333333333331</v>
      </c>
      <c r="L102" t="s">
        <v>31</v>
      </c>
      <c r="M102" t="s">
        <v>201</v>
      </c>
      <c r="N102">
        <v>5230.68</v>
      </c>
      <c r="O102" t="s">
        <v>17</v>
      </c>
    </row>
    <row r="103" spans="1:15" hidden="1" x14ac:dyDescent="0.25">
      <c r="A103" t="s">
        <v>199</v>
      </c>
      <c r="B103" t="s">
        <v>204</v>
      </c>
      <c r="C103" t="e">
        <v>#NAME?</v>
      </c>
      <c r="D103" t="e">
        <v>#NAME?</v>
      </c>
      <c r="E103">
        <v>37726</v>
      </c>
      <c r="F103">
        <v>5</v>
      </c>
      <c r="G103">
        <v>4338</v>
      </c>
      <c r="H103" s="1">
        <v>46057</v>
      </c>
      <c r="I103" s="1">
        <v>46059</v>
      </c>
      <c r="J103" s="1">
        <v>46059</v>
      </c>
      <c r="K103" s="2">
        <v>0.39583333333333331</v>
      </c>
      <c r="L103" t="s">
        <v>31</v>
      </c>
      <c r="M103" t="s">
        <v>201</v>
      </c>
      <c r="N103">
        <v>4300.76</v>
      </c>
      <c r="O103" t="s">
        <v>17</v>
      </c>
    </row>
    <row r="104" spans="1:15" hidden="1" x14ac:dyDescent="0.25">
      <c r="A104" t="s">
        <v>205</v>
      </c>
      <c r="B104" t="s">
        <v>206</v>
      </c>
      <c r="C104" t="e">
        <v>#NAME?</v>
      </c>
      <c r="D104" t="e">
        <v>#NAME?</v>
      </c>
      <c r="E104">
        <v>37900</v>
      </c>
      <c r="F104">
        <v>5</v>
      </c>
      <c r="G104">
        <v>3980</v>
      </c>
      <c r="H104" s="1">
        <v>46057</v>
      </c>
      <c r="I104" s="1">
        <v>46059</v>
      </c>
      <c r="J104" s="1">
        <v>46059</v>
      </c>
      <c r="K104" s="2">
        <v>0.39583333333333331</v>
      </c>
      <c r="L104" t="s">
        <v>31</v>
      </c>
      <c r="M104" t="s">
        <v>201</v>
      </c>
      <c r="N104">
        <v>3941.6</v>
      </c>
      <c r="O104" t="s">
        <v>17</v>
      </c>
    </row>
    <row r="105" spans="1:15" hidden="1" x14ac:dyDescent="0.25">
      <c r="A105" t="s">
        <v>207</v>
      </c>
      <c r="B105" t="s">
        <v>208</v>
      </c>
      <c r="C105" t="e">
        <v>#NAME?</v>
      </c>
      <c r="D105" t="e">
        <v>#NAME?</v>
      </c>
      <c r="E105">
        <v>26467</v>
      </c>
      <c r="F105">
        <v>5</v>
      </c>
      <c r="G105">
        <v>4288</v>
      </c>
      <c r="H105" s="1">
        <v>46057</v>
      </c>
      <c r="I105" s="1">
        <v>46059</v>
      </c>
      <c r="J105" s="1">
        <v>46059</v>
      </c>
      <c r="K105" s="2">
        <v>0.39583333333333331</v>
      </c>
      <c r="L105" t="s">
        <v>31</v>
      </c>
      <c r="M105" t="s">
        <v>201</v>
      </c>
      <c r="N105">
        <v>4234.72</v>
      </c>
      <c r="O105" t="s">
        <v>17</v>
      </c>
    </row>
    <row r="106" spans="1:15" hidden="1" x14ac:dyDescent="0.25">
      <c r="A106" t="s">
        <v>209</v>
      </c>
      <c r="B106" t="s">
        <v>210</v>
      </c>
      <c r="C106" t="e">
        <v>#NAME?</v>
      </c>
      <c r="D106" t="e">
        <v>#NAME?</v>
      </c>
      <c r="E106">
        <v>24513</v>
      </c>
      <c r="F106">
        <v>3</v>
      </c>
      <c r="G106">
        <v>1961</v>
      </c>
      <c r="H106" s="1">
        <v>46057</v>
      </c>
      <c r="I106" s="1">
        <v>46059</v>
      </c>
      <c r="J106" s="1">
        <v>46059</v>
      </c>
      <c r="K106" s="2">
        <v>0.54166666666666663</v>
      </c>
      <c r="L106" t="s">
        <v>211</v>
      </c>
      <c r="M106" t="s">
        <v>212</v>
      </c>
      <c r="N106">
        <v>2535.5</v>
      </c>
      <c r="O106" t="s">
        <v>17</v>
      </c>
    </row>
    <row r="107" spans="1:15" hidden="1" x14ac:dyDescent="0.25">
      <c r="A107" t="s">
        <v>213</v>
      </c>
      <c r="B107" t="s">
        <v>214</v>
      </c>
      <c r="C107" t="e">
        <v>#NAME?</v>
      </c>
      <c r="D107" t="e">
        <v>#NAME?</v>
      </c>
      <c r="E107">
        <v>35610</v>
      </c>
      <c r="F107">
        <v>4</v>
      </c>
      <c r="G107">
        <v>2849</v>
      </c>
      <c r="H107" s="1">
        <v>46058</v>
      </c>
      <c r="I107" s="1">
        <v>46062</v>
      </c>
      <c r="J107" s="1">
        <v>46062</v>
      </c>
      <c r="K107" s="2">
        <v>0.41666666666666669</v>
      </c>
      <c r="L107" t="s">
        <v>20</v>
      </c>
      <c r="M107" t="s">
        <v>215</v>
      </c>
      <c r="N107">
        <v>3492</v>
      </c>
      <c r="O107" t="s">
        <v>17</v>
      </c>
    </row>
    <row r="108" spans="1:15" hidden="1" x14ac:dyDescent="0.25">
      <c r="A108" t="s">
        <v>216</v>
      </c>
      <c r="B108" t="s">
        <v>217</v>
      </c>
      <c r="C108" t="e">
        <v>#NAME?</v>
      </c>
      <c r="D108" t="e">
        <v>#NAME?</v>
      </c>
      <c r="E108">
        <v>48275</v>
      </c>
      <c r="F108">
        <v>6</v>
      </c>
      <c r="G108">
        <v>5069</v>
      </c>
      <c r="H108" s="1">
        <v>46058</v>
      </c>
      <c r="I108" s="1">
        <v>46062</v>
      </c>
      <c r="J108" s="1">
        <v>46062</v>
      </c>
      <c r="K108" s="2">
        <v>0.41666666666666669</v>
      </c>
      <c r="L108" t="s">
        <v>20</v>
      </c>
      <c r="M108" t="s">
        <v>215</v>
      </c>
      <c r="N108">
        <v>4735</v>
      </c>
      <c r="O108" t="s">
        <v>17</v>
      </c>
    </row>
    <row r="109" spans="1:15" hidden="1" x14ac:dyDescent="0.25">
      <c r="A109" t="s">
        <v>218</v>
      </c>
      <c r="B109" t="s">
        <v>219</v>
      </c>
      <c r="C109" t="e">
        <v>#NAME?</v>
      </c>
      <c r="D109" t="e">
        <v>#NAME?</v>
      </c>
      <c r="E109">
        <v>40645</v>
      </c>
      <c r="F109">
        <v>5</v>
      </c>
      <c r="G109">
        <v>4268</v>
      </c>
      <c r="H109" s="1">
        <v>46058</v>
      </c>
      <c r="I109" s="1">
        <v>46062</v>
      </c>
      <c r="J109" s="1">
        <v>46062</v>
      </c>
      <c r="K109" s="2">
        <v>0.41666666666666669</v>
      </c>
      <c r="L109" t="s">
        <v>20</v>
      </c>
      <c r="M109" t="s">
        <v>215</v>
      </c>
      <c r="N109">
        <v>3963</v>
      </c>
      <c r="O109" t="s">
        <v>17</v>
      </c>
    </row>
    <row r="110" spans="1:15" hidden="1" x14ac:dyDescent="0.25">
      <c r="A110" t="s">
        <v>220</v>
      </c>
      <c r="B110" t="s">
        <v>221</v>
      </c>
      <c r="C110" t="e">
        <v>#NAME?</v>
      </c>
      <c r="D110" t="e">
        <v>#NAME?</v>
      </c>
      <c r="E110">
        <v>38960</v>
      </c>
      <c r="F110">
        <v>5</v>
      </c>
      <c r="G110">
        <v>3000</v>
      </c>
      <c r="H110" s="1">
        <v>46058</v>
      </c>
      <c r="I110" s="1">
        <v>46062</v>
      </c>
      <c r="J110" s="1">
        <v>46062</v>
      </c>
      <c r="K110" s="2">
        <v>0.41666666666666669</v>
      </c>
      <c r="L110" t="s">
        <v>20</v>
      </c>
      <c r="M110" t="s">
        <v>215</v>
      </c>
      <c r="N110">
        <v>2899</v>
      </c>
      <c r="O110" t="s">
        <v>17</v>
      </c>
    </row>
    <row r="111" spans="1:15" hidden="1" x14ac:dyDescent="0.25">
      <c r="A111" t="s">
        <v>220</v>
      </c>
      <c r="B111" t="s">
        <v>222</v>
      </c>
      <c r="C111" t="e">
        <v>#NAME?</v>
      </c>
      <c r="D111" t="e">
        <v>#NAME?</v>
      </c>
      <c r="E111">
        <v>23843</v>
      </c>
      <c r="F111">
        <v>3</v>
      </c>
      <c r="G111">
        <v>1836</v>
      </c>
      <c r="H111" s="1">
        <v>46058</v>
      </c>
      <c r="I111" s="1">
        <v>46062</v>
      </c>
      <c r="J111" s="1">
        <v>46062</v>
      </c>
      <c r="K111" s="2">
        <v>0.41666666666666669</v>
      </c>
      <c r="L111" t="s">
        <v>20</v>
      </c>
      <c r="M111" t="s">
        <v>215</v>
      </c>
      <c r="N111">
        <v>2339</v>
      </c>
      <c r="O111" t="s">
        <v>17</v>
      </c>
    </row>
    <row r="112" spans="1:15" hidden="1" x14ac:dyDescent="0.25">
      <c r="A112" t="s">
        <v>223</v>
      </c>
      <c r="B112" t="s">
        <v>224</v>
      </c>
      <c r="C112" t="e">
        <v>#NAME?</v>
      </c>
      <c r="D112" t="e">
        <v>#NAME?</v>
      </c>
      <c r="E112">
        <v>33173</v>
      </c>
      <c r="F112">
        <v>4</v>
      </c>
      <c r="G112">
        <v>3417</v>
      </c>
      <c r="H112" s="1">
        <v>46058</v>
      </c>
      <c r="I112" s="1">
        <v>46062</v>
      </c>
      <c r="J112" s="1">
        <v>46062</v>
      </c>
      <c r="K112" s="2">
        <v>0.41666666666666669</v>
      </c>
      <c r="L112" t="s">
        <v>20</v>
      </c>
      <c r="M112" t="s">
        <v>215</v>
      </c>
      <c r="N112">
        <v>3254</v>
      </c>
      <c r="O112" t="s">
        <v>17</v>
      </c>
    </row>
    <row r="113" spans="1:15" hidden="1" x14ac:dyDescent="0.25">
      <c r="A113" t="s">
        <v>225</v>
      </c>
      <c r="B113" t="s">
        <v>226</v>
      </c>
      <c r="C113" t="e">
        <v>#NAME?</v>
      </c>
      <c r="D113" t="e">
        <v>#NAME?</v>
      </c>
      <c r="E113">
        <v>38217</v>
      </c>
      <c r="F113">
        <v>9</v>
      </c>
      <c r="G113">
        <v>4089</v>
      </c>
      <c r="H113" s="1">
        <v>46058</v>
      </c>
      <c r="I113" s="1">
        <v>46062</v>
      </c>
      <c r="J113" s="1">
        <v>46062</v>
      </c>
      <c r="K113" s="2">
        <v>0.4375</v>
      </c>
      <c r="L113" t="s">
        <v>211</v>
      </c>
      <c r="M113" t="s">
        <v>227</v>
      </c>
      <c r="N113">
        <v>4089</v>
      </c>
      <c r="O113" t="s">
        <v>17</v>
      </c>
    </row>
    <row r="114" spans="1:15" hidden="1" x14ac:dyDescent="0.25">
      <c r="A114" t="s">
        <v>225</v>
      </c>
      <c r="B114" t="s">
        <v>228</v>
      </c>
      <c r="C114" t="e">
        <v>#NAME?</v>
      </c>
      <c r="D114" t="e">
        <v>#NAME?</v>
      </c>
      <c r="E114">
        <v>30227</v>
      </c>
      <c r="F114">
        <v>2</v>
      </c>
      <c r="G114">
        <v>1723</v>
      </c>
      <c r="H114" s="1">
        <v>46059</v>
      </c>
      <c r="I114" s="1">
        <v>46062</v>
      </c>
      <c r="J114" s="1">
        <v>46062</v>
      </c>
      <c r="K114" s="2">
        <v>0.45833333333333331</v>
      </c>
      <c r="L114" t="s">
        <v>20</v>
      </c>
      <c r="M114" t="s">
        <v>227</v>
      </c>
      <c r="N114">
        <v>1813.62</v>
      </c>
      <c r="O114" t="s">
        <v>17</v>
      </c>
    </row>
    <row r="115" spans="1:15" hidden="1" x14ac:dyDescent="0.25">
      <c r="A115" t="s">
        <v>229</v>
      </c>
      <c r="B115" t="s">
        <v>230</v>
      </c>
      <c r="C115" t="e">
        <v>#NAME?</v>
      </c>
      <c r="D115" t="e">
        <v>#NAME?</v>
      </c>
      <c r="E115">
        <v>34761</v>
      </c>
      <c r="F115">
        <v>4</v>
      </c>
      <c r="G115">
        <v>3233</v>
      </c>
      <c r="H115" s="1">
        <v>46059</v>
      </c>
      <c r="I115" s="1">
        <v>46062</v>
      </c>
      <c r="J115" s="1">
        <v>46062</v>
      </c>
      <c r="K115" s="2">
        <v>0.45833333333333331</v>
      </c>
      <c r="L115" t="s">
        <v>20</v>
      </c>
      <c r="M115" t="s">
        <v>231</v>
      </c>
      <c r="N115">
        <v>3128.49</v>
      </c>
      <c r="O115" t="s">
        <v>17</v>
      </c>
    </row>
    <row r="116" spans="1:15" hidden="1" x14ac:dyDescent="0.25">
      <c r="A116" t="s">
        <v>229</v>
      </c>
      <c r="B116" t="s">
        <v>232</v>
      </c>
      <c r="C116" t="e">
        <v>#NAME?</v>
      </c>
      <c r="D116" t="e">
        <v>#NAME?</v>
      </c>
      <c r="E116">
        <v>38271</v>
      </c>
      <c r="F116">
        <v>7</v>
      </c>
      <c r="G116">
        <v>5128</v>
      </c>
      <c r="H116" s="1">
        <v>46059</v>
      </c>
      <c r="I116" s="1">
        <v>46062</v>
      </c>
      <c r="J116" s="1">
        <v>46062</v>
      </c>
      <c r="K116" s="2">
        <v>0.45833333333333331</v>
      </c>
      <c r="L116" t="s">
        <v>20</v>
      </c>
      <c r="M116" t="s">
        <v>231</v>
      </c>
      <c r="N116">
        <v>4652.34</v>
      </c>
      <c r="O116" t="s">
        <v>17</v>
      </c>
    </row>
    <row r="117" spans="1:15" hidden="1" x14ac:dyDescent="0.25">
      <c r="A117" t="s">
        <v>233</v>
      </c>
      <c r="B117" t="s">
        <v>234</v>
      </c>
      <c r="C117" t="e">
        <v>#NAME?</v>
      </c>
      <c r="D117" t="e">
        <v>#NAME?</v>
      </c>
      <c r="E117">
        <v>38522</v>
      </c>
      <c r="F117">
        <v>5</v>
      </c>
      <c r="G117">
        <v>3968</v>
      </c>
      <c r="H117" s="1">
        <v>46059</v>
      </c>
      <c r="I117" s="1">
        <v>46062</v>
      </c>
      <c r="J117" s="1">
        <v>46062</v>
      </c>
      <c r="K117" s="2">
        <v>0.47916666666666669</v>
      </c>
      <c r="L117" t="s">
        <v>20</v>
      </c>
      <c r="M117" t="s">
        <v>235</v>
      </c>
      <c r="N117">
        <v>3967</v>
      </c>
      <c r="O117" t="s">
        <v>17</v>
      </c>
    </row>
    <row r="118" spans="1:15" hidden="1" x14ac:dyDescent="0.25">
      <c r="A118" t="s">
        <v>233</v>
      </c>
      <c r="B118" t="s">
        <v>236</v>
      </c>
      <c r="C118" t="e">
        <v>#NAME?</v>
      </c>
      <c r="D118" t="e">
        <v>#NAME?</v>
      </c>
      <c r="E118">
        <v>36251</v>
      </c>
      <c r="F118">
        <v>4</v>
      </c>
      <c r="G118">
        <v>3734</v>
      </c>
      <c r="H118" s="1">
        <v>46059</v>
      </c>
      <c r="I118" s="1">
        <v>46062</v>
      </c>
      <c r="J118" s="1">
        <v>46062</v>
      </c>
      <c r="K118" s="2">
        <v>0.47916666666666669</v>
      </c>
      <c r="L118" t="s">
        <v>20</v>
      </c>
      <c r="M118" t="s">
        <v>235</v>
      </c>
      <c r="N118">
        <v>3733.85</v>
      </c>
      <c r="O118" t="s">
        <v>17</v>
      </c>
    </row>
    <row r="119" spans="1:15" hidden="1" x14ac:dyDescent="0.25">
      <c r="A119" t="s">
        <v>237</v>
      </c>
      <c r="B119" t="s">
        <v>238</v>
      </c>
      <c r="C119" t="e">
        <v>#NAME?</v>
      </c>
      <c r="D119" t="e">
        <v>#NAME?</v>
      </c>
      <c r="E119">
        <v>24152</v>
      </c>
      <c r="F119">
        <v>3</v>
      </c>
      <c r="G119">
        <v>2922</v>
      </c>
      <c r="H119" s="1">
        <v>46059</v>
      </c>
      <c r="I119" s="1">
        <v>46062</v>
      </c>
      <c r="J119" s="1">
        <v>46062</v>
      </c>
      <c r="K119" s="2">
        <v>0.47916666666666669</v>
      </c>
      <c r="L119" t="s">
        <v>20</v>
      </c>
      <c r="M119" t="s">
        <v>235</v>
      </c>
      <c r="N119">
        <v>2922</v>
      </c>
      <c r="O119" t="s">
        <v>17</v>
      </c>
    </row>
    <row r="120" spans="1:15" x14ac:dyDescent="0.25">
      <c r="A120" t="s">
        <v>239</v>
      </c>
      <c r="B120" t="s">
        <v>240</v>
      </c>
      <c r="C120" t="e">
        <v>#NAME?</v>
      </c>
      <c r="D120" t="e">
        <v>#NAME?</v>
      </c>
      <c r="E120">
        <v>23738</v>
      </c>
      <c r="F120" s="48">
        <v>6</v>
      </c>
      <c r="G120">
        <v>2849</v>
      </c>
      <c r="H120" s="1">
        <v>46057</v>
      </c>
      <c r="I120" s="1">
        <v>46063</v>
      </c>
      <c r="J120" s="1">
        <v>46063</v>
      </c>
      <c r="K120" s="2">
        <v>0.375</v>
      </c>
      <c r="L120" t="s">
        <v>211</v>
      </c>
      <c r="M120" t="s">
        <v>241</v>
      </c>
      <c r="N120">
        <v>2000</v>
      </c>
      <c r="O120" t="s">
        <v>17</v>
      </c>
    </row>
    <row r="121" spans="1:15" x14ac:dyDescent="0.25">
      <c r="A121" t="s">
        <v>239</v>
      </c>
      <c r="B121" t="s">
        <v>242</v>
      </c>
      <c r="C121" t="e">
        <v>#NAME?</v>
      </c>
      <c r="D121" t="e">
        <v>#NAME?</v>
      </c>
      <c r="E121">
        <v>35422</v>
      </c>
      <c r="F121" s="48">
        <v>5</v>
      </c>
      <c r="G121">
        <v>4251</v>
      </c>
      <c r="H121" s="1">
        <v>46057</v>
      </c>
      <c r="I121" s="1">
        <v>46063</v>
      </c>
      <c r="J121" s="1">
        <v>46063</v>
      </c>
      <c r="K121" s="2">
        <v>0.375</v>
      </c>
      <c r="L121" t="s">
        <v>211</v>
      </c>
      <c r="M121" t="s">
        <v>241</v>
      </c>
      <c r="N121">
        <v>3081.4</v>
      </c>
      <c r="O121" t="s">
        <v>17</v>
      </c>
    </row>
    <row r="122" spans="1:15" hidden="1" x14ac:dyDescent="0.25">
      <c r="A122" t="s">
        <v>243</v>
      </c>
      <c r="B122" t="s">
        <v>244</v>
      </c>
      <c r="C122" t="e">
        <v>#NAME?</v>
      </c>
      <c r="D122" t="e">
        <v>#NAME?</v>
      </c>
      <c r="E122">
        <v>46639</v>
      </c>
      <c r="F122">
        <v>6</v>
      </c>
      <c r="G122">
        <v>4804</v>
      </c>
      <c r="H122" s="1">
        <v>46052</v>
      </c>
      <c r="I122" s="1">
        <v>46063</v>
      </c>
      <c r="J122" s="1">
        <v>46063</v>
      </c>
      <c r="K122" s="2">
        <v>0.375</v>
      </c>
      <c r="L122" t="s">
        <v>132</v>
      </c>
      <c r="N122">
        <v>4760</v>
      </c>
      <c r="O122" t="s">
        <v>17</v>
      </c>
    </row>
    <row r="123" spans="1:15" hidden="1" x14ac:dyDescent="0.25">
      <c r="A123" t="s">
        <v>243</v>
      </c>
      <c r="B123" t="s">
        <v>245</v>
      </c>
      <c r="C123" t="e">
        <v>#NAME?</v>
      </c>
      <c r="D123" t="e">
        <v>#NAME?</v>
      </c>
      <c r="E123">
        <v>31303</v>
      </c>
      <c r="F123">
        <v>6</v>
      </c>
      <c r="G123">
        <v>4414</v>
      </c>
      <c r="H123" s="1">
        <v>46052</v>
      </c>
      <c r="I123" s="1">
        <v>46063</v>
      </c>
      <c r="J123" s="1">
        <v>46063</v>
      </c>
      <c r="K123" s="2">
        <v>0.375</v>
      </c>
      <c r="L123" t="s">
        <v>132</v>
      </c>
      <c r="N123">
        <v>4227</v>
      </c>
      <c r="O123" t="s">
        <v>17</v>
      </c>
    </row>
    <row r="124" spans="1:15" hidden="1" x14ac:dyDescent="0.25">
      <c r="A124" t="s">
        <v>246</v>
      </c>
      <c r="B124" t="s">
        <v>247</v>
      </c>
      <c r="C124" t="e">
        <v>#NAME?</v>
      </c>
      <c r="D124" t="e">
        <v>#NAME?</v>
      </c>
      <c r="E124">
        <v>30686</v>
      </c>
      <c r="F124">
        <v>5</v>
      </c>
      <c r="G124">
        <v>3744</v>
      </c>
      <c r="H124" s="1">
        <v>46052</v>
      </c>
      <c r="I124" s="1">
        <v>46063</v>
      </c>
      <c r="J124" s="1">
        <v>46063</v>
      </c>
      <c r="K124" s="2">
        <v>0.39583333333333331</v>
      </c>
      <c r="L124" t="s">
        <v>132</v>
      </c>
      <c r="N124">
        <v>2930</v>
      </c>
      <c r="O124" t="s">
        <v>17</v>
      </c>
    </row>
    <row r="125" spans="1:15" hidden="1" x14ac:dyDescent="0.25">
      <c r="A125" t="s">
        <v>246</v>
      </c>
      <c r="B125" t="s">
        <v>248</v>
      </c>
      <c r="C125" t="e">
        <v>#NAME?</v>
      </c>
      <c r="D125" t="e">
        <v>#NAME?</v>
      </c>
      <c r="E125">
        <v>58488</v>
      </c>
      <c r="F125">
        <v>8</v>
      </c>
      <c r="G125">
        <v>6024</v>
      </c>
      <c r="H125" s="1">
        <v>46052</v>
      </c>
      <c r="I125" s="1">
        <v>46063</v>
      </c>
      <c r="J125" s="1">
        <v>46063</v>
      </c>
      <c r="K125" s="2">
        <v>0.39583333333333331</v>
      </c>
      <c r="L125" t="s">
        <v>132</v>
      </c>
      <c r="N125">
        <v>5849</v>
      </c>
      <c r="O125" t="s">
        <v>17</v>
      </c>
    </row>
    <row r="126" spans="1:15" hidden="1" x14ac:dyDescent="0.25">
      <c r="A126" t="s">
        <v>249</v>
      </c>
      <c r="B126" t="s">
        <v>250</v>
      </c>
      <c r="C126" t="e">
        <v>#NAME?</v>
      </c>
      <c r="D126" t="e">
        <v>#NAME?</v>
      </c>
      <c r="E126">
        <v>37438</v>
      </c>
      <c r="F126">
        <v>5</v>
      </c>
      <c r="G126">
        <v>3182</v>
      </c>
      <c r="H126" s="1">
        <v>46062</v>
      </c>
      <c r="I126" s="1">
        <v>46063</v>
      </c>
      <c r="J126" s="1">
        <v>46063</v>
      </c>
      <c r="K126" s="2">
        <v>0.41666666666666669</v>
      </c>
      <c r="L126" t="s">
        <v>20</v>
      </c>
      <c r="M126" t="s">
        <v>251</v>
      </c>
      <c r="N126">
        <v>3182</v>
      </c>
      <c r="O126" t="s">
        <v>17</v>
      </c>
    </row>
    <row r="127" spans="1:15" hidden="1" x14ac:dyDescent="0.25">
      <c r="A127" t="s">
        <v>252</v>
      </c>
      <c r="B127" t="s">
        <v>253</v>
      </c>
      <c r="C127" t="e">
        <v>#NAME?</v>
      </c>
      <c r="D127" t="e">
        <v>#NAME?</v>
      </c>
      <c r="E127">
        <v>37023</v>
      </c>
      <c r="F127">
        <v>5</v>
      </c>
      <c r="G127">
        <v>3813</v>
      </c>
      <c r="H127" s="1">
        <v>46062</v>
      </c>
      <c r="I127" s="1">
        <v>46063</v>
      </c>
      <c r="J127" s="1">
        <v>46063</v>
      </c>
      <c r="K127" s="2">
        <v>0.41666666666666669</v>
      </c>
      <c r="L127" t="s">
        <v>20</v>
      </c>
      <c r="M127" t="s">
        <v>251</v>
      </c>
      <c r="N127">
        <v>3813</v>
      </c>
      <c r="O127" t="s">
        <v>17</v>
      </c>
    </row>
    <row r="128" spans="1:15" hidden="1" x14ac:dyDescent="0.25">
      <c r="A128" t="s">
        <v>252</v>
      </c>
      <c r="B128" t="s">
        <v>254</v>
      </c>
      <c r="C128" t="e">
        <v>#NAME?</v>
      </c>
      <c r="D128" t="e">
        <v>#NAME?</v>
      </c>
      <c r="E128">
        <v>31706</v>
      </c>
      <c r="F128">
        <v>4</v>
      </c>
      <c r="G128">
        <v>3266</v>
      </c>
      <c r="H128" s="1">
        <v>46062</v>
      </c>
      <c r="I128" s="1">
        <v>46063</v>
      </c>
      <c r="J128" s="1">
        <v>46063</v>
      </c>
      <c r="K128" s="2">
        <v>0.41666666666666669</v>
      </c>
      <c r="L128" t="s">
        <v>20</v>
      </c>
      <c r="M128" t="s">
        <v>251</v>
      </c>
      <c r="N128">
        <v>3265</v>
      </c>
      <c r="O128" t="s">
        <v>17</v>
      </c>
    </row>
    <row r="129" spans="1:15" hidden="1" x14ac:dyDescent="0.25">
      <c r="A129" t="s">
        <v>255</v>
      </c>
      <c r="B129" t="s">
        <v>256</v>
      </c>
      <c r="C129" t="e">
        <v>#NAME?</v>
      </c>
      <c r="D129" t="e">
        <v>#NAME?</v>
      </c>
      <c r="E129">
        <v>33116</v>
      </c>
      <c r="F129">
        <v>4</v>
      </c>
      <c r="G129">
        <v>1391</v>
      </c>
      <c r="H129" s="1">
        <v>46052</v>
      </c>
      <c r="I129" s="1">
        <v>46063</v>
      </c>
      <c r="J129" s="1">
        <v>46063</v>
      </c>
      <c r="K129" s="2">
        <v>0.41666666666666669</v>
      </c>
      <c r="L129" t="s">
        <v>257</v>
      </c>
      <c r="N129">
        <v>2813</v>
      </c>
      <c r="O129" t="s">
        <v>17</v>
      </c>
    </row>
    <row r="130" spans="1:15" hidden="1" x14ac:dyDescent="0.25">
      <c r="A130" t="s">
        <v>249</v>
      </c>
      <c r="B130" t="s">
        <v>258</v>
      </c>
      <c r="C130" t="e">
        <v>#NAME?</v>
      </c>
      <c r="D130" t="e">
        <v>#NAME?</v>
      </c>
      <c r="E130">
        <v>30939</v>
      </c>
      <c r="F130">
        <v>6</v>
      </c>
      <c r="G130">
        <v>5817</v>
      </c>
      <c r="H130" s="1">
        <v>46062</v>
      </c>
      <c r="I130" s="1">
        <v>46063</v>
      </c>
      <c r="J130" s="1">
        <v>46063</v>
      </c>
      <c r="K130" s="2">
        <v>0.41666666666666669</v>
      </c>
      <c r="L130" t="s">
        <v>20</v>
      </c>
      <c r="M130" t="s">
        <v>251</v>
      </c>
      <c r="N130">
        <v>5816</v>
      </c>
      <c r="O130" t="s">
        <v>17</v>
      </c>
    </row>
    <row r="131" spans="1:15" hidden="1" x14ac:dyDescent="0.25">
      <c r="A131" t="s">
        <v>259</v>
      </c>
      <c r="B131" t="s">
        <v>260</v>
      </c>
      <c r="C131" t="e">
        <v>#NAME?</v>
      </c>
      <c r="D131" t="e">
        <v>#NAME?</v>
      </c>
      <c r="E131">
        <v>32388</v>
      </c>
      <c r="F131">
        <v>6</v>
      </c>
      <c r="G131">
        <v>4567</v>
      </c>
      <c r="H131" s="1">
        <v>46052</v>
      </c>
      <c r="I131" s="1">
        <v>46063</v>
      </c>
      <c r="J131" s="1">
        <v>46063</v>
      </c>
      <c r="K131" s="2">
        <v>0.4375</v>
      </c>
      <c r="L131" t="s">
        <v>257</v>
      </c>
      <c r="M131" t="s">
        <v>261</v>
      </c>
      <c r="N131">
        <v>4253</v>
      </c>
      <c r="O131" t="s">
        <v>17</v>
      </c>
    </row>
    <row r="132" spans="1:15" hidden="1" x14ac:dyDescent="0.25">
      <c r="A132" t="s">
        <v>259</v>
      </c>
      <c r="B132" t="s">
        <v>262</v>
      </c>
      <c r="C132" t="e">
        <v>#NAME?</v>
      </c>
      <c r="D132" t="e">
        <v>#NAME?</v>
      </c>
      <c r="E132">
        <v>33552</v>
      </c>
      <c r="F132">
        <v>5</v>
      </c>
      <c r="G132">
        <v>4093</v>
      </c>
      <c r="H132" s="1">
        <v>46052</v>
      </c>
      <c r="I132" s="1">
        <v>46063</v>
      </c>
      <c r="J132" s="1">
        <v>46063</v>
      </c>
      <c r="K132" s="2">
        <v>0.4375</v>
      </c>
      <c r="L132" t="s">
        <v>257</v>
      </c>
      <c r="M132" t="s">
        <v>261</v>
      </c>
      <c r="N132">
        <v>4000</v>
      </c>
      <c r="O132" t="s">
        <v>17</v>
      </c>
    </row>
    <row r="133" spans="1:15" hidden="1" x14ac:dyDescent="0.25">
      <c r="A133" t="s">
        <v>263</v>
      </c>
      <c r="B133" t="s">
        <v>264</v>
      </c>
      <c r="C133" t="e">
        <v>#NAME?</v>
      </c>
      <c r="D133" t="e">
        <v>#NAME?</v>
      </c>
      <c r="E133">
        <v>52564</v>
      </c>
      <c r="F133">
        <v>3</v>
      </c>
      <c r="G133">
        <v>4521</v>
      </c>
      <c r="H133" s="1">
        <v>46059</v>
      </c>
      <c r="I133" s="1">
        <v>46063</v>
      </c>
      <c r="J133" s="1">
        <v>46063</v>
      </c>
      <c r="K133" s="2">
        <v>0.45833333333333331</v>
      </c>
      <c r="L133" t="s">
        <v>20</v>
      </c>
      <c r="M133" t="s">
        <v>265</v>
      </c>
      <c r="N133">
        <v>5155</v>
      </c>
      <c r="O133" t="s">
        <v>17</v>
      </c>
    </row>
    <row r="134" spans="1:15" hidden="1" x14ac:dyDescent="0.25">
      <c r="A134" t="s">
        <v>266</v>
      </c>
      <c r="B134" t="s">
        <v>267</v>
      </c>
      <c r="C134" t="e">
        <v>#NAME?</v>
      </c>
      <c r="D134" t="e">
        <v>#NAME?</v>
      </c>
      <c r="E134">
        <v>33498</v>
      </c>
      <c r="F134">
        <v>5</v>
      </c>
      <c r="G134">
        <v>4187</v>
      </c>
      <c r="H134" s="1">
        <v>46055</v>
      </c>
      <c r="I134" s="1">
        <v>46063</v>
      </c>
      <c r="J134" s="1">
        <v>46063</v>
      </c>
      <c r="K134" s="2">
        <v>0.45833333333333331</v>
      </c>
      <c r="L134" t="s">
        <v>211</v>
      </c>
      <c r="M134" t="s">
        <v>265</v>
      </c>
      <c r="N134">
        <v>3088.8</v>
      </c>
      <c r="O134" t="s">
        <v>17</v>
      </c>
    </row>
    <row r="135" spans="1:15" hidden="1" x14ac:dyDescent="0.25">
      <c r="A135" t="s">
        <v>268</v>
      </c>
      <c r="B135" t="s">
        <v>269</v>
      </c>
      <c r="C135" t="e">
        <v>#NAME?</v>
      </c>
      <c r="D135" t="e">
        <v>#NAME?</v>
      </c>
      <c r="E135">
        <v>27106</v>
      </c>
      <c r="F135">
        <v>5</v>
      </c>
      <c r="G135">
        <v>3822</v>
      </c>
      <c r="H135" s="1">
        <v>46056</v>
      </c>
      <c r="I135" s="1">
        <v>46063</v>
      </c>
      <c r="J135" s="1">
        <v>46063</v>
      </c>
      <c r="K135" s="2">
        <v>0.47916666666666669</v>
      </c>
      <c r="L135" t="s">
        <v>20</v>
      </c>
      <c r="M135" t="s">
        <v>261</v>
      </c>
      <c r="N135">
        <v>3797</v>
      </c>
      <c r="O135" t="s">
        <v>17</v>
      </c>
    </row>
    <row r="136" spans="1:15" hidden="1" x14ac:dyDescent="0.25">
      <c r="A136" t="s">
        <v>268</v>
      </c>
      <c r="B136" t="s">
        <v>270</v>
      </c>
      <c r="C136" t="e">
        <v>#NAME?</v>
      </c>
      <c r="D136" t="e">
        <v>#NAME?</v>
      </c>
      <c r="E136">
        <v>36131</v>
      </c>
      <c r="F136">
        <v>5</v>
      </c>
      <c r="G136">
        <v>3396</v>
      </c>
      <c r="H136" s="1">
        <v>46056</v>
      </c>
      <c r="I136" s="1">
        <v>46063</v>
      </c>
      <c r="J136" s="1">
        <v>46063</v>
      </c>
      <c r="K136" s="2">
        <v>0.47916666666666669</v>
      </c>
      <c r="L136" t="s">
        <v>20</v>
      </c>
      <c r="M136" t="s">
        <v>261</v>
      </c>
      <c r="N136">
        <v>3613</v>
      </c>
      <c r="O136" t="s">
        <v>17</v>
      </c>
    </row>
    <row r="137" spans="1:15" hidden="1" x14ac:dyDescent="0.25">
      <c r="A137" t="s">
        <v>271</v>
      </c>
      <c r="B137" t="s">
        <v>272</v>
      </c>
      <c r="C137" t="e">
        <v>#NAME?</v>
      </c>
      <c r="D137" t="e">
        <v>#NAME?</v>
      </c>
      <c r="E137">
        <v>24864</v>
      </c>
      <c r="F137">
        <v>3</v>
      </c>
      <c r="G137">
        <v>4028</v>
      </c>
      <c r="H137" s="1">
        <v>46059</v>
      </c>
      <c r="I137" s="1">
        <v>46063</v>
      </c>
      <c r="J137" s="1">
        <v>46063</v>
      </c>
      <c r="K137" s="2">
        <v>0.5625</v>
      </c>
      <c r="L137" t="s">
        <v>20</v>
      </c>
      <c r="M137" t="s">
        <v>265</v>
      </c>
      <c r="N137">
        <v>2449</v>
      </c>
      <c r="O137" t="s">
        <v>17</v>
      </c>
    </row>
    <row r="138" spans="1:15" hidden="1" x14ac:dyDescent="0.25">
      <c r="A138" t="s">
        <v>273</v>
      </c>
      <c r="B138" t="s">
        <v>274</v>
      </c>
      <c r="C138" t="e">
        <v>#NAME?</v>
      </c>
      <c r="D138" t="e">
        <v>#NAME?</v>
      </c>
      <c r="E138">
        <v>45527</v>
      </c>
      <c r="F138">
        <v>5</v>
      </c>
      <c r="G138">
        <v>3415</v>
      </c>
      <c r="H138" s="1">
        <v>46059</v>
      </c>
      <c r="I138" s="1">
        <v>46063</v>
      </c>
      <c r="J138" s="1">
        <v>46063</v>
      </c>
      <c r="K138" s="2">
        <v>0.5625</v>
      </c>
      <c r="L138" t="s">
        <v>20</v>
      </c>
      <c r="M138" t="s">
        <v>265</v>
      </c>
      <c r="N138">
        <v>3372</v>
      </c>
      <c r="O138" t="s">
        <v>17</v>
      </c>
    </row>
    <row r="139" spans="1:15" hidden="1" x14ac:dyDescent="0.25">
      <c r="A139" t="s">
        <v>275</v>
      </c>
      <c r="B139" t="s">
        <v>276</v>
      </c>
      <c r="C139" t="e">
        <v>#NAME?</v>
      </c>
      <c r="D139" t="e">
        <v>#NAME?</v>
      </c>
      <c r="E139">
        <v>24927</v>
      </c>
      <c r="F139">
        <v>3</v>
      </c>
      <c r="G139">
        <v>3091</v>
      </c>
      <c r="H139" s="1">
        <v>46059</v>
      </c>
      <c r="I139" s="1">
        <v>46063</v>
      </c>
      <c r="J139" s="1">
        <v>46063</v>
      </c>
      <c r="K139" s="2">
        <v>0.5625</v>
      </c>
      <c r="L139" t="s">
        <v>20</v>
      </c>
      <c r="M139" t="s">
        <v>265</v>
      </c>
      <c r="N139">
        <v>2445</v>
      </c>
      <c r="O139" t="s">
        <v>17</v>
      </c>
    </row>
    <row r="140" spans="1:15" hidden="1" x14ac:dyDescent="0.25">
      <c r="A140" t="s">
        <v>277</v>
      </c>
      <c r="B140" t="s">
        <v>278</v>
      </c>
      <c r="C140" t="e">
        <v>#NAME?</v>
      </c>
      <c r="D140" t="e">
        <v>#NAME?</v>
      </c>
      <c r="E140">
        <v>36052</v>
      </c>
      <c r="F140">
        <v>6</v>
      </c>
      <c r="G140">
        <v>2704</v>
      </c>
      <c r="H140" s="1">
        <v>46059</v>
      </c>
      <c r="I140" s="1">
        <v>46063</v>
      </c>
      <c r="J140" s="1">
        <v>46063</v>
      </c>
      <c r="K140" s="2">
        <v>0.5625</v>
      </c>
      <c r="L140" t="s">
        <v>20</v>
      </c>
      <c r="M140" t="s">
        <v>265</v>
      </c>
      <c r="N140">
        <v>3536</v>
      </c>
      <c r="O140" t="s">
        <v>17</v>
      </c>
    </row>
    <row r="141" spans="1:15" hidden="1" x14ac:dyDescent="0.25">
      <c r="A141" t="s">
        <v>273</v>
      </c>
      <c r="B141" t="s">
        <v>279</v>
      </c>
      <c r="C141" t="e">
        <v>#NAME?</v>
      </c>
      <c r="D141" t="e">
        <v>#NAME?</v>
      </c>
      <c r="E141">
        <v>33377</v>
      </c>
      <c r="F141">
        <v>4</v>
      </c>
      <c r="G141">
        <v>2503</v>
      </c>
      <c r="H141" s="1">
        <v>46059</v>
      </c>
      <c r="I141" s="1">
        <v>46063</v>
      </c>
      <c r="J141" s="1">
        <v>46063</v>
      </c>
      <c r="K141" s="2">
        <v>0.5625</v>
      </c>
      <c r="L141" t="s">
        <v>20</v>
      </c>
      <c r="M141" t="s">
        <v>265</v>
      </c>
      <c r="N141">
        <v>3274</v>
      </c>
      <c r="O141" t="s">
        <v>17</v>
      </c>
    </row>
    <row r="142" spans="1:15" hidden="1" x14ac:dyDescent="0.25">
      <c r="A142" t="s">
        <v>280</v>
      </c>
      <c r="B142" t="s">
        <v>281</v>
      </c>
      <c r="C142" t="e">
        <v>#NAME?</v>
      </c>
      <c r="D142" t="e">
        <v>#NAME?</v>
      </c>
      <c r="E142">
        <v>23745</v>
      </c>
      <c r="F142">
        <v>4</v>
      </c>
      <c r="G142">
        <v>2375</v>
      </c>
      <c r="H142" s="1">
        <v>46059</v>
      </c>
      <c r="I142" s="1">
        <v>46063</v>
      </c>
      <c r="J142" s="1">
        <v>46063</v>
      </c>
      <c r="K142" s="2">
        <v>0.5625</v>
      </c>
      <c r="L142" t="s">
        <v>20</v>
      </c>
      <c r="M142" t="s">
        <v>265</v>
      </c>
      <c r="N142">
        <v>2329</v>
      </c>
      <c r="O142" t="s">
        <v>17</v>
      </c>
    </row>
    <row r="143" spans="1:15" hidden="1" x14ac:dyDescent="0.25">
      <c r="A143" t="s">
        <v>282</v>
      </c>
      <c r="B143" t="s">
        <v>283</v>
      </c>
      <c r="C143" t="e">
        <v>#NAME?</v>
      </c>
      <c r="D143" t="e">
        <v>#NAME?</v>
      </c>
      <c r="E143">
        <v>45217</v>
      </c>
      <c r="F143">
        <v>7</v>
      </c>
      <c r="G143">
        <v>4070</v>
      </c>
      <c r="H143" s="1">
        <v>46063</v>
      </c>
      <c r="I143" s="1">
        <v>46063</v>
      </c>
      <c r="J143" s="1">
        <v>46063</v>
      </c>
      <c r="K143" s="2">
        <v>0.58333333333333337</v>
      </c>
      <c r="M143" t="s">
        <v>284</v>
      </c>
      <c r="N143">
        <v>1418.23</v>
      </c>
      <c r="O143" t="s">
        <v>17</v>
      </c>
    </row>
    <row r="144" spans="1:15" hidden="1" x14ac:dyDescent="0.25">
      <c r="A144" t="s">
        <v>285</v>
      </c>
      <c r="B144" t="s">
        <v>286</v>
      </c>
      <c r="C144" t="e">
        <v>#NAME?</v>
      </c>
      <c r="D144" t="e">
        <v>#NAME?</v>
      </c>
      <c r="E144">
        <v>37559</v>
      </c>
      <c r="F144">
        <v>7</v>
      </c>
      <c r="G144">
        <v>5258</v>
      </c>
      <c r="H144" s="1">
        <v>46063</v>
      </c>
      <c r="I144" s="1">
        <v>46063</v>
      </c>
      <c r="J144" s="1">
        <v>46063</v>
      </c>
      <c r="K144" s="2">
        <v>0.58333333333333337</v>
      </c>
      <c r="M144" t="s">
        <v>284</v>
      </c>
      <c r="N144">
        <v>6253.8</v>
      </c>
      <c r="O144" t="s">
        <v>17</v>
      </c>
    </row>
    <row r="145" spans="1:15" hidden="1" x14ac:dyDescent="0.25">
      <c r="A145" t="s">
        <v>285</v>
      </c>
      <c r="B145" t="s">
        <v>287</v>
      </c>
      <c r="C145" t="e">
        <v>#NAME?</v>
      </c>
      <c r="D145" t="e">
        <v>#NAME?</v>
      </c>
      <c r="E145">
        <v>23715</v>
      </c>
      <c r="F145">
        <v>3</v>
      </c>
      <c r="G145">
        <v>1779</v>
      </c>
      <c r="H145" s="1">
        <v>46063</v>
      </c>
      <c r="I145" s="1">
        <v>46063</v>
      </c>
      <c r="J145" s="1">
        <v>46063</v>
      </c>
      <c r="K145" s="2">
        <v>0.58333333333333337</v>
      </c>
      <c r="M145" t="s">
        <v>284</v>
      </c>
      <c r="N145">
        <v>2318.6400000000003</v>
      </c>
      <c r="O145" t="s">
        <v>17</v>
      </c>
    </row>
    <row r="146" spans="1:15" hidden="1" x14ac:dyDescent="0.25">
      <c r="A146" t="s">
        <v>282</v>
      </c>
      <c r="B146" t="s">
        <v>288</v>
      </c>
      <c r="C146" t="e">
        <v>#NAME?</v>
      </c>
      <c r="D146" t="e">
        <v>#NAME?</v>
      </c>
      <c r="E146">
        <v>30101</v>
      </c>
      <c r="F146">
        <v>6</v>
      </c>
      <c r="G146">
        <v>3311</v>
      </c>
      <c r="H146" s="1">
        <v>46063</v>
      </c>
      <c r="I146" s="1">
        <v>46063</v>
      </c>
      <c r="J146" s="1">
        <v>46063</v>
      </c>
      <c r="K146" s="2">
        <v>0.58333333333333337</v>
      </c>
      <c r="M146" t="s">
        <v>284</v>
      </c>
      <c r="N146">
        <v>3997.3</v>
      </c>
      <c r="O146" t="s">
        <v>17</v>
      </c>
    </row>
    <row r="147" spans="1:15" hidden="1" x14ac:dyDescent="0.25">
      <c r="A147" t="s">
        <v>289</v>
      </c>
      <c r="B147" t="s">
        <v>290</v>
      </c>
      <c r="C147" t="e">
        <v>#NAME?</v>
      </c>
      <c r="D147" t="e">
        <v>#NAME?</v>
      </c>
      <c r="E147">
        <v>32766</v>
      </c>
      <c r="F147">
        <v>4</v>
      </c>
      <c r="G147">
        <v>4587</v>
      </c>
      <c r="H147" s="1">
        <v>46062</v>
      </c>
      <c r="I147" s="1">
        <v>46063</v>
      </c>
      <c r="J147" s="1">
        <v>46063</v>
      </c>
      <c r="K147" s="2"/>
      <c r="N147">
        <v>4580</v>
      </c>
      <c r="O147" t="s">
        <v>17</v>
      </c>
    </row>
    <row r="148" spans="1:15" hidden="1" x14ac:dyDescent="0.25">
      <c r="A148" t="s">
        <v>291</v>
      </c>
      <c r="B148" t="s">
        <v>292</v>
      </c>
      <c r="C148" t="e">
        <v>#NAME?</v>
      </c>
      <c r="D148" t="e">
        <v>#NAME?</v>
      </c>
      <c r="E148">
        <v>41664</v>
      </c>
      <c r="F148">
        <v>5</v>
      </c>
      <c r="G148">
        <v>5833</v>
      </c>
      <c r="H148" s="1">
        <v>46063</v>
      </c>
      <c r="I148" s="1">
        <v>46064</v>
      </c>
      <c r="J148" s="1">
        <v>46064</v>
      </c>
      <c r="K148" s="2">
        <v>0.41666666666666669</v>
      </c>
      <c r="M148" t="s">
        <v>293</v>
      </c>
      <c r="N148">
        <v>4515</v>
      </c>
      <c r="O148" t="s">
        <v>17</v>
      </c>
    </row>
    <row r="149" spans="1:15" hidden="1" x14ac:dyDescent="0.25">
      <c r="A149" t="s">
        <v>294</v>
      </c>
      <c r="B149" t="s">
        <v>295</v>
      </c>
      <c r="C149" t="e">
        <v>#NAME?</v>
      </c>
      <c r="D149" t="e">
        <v>#NAME?</v>
      </c>
      <c r="E149">
        <v>38832</v>
      </c>
      <c r="F149">
        <v>7</v>
      </c>
      <c r="G149">
        <v>7300</v>
      </c>
      <c r="H149" s="1">
        <v>46063</v>
      </c>
      <c r="I149" s="1">
        <v>46064</v>
      </c>
      <c r="J149" s="1">
        <v>46064</v>
      </c>
      <c r="K149" s="2">
        <v>0.41666666666666669</v>
      </c>
      <c r="M149" t="s">
        <v>296</v>
      </c>
      <c r="N149">
        <v>7300</v>
      </c>
      <c r="O149" t="s">
        <v>17</v>
      </c>
    </row>
    <row r="150" spans="1:15" hidden="1" x14ac:dyDescent="0.25">
      <c r="A150" t="s">
        <v>291</v>
      </c>
      <c r="B150" t="s">
        <v>297</v>
      </c>
      <c r="C150" t="e">
        <v>#NAME?</v>
      </c>
      <c r="D150" t="e">
        <v>#NAME?</v>
      </c>
      <c r="E150">
        <v>38165</v>
      </c>
      <c r="F150">
        <v>4</v>
      </c>
      <c r="G150">
        <v>5343</v>
      </c>
      <c r="H150" s="1">
        <v>46063</v>
      </c>
      <c r="I150" s="1">
        <v>46064</v>
      </c>
      <c r="J150" s="1">
        <v>46064</v>
      </c>
      <c r="K150" s="2">
        <v>0.41666666666666669</v>
      </c>
      <c r="N150">
        <v>5343</v>
      </c>
      <c r="O150" t="s">
        <v>17</v>
      </c>
    </row>
    <row r="151" spans="1:15" hidden="1" x14ac:dyDescent="0.25">
      <c r="A151" t="s">
        <v>298</v>
      </c>
      <c r="B151" t="s">
        <v>299</v>
      </c>
      <c r="C151" t="e">
        <v>#NAME?</v>
      </c>
      <c r="D151" t="e">
        <v>#NAME?</v>
      </c>
      <c r="E151">
        <v>42836</v>
      </c>
      <c r="F151">
        <v>5</v>
      </c>
      <c r="G151">
        <v>4284</v>
      </c>
      <c r="H151" s="1">
        <v>46059</v>
      </c>
      <c r="I151" s="1">
        <v>46064</v>
      </c>
      <c r="J151" s="1">
        <v>46064</v>
      </c>
      <c r="K151" s="2">
        <v>0.45833333333333331</v>
      </c>
      <c r="L151" t="s">
        <v>20</v>
      </c>
      <c r="N151">
        <v>4284</v>
      </c>
      <c r="O151" t="s">
        <v>17</v>
      </c>
    </row>
    <row r="152" spans="1:15" hidden="1" x14ac:dyDescent="0.25">
      <c r="A152" t="s">
        <v>300</v>
      </c>
      <c r="B152" t="s">
        <v>301</v>
      </c>
      <c r="C152" t="e">
        <v>#NAME?</v>
      </c>
      <c r="D152" t="e">
        <v>#NAME?</v>
      </c>
      <c r="E152">
        <v>44442</v>
      </c>
      <c r="F152">
        <v>5</v>
      </c>
      <c r="G152">
        <v>4444</v>
      </c>
      <c r="H152" s="1">
        <v>46059</v>
      </c>
      <c r="I152" s="1">
        <v>46064</v>
      </c>
      <c r="J152" s="1">
        <v>46064</v>
      </c>
      <c r="K152" s="2">
        <v>0.45833333333333331</v>
      </c>
      <c r="L152" t="s">
        <v>20</v>
      </c>
      <c r="M152" t="s">
        <v>293</v>
      </c>
      <c r="N152">
        <v>4744</v>
      </c>
      <c r="O152" t="s">
        <v>17</v>
      </c>
    </row>
    <row r="153" spans="1:15" hidden="1" x14ac:dyDescent="0.25">
      <c r="A153" t="s">
        <v>302</v>
      </c>
      <c r="B153" t="s">
        <v>303</v>
      </c>
      <c r="C153" t="e">
        <v>#NAME?</v>
      </c>
      <c r="D153" t="e">
        <v>#NAME?</v>
      </c>
      <c r="E153">
        <v>66396</v>
      </c>
      <c r="F153">
        <v>8</v>
      </c>
      <c r="G153">
        <v>9295</v>
      </c>
      <c r="H153" s="1">
        <v>46063</v>
      </c>
      <c r="I153" s="1">
        <v>46064</v>
      </c>
      <c r="J153" s="1">
        <v>46064</v>
      </c>
      <c r="K153" s="2">
        <v>0.45833333333333331</v>
      </c>
      <c r="M153" t="s">
        <v>304</v>
      </c>
      <c r="N153">
        <v>9295</v>
      </c>
      <c r="O153" t="s">
        <v>17</v>
      </c>
    </row>
    <row r="154" spans="1:15" hidden="1" x14ac:dyDescent="0.25">
      <c r="A154" t="s">
        <v>305</v>
      </c>
      <c r="B154" t="s">
        <v>306</v>
      </c>
      <c r="C154" t="e">
        <v>#NAME?</v>
      </c>
      <c r="D154" t="e">
        <v>#NAME?</v>
      </c>
      <c r="E154">
        <v>23676</v>
      </c>
      <c r="F154">
        <v>1</v>
      </c>
      <c r="G154">
        <v>7174</v>
      </c>
      <c r="H154" s="1">
        <v>46056</v>
      </c>
      <c r="I154" s="1">
        <v>46064</v>
      </c>
      <c r="J154" s="1">
        <v>46064</v>
      </c>
      <c r="K154" s="2">
        <v>0.54166666666666663</v>
      </c>
      <c r="L154" t="s">
        <v>20</v>
      </c>
      <c r="M154" t="s">
        <v>307</v>
      </c>
      <c r="N154">
        <v>2353</v>
      </c>
      <c r="O154" t="s">
        <v>17</v>
      </c>
    </row>
    <row r="155" spans="1:15" hidden="1" x14ac:dyDescent="0.25">
      <c r="A155" t="s">
        <v>305</v>
      </c>
      <c r="B155" t="s">
        <v>308</v>
      </c>
      <c r="C155" t="e">
        <v>#NAME?</v>
      </c>
      <c r="D155" t="e">
        <v>#NAME?</v>
      </c>
      <c r="E155">
        <v>39964</v>
      </c>
      <c r="F155">
        <v>1</v>
      </c>
      <c r="G155">
        <v>4796</v>
      </c>
      <c r="H155" s="1">
        <v>46056</v>
      </c>
      <c r="I155" s="1">
        <v>46064</v>
      </c>
      <c r="J155" s="1">
        <v>46064</v>
      </c>
      <c r="K155" s="2">
        <v>0.54166666666666663</v>
      </c>
      <c r="L155" t="s">
        <v>20</v>
      </c>
      <c r="M155" t="s">
        <v>307</v>
      </c>
      <c r="N155">
        <v>4595</v>
      </c>
      <c r="O155" t="s">
        <v>17</v>
      </c>
    </row>
    <row r="156" spans="1:15" hidden="1" x14ac:dyDescent="0.25">
      <c r="A156" t="s">
        <v>309</v>
      </c>
      <c r="B156" t="s">
        <v>310</v>
      </c>
      <c r="C156" t="e">
        <v>#NAME?</v>
      </c>
      <c r="D156" t="e">
        <v>#NAME?</v>
      </c>
      <c r="E156">
        <v>31994</v>
      </c>
      <c r="F156">
        <v>1</v>
      </c>
      <c r="G156">
        <v>4415</v>
      </c>
      <c r="H156" s="1">
        <v>46056</v>
      </c>
      <c r="I156" s="1">
        <v>46064</v>
      </c>
      <c r="J156" s="1">
        <v>46064</v>
      </c>
      <c r="K156" s="2">
        <v>0.54166666666666663</v>
      </c>
      <c r="L156" t="s">
        <v>20</v>
      </c>
      <c r="M156" t="s">
        <v>307</v>
      </c>
      <c r="N156">
        <v>4319</v>
      </c>
      <c r="O156" t="s">
        <v>17</v>
      </c>
    </row>
    <row r="157" spans="1:15" hidden="1" x14ac:dyDescent="0.25">
      <c r="A157" t="s">
        <v>309</v>
      </c>
      <c r="B157" t="s">
        <v>311</v>
      </c>
      <c r="C157" t="e">
        <v>#NAME?</v>
      </c>
      <c r="D157" t="e">
        <v>#NAME?</v>
      </c>
      <c r="E157">
        <v>54398</v>
      </c>
      <c r="F157">
        <v>1</v>
      </c>
      <c r="G157">
        <v>6528</v>
      </c>
      <c r="H157" s="1">
        <v>46056</v>
      </c>
      <c r="I157" s="1">
        <v>46064</v>
      </c>
      <c r="J157" s="1">
        <v>46064</v>
      </c>
      <c r="K157" s="2">
        <v>0.54166666666666663</v>
      </c>
      <c r="L157" t="s">
        <v>20</v>
      </c>
      <c r="M157" t="s">
        <v>307</v>
      </c>
      <c r="N157">
        <v>4363</v>
      </c>
      <c r="O157" t="s">
        <v>17</v>
      </c>
    </row>
    <row r="158" spans="1:15" hidden="1" x14ac:dyDescent="0.25">
      <c r="A158" t="s">
        <v>312</v>
      </c>
      <c r="B158" t="s">
        <v>313</v>
      </c>
      <c r="C158" t="e">
        <v>#NAME?</v>
      </c>
      <c r="D158" t="e">
        <v>#NAME?</v>
      </c>
      <c r="E158">
        <v>48203</v>
      </c>
      <c r="F158">
        <v>1</v>
      </c>
      <c r="G158">
        <v>5784</v>
      </c>
      <c r="H158" s="1">
        <v>46056</v>
      </c>
      <c r="I158" s="1">
        <v>46064</v>
      </c>
      <c r="J158" s="1">
        <v>46064</v>
      </c>
      <c r="K158" s="2">
        <v>0.5625</v>
      </c>
      <c r="L158" t="s">
        <v>20</v>
      </c>
      <c r="M158" t="s">
        <v>314</v>
      </c>
      <c r="N158">
        <v>5543</v>
      </c>
      <c r="O158" t="s">
        <v>17</v>
      </c>
    </row>
    <row r="159" spans="1:15" hidden="1" x14ac:dyDescent="0.25">
      <c r="A159" t="s">
        <v>315</v>
      </c>
      <c r="B159" t="s">
        <v>316</v>
      </c>
      <c r="C159" t="e">
        <v>#NAME?</v>
      </c>
      <c r="D159" t="e">
        <v>#NAME?</v>
      </c>
      <c r="E159">
        <v>42028</v>
      </c>
      <c r="F159">
        <v>1</v>
      </c>
      <c r="G159">
        <v>5800</v>
      </c>
      <c r="H159" s="1">
        <v>46056</v>
      </c>
      <c r="I159" s="1">
        <v>46064</v>
      </c>
      <c r="J159" s="1">
        <v>46064</v>
      </c>
      <c r="K159" s="2">
        <v>0.5625</v>
      </c>
      <c r="L159" t="s">
        <v>20</v>
      </c>
      <c r="M159" t="s">
        <v>314</v>
      </c>
      <c r="N159">
        <v>5673</v>
      </c>
      <c r="O159" t="s">
        <v>17</v>
      </c>
    </row>
    <row r="160" spans="1:15" hidden="1" x14ac:dyDescent="0.25">
      <c r="A160" t="s">
        <v>312</v>
      </c>
      <c r="B160" t="s">
        <v>317</v>
      </c>
      <c r="C160" t="e">
        <v>#NAME?</v>
      </c>
      <c r="D160" t="e">
        <v>#NAME?</v>
      </c>
      <c r="E160">
        <v>38952</v>
      </c>
      <c r="F160">
        <v>1</v>
      </c>
      <c r="G160">
        <v>6077</v>
      </c>
      <c r="H160" s="1">
        <v>46056</v>
      </c>
      <c r="I160" s="1">
        <v>46064</v>
      </c>
      <c r="J160" s="1">
        <v>46064</v>
      </c>
      <c r="K160" s="2">
        <v>0.5625</v>
      </c>
      <c r="L160" t="s">
        <v>20</v>
      </c>
      <c r="M160" t="s">
        <v>318</v>
      </c>
      <c r="N160">
        <v>148993</v>
      </c>
      <c r="O160" t="s">
        <v>17</v>
      </c>
    </row>
    <row r="161" spans="1:15" hidden="1" x14ac:dyDescent="0.25">
      <c r="A161" t="s">
        <v>319</v>
      </c>
      <c r="B161" t="s">
        <v>320</v>
      </c>
      <c r="C161" t="e">
        <v>#NAME?</v>
      </c>
      <c r="D161" t="e">
        <v>#NAME?</v>
      </c>
      <c r="E161">
        <v>25314</v>
      </c>
      <c r="F161">
        <v>1</v>
      </c>
      <c r="G161">
        <v>3493</v>
      </c>
      <c r="H161" s="1">
        <v>46056</v>
      </c>
      <c r="I161" s="1">
        <v>46064</v>
      </c>
      <c r="J161" s="1">
        <v>46064</v>
      </c>
      <c r="K161" s="2">
        <v>0.5625</v>
      </c>
      <c r="L161" t="s">
        <v>20</v>
      </c>
      <c r="M161" t="s">
        <v>314</v>
      </c>
      <c r="N161">
        <v>3417</v>
      </c>
      <c r="O161" t="s">
        <v>17</v>
      </c>
    </row>
    <row r="162" spans="1:15" hidden="1" x14ac:dyDescent="0.25">
      <c r="A162" t="s">
        <v>315</v>
      </c>
      <c r="B162" t="s">
        <v>321</v>
      </c>
      <c r="C162" t="e">
        <v>#NAME?</v>
      </c>
      <c r="D162" t="e">
        <v>#NAME?</v>
      </c>
      <c r="E162">
        <v>33434</v>
      </c>
      <c r="F162">
        <v>1</v>
      </c>
      <c r="G162">
        <v>8860</v>
      </c>
      <c r="H162" s="1">
        <v>46056</v>
      </c>
      <c r="I162" s="1">
        <v>46064</v>
      </c>
      <c r="J162" s="1">
        <v>46064</v>
      </c>
      <c r="K162" s="2">
        <v>0.5625</v>
      </c>
      <c r="L162" t="s">
        <v>20</v>
      </c>
      <c r="M162" t="s">
        <v>314</v>
      </c>
      <c r="N162">
        <v>4513</v>
      </c>
      <c r="O162" t="s">
        <v>17</v>
      </c>
    </row>
    <row r="163" spans="1:15" hidden="1" x14ac:dyDescent="0.25">
      <c r="A163" t="s">
        <v>322</v>
      </c>
      <c r="B163" t="s">
        <v>323</v>
      </c>
      <c r="C163" t="e">
        <v>#NAME?</v>
      </c>
      <c r="D163" t="e">
        <v>#NAME?</v>
      </c>
      <c r="E163">
        <v>42801</v>
      </c>
      <c r="F163">
        <v>6</v>
      </c>
      <c r="G163">
        <v>4708</v>
      </c>
      <c r="H163" s="1">
        <v>46064</v>
      </c>
      <c r="I163" s="1">
        <v>46064</v>
      </c>
      <c r="J163" s="1">
        <v>46064</v>
      </c>
      <c r="K163" s="2">
        <v>0.60416666666666663</v>
      </c>
      <c r="M163" t="s">
        <v>324</v>
      </c>
      <c r="N163">
        <v>5044</v>
      </c>
      <c r="O163" t="s">
        <v>17</v>
      </c>
    </row>
    <row r="164" spans="1:15" hidden="1" x14ac:dyDescent="0.25">
      <c r="A164" t="s">
        <v>325</v>
      </c>
      <c r="B164" t="s">
        <v>326</v>
      </c>
      <c r="C164" t="e">
        <v>#NAME?</v>
      </c>
      <c r="D164" t="e">
        <v>#NAME?</v>
      </c>
      <c r="E164">
        <v>25753</v>
      </c>
      <c r="F164">
        <v>2</v>
      </c>
      <c r="G164">
        <v>2189</v>
      </c>
      <c r="H164" s="1">
        <v>46064</v>
      </c>
      <c r="I164" s="1">
        <v>46064</v>
      </c>
      <c r="J164" s="1">
        <v>46064</v>
      </c>
      <c r="K164" s="2">
        <v>0.60416666666666663</v>
      </c>
      <c r="N164">
        <v>2189</v>
      </c>
      <c r="O164" t="s">
        <v>17</v>
      </c>
    </row>
    <row r="165" spans="1:15" hidden="1" x14ac:dyDescent="0.25">
      <c r="A165" t="s">
        <v>327</v>
      </c>
      <c r="B165" t="s">
        <v>328</v>
      </c>
      <c r="C165" t="e">
        <v>#NAME?</v>
      </c>
      <c r="D165" t="e">
        <v>#NAME?</v>
      </c>
      <c r="E165">
        <v>33398</v>
      </c>
      <c r="F165">
        <v>4</v>
      </c>
      <c r="G165">
        <v>3340</v>
      </c>
      <c r="H165" s="1">
        <v>46064</v>
      </c>
      <c r="I165" s="1">
        <v>46064</v>
      </c>
      <c r="J165" s="1">
        <v>46064</v>
      </c>
      <c r="K165" s="2">
        <v>0.60416666666666663</v>
      </c>
      <c r="M165" t="s">
        <v>324</v>
      </c>
      <c r="N165">
        <v>3395</v>
      </c>
      <c r="O165" t="s">
        <v>17</v>
      </c>
    </row>
    <row r="166" spans="1:15" hidden="1" x14ac:dyDescent="0.25">
      <c r="A166" t="s">
        <v>325</v>
      </c>
      <c r="B166" t="s">
        <v>329</v>
      </c>
      <c r="C166" t="e">
        <v>#NAME?</v>
      </c>
      <c r="D166" t="e">
        <v>#NAME?</v>
      </c>
      <c r="E166">
        <v>53640</v>
      </c>
      <c r="F166">
        <v>6</v>
      </c>
      <c r="G166">
        <v>4989</v>
      </c>
      <c r="H166" s="1">
        <v>46064</v>
      </c>
      <c r="I166" s="1">
        <v>46064</v>
      </c>
      <c r="J166" s="1">
        <v>46064</v>
      </c>
      <c r="K166" s="2">
        <v>0.60416666666666663</v>
      </c>
      <c r="N166">
        <v>4989</v>
      </c>
      <c r="O166" t="s">
        <v>17</v>
      </c>
    </row>
    <row r="167" spans="1:15" hidden="1" x14ac:dyDescent="0.25">
      <c r="A167" t="s">
        <v>330</v>
      </c>
      <c r="B167" t="s">
        <v>331</v>
      </c>
      <c r="C167" t="e">
        <v>#NAME?</v>
      </c>
      <c r="D167" t="e">
        <v>#NAME?</v>
      </c>
      <c r="E167">
        <v>33049</v>
      </c>
      <c r="F167">
        <v>8</v>
      </c>
      <c r="G167">
        <v>6312</v>
      </c>
      <c r="H167" s="1">
        <v>46064</v>
      </c>
      <c r="I167" s="1">
        <v>46064</v>
      </c>
      <c r="J167" s="1">
        <v>46064</v>
      </c>
      <c r="K167" s="2">
        <v>0.60416666666666663</v>
      </c>
      <c r="M167" t="s">
        <v>324</v>
      </c>
      <c r="N167">
        <v>6454</v>
      </c>
      <c r="O167" t="s">
        <v>17</v>
      </c>
    </row>
    <row r="168" spans="1:15" hidden="1" x14ac:dyDescent="0.25">
      <c r="A168" t="s">
        <v>294</v>
      </c>
      <c r="B168" t="s">
        <v>332</v>
      </c>
      <c r="C168" t="e">
        <v>#NAME?</v>
      </c>
      <c r="D168" t="e">
        <v>#NAME?</v>
      </c>
      <c r="E168">
        <v>33704</v>
      </c>
      <c r="F168">
        <v>4</v>
      </c>
      <c r="G168">
        <v>2865</v>
      </c>
      <c r="H168" s="1">
        <v>46063</v>
      </c>
      <c r="I168" s="1">
        <v>46064</v>
      </c>
      <c r="J168" s="1">
        <v>46064</v>
      </c>
      <c r="K168" s="2">
        <v>0.41666666666666669</v>
      </c>
      <c r="M168" t="s">
        <v>333</v>
      </c>
      <c r="N168">
        <v>2860</v>
      </c>
      <c r="O168" t="s">
        <v>17</v>
      </c>
    </row>
    <row r="169" spans="1:15" hidden="1" x14ac:dyDescent="0.25">
      <c r="A169" t="s">
        <v>327</v>
      </c>
      <c r="B169" t="s">
        <v>334</v>
      </c>
      <c r="C169" t="e">
        <v>#NAME?</v>
      </c>
      <c r="D169" t="e">
        <v>#NAME?</v>
      </c>
      <c r="E169">
        <v>33067</v>
      </c>
      <c r="F169">
        <v>4</v>
      </c>
      <c r="G169">
        <v>3307</v>
      </c>
      <c r="H169" s="1">
        <v>46064</v>
      </c>
      <c r="I169" s="1">
        <v>46064</v>
      </c>
      <c r="J169" s="1">
        <v>46065</v>
      </c>
      <c r="K169" s="2">
        <v>0.60416666666666663</v>
      </c>
      <c r="M169" t="s">
        <v>201</v>
      </c>
      <c r="N169">
        <v>2826</v>
      </c>
      <c r="O169" t="s">
        <v>17</v>
      </c>
    </row>
    <row r="170" spans="1:15" hidden="1" x14ac:dyDescent="0.25">
      <c r="A170" t="s">
        <v>335</v>
      </c>
      <c r="B170" t="s">
        <v>336</v>
      </c>
      <c r="C170" t="e">
        <v>#NAME?</v>
      </c>
      <c r="D170" t="e">
        <v>#NAME?</v>
      </c>
      <c r="E170">
        <v>30070</v>
      </c>
      <c r="F170">
        <v>3</v>
      </c>
      <c r="G170">
        <v>2556</v>
      </c>
      <c r="H170" s="1">
        <v>46064</v>
      </c>
      <c r="I170" s="1">
        <v>46064</v>
      </c>
      <c r="J170" s="1">
        <v>46065</v>
      </c>
      <c r="K170" s="2">
        <v>0.60416666666666663</v>
      </c>
      <c r="M170" t="s">
        <v>201</v>
      </c>
      <c r="N170">
        <v>2506</v>
      </c>
      <c r="O170" t="s">
        <v>17</v>
      </c>
    </row>
    <row r="171" spans="1:15" hidden="1" x14ac:dyDescent="0.25">
      <c r="A171" t="s">
        <v>337</v>
      </c>
      <c r="B171" t="s">
        <v>338</v>
      </c>
      <c r="C171" t="e">
        <v>#NAME?</v>
      </c>
      <c r="D171" t="e">
        <v>#NAME?</v>
      </c>
      <c r="E171">
        <v>35870</v>
      </c>
      <c r="F171">
        <v>5</v>
      </c>
      <c r="G171">
        <v>3587</v>
      </c>
      <c r="H171" s="1">
        <v>46064</v>
      </c>
      <c r="I171" s="1">
        <v>46064</v>
      </c>
      <c r="J171" s="1">
        <v>46065</v>
      </c>
      <c r="K171" s="2">
        <v>0.60416666666666663</v>
      </c>
      <c r="M171" t="s">
        <v>339</v>
      </c>
      <c r="N171">
        <v>3580</v>
      </c>
      <c r="O171" t="s">
        <v>17</v>
      </c>
    </row>
    <row r="172" spans="1:15" hidden="1" x14ac:dyDescent="0.25">
      <c r="A172" t="s">
        <v>340</v>
      </c>
      <c r="B172" t="s">
        <v>341</v>
      </c>
      <c r="C172" t="e">
        <v>#NAME?</v>
      </c>
      <c r="D172" t="e">
        <v>#NAME?</v>
      </c>
      <c r="E172">
        <v>39394</v>
      </c>
      <c r="F172">
        <v>1</v>
      </c>
      <c r="G172">
        <v>5436</v>
      </c>
      <c r="H172" s="1">
        <v>46056</v>
      </c>
      <c r="I172" s="1">
        <v>46065</v>
      </c>
      <c r="J172" s="1">
        <v>46065</v>
      </c>
      <c r="K172" s="2">
        <v>0.375</v>
      </c>
      <c r="L172" t="s">
        <v>20</v>
      </c>
      <c r="M172" t="s">
        <v>342</v>
      </c>
      <c r="N172">
        <v>5436.37</v>
      </c>
      <c r="O172" t="s">
        <v>17</v>
      </c>
    </row>
    <row r="173" spans="1:15" hidden="1" x14ac:dyDescent="0.25">
      <c r="A173" t="s">
        <v>343</v>
      </c>
      <c r="B173" t="s">
        <v>344</v>
      </c>
      <c r="C173" t="e">
        <v>#NAME?</v>
      </c>
      <c r="D173" t="e">
        <v>#NAME?</v>
      </c>
      <c r="E173">
        <v>43442</v>
      </c>
      <c r="F173">
        <v>1</v>
      </c>
      <c r="G173">
        <v>13597</v>
      </c>
      <c r="H173" s="1">
        <v>46056</v>
      </c>
      <c r="I173" s="1">
        <v>46065</v>
      </c>
      <c r="J173" s="1">
        <v>46065</v>
      </c>
      <c r="K173" s="2">
        <v>0.375</v>
      </c>
      <c r="L173" t="s">
        <v>20</v>
      </c>
      <c r="M173" t="s">
        <v>342</v>
      </c>
      <c r="N173">
        <v>135900</v>
      </c>
      <c r="O173" t="s">
        <v>17</v>
      </c>
    </row>
    <row r="174" spans="1:15" hidden="1" x14ac:dyDescent="0.25">
      <c r="A174" t="s">
        <v>343</v>
      </c>
      <c r="B174" t="s">
        <v>345</v>
      </c>
      <c r="C174" t="e">
        <v>#NAME?</v>
      </c>
      <c r="D174" t="e">
        <v>#NAME?</v>
      </c>
      <c r="E174">
        <v>33567</v>
      </c>
      <c r="F174">
        <v>1</v>
      </c>
      <c r="G174">
        <v>4632</v>
      </c>
      <c r="H174" s="1">
        <v>46056</v>
      </c>
      <c r="I174" s="1">
        <v>46065</v>
      </c>
      <c r="J174" s="1">
        <v>46065</v>
      </c>
      <c r="K174" s="2">
        <v>0.375</v>
      </c>
      <c r="L174" t="s">
        <v>20</v>
      </c>
      <c r="M174" t="s">
        <v>342</v>
      </c>
      <c r="N174">
        <v>4630</v>
      </c>
      <c r="O174" t="s">
        <v>17</v>
      </c>
    </row>
    <row r="175" spans="1:15" hidden="1" x14ac:dyDescent="0.25">
      <c r="A175" t="s">
        <v>177</v>
      </c>
      <c r="B175" t="s">
        <v>346</v>
      </c>
      <c r="C175" t="e">
        <v>#NAME?</v>
      </c>
      <c r="D175" t="e">
        <v>#NAME?</v>
      </c>
      <c r="E175">
        <v>131344</v>
      </c>
      <c r="F175">
        <v>28</v>
      </c>
      <c r="G175">
        <v>20227</v>
      </c>
      <c r="H175" s="1">
        <v>46045</v>
      </c>
      <c r="I175" s="1">
        <v>46065</v>
      </c>
      <c r="J175" s="1">
        <v>46065</v>
      </c>
      <c r="K175" s="2">
        <v>0.375</v>
      </c>
      <c r="L175" t="s">
        <v>31</v>
      </c>
      <c r="M175" t="s">
        <v>347</v>
      </c>
      <c r="N175">
        <v>20230</v>
      </c>
      <c r="O175" t="s">
        <v>17</v>
      </c>
    </row>
    <row r="176" spans="1:15" hidden="1" x14ac:dyDescent="0.25">
      <c r="A176" t="s">
        <v>348</v>
      </c>
      <c r="B176" t="s">
        <v>349</v>
      </c>
      <c r="C176" t="e">
        <v>#NAME?</v>
      </c>
      <c r="D176" t="e">
        <v>#NAME?</v>
      </c>
      <c r="E176">
        <v>34404</v>
      </c>
      <c r="F176">
        <v>5</v>
      </c>
      <c r="G176">
        <v>4128</v>
      </c>
      <c r="H176" s="1">
        <v>46057</v>
      </c>
      <c r="I176" s="1">
        <v>46065</v>
      </c>
      <c r="J176" s="1">
        <v>46065</v>
      </c>
      <c r="K176" s="2">
        <v>0.375</v>
      </c>
      <c r="L176" t="s">
        <v>31</v>
      </c>
      <c r="M176" t="s">
        <v>193</v>
      </c>
      <c r="N176">
        <v>3454</v>
      </c>
      <c r="O176" t="s">
        <v>17</v>
      </c>
    </row>
    <row r="177" spans="1:15" hidden="1" x14ac:dyDescent="0.25">
      <c r="A177" t="s">
        <v>350</v>
      </c>
      <c r="B177" t="s">
        <v>351</v>
      </c>
      <c r="C177" t="e">
        <v>#NAME?</v>
      </c>
      <c r="D177" t="e">
        <v>#NAME?</v>
      </c>
      <c r="E177">
        <v>41574</v>
      </c>
      <c r="F177">
        <v>7</v>
      </c>
      <c r="G177">
        <v>8315</v>
      </c>
      <c r="H177" s="1">
        <v>46043</v>
      </c>
      <c r="I177" s="1">
        <v>46065</v>
      </c>
      <c r="J177" s="1">
        <v>46065</v>
      </c>
      <c r="K177" s="2">
        <v>0.375</v>
      </c>
      <c r="M177" t="s">
        <v>352</v>
      </c>
      <c r="N177">
        <v>7485</v>
      </c>
      <c r="O177" t="s">
        <v>17</v>
      </c>
    </row>
    <row r="178" spans="1:15" hidden="1" x14ac:dyDescent="0.25">
      <c r="A178" t="s">
        <v>353</v>
      </c>
      <c r="B178" t="s">
        <v>354</v>
      </c>
      <c r="C178" t="e">
        <v>#NAME?</v>
      </c>
      <c r="D178" t="e">
        <v>#NAME?</v>
      </c>
      <c r="E178">
        <v>36461</v>
      </c>
      <c r="F178">
        <v>1</v>
      </c>
      <c r="G178">
        <v>5688</v>
      </c>
      <c r="H178" s="1">
        <v>46056</v>
      </c>
      <c r="I178" s="1">
        <v>46065</v>
      </c>
      <c r="J178" s="1">
        <v>46065</v>
      </c>
      <c r="K178" s="2">
        <v>0.39583333333333331</v>
      </c>
      <c r="L178" t="s">
        <v>20</v>
      </c>
      <c r="M178" t="s">
        <v>355</v>
      </c>
      <c r="N178">
        <v>5651</v>
      </c>
      <c r="O178" t="s">
        <v>17</v>
      </c>
    </row>
    <row r="179" spans="1:15" hidden="1" x14ac:dyDescent="0.25">
      <c r="A179" t="s">
        <v>356</v>
      </c>
      <c r="B179" t="s">
        <v>357</v>
      </c>
      <c r="C179" t="e">
        <v>#NAME?</v>
      </c>
      <c r="D179" t="e">
        <v>#NAME?</v>
      </c>
      <c r="E179">
        <v>36993</v>
      </c>
      <c r="F179">
        <v>1</v>
      </c>
      <c r="G179">
        <v>10543</v>
      </c>
      <c r="H179" s="1">
        <v>46056</v>
      </c>
      <c r="I179" s="1">
        <v>46065</v>
      </c>
      <c r="J179" s="1">
        <v>46065</v>
      </c>
      <c r="K179" s="2">
        <v>0.39583333333333331</v>
      </c>
      <c r="L179" t="s">
        <v>20</v>
      </c>
      <c r="M179" t="s">
        <v>355</v>
      </c>
      <c r="N179">
        <v>3275</v>
      </c>
      <c r="O179" t="s">
        <v>17</v>
      </c>
    </row>
    <row r="180" spans="1:15" hidden="1" x14ac:dyDescent="0.25">
      <c r="A180" t="s">
        <v>356</v>
      </c>
      <c r="B180" t="s">
        <v>358</v>
      </c>
      <c r="C180" t="e">
        <v>#NAME?</v>
      </c>
      <c r="D180" t="e">
        <v>#NAME?</v>
      </c>
      <c r="E180">
        <v>51441</v>
      </c>
      <c r="F180">
        <v>1</v>
      </c>
      <c r="G180">
        <v>8025</v>
      </c>
      <c r="H180" s="1">
        <v>46056</v>
      </c>
      <c r="I180" s="1">
        <v>46065</v>
      </c>
      <c r="J180" s="1">
        <v>46065</v>
      </c>
      <c r="K180" s="2">
        <v>0.39583333333333331</v>
      </c>
      <c r="L180" t="s">
        <v>20</v>
      </c>
      <c r="M180" t="s">
        <v>355</v>
      </c>
      <c r="N180">
        <v>7973</v>
      </c>
      <c r="O180" t="s">
        <v>17</v>
      </c>
    </row>
    <row r="181" spans="1:15" hidden="1" x14ac:dyDescent="0.25">
      <c r="A181" t="s">
        <v>353</v>
      </c>
      <c r="B181" t="s">
        <v>359</v>
      </c>
      <c r="C181" t="e">
        <v>#NAME?</v>
      </c>
      <c r="D181" t="e">
        <v>#NAME?</v>
      </c>
      <c r="E181">
        <v>29610</v>
      </c>
      <c r="F181">
        <v>1</v>
      </c>
      <c r="G181">
        <v>5507</v>
      </c>
      <c r="H181" s="1">
        <v>46056</v>
      </c>
      <c r="I181" s="1">
        <v>46065</v>
      </c>
      <c r="J181" s="1">
        <v>46065</v>
      </c>
      <c r="K181" s="2">
        <v>0.39583333333333331</v>
      </c>
      <c r="L181" t="s">
        <v>20</v>
      </c>
      <c r="M181" t="s">
        <v>355</v>
      </c>
      <c r="N181">
        <v>5524</v>
      </c>
      <c r="O181" t="s">
        <v>17</v>
      </c>
    </row>
    <row r="182" spans="1:15" hidden="1" x14ac:dyDescent="0.25">
      <c r="A182" t="s">
        <v>360</v>
      </c>
      <c r="B182" t="s">
        <v>361</v>
      </c>
      <c r="C182" t="e">
        <v>#NAME?</v>
      </c>
      <c r="D182" t="e">
        <v>#NAME?</v>
      </c>
      <c r="E182">
        <v>120330</v>
      </c>
      <c r="F182">
        <v>13</v>
      </c>
      <c r="G182">
        <v>12033</v>
      </c>
      <c r="H182" s="1">
        <v>46062</v>
      </c>
      <c r="I182" s="1">
        <v>46065</v>
      </c>
      <c r="J182" s="1">
        <v>46066</v>
      </c>
      <c r="K182" s="2">
        <v>0.41666666666666669</v>
      </c>
      <c r="M182" t="s">
        <v>352</v>
      </c>
      <c r="N182">
        <v>4073</v>
      </c>
      <c r="O182" t="s">
        <v>17</v>
      </c>
    </row>
    <row r="183" spans="1:15" hidden="1" x14ac:dyDescent="0.25">
      <c r="A183" t="s">
        <v>362</v>
      </c>
      <c r="B183" t="s">
        <v>363</v>
      </c>
      <c r="C183" t="e">
        <v>#NAME?</v>
      </c>
      <c r="D183" t="e">
        <v>#NAME?</v>
      </c>
      <c r="E183">
        <v>48279</v>
      </c>
      <c r="F183">
        <v>6</v>
      </c>
      <c r="G183">
        <v>5552</v>
      </c>
      <c r="H183" s="1">
        <v>46062</v>
      </c>
      <c r="I183" s="1">
        <v>46065</v>
      </c>
      <c r="J183" s="1">
        <v>46065</v>
      </c>
      <c r="K183" s="2">
        <v>0.4375</v>
      </c>
      <c r="M183" t="s">
        <v>364</v>
      </c>
      <c r="N183">
        <v>4318</v>
      </c>
      <c r="O183" t="s">
        <v>17</v>
      </c>
    </row>
    <row r="184" spans="1:15" hidden="1" x14ac:dyDescent="0.25">
      <c r="A184" t="s">
        <v>365</v>
      </c>
      <c r="B184" t="s">
        <v>366</v>
      </c>
      <c r="C184" t="e">
        <v>#NAME?</v>
      </c>
      <c r="D184" t="e">
        <v>#NAME?</v>
      </c>
      <c r="E184">
        <v>38596</v>
      </c>
      <c r="F184">
        <v>5</v>
      </c>
      <c r="G184">
        <v>4053</v>
      </c>
      <c r="H184" s="1">
        <v>46062</v>
      </c>
      <c r="I184" s="1">
        <v>46065</v>
      </c>
      <c r="J184" s="1">
        <v>46065</v>
      </c>
      <c r="K184" s="2">
        <v>0.4375</v>
      </c>
      <c r="M184" t="s">
        <v>364</v>
      </c>
      <c r="N184">
        <v>4013</v>
      </c>
      <c r="O184" t="s">
        <v>17</v>
      </c>
    </row>
    <row r="185" spans="1:15" hidden="1" x14ac:dyDescent="0.25">
      <c r="A185" t="s">
        <v>367</v>
      </c>
      <c r="B185" t="s">
        <v>368</v>
      </c>
      <c r="C185" t="e">
        <v>#NAME?</v>
      </c>
      <c r="D185" t="e">
        <v>#NAME?</v>
      </c>
      <c r="E185">
        <v>28247</v>
      </c>
      <c r="F185">
        <v>5</v>
      </c>
      <c r="G185">
        <v>4576</v>
      </c>
      <c r="H185" s="1">
        <v>46062</v>
      </c>
      <c r="I185" s="1">
        <v>46065</v>
      </c>
      <c r="J185" s="1">
        <v>46065</v>
      </c>
      <c r="K185" s="2">
        <v>0.4375</v>
      </c>
      <c r="N185">
        <v>4576</v>
      </c>
      <c r="O185" t="s">
        <v>17</v>
      </c>
    </row>
    <row r="186" spans="1:15" hidden="1" x14ac:dyDescent="0.25">
      <c r="A186" t="s">
        <v>362</v>
      </c>
      <c r="B186" t="s">
        <v>369</v>
      </c>
      <c r="C186" t="e">
        <v>#NAME?</v>
      </c>
      <c r="D186" t="e">
        <v>#NAME?</v>
      </c>
      <c r="E186">
        <v>29515</v>
      </c>
      <c r="F186">
        <v>4</v>
      </c>
      <c r="G186">
        <v>3099</v>
      </c>
      <c r="H186" s="1">
        <v>46062</v>
      </c>
      <c r="I186" s="1">
        <v>46065</v>
      </c>
      <c r="J186" s="1">
        <v>46065</v>
      </c>
      <c r="K186" s="2">
        <v>0.4375</v>
      </c>
      <c r="M186" t="s">
        <v>370</v>
      </c>
      <c r="N186">
        <v>3069</v>
      </c>
      <c r="O186" t="s">
        <v>17</v>
      </c>
    </row>
    <row r="187" spans="1:15" hidden="1" x14ac:dyDescent="0.25">
      <c r="A187" t="s">
        <v>367</v>
      </c>
      <c r="B187" t="s">
        <v>371</v>
      </c>
      <c r="C187" t="e">
        <v>#NAME?</v>
      </c>
      <c r="D187" t="e">
        <v>#NAME?</v>
      </c>
      <c r="E187">
        <v>48383</v>
      </c>
      <c r="F187">
        <v>6</v>
      </c>
      <c r="G187">
        <v>5564</v>
      </c>
      <c r="H187" s="1">
        <v>46062</v>
      </c>
      <c r="I187" s="1">
        <v>46065</v>
      </c>
      <c r="J187" s="1">
        <v>46065</v>
      </c>
      <c r="K187" s="2">
        <v>0.4375</v>
      </c>
      <c r="M187" t="s">
        <v>372</v>
      </c>
      <c r="N187">
        <v>5510</v>
      </c>
      <c r="O187" t="s">
        <v>17</v>
      </c>
    </row>
    <row r="188" spans="1:15" hidden="1" x14ac:dyDescent="0.25">
      <c r="A188" t="s">
        <v>373</v>
      </c>
      <c r="B188" t="s">
        <v>374</v>
      </c>
      <c r="C188" t="e">
        <v>#NAME?</v>
      </c>
      <c r="D188" t="e">
        <v>#NAME?</v>
      </c>
      <c r="E188">
        <v>45639</v>
      </c>
      <c r="F188">
        <v>5</v>
      </c>
      <c r="G188">
        <v>4792</v>
      </c>
      <c r="H188" s="1">
        <v>46062</v>
      </c>
      <c r="I188" s="1">
        <v>46065</v>
      </c>
      <c r="J188" s="1">
        <v>46065</v>
      </c>
      <c r="K188" s="2">
        <v>0.4375</v>
      </c>
      <c r="M188" t="s">
        <v>372</v>
      </c>
      <c r="N188">
        <v>4792</v>
      </c>
      <c r="O188" t="s">
        <v>17</v>
      </c>
    </row>
    <row r="189" spans="1:15" hidden="1" x14ac:dyDescent="0.25">
      <c r="A189" t="s">
        <v>375</v>
      </c>
      <c r="B189" t="s">
        <v>376</v>
      </c>
      <c r="C189" t="e">
        <v>#NAME?</v>
      </c>
      <c r="D189" t="e">
        <v>#NAME?</v>
      </c>
      <c r="E189">
        <v>44160</v>
      </c>
      <c r="F189">
        <v>6</v>
      </c>
      <c r="G189">
        <v>4769</v>
      </c>
      <c r="H189" s="1">
        <v>46062</v>
      </c>
      <c r="I189" s="1">
        <v>46065</v>
      </c>
      <c r="J189" s="1">
        <v>46065</v>
      </c>
      <c r="K189" s="2">
        <v>0.45833333333333331</v>
      </c>
      <c r="M189" t="s">
        <v>377</v>
      </c>
      <c r="N189">
        <v>4411</v>
      </c>
      <c r="O189" t="s">
        <v>17</v>
      </c>
    </row>
    <row r="190" spans="1:15" hidden="1" x14ac:dyDescent="0.25">
      <c r="A190" t="s">
        <v>378</v>
      </c>
      <c r="B190" t="s">
        <v>379</v>
      </c>
      <c r="C190" t="e">
        <v>#NAME?</v>
      </c>
      <c r="D190" t="e">
        <v>#NAME?</v>
      </c>
      <c r="E190">
        <v>38099</v>
      </c>
      <c r="F190">
        <v>5</v>
      </c>
      <c r="G190">
        <v>4000</v>
      </c>
      <c r="H190" s="1">
        <v>46062</v>
      </c>
      <c r="I190" s="1">
        <v>46065</v>
      </c>
      <c r="J190" s="1">
        <v>46065</v>
      </c>
      <c r="K190" s="2">
        <v>0.45833333333333331</v>
      </c>
      <c r="M190" t="s">
        <v>380</v>
      </c>
      <c r="N190">
        <v>3737</v>
      </c>
      <c r="O190" t="s">
        <v>17</v>
      </c>
    </row>
    <row r="191" spans="1:15" hidden="1" x14ac:dyDescent="0.25">
      <c r="A191" t="s">
        <v>280</v>
      </c>
      <c r="B191" t="s">
        <v>381</v>
      </c>
      <c r="C191" t="e">
        <v>#NAME?</v>
      </c>
      <c r="D191" t="e">
        <v>#NAME?</v>
      </c>
      <c r="E191">
        <v>35816</v>
      </c>
      <c r="F191">
        <v>4</v>
      </c>
      <c r="G191">
        <v>3582</v>
      </c>
      <c r="H191" s="1">
        <v>46062</v>
      </c>
      <c r="I191" s="1">
        <v>46065</v>
      </c>
      <c r="J191" s="1">
        <v>46065</v>
      </c>
      <c r="K191" s="2">
        <v>0.45833333333333331</v>
      </c>
      <c r="N191">
        <v>3582</v>
      </c>
      <c r="O191" t="s">
        <v>17</v>
      </c>
    </row>
    <row r="192" spans="1:15" hidden="1" x14ac:dyDescent="0.25">
      <c r="A192" t="s">
        <v>382</v>
      </c>
      <c r="B192" t="s">
        <v>383</v>
      </c>
      <c r="C192" t="e">
        <v>#NAME?</v>
      </c>
      <c r="D192" t="e">
        <v>#NAME?</v>
      </c>
      <c r="E192">
        <v>39187</v>
      </c>
      <c r="F192">
        <v>5</v>
      </c>
      <c r="G192">
        <v>2978</v>
      </c>
      <c r="H192" s="1">
        <v>46062</v>
      </c>
      <c r="I192" s="1">
        <v>46065</v>
      </c>
      <c r="J192" s="1">
        <v>46065</v>
      </c>
      <c r="K192" s="2">
        <v>0.45833333333333331</v>
      </c>
      <c r="N192">
        <v>2978</v>
      </c>
      <c r="O192" t="s">
        <v>17</v>
      </c>
    </row>
    <row r="193" spans="1:15" hidden="1" x14ac:dyDescent="0.25">
      <c r="A193" t="s">
        <v>382</v>
      </c>
      <c r="B193" t="s">
        <v>384</v>
      </c>
      <c r="C193" t="e">
        <v>#NAME?</v>
      </c>
      <c r="D193" t="e">
        <v>#NAME?</v>
      </c>
      <c r="E193">
        <v>32787</v>
      </c>
      <c r="F193">
        <v>4</v>
      </c>
      <c r="G193">
        <v>2492</v>
      </c>
      <c r="H193" s="1">
        <v>46062</v>
      </c>
      <c r="I193" s="1">
        <v>46065</v>
      </c>
      <c r="J193" s="1">
        <v>46065</v>
      </c>
      <c r="K193" s="2">
        <v>0.45833333333333331</v>
      </c>
      <c r="N193">
        <v>2492</v>
      </c>
      <c r="O193" t="s">
        <v>17</v>
      </c>
    </row>
    <row r="194" spans="1:15" hidden="1" x14ac:dyDescent="0.25">
      <c r="A194" t="s">
        <v>385</v>
      </c>
      <c r="B194" t="s">
        <v>386</v>
      </c>
      <c r="C194" t="e">
        <v>#NAME?</v>
      </c>
      <c r="D194" t="e">
        <v>#NAME?</v>
      </c>
      <c r="E194">
        <v>37166</v>
      </c>
      <c r="F194">
        <v>4</v>
      </c>
      <c r="G194">
        <v>3717</v>
      </c>
      <c r="H194" s="1">
        <v>46062</v>
      </c>
      <c r="I194" s="1">
        <v>46065</v>
      </c>
      <c r="J194" s="1">
        <v>46065</v>
      </c>
      <c r="K194" s="2">
        <v>0.45833333333333331</v>
      </c>
      <c r="N194">
        <v>3717</v>
      </c>
      <c r="O194" t="s">
        <v>17</v>
      </c>
    </row>
    <row r="195" spans="1:15" hidden="1" x14ac:dyDescent="0.25">
      <c r="A195" t="s">
        <v>387</v>
      </c>
      <c r="B195" t="s">
        <v>270</v>
      </c>
      <c r="C195" t="e">
        <v>#NAME?</v>
      </c>
      <c r="D195" t="e">
        <v>#NAME?</v>
      </c>
      <c r="E195">
        <v>55853</v>
      </c>
      <c r="F195">
        <v>8</v>
      </c>
      <c r="G195">
        <v>5250</v>
      </c>
      <c r="H195" s="1">
        <v>46063</v>
      </c>
      <c r="I195" s="1">
        <v>46065</v>
      </c>
      <c r="J195" s="1">
        <v>46065</v>
      </c>
      <c r="K195" s="2">
        <v>0.47916666666666669</v>
      </c>
      <c r="M195" t="s">
        <v>388</v>
      </c>
      <c r="N195">
        <v>5573</v>
      </c>
      <c r="O195" t="s">
        <v>17</v>
      </c>
    </row>
    <row r="196" spans="1:15" hidden="1" x14ac:dyDescent="0.25">
      <c r="A196" t="s">
        <v>389</v>
      </c>
      <c r="B196" t="s">
        <v>390</v>
      </c>
      <c r="C196" t="e">
        <v>#NAME?</v>
      </c>
      <c r="D196" t="e">
        <v>#NAME?</v>
      </c>
      <c r="E196">
        <v>43702</v>
      </c>
      <c r="F196">
        <v>7</v>
      </c>
      <c r="G196">
        <v>4851</v>
      </c>
      <c r="H196" s="1">
        <v>46063</v>
      </c>
      <c r="I196" s="1">
        <v>46065</v>
      </c>
      <c r="J196" s="1">
        <v>46065</v>
      </c>
      <c r="K196" s="2">
        <v>0.47916666666666669</v>
      </c>
      <c r="M196" t="s">
        <v>388</v>
      </c>
      <c r="N196">
        <v>5074</v>
      </c>
      <c r="O196" t="s">
        <v>17</v>
      </c>
    </row>
    <row r="197" spans="1:15" hidden="1" x14ac:dyDescent="0.25">
      <c r="A197" t="s">
        <v>391</v>
      </c>
      <c r="B197" t="s">
        <v>392</v>
      </c>
      <c r="C197" t="e">
        <v>#NAME?</v>
      </c>
      <c r="D197" t="e">
        <v>#NAME?</v>
      </c>
      <c r="E197">
        <v>44500</v>
      </c>
      <c r="F197">
        <v>12</v>
      </c>
      <c r="G197">
        <v>9968</v>
      </c>
      <c r="H197" s="1">
        <v>46063</v>
      </c>
      <c r="I197" s="1">
        <v>46065</v>
      </c>
      <c r="J197" s="1">
        <v>46065</v>
      </c>
      <c r="K197" s="2">
        <v>0.47916666666666669</v>
      </c>
      <c r="M197" t="s">
        <v>393</v>
      </c>
      <c r="N197">
        <v>10286</v>
      </c>
      <c r="O197" t="s">
        <v>17</v>
      </c>
    </row>
    <row r="198" spans="1:15" hidden="1" x14ac:dyDescent="0.25">
      <c r="A198" t="s">
        <v>387</v>
      </c>
      <c r="B198" t="s">
        <v>394</v>
      </c>
      <c r="C198" t="e">
        <v>#NAME?</v>
      </c>
      <c r="D198" t="e">
        <v>#NAME?</v>
      </c>
      <c r="E198">
        <v>26215</v>
      </c>
      <c r="F198">
        <v>5</v>
      </c>
      <c r="G198">
        <v>3801</v>
      </c>
      <c r="H198" s="1">
        <v>46063</v>
      </c>
      <c r="I198" s="1">
        <v>46065</v>
      </c>
      <c r="J198" s="1">
        <v>46065</v>
      </c>
      <c r="K198" s="2">
        <v>0.47916666666666669</v>
      </c>
      <c r="M198" t="s">
        <v>388</v>
      </c>
      <c r="N198">
        <v>3969</v>
      </c>
      <c r="O198" t="s">
        <v>17</v>
      </c>
    </row>
    <row r="199" spans="1:15" hidden="1" x14ac:dyDescent="0.25">
      <c r="A199" t="s">
        <v>391</v>
      </c>
      <c r="B199" t="s">
        <v>395</v>
      </c>
      <c r="C199" t="e">
        <v>#NAME?</v>
      </c>
      <c r="D199" t="e">
        <v>#NAME?</v>
      </c>
      <c r="E199">
        <v>49997</v>
      </c>
      <c r="F199">
        <v>6</v>
      </c>
      <c r="G199">
        <v>3850</v>
      </c>
      <c r="H199" s="1">
        <v>46063</v>
      </c>
      <c r="I199" s="1">
        <v>46065</v>
      </c>
      <c r="J199" s="1">
        <v>46065</v>
      </c>
      <c r="K199" s="2">
        <v>0.47916666666666669</v>
      </c>
      <c r="M199" t="s">
        <v>393</v>
      </c>
      <c r="N199">
        <v>4038</v>
      </c>
      <c r="O199" t="s">
        <v>17</v>
      </c>
    </row>
    <row r="200" spans="1:15" hidden="1" x14ac:dyDescent="0.25">
      <c r="A200" t="s">
        <v>389</v>
      </c>
      <c r="B200" t="s">
        <v>396</v>
      </c>
      <c r="C200" t="e">
        <v>#NAME?</v>
      </c>
      <c r="D200" t="e">
        <v>#NAME?</v>
      </c>
      <c r="E200">
        <v>23844</v>
      </c>
      <c r="F200">
        <v>7</v>
      </c>
      <c r="G200">
        <v>4673</v>
      </c>
      <c r="H200" s="1">
        <v>46063</v>
      </c>
      <c r="I200" s="1">
        <v>46065</v>
      </c>
      <c r="J200" s="1">
        <v>46065</v>
      </c>
      <c r="K200" s="2">
        <v>0.47916666666666669</v>
      </c>
      <c r="N200">
        <v>4673</v>
      </c>
      <c r="O200" t="s">
        <v>17</v>
      </c>
    </row>
    <row r="201" spans="1:15" hidden="1" x14ac:dyDescent="0.25">
      <c r="A201" t="s">
        <v>397</v>
      </c>
      <c r="B201" t="s">
        <v>398</v>
      </c>
      <c r="C201" t="e">
        <v>#NAME?</v>
      </c>
      <c r="D201" t="e">
        <v>#NAME?</v>
      </c>
      <c r="E201">
        <v>61374</v>
      </c>
      <c r="F201">
        <v>10</v>
      </c>
      <c r="G201">
        <v>6813</v>
      </c>
      <c r="H201" s="1">
        <v>46063</v>
      </c>
      <c r="I201" s="1">
        <v>46065</v>
      </c>
      <c r="J201" s="1">
        <v>46065</v>
      </c>
      <c r="K201" s="2">
        <v>0.54166666666666663</v>
      </c>
      <c r="M201" t="s">
        <v>399</v>
      </c>
      <c r="N201">
        <v>7098</v>
      </c>
      <c r="O201" t="s">
        <v>17</v>
      </c>
    </row>
    <row r="202" spans="1:15" hidden="1" x14ac:dyDescent="0.25">
      <c r="A202" t="s">
        <v>400</v>
      </c>
      <c r="B202" t="s">
        <v>401</v>
      </c>
      <c r="C202" t="e">
        <v>#NAME?</v>
      </c>
      <c r="D202" t="e">
        <v>#NAME?</v>
      </c>
      <c r="E202">
        <v>39573</v>
      </c>
      <c r="F202">
        <v>7</v>
      </c>
      <c r="G202">
        <v>4986</v>
      </c>
      <c r="H202" s="1">
        <v>46063</v>
      </c>
      <c r="I202" s="1">
        <v>46065</v>
      </c>
      <c r="J202" s="1">
        <v>46065</v>
      </c>
      <c r="K202" s="2">
        <v>0.54166666666666663</v>
      </c>
      <c r="M202" t="s">
        <v>399</v>
      </c>
      <c r="N202">
        <v>5263</v>
      </c>
      <c r="O202" t="s">
        <v>17</v>
      </c>
    </row>
    <row r="203" spans="1:15" hidden="1" x14ac:dyDescent="0.25">
      <c r="A203" t="s">
        <v>397</v>
      </c>
      <c r="B203" t="s">
        <v>402</v>
      </c>
      <c r="C203" t="e">
        <v>#NAME?</v>
      </c>
      <c r="D203" t="e">
        <v>#NAME?</v>
      </c>
      <c r="E203">
        <v>28773</v>
      </c>
      <c r="F203">
        <v>5</v>
      </c>
      <c r="G203">
        <v>4172</v>
      </c>
      <c r="H203" s="1">
        <v>46063</v>
      </c>
      <c r="I203" s="1">
        <v>46065</v>
      </c>
      <c r="J203" s="1">
        <v>46065</v>
      </c>
      <c r="K203" s="2">
        <v>0.54166666666666663</v>
      </c>
      <c r="M203" t="s">
        <v>399</v>
      </c>
      <c r="N203">
        <v>4286</v>
      </c>
      <c r="O203" t="s">
        <v>17</v>
      </c>
    </row>
    <row r="204" spans="1:15" hidden="1" x14ac:dyDescent="0.25">
      <c r="A204" t="s">
        <v>400</v>
      </c>
      <c r="B204" t="s">
        <v>403</v>
      </c>
      <c r="C204" t="e">
        <v>#NAME?</v>
      </c>
      <c r="D204" t="e">
        <v>#NAME?</v>
      </c>
      <c r="E204">
        <v>57897</v>
      </c>
      <c r="F204">
        <v>9</v>
      </c>
      <c r="G204">
        <v>7295</v>
      </c>
      <c r="H204" s="1">
        <v>46063</v>
      </c>
      <c r="I204" s="1">
        <v>46065</v>
      </c>
      <c r="J204" s="1">
        <v>46065</v>
      </c>
      <c r="K204" s="2">
        <v>0.54166666666666663</v>
      </c>
      <c r="N204">
        <v>7295</v>
      </c>
      <c r="O204" t="s">
        <v>17</v>
      </c>
    </row>
    <row r="205" spans="1:15" hidden="1" x14ac:dyDescent="0.25">
      <c r="A205" t="s">
        <v>404</v>
      </c>
      <c r="B205" t="s">
        <v>405</v>
      </c>
      <c r="C205" t="e">
        <v>#NAME?</v>
      </c>
      <c r="D205" t="e">
        <v>#NAME?</v>
      </c>
      <c r="E205">
        <v>34358</v>
      </c>
      <c r="F205">
        <v>5</v>
      </c>
      <c r="G205">
        <v>3230</v>
      </c>
      <c r="H205" s="1">
        <v>46063</v>
      </c>
      <c r="I205" s="1">
        <v>46065</v>
      </c>
      <c r="J205" s="1">
        <v>46065</v>
      </c>
      <c r="K205" s="2">
        <v>0.54166666666666663</v>
      </c>
      <c r="N205">
        <v>3230</v>
      </c>
      <c r="O205" t="s">
        <v>17</v>
      </c>
    </row>
    <row r="206" spans="1:15" hidden="1" x14ac:dyDescent="0.25">
      <c r="A206" t="s">
        <v>406</v>
      </c>
      <c r="B206" t="s">
        <v>407</v>
      </c>
      <c r="C206" t="e">
        <v>#NAME?</v>
      </c>
      <c r="D206" t="e">
        <v>#NAME?</v>
      </c>
      <c r="E206">
        <v>42296</v>
      </c>
      <c r="F206">
        <v>7</v>
      </c>
      <c r="G206">
        <v>6471</v>
      </c>
      <c r="H206" s="1">
        <v>46065</v>
      </c>
      <c r="I206" s="1">
        <v>46065</v>
      </c>
      <c r="J206" s="1">
        <v>46065</v>
      </c>
      <c r="K206" s="2">
        <v>0.58333333333333337</v>
      </c>
      <c r="M206" t="s">
        <v>201</v>
      </c>
      <c r="N206">
        <v>5918</v>
      </c>
      <c r="O206" t="s">
        <v>17</v>
      </c>
    </row>
    <row r="207" spans="1:15" hidden="1" x14ac:dyDescent="0.25">
      <c r="A207" t="s">
        <v>408</v>
      </c>
      <c r="B207" t="s">
        <v>409</v>
      </c>
      <c r="C207" t="e">
        <v>#NAME?</v>
      </c>
      <c r="D207" t="e">
        <v>#NAME?</v>
      </c>
      <c r="E207">
        <v>25955</v>
      </c>
      <c r="F207">
        <v>3</v>
      </c>
      <c r="G207">
        <v>3063</v>
      </c>
      <c r="H207" s="1">
        <v>46065</v>
      </c>
      <c r="I207" s="1">
        <v>46065</v>
      </c>
      <c r="J207" s="1">
        <v>46065</v>
      </c>
      <c r="K207" s="2">
        <v>0.58333333333333337</v>
      </c>
      <c r="M207" t="s">
        <v>201</v>
      </c>
      <c r="N207">
        <v>2719</v>
      </c>
      <c r="O207" t="s">
        <v>17</v>
      </c>
    </row>
    <row r="208" spans="1:15" hidden="1" x14ac:dyDescent="0.25">
      <c r="A208" t="s">
        <v>335</v>
      </c>
      <c r="B208" t="s">
        <v>410</v>
      </c>
      <c r="C208" t="e">
        <v>#NAME?</v>
      </c>
      <c r="D208" t="e">
        <v>#NAME?</v>
      </c>
      <c r="E208">
        <v>63639</v>
      </c>
      <c r="F208">
        <v>5</v>
      </c>
      <c r="G208">
        <v>5409</v>
      </c>
      <c r="H208" s="1">
        <v>46065</v>
      </c>
      <c r="I208" s="1">
        <v>46065</v>
      </c>
      <c r="J208" s="1">
        <v>46065</v>
      </c>
      <c r="K208" s="2">
        <v>0.58333333333333337</v>
      </c>
      <c r="M208" t="s">
        <v>201</v>
      </c>
      <c r="N208">
        <v>5298</v>
      </c>
      <c r="O208" t="s">
        <v>17</v>
      </c>
    </row>
    <row r="209" spans="1:15" hidden="1" x14ac:dyDescent="0.25">
      <c r="A209" t="s">
        <v>411</v>
      </c>
      <c r="B209" t="s">
        <v>412</v>
      </c>
      <c r="C209" t="e">
        <v>#NAME?</v>
      </c>
      <c r="D209" t="e">
        <v>#NAME?</v>
      </c>
      <c r="E209">
        <v>37870</v>
      </c>
      <c r="F209">
        <v>5</v>
      </c>
      <c r="G209">
        <v>2992</v>
      </c>
      <c r="H209" s="1">
        <v>46058</v>
      </c>
      <c r="I209" s="1">
        <v>46065</v>
      </c>
      <c r="J209" s="1">
        <v>46065</v>
      </c>
      <c r="K209" s="2">
        <v>0.60416666666666663</v>
      </c>
      <c r="L209" t="s">
        <v>20</v>
      </c>
      <c r="M209" t="s">
        <v>413</v>
      </c>
      <c r="N209">
        <v>3032</v>
      </c>
      <c r="O209" t="s">
        <v>17</v>
      </c>
    </row>
    <row r="210" spans="1:15" hidden="1" x14ac:dyDescent="0.25">
      <c r="A210" t="s">
        <v>414</v>
      </c>
      <c r="B210" t="s">
        <v>415</v>
      </c>
      <c r="C210" t="e">
        <v>#NAME?</v>
      </c>
      <c r="D210" t="e">
        <v>#NAME?</v>
      </c>
      <c r="E210">
        <v>34194</v>
      </c>
      <c r="F210">
        <v>6</v>
      </c>
      <c r="G210">
        <v>4445</v>
      </c>
      <c r="H210" s="1">
        <v>46058</v>
      </c>
      <c r="I210" s="1">
        <v>46065</v>
      </c>
      <c r="J210" s="1">
        <v>46065</v>
      </c>
      <c r="K210" s="2">
        <v>0.60416666666666663</v>
      </c>
      <c r="L210" t="s">
        <v>20</v>
      </c>
      <c r="N210">
        <v>4445</v>
      </c>
      <c r="O210" t="s">
        <v>17</v>
      </c>
    </row>
    <row r="211" spans="1:15" hidden="1" x14ac:dyDescent="0.25">
      <c r="A211" t="s">
        <v>416</v>
      </c>
      <c r="B211" t="s">
        <v>417</v>
      </c>
      <c r="C211" t="e">
        <v>#NAME?</v>
      </c>
      <c r="D211" t="e">
        <v>#NAME?</v>
      </c>
      <c r="E211">
        <v>36750</v>
      </c>
      <c r="F211">
        <v>4</v>
      </c>
      <c r="G211">
        <v>2903</v>
      </c>
      <c r="H211" s="1">
        <v>46058</v>
      </c>
      <c r="I211" s="1">
        <v>46065</v>
      </c>
      <c r="J211" s="1">
        <v>46065</v>
      </c>
      <c r="K211" s="2">
        <v>0.60416666666666663</v>
      </c>
      <c r="L211" t="s">
        <v>20</v>
      </c>
      <c r="N211">
        <v>2903</v>
      </c>
      <c r="O211" t="s">
        <v>17</v>
      </c>
    </row>
    <row r="212" spans="1:15" hidden="1" x14ac:dyDescent="0.25">
      <c r="A212" t="s">
        <v>416</v>
      </c>
      <c r="B212" t="s">
        <v>418</v>
      </c>
      <c r="C212" t="e">
        <v>#NAME?</v>
      </c>
      <c r="D212" t="e">
        <v>#NAME?</v>
      </c>
      <c r="E212">
        <v>28168</v>
      </c>
      <c r="F212">
        <v>4</v>
      </c>
      <c r="G212">
        <v>3098</v>
      </c>
      <c r="H212" s="1">
        <v>46058</v>
      </c>
      <c r="I212" s="1">
        <v>46065</v>
      </c>
      <c r="J212" s="1">
        <v>46065</v>
      </c>
      <c r="K212" s="2">
        <v>0.60416666666666663</v>
      </c>
      <c r="L212" t="s">
        <v>20</v>
      </c>
      <c r="N212">
        <v>3098</v>
      </c>
      <c r="O212" t="s">
        <v>17</v>
      </c>
    </row>
    <row r="213" spans="1:15" hidden="1" x14ac:dyDescent="0.25">
      <c r="A213" t="s">
        <v>411</v>
      </c>
      <c r="B213" t="s">
        <v>419</v>
      </c>
      <c r="C213" t="e">
        <v>#NAME?</v>
      </c>
      <c r="D213" t="e">
        <v>#NAME?</v>
      </c>
      <c r="E213">
        <v>33534</v>
      </c>
      <c r="F213">
        <v>4</v>
      </c>
      <c r="G213">
        <v>2649</v>
      </c>
      <c r="H213" s="1">
        <v>46058</v>
      </c>
      <c r="I213" s="1">
        <v>46065</v>
      </c>
      <c r="J213" s="1">
        <v>46065</v>
      </c>
      <c r="K213" s="2">
        <v>0.60416666666666663</v>
      </c>
      <c r="L213" t="s">
        <v>20</v>
      </c>
      <c r="M213" t="s">
        <v>420</v>
      </c>
      <c r="N213">
        <v>2687</v>
      </c>
      <c r="O213" t="s">
        <v>17</v>
      </c>
    </row>
    <row r="214" spans="1:15" hidden="1" x14ac:dyDescent="0.25">
      <c r="A214" t="s">
        <v>414</v>
      </c>
      <c r="B214" t="s">
        <v>421</v>
      </c>
      <c r="C214" t="e">
        <v>#NAME?</v>
      </c>
      <c r="D214" t="e">
        <v>#NAME?</v>
      </c>
      <c r="E214">
        <v>33119</v>
      </c>
      <c r="F214">
        <v>5</v>
      </c>
      <c r="G214">
        <v>3179</v>
      </c>
      <c r="H214" s="1">
        <v>46058</v>
      </c>
      <c r="I214" s="1">
        <v>46065</v>
      </c>
      <c r="J214" s="1">
        <v>46065</v>
      </c>
      <c r="K214" s="2">
        <v>0.60416666666666663</v>
      </c>
      <c r="L214" t="s">
        <v>20</v>
      </c>
      <c r="N214">
        <v>3179</v>
      </c>
      <c r="O214" t="s">
        <v>17</v>
      </c>
    </row>
    <row r="215" spans="1:15" x14ac:dyDescent="0.25">
      <c r="A215" t="s">
        <v>422</v>
      </c>
      <c r="B215" t="s">
        <v>423</v>
      </c>
      <c r="C215" t="e">
        <v>#NAME?</v>
      </c>
      <c r="D215" t="e">
        <v>#NAME?</v>
      </c>
      <c r="E215">
        <v>202299</v>
      </c>
      <c r="F215" s="48">
        <v>6</v>
      </c>
      <c r="G215">
        <v>20432</v>
      </c>
      <c r="H215" s="1">
        <v>46064</v>
      </c>
      <c r="I215" s="1">
        <v>46065</v>
      </c>
      <c r="J215" s="1">
        <v>46064</v>
      </c>
      <c r="K215" s="2">
        <v>0.64583333333333337</v>
      </c>
      <c r="M215" t="s">
        <v>424</v>
      </c>
      <c r="N215">
        <v>20934</v>
      </c>
      <c r="O215" t="s">
        <v>17</v>
      </c>
    </row>
    <row r="216" spans="1:15" x14ac:dyDescent="0.25">
      <c r="A216" t="s">
        <v>422</v>
      </c>
      <c r="B216" t="s">
        <v>425</v>
      </c>
      <c r="C216" t="e">
        <v>#NAME?</v>
      </c>
      <c r="D216" t="e">
        <v>#NAME?</v>
      </c>
      <c r="E216">
        <v>23874</v>
      </c>
      <c r="F216" s="48">
        <v>6</v>
      </c>
      <c r="G216">
        <v>2411</v>
      </c>
      <c r="H216" s="1">
        <v>46064</v>
      </c>
      <c r="I216" s="1">
        <v>46064</v>
      </c>
      <c r="J216" s="1">
        <v>46064</v>
      </c>
      <c r="K216" s="2">
        <v>0.64583333333333337</v>
      </c>
      <c r="M216" t="s">
        <v>307</v>
      </c>
      <c r="N216">
        <v>2991</v>
      </c>
      <c r="O216" t="s">
        <v>17</v>
      </c>
    </row>
    <row r="217" spans="1:15" x14ac:dyDescent="0.25">
      <c r="A217" t="s">
        <v>426</v>
      </c>
      <c r="B217" t="s">
        <v>427</v>
      </c>
      <c r="C217" t="e">
        <v>#NAME?</v>
      </c>
      <c r="D217" t="e">
        <v>#NAME?</v>
      </c>
      <c r="E217">
        <v>36108</v>
      </c>
      <c r="F217" s="48">
        <v>6</v>
      </c>
      <c r="G217">
        <v>3502</v>
      </c>
      <c r="H217" s="1">
        <v>46064</v>
      </c>
      <c r="I217" s="1">
        <v>46064</v>
      </c>
      <c r="J217" s="1">
        <v>46064</v>
      </c>
      <c r="K217" s="2">
        <v>0.64583333333333337</v>
      </c>
      <c r="M217" t="s">
        <v>424</v>
      </c>
      <c r="N217">
        <v>2936</v>
      </c>
      <c r="O217" t="s">
        <v>17</v>
      </c>
    </row>
    <row r="218" spans="1:15" hidden="1" x14ac:dyDescent="0.25">
      <c r="A218" t="s">
        <v>360</v>
      </c>
      <c r="B218" t="s">
        <v>428</v>
      </c>
      <c r="C218" t="e">
        <v>#NAME?</v>
      </c>
      <c r="D218" t="e">
        <v>#NAME?</v>
      </c>
      <c r="E218">
        <v>28050</v>
      </c>
      <c r="F218">
        <v>5</v>
      </c>
      <c r="G218">
        <v>3647</v>
      </c>
      <c r="H218" s="1">
        <v>46062</v>
      </c>
      <c r="I218" s="1">
        <v>46065</v>
      </c>
      <c r="J218" s="1">
        <v>46066</v>
      </c>
      <c r="K218" s="2">
        <v>0.41666666666666669</v>
      </c>
      <c r="M218" t="s">
        <v>429</v>
      </c>
      <c r="N218">
        <v>3646</v>
      </c>
      <c r="O218" t="s">
        <v>17</v>
      </c>
    </row>
    <row r="219" spans="1:15" hidden="1" x14ac:dyDescent="0.25">
      <c r="A219" t="s">
        <v>430</v>
      </c>
      <c r="B219" t="s">
        <v>431</v>
      </c>
      <c r="C219" t="e">
        <v>#NAME?</v>
      </c>
      <c r="D219" t="e">
        <v>#NAME?</v>
      </c>
      <c r="E219">
        <v>50974</v>
      </c>
      <c r="F219">
        <v>6</v>
      </c>
      <c r="G219">
        <v>4741</v>
      </c>
      <c r="H219" s="1">
        <v>46065</v>
      </c>
      <c r="I219" s="1">
        <v>46065</v>
      </c>
      <c r="J219" s="1">
        <v>46066</v>
      </c>
      <c r="K219" s="2">
        <v>0.58333333333333337</v>
      </c>
      <c r="M219" t="s">
        <v>432</v>
      </c>
      <c r="N219">
        <v>5171</v>
      </c>
      <c r="O219" t="s">
        <v>17</v>
      </c>
    </row>
    <row r="220" spans="1:15" hidden="1" x14ac:dyDescent="0.25">
      <c r="A220" t="s">
        <v>350</v>
      </c>
      <c r="B220" t="s">
        <v>433</v>
      </c>
      <c r="C220" t="e">
        <v>#NAME?</v>
      </c>
      <c r="D220" t="e">
        <v>#NAME?</v>
      </c>
      <c r="E220">
        <v>41734</v>
      </c>
      <c r="F220">
        <v>7</v>
      </c>
      <c r="G220">
        <v>4173</v>
      </c>
      <c r="H220" s="1">
        <v>46043</v>
      </c>
      <c r="I220" s="1">
        <v>46066</v>
      </c>
      <c r="J220" s="1">
        <v>46065</v>
      </c>
      <c r="K220" s="2">
        <v>0.375</v>
      </c>
      <c r="M220" t="s">
        <v>434</v>
      </c>
      <c r="N220">
        <v>4173</v>
      </c>
      <c r="O220" t="s">
        <v>17</v>
      </c>
    </row>
    <row r="221" spans="1:15" hidden="1" x14ac:dyDescent="0.25">
      <c r="A221" t="s">
        <v>435</v>
      </c>
      <c r="B221" t="s">
        <v>436</v>
      </c>
      <c r="C221" t="e">
        <v>#NAME?</v>
      </c>
      <c r="D221" t="e">
        <v>#NAME?</v>
      </c>
      <c r="E221">
        <v>45376</v>
      </c>
      <c r="F221">
        <v>7</v>
      </c>
      <c r="G221">
        <v>8395</v>
      </c>
      <c r="H221" s="1">
        <v>46062</v>
      </c>
      <c r="I221" s="1">
        <v>46066</v>
      </c>
      <c r="J221" s="1">
        <v>46066</v>
      </c>
      <c r="K221" s="2">
        <v>0.39583333333333331</v>
      </c>
      <c r="M221" t="s">
        <v>437</v>
      </c>
      <c r="N221">
        <v>7766</v>
      </c>
      <c r="O221" t="s">
        <v>17</v>
      </c>
    </row>
    <row r="222" spans="1:15" hidden="1" x14ac:dyDescent="0.25">
      <c r="A222" t="s">
        <v>169</v>
      </c>
      <c r="B222" t="s">
        <v>438</v>
      </c>
      <c r="C222" t="e">
        <v>#NAME?</v>
      </c>
      <c r="D222" t="e">
        <v>#NAME?</v>
      </c>
      <c r="E222">
        <v>40354</v>
      </c>
      <c r="F222">
        <v>7</v>
      </c>
      <c r="G222">
        <v>5488</v>
      </c>
      <c r="H222" s="1">
        <v>46062</v>
      </c>
      <c r="I222" s="1">
        <v>46066</v>
      </c>
      <c r="J222" s="1">
        <v>46066</v>
      </c>
      <c r="K222" s="2">
        <v>0.39583333333333331</v>
      </c>
      <c r="M222" t="s">
        <v>437</v>
      </c>
      <c r="N222">
        <v>5492</v>
      </c>
      <c r="O222" t="s">
        <v>17</v>
      </c>
    </row>
    <row r="223" spans="1:15" hidden="1" x14ac:dyDescent="0.25">
      <c r="A223" t="s">
        <v>439</v>
      </c>
      <c r="B223" t="s">
        <v>440</v>
      </c>
      <c r="C223" t="e">
        <v>#NAME?</v>
      </c>
      <c r="D223" t="e">
        <v>#NAME?</v>
      </c>
      <c r="E223">
        <v>45914</v>
      </c>
      <c r="F223">
        <v>8</v>
      </c>
      <c r="G223">
        <v>5280</v>
      </c>
      <c r="H223" s="1">
        <v>46062</v>
      </c>
      <c r="I223" s="1">
        <v>46066</v>
      </c>
      <c r="J223" s="1">
        <v>46066</v>
      </c>
      <c r="K223" s="2">
        <v>0.39583333333333331</v>
      </c>
      <c r="M223" t="s">
        <v>437</v>
      </c>
      <c r="N223">
        <v>7060</v>
      </c>
      <c r="O223" t="s">
        <v>17</v>
      </c>
    </row>
    <row r="224" spans="1:15" hidden="1" x14ac:dyDescent="0.25">
      <c r="A224" t="s">
        <v>441</v>
      </c>
      <c r="B224" t="s">
        <v>442</v>
      </c>
      <c r="C224" t="e">
        <v>#NAME?</v>
      </c>
      <c r="D224" t="e">
        <v>#NAME?</v>
      </c>
      <c r="E224">
        <v>36811</v>
      </c>
      <c r="F224">
        <v>4</v>
      </c>
      <c r="G224">
        <v>4417</v>
      </c>
      <c r="H224" s="1">
        <v>46062</v>
      </c>
      <c r="I224" s="1">
        <v>46066</v>
      </c>
      <c r="J224" s="1">
        <v>46066</v>
      </c>
      <c r="K224" s="2">
        <v>0.39583333333333331</v>
      </c>
      <c r="M224" t="s">
        <v>437</v>
      </c>
      <c r="N224">
        <v>3610</v>
      </c>
      <c r="O224" t="s">
        <v>17</v>
      </c>
    </row>
    <row r="225" spans="1:15" hidden="1" x14ac:dyDescent="0.25">
      <c r="A225" t="s">
        <v>443</v>
      </c>
      <c r="B225" t="s">
        <v>444</v>
      </c>
      <c r="C225" t="e">
        <v>#NAME?</v>
      </c>
      <c r="D225" t="e">
        <v>#NAME?</v>
      </c>
      <c r="E225">
        <v>36992</v>
      </c>
      <c r="F225">
        <v>4</v>
      </c>
      <c r="G225">
        <v>4254</v>
      </c>
      <c r="H225" s="1">
        <v>46062</v>
      </c>
      <c r="I225" s="1">
        <v>46066</v>
      </c>
      <c r="J225" s="1">
        <v>46066</v>
      </c>
      <c r="K225" s="2">
        <v>0.41666666666666669</v>
      </c>
      <c r="M225" t="s">
        <v>429</v>
      </c>
      <c r="N225">
        <v>3331</v>
      </c>
      <c r="O225" t="s">
        <v>17</v>
      </c>
    </row>
    <row r="226" spans="1:15" hidden="1" x14ac:dyDescent="0.25">
      <c r="A226" t="s">
        <v>445</v>
      </c>
      <c r="B226" t="s">
        <v>446</v>
      </c>
      <c r="C226" t="e">
        <v>#NAME?</v>
      </c>
      <c r="D226" t="e">
        <v>#NAME?</v>
      </c>
      <c r="E226">
        <v>40447</v>
      </c>
      <c r="F226">
        <v>6</v>
      </c>
      <c r="G226">
        <v>3883</v>
      </c>
      <c r="H226" s="1">
        <v>46063</v>
      </c>
      <c r="I226" s="1">
        <v>46066</v>
      </c>
      <c r="J226" s="1">
        <v>46066</v>
      </c>
      <c r="K226" s="2">
        <v>0.41666666666666669</v>
      </c>
      <c r="M226" t="s">
        <v>447</v>
      </c>
      <c r="N226">
        <v>6580</v>
      </c>
      <c r="O226" t="s">
        <v>17</v>
      </c>
    </row>
    <row r="227" spans="1:15" hidden="1" x14ac:dyDescent="0.25">
      <c r="A227" t="s">
        <v>448</v>
      </c>
      <c r="B227" t="s">
        <v>449</v>
      </c>
      <c r="C227" t="e">
        <v>#NAME?</v>
      </c>
      <c r="D227" t="e">
        <v>#NAME?</v>
      </c>
      <c r="E227">
        <v>32728</v>
      </c>
      <c r="F227">
        <v>5</v>
      </c>
      <c r="G227">
        <v>7429</v>
      </c>
      <c r="H227" s="1">
        <v>46063</v>
      </c>
      <c r="I227" s="1">
        <v>46066</v>
      </c>
      <c r="J227" s="1">
        <v>46066</v>
      </c>
      <c r="K227" s="2">
        <v>0.4375</v>
      </c>
      <c r="M227" t="s">
        <v>450</v>
      </c>
      <c r="N227">
        <v>4190</v>
      </c>
      <c r="O227" t="s">
        <v>17</v>
      </c>
    </row>
    <row r="228" spans="1:15" hidden="1" x14ac:dyDescent="0.25">
      <c r="A228" t="s">
        <v>451</v>
      </c>
      <c r="B228" t="s">
        <v>452</v>
      </c>
      <c r="C228" t="e">
        <v>#NAME?</v>
      </c>
      <c r="D228" t="e">
        <v>#NAME?</v>
      </c>
      <c r="E228">
        <v>28728</v>
      </c>
      <c r="F228">
        <v>5</v>
      </c>
      <c r="G228">
        <v>3016</v>
      </c>
      <c r="H228" s="1">
        <v>46063</v>
      </c>
      <c r="I228" s="1">
        <v>46066</v>
      </c>
      <c r="J228" s="1">
        <v>46066</v>
      </c>
      <c r="K228" s="2">
        <v>0.45833333333333331</v>
      </c>
      <c r="M228" t="s">
        <v>453</v>
      </c>
      <c r="N228">
        <v>3016</v>
      </c>
      <c r="O228" t="s">
        <v>17</v>
      </c>
    </row>
    <row r="229" spans="1:15" hidden="1" x14ac:dyDescent="0.25">
      <c r="A229" t="s">
        <v>451</v>
      </c>
      <c r="B229" t="s">
        <v>454</v>
      </c>
      <c r="C229" t="e">
        <v>#NAME?</v>
      </c>
      <c r="D229" t="e">
        <v>#NAME?</v>
      </c>
      <c r="E229">
        <v>46619</v>
      </c>
      <c r="F229">
        <v>7</v>
      </c>
      <c r="G229">
        <v>4429</v>
      </c>
      <c r="H229" s="1">
        <v>46063</v>
      </c>
      <c r="I229" s="1">
        <v>46066</v>
      </c>
      <c r="J229" s="1">
        <v>46066</v>
      </c>
      <c r="K229" s="2">
        <v>0.45833333333333331</v>
      </c>
      <c r="M229" t="s">
        <v>429</v>
      </c>
      <c r="N229">
        <v>4756</v>
      </c>
      <c r="O229" t="s">
        <v>17</v>
      </c>
    </row>
    <row r="230" spans="1:15" hidden="1" x14ac:dyDescent="0.25">
      <c r="A230" t="s">
        <v>455</v>
      </c>
      <c r="B230" t="s">
        <v>456</v>
      </c>
      <c r="C230" t="e">
        <v>#NAME?</v>
      </c>
      <c r="D230" t="e">
        <v>#NAME?</v>
      </c>
      <c r="E230">
        <v>23768</v>
      </c>
      <c r="F230">
        <v>4</v>
      </c>
      <c r="G230">
        <v>2282</v>
      </c>
      <c r="H230" s="1">
        <v>46064</v>
      </c>
      <c r="I230" s="1">
        <v>46066</v>
      </c>
      <c r="J230" s="1">
        <v>46066</v>
      </c>
      <c r="K230" s="2">
        <v>0.47916666666666669</v>
      </c>
      <c r="M230" t="s">
        <v>447</v>
      </c>
      <c r="N230">
        <v>7346</v>
      </c>
      <c r="O230" t="s">
        <v>17</v>
      </c>
    </row>
    <row r="231" spans="1:15" hidden="1" x14ac:dyDescent="0.25">
      <c r="A231" t="s">
        <v>455</v>
      </c>
      <c r="B231" t="s">
        <v>457</v>
      </c>
      <c r="C231" t="e">
        <v>#NAME?</v>
      </c>
      <c r="D231" t="e">
        <v>#NAME?</v>
      </c>
      <c r="E231">
        <v>38005</v>
      </c>
      <c r="F231">
        <v>6</v>
      </c>
      <c r="G231">
        <v>3648</v>
      </c>
      <c r="H231" s="1">
        <v>46064</v>
      </c>
      <c r="I231" s="1">
        <v>46066</v>
      </c>
      <c r="J231" s="1">
        <v>46066</v>
      </c>
      <c r="K231" s="2">
        <v>0.47916666666666669</v>
      </c>
      <c r="M231" t="s">
        <v>458</v>
      </c>
      <c r="N231">
        <v>2174</v>
      </c>
      <c r="O231" t="s">
        <v>17</v>
      </c>
    </row>
    <row r="232" spans="1:15" hidden="1" x14ac:dyDescent="0.25">
      <c r="A232" t="s">
        <v>459</v>
      </c>
      <c r="B232" t="s">
        <v>460</v>
      </c>
      <c r="C232" t="e">
        <v>#NAME?</v>
      </c>
      <c r="D232" t="e">
        <v>#NAME?</v>
      </c>
      <c r="E232">
        <v>24952</v>
      </c>
      <c r="F232">
        <v>5</v>
      </c>
      <c r="G232">
        <v>3992</v>
      </c>
      <c r="H232" s="1">
        <v>46064</v>
      </c>
      <c r="I232" s="1">
        <v>46066</v>
      </c>
      <c r="J232" s="1">
        <v>46066</v>
      </c>
      <c r="K232" s="2">
        <v>0.54166666666666663</v>
      </c>
      <c r="N232">
        <v>3990</v>
      </c>
      <c r="O232" t="s">
        <v>17</v>
      </c>
    </row>
    <row r="233" spans="1:15" hidden="1" x14ac:dyDescent="0.25">
      <c r="A233" t="s">
        <v>461</v>
      </c>
      <c r="B233" t="s">
        <v>462</v>
      </c>
      <c r="C233" t="e">
        <v>#NAME?</v>
      </c>
      <c r="D233" t="e">
        <v>#NAME?</v>
      </c>
      <c r="E233">
        <v>46811</v>
      </c>
      <c r="F233">
        <v>8</v>
      </c>
      <c r="G233">
        <v>8800</v>
      </c>
      <c r="H233" s="1">
        <v>46064</v>
      </c>
      <c r="I233" s="1">
        <v>46066</v>
      </c>
      <c r="J233" s="1">
        <v>46066</v>
      </c>
      <c r="K233" s="2">
        <v>0.5625</v>
      </c>
      <c r="N233">
        <v>8800</v>
      </c>
      <c r="O233" t="s">
        <v>17</v>
      </c>
    </row>
    <row r="234" spans="1:15" hidden="1" x14ac:dyDescent="0.25">
      <c r="A234" t="s">
        <v>463</v>
      </c>
      <c r="B234" t="s">
        <v>464</v>
      </c>
      <c r="C234" t="e">
        <v>#NAME?</v>
      </c>
      <c r="D234" t="e">
        <v>#NAME?</v>
      </c>
      <c r="E234">
        <v>32106</v>
      </c>
      <c r="F234">
        <v>5</v>
      </c>
      <c r="G234">
        <v>3821</v>
      </c>
      <c r="H234" s="1">
        <v>46064</v>
      </c>
      <c r="I234" s="1">
        <v>46066</v>
      </c>
      <c r="J234" s="1">
        <v>46066</v>
      </c>
      <c r="K234" s="2">
        <v>0.5625</v>
      </c>
      <c r="N234">
        <v>3820</v>
      </c>
      <c r="O234" t="s">
        <v>17</v>
      </c>
    </row>
    <row r="235" spans="1:15" hidden="1" x14ac:dyDescent="0.25">
      <c r="A235" t="s">
        <v>465</v>
      </c>
      <c r="B235" t="s">
        <v>466</v>
      </c>
      <c r="C235" t="e">
        <v>#NAME?</v>
      </c>
      <c r="D235" t="e">
        <v>#NAME?</v>
      </c>
      <c r="E235">
        <v>33173</v>
      </c>
      <c r="F235">
        <v>3</v>
      </c>
      <c r="G235">
        <v>2820</v>
      </c>
      <c r="H235" s="1">
        <v>46064</v>
      </c>
      <c r="I235" s="1">
        <v>46066</v>
      </c>
      <c r="J235" s="1">
        <v>46066</v>
      </c>
      <c r="K235" s="2">
        <v>0.5625</v>
      </c>
      <c r="N235">
        <v>2819</v>
      </c>
      <c r="O235" t="s">
        <v>17</v>
      </c>
    </row>
    <row r="236" spans="1:15" hidden="1" x14ac:dyDescent="0.25">
      <c r="A236" t="s">
        <v>467</v>
      </c>
      <c r="B236" t="s">
        <v>468</v>
      </c>
      <c r="C236" t="e">
        <v>#NAME?</v>
      </c>
      <c r="D236" t="e">
        <v>#NAME?</v>
      </c>
      <c r="E236">
        <v>23767</v>
      </c>
      <c r="F236">
        <v>3</v>
      </c>
      <c r="G236">
        <v>2377</v>
      </c>
      <c r="H236" s="1">
        <v>46064</v>
      </c>
      <c r="I236" s="1">
        <v>46066</v>
      </c>
      <c r="J236" s="1">
        <v>46066</v>
      </c>
      <c r="K236" s="2">
        <v>0.5625</v>
      </c>
      <c r="N236">
        <v>2376</v>
      </c>
      <c r="O236" t="s">
        <v>17</v>
      </c>
    </row>
    <row r="237" spans="1:15" hidden="1" x14ac:dyDescent="0.25">
      <c r="A237" t="s">
        <v>469</v>
      </c>
      <c r="B237" t="s">
        <v>470</v>
      </c>
      <c r="C237" t="e">
        <v>#NAME?</v>
      </c>
      <c r="D237" t="e">
        <v>#NAME?</v>
      </c>
      <c r="E237">
        <v>45987</v>
      </c>
      <c r="F237">
        <v>5</v>
      </c>
      <c r="G237">
        <v>4737</v>
      </c>
      <c r="H237" s="1">
        <v>46064</v>
      </c>
      <c r="I237" s="1">
        <v>46066</v>
      </c>
      <c r="J237" s="1">
        <v>46066</v>
      </c>
      <c r="K237" s="2">
        <v>0.5625</v>
      </c>
      <c r="N237">
        <v>4736</v>
      </c>
      <c r="O237" t="s">
        <v>17</v>
      </c>
    </row>
    <row r="238" spans="1:15" hidden="1" x14ac:dyDescent="0.25">
      <c r="A238" t="s">
        <v>469</v>
      </c>
      <c r="B238" t="s">
        <v>471</v>
      </c>
      <c r="C238" t="e">
        <v>#NAME?</v>
      </c>
      <c r="D238" t="e">
        <v>#NAME?</v>
      </c>
      <c r="E238">
        <v>35010</v>
      </c>
      <c r="F238">
        <v>4</v>
      </c>
      <c r="G238">
        <v>2976</v>
      </c>
      <c r="H238" s="1">
        <v>46064</v>
      </c>
      <c r="I238" s="1">
        <v>46066</v>
      </c>
      <c r="J238" s="1">
        <v>46066</v>
      </c>
      <c r="K238" s="2">
        <v>0.5625</v>
      </c>
      <c r="M238" t="s">
        <v>472</v>
      </c>
      <c r="N238">
        <v>2976</v>
      </c>
      <c r="O238" t="s">
        <v>17</v>
      </c>
    </row>
    <row r="239" spans="1:15" hidden="1" x14ac:dyDescent="0.25">
      <c r="A239" t="s">
        <v>473</v>
      </c>
      <c r="B239" t="s">
        <v>474</v>
      </c>
      <c r="C239" t="e">
        <v>#NAME?</v>
      </c>
      <c r="D239" t="e">
        <v>#NAME?</v>
      </c>
      <c r="E239">
        <v>39793</v>
      </c>
      <c r="F239">
        <v>6</v>
      </c>
      <c r="G239">
        <v>3820</v>
      </c>
      <c r="H239" s="1">
        <v>46064</v>
      </c>
      <c r="I239" s="1">
        <v>46066</v>
      </c>
      <c r="J239" s="1">
        <v>46066</v>
      </c>
      <c r="K239" s="2">
        <v>0.58333333333333337</v>
      </c>
      <c r="M239" t="s">
        <v>475</v>
      </c>
      <c r="N239">
        <v>5258</v>
      </c>
      <c r="O239" t="s">
        <v>17</v>
      </c>
    </row>
    <row r="240" spans="1:15" hidden="1" x14ac:dyDescent="0.25">
      <c r="A240" t="s">
        <v>266</v>
      </c>
      <c r="B240" t="s">
        <v>476</v>
      </c>
      <c r="C240" t="e">
        <v>#NAME?</v>
      </c>
      <c r="D240" t="e">
        <v>#NAME?</v>
      </c>
      <c r="E240">
        <v>35621</v>
      </c>
      <c r="F240">
        <v>7</v>
      </c>
      <c r="G240">
        <v>5699</v>
      </c>
      <c r="H240" s="1">
        <v>46064</v>
      </c>
      <c r="I240" s="1">
        <v>46066</v>
      </c>
      <c r="J240" s="1">
        <v>46066</v>
      </c>
      <c r="K240" s="2">
        <v>0.58333333333333337</v>
      </c>
      <c r="M240" t="s">
        <v>477</v>
      </c>
      <c r="N240">
        <v>6220</v>
      </c>
      <c r="O240" t="s">
        <v>17</v>
      </c>
    </row>
    <row r="241" spans="1:15" hidden="1" x14ac:dyDescent="0.25">
      <c r="A241" t="s">
        <v>478</v>
      </c>
      <c r="B241" t="s">
        <v>479</v>
      </c>
      <c r="C241" t="e">
        <v>#NAME?</v>
      </c>
      <c r="D241" t="e">
        <v>#NAME?</v>
      </c>
      <c r="E241">
        <v>33225</v>
      </c>
      <c r="F241">
        <v>6</v>
      </c>
      <c r="G241">
        <v>3821</v>
      </c>
      <c r="H241" s="1">
        <v>46065</v>
      </c>
      <c r="I241" s="1">
        <v>46066</v>
      </c>
      <c r="J241" s="1">
        <v>46066</v>
      </c>
      <c r="K241" s="2">
        <v>0.58333333333333337</v>
      </c>
      <c r="M241" t="s">
        <v>480</v>
      </c>
      <c r="N241">
        <v>4673</v>
      </c>
      <c r="O241" t="s">
        <v>17</v>
      </c>
    </row>
    <row r="242" spans="1:15" hidden="1" x14ac:dyDescent="0.25">
      <c r="A242" t="s">
        <v>348</v>
      </c>
      <c r="B242" t="s">
        <v>481</v>
      </c>
      <c r="C242" t="e">
        <v>#NAME?</v>
      </c>
      <c r="D242" t="e">
        <v>#NAME?</v>
      </c>
      <c r="E242">
        <v>28062</v>
      </c>
      <c r="F242">
        <v>5</v>
      </c>
      <c r="G242">
        <v>4041</v>
      </c>
      <c r="H242" s="1">
        <v>46057</v>
      </c>
      <c r="I242" s="1">
        <v>46066</v>
      </c>
      <c r="J242" s="1">
        <v>46066</v>
      </c>
      <c r="K242" s="2">
        <v>0.60416666666666663</v>
      </c>
      <c r="L242" t="s">
        <v>31</v>
      </c>
      <c r="M242" t="s">
        <v>482</v>
      </c>
      <c r="N242">
        <v>4209</v>
      </c>
      <c r="O242" t="s">
        <v>17</v>
      </c>
    </row>
    <row r="243" spans="1:15" hidden="1" x14ac:dyDescent="0.25">
      <c r="A243" t="s">
        <v>134</v>
      </c>
      <c r="B243" t="s">
        <v>483</v>
      </c>
      <c r="C243" t="e">
        <v>#NAME?</v>
      </c>
      <c r="D243" t="e">
        <v>#NAME?</v>
      </c>
      <c r="E243">
        <v>31676</v>
      </c>
      <c r="F243">
        <v>7</v>
      </c>
      <c r="G243">
        <v>4815</v>
      </c>
      <c r="H243" s="1">
        <v>46062</v>
      </c>
      <c r="I243" s="1">
        <v>46066</v>
      </c>
      <c r="J243" s="1">
        <v>46066</v>
      </c>
      <c r="K243" s="2">
        <v>0.60416666666666663</v>
      </c>
      <c r="M243" t="s">
        <v>484</v>
      </c>
      <c r="N243">
        <v>5361</v>
      </c>
      <c r="O243" t="s">
        <v>17</v>
      </c>
    </row>
    <row r="244" spans="1:15" hidden="1" x14ac:dyDescent="0.25">
      <c r="A244" t="s">
        <v>485</v>
      </c>
      <c r="B244" t="s">
        <v>486</v>
      </c>
      <c r="C244" t="e">
        <v>#NAME?</v>
      </c>
      <c r="D244" t="e">
        <v>#NAME?</v>
      </c>
      <c r="E244">
        <v>23676</v>
      </c>
      <c r="F244">
        <v>5</v>
      </c>
      <c r="G244">
        <v>7813</v>
      </c>
      <c r="H244" s="1">
        <v>46059</v>
      </c>
      <c r="I244" s="1">
        <v>46066</v>
      </c>
      <c r="J244" s="1">
        <v>46066</v>
      </c>
      <c r="K244" s="2">
        <v>0.625</v>
      </c>
      <c r="L244" t="s">
        <v>20</v>
      </c>
      <c r="M244" t="s">
        <v>487</v>
      </c>
      <c r="N244">
        <v>6272</v>
      </c>
      <c r="O244" t="s">
        <v>17</v>
      </c>
    </row>
    <row r="245" spans="1:15" hidden="1" x14ac:dyDescent="0.25">
      <c r="A245" t="s">
        <v>488</v>
      </c>
      <c r="B245" t="s">
        <v>489</v>
      </c>
      <c r="C245" t="e">
        <v>#NAME?</v>
      </c>
      <c r="D245" t="e">
        <v>#NAME?</v>
      </c>
      <c r="E245">
        <v>25346</v>
      </c>
      <c r="F245">
        <v>5</v>
      </c>
      <c r="G245">
        <v>3042</v>
      </c>
      <c r="H245" s="1">
        <v>46059</v>
      </c>
      <c r="I245" s="1">
        <v>46066</v>
      </c>
      <c r="J245" s="1">
        <v>46066</v>
      </c>
      <c r="K245" s="2">
        <v>0.625</v>
      </c>
      <c r="L245" t="s">
        <v>20</v>
      </c>
      <c r="M245" t="s">
        <v>487</v>
      </c>
      <c r="N245">
        <v>3040</v>
      </c>
      <c r="O245" t="s">
        <v>17</v>
      </c>
    </row>
    <row r="246" spans="1:15" hidden="1" x14ac:dyDescent="0.25">
      <c r="A246" t="s">
        <v>490</v>
      </c>
      <c r="B246" t="s">
        <v>491</v>
      </c>
      <c r="C246" t="e">
        <v>#NAME?</v>
      </c>
      <c r="D246" t="e">
        <v>#NAME?</v>
      </c>
      <c r="E246">
        <v>36932</v>
      </c>
      <c r="F246">
        <v>7</v>
      </c>
      <c r="G246">
        <v>4432</v>
      </c>
      <c r="H246" s="1">
        <v>46059</v>
      </c>
      <c r="I246" s="1">
        <v>46066</v>
      </c>
      <c r="J246" s="1">
        <v>46066</v>
      </c>
      <c r="K246" s="2">
        <v>0.625</v>
      </c>
      <c r="M246" t="s">
        <v>487</v>
      </c>
      <c r="N246">
        <v>4619</v>
      </c>
      <c r="O246" t="s">
        <v>17</v>
      </c>
    </row>
    <row r="247" spans="1:15" hidden="1" x14ac:dyDescent="0.25">
      <c r="A247" t="s">
        <v>490</v>
      </c>
      <c r="B247" t="s">
        <v>492</v>
      </c>
      <c r="C247" t="e">
        <v>#NAME?</v>
      </c>
      <c r="D247" t="e">
        <v>#NAME?</v>
      </c>
      <c r="E247">
        <v>26729</v>
      </c>
      <c r="F247">
        <v>9</v>
      </c>
      <c r="G247">
        <v>3475</v>
      </c>
      <c r="H247" s="1">
        <v>46059</v>
      </c>
      <c r="I247" s="1">
        <v>46066</v>
      </c>
      <c r="J247" s="1">
        <v>46066</v>
      </c>
      <c r="K247" s="2">
        <v>0.625</v>
      </c>
      <c r="L247" t="s">
        <v>20</v>
      </c>
      <c r="M247" t="s">
        <v>487</v>
      </c>
      <c r="N247">
        <v>2098</v>
      </c>
      <c r="O247" t="s">
        <v>17</v>
      </c>
    </row>
    <row r="248" spans="1:15" hidden="1" x14ac:dyDescent="0.25">
      <c r="A248" t="s">
        <v>488</v>
      </c>
      <c r="B248" t="s">
        <v>493</v>
      </c>
      <c r="C248" t="e">
        <v>#NAME?</v>
      </c>
      <c r="D248" t="e">
        <v>#NAME?</v>
      </c>
      <c r="E248">
        <v>54246</v>
      </c>
      <c r="F248">
        <v>11</v>
      </c>
      <c r="G248">
        <v>8137</v>
      </c>
      <c r="H248" s="1">
        <v>46059</v>
      </c>
      <c r="I248" s="1">
        <v>46066</v>
      </c>
      <c r="J248" s="1">
        <v>46066</v>
      </c>
      <c r="K248" s="2">
        <v>0.625</v>
      </c>
      <c r="L248" t="s">
        <v>20</v>
      </c>
      <c r="M248" t="s">
        <v>487</v>
      </c>
      <c r="N248">
        <v>11790</v>
      </c>
      <c r="O248" t="s">
        <v>17</v>
      </c>
    </row>
    <row r="249" spans="1:15" hidden="1" x14ac:dyDescent="0.25">
      <c r="A249" t="s">
        <v>443</v>
      </c>
      <c r="B249" t="s">
        <v>494</v>
      </c>
      <c r="C249" t="e">
        <v>#NAME?</v>
      </c>
      <c r="D249" t="e">
        <v>#NAME?</v>
      </c>
      <c r="E249">
        <v>31907</v>
      </c>
      <c r="F249">
        <v>4</v>
      </c>
      <c r="G249">
        <v>8455</v>
      </c>
      <c r="H249" s="1">
        <v>46065</v>
      </c>
      <c r="I249" s="1">
        <v>46066</v>
      </c>
      <c r="J249" s="1">
        <v>46066</v>
      </c>
      <c r="K249" s="2">
        <v>0.64583333333333337</v>
      </c>
      <c r="M249" t="s">
        <v>429</v>
      </c>
      <c r="N249">
        <v>4723</v>
      </c>
      <c r="O249" t="s">
        <v>17</v>
      </c>
    </row>
    <row r="250" spans="1:15" hidden="1" x14ac:dyDescent="0.25">
      <c r="A250" t="s">
        <v>478</v>
      </c>
      <c r="B250" t="s">
        <v>495</v>
      </c>
      <c r="C250" t="e">
        <v>#NAME?</v>
      </c>
      <c r="D250" t="e">
        <v>#NAME?</v>
      </c>
      <c r="E250">
        <v>30752</v>
      </c>
      <c r="F250">
        <v>4</v>
      </c>
      <c r="G250">
        <v>2891</v>
      </c>
      <c r="H250" s="1">
        <v>46050</v>
      </c>
      <c r="I250" s="1">
        <v>46066</v>
      </c>
      <c r="J250" s="1">
        <v>46066</v>
      </c>
      <c r="K250" s="2">
        <v>0.64583333333333337</v>
      </c>
      <c r="L250" t="s">
        <v>31</v>
      </c>
      <c r="N250">
        <v>2890</v>
      </c>
      <c r="O250" t="s">
        <v>17</v>
      </c>
    </row>
    <row r="251" spans="1:15" hidden="1" x14ac:dyDescent="0.25">
      <c r="A251" t="s">
        <v>496</v>
      </c>
      <c r="B251" t="s">
        <v>497</v>
      </c>
      <c r="C251" t="e">
        <v>#NAME?</v>
      </c>
      <c r="D251" t="e">
        <v>#NAME?</v>
      </c>
      <c r="E251">
        <v>32167</v>
      </c>
      <c r="F251">
        <v>4</v>
      </c>
      <c r="G251">
        <v>2927</v>
      </c>
      <c r="H251" s="1">
        <v>46065</v>
      </c>
      <c r="I251" s="1">
        <v>46066</v>
      </c>
      <c r="J251" s="1">
        <v>46066</v>
      </c>
      <c r="K251" s="2">
        <v>0.64583333333333337</v>
      </c>
      <c r="M251" t="s">
        <v>429</v>
      </c>
      <c r="N251">
        <v>2924</v>
      </c>
      <c r="O251" t="s">
        <v>17</v>
      </c>
    </row>
    <row r="252" spans="1:15" hidden="1" x14ac:dyDescent="0.25">
      <c r="A252" t="s">
        <v>498</v>
      </c>
      <c r="B252" t="s">
        <v>499</v>
      </c>
      <c r="C252" t="e">
        <v>#NAME?</v>
      </c>
      <c r="D252" t="e">
        <v>#NAME?</v>
      </c>
      <c r="E252">
        <v>33283</v>
      </c>
      <c r="F252">
        <v>5</v>
      </c>
      <c r="G252">
        <v>3595</v>
      </c>
      <c r="H252" s="1">
        <v>46065</v>
      </c>
      <c r="I252" s="1">
        <v>46066</v>
      </c>
      <c r="J252" s="1">
        <v>46066</v>
      </c>
      <c r="K252" s="2">
        <v>0.64583333333333337</v>
      </c>
      <c r="M252" t="s">
        <v>429</v>
      </c>
      <c r="N252">
        <v>4129</v>
      </c>
      <c r="O252" t="s">
        <v>17</v>
      </c>
    </row>
    <row r="253" spans="1:15" hidden="1" x14ac:dyDescent="0.25">
      <c r="A253" t="s">
        <v>500</v>
      </c>
      <c r="B253" t="s">
        <v>501</v>
      </c>
      <c r="C253" t="e">
        <v>#NAME?</v>
      </c>
      <c r="D253" t="e">
        <v>#NAME?</v>
      </c>
      <c r="E253">
        <v>66061</v>
      </c>
      <c r="F253">
        <v>7</v>
      </c>
      <c r="G253">
        <v>9909</v>
      </c>
      <c r="H253" s="1">
        <v>46057</v>
      </c>
      <c r="I253" s="1">
        <v>46069</v>
      </c>
      <c r="J253" s="1">
        <v>46069</v>
      </c>
      <c r="K253" s="2">
        <v>0.375</v>
      </c>
      <c r="L253" t="s">
        <v>31</v>
      </c>
      <c r="M253" t="s">
        <v>502</v>
      </c>
      <c r="N253">
        <v>2973</v>
      </c>
      <c r="O253" t="s">
        <v>17</v>
      </c>
    </row>
    <row r="254" spans="1:15" hidden="1" x14ac:dyDescent="0.25">
      <c r="A254" t="s">
        <v>500</v>
      </c>
      <c r="B254" t="s">
        <v>503</v>
      </c>
      <c r="C254" t="e">
        <v>#NAME?</v>
      </c>
      <c r="D254" t="e">
        <v>#NAME?</v>
      </c>
      <c r="E254">
        <v>93395</v>
      </c>
      <c r="F254">
        <v>12</v>
      </c>
      <c r="G254">
        <v>18679</v>
      </c>
      <c r="H254" s="1">
        <v>46057</v>
      </c>
      <c r="I254" s="1">
        <v>46069</v>
      </c>
      <c r="J254" s="1">
        <v>46069</v>
      </c>
      <c r="K254" s="2">
        <v>0.375</v>
      </c>
      <c r="L254" t="s">
        <v>31</v>
      </c>
      <c r="M254" t="s">
        <v>502</v>
      </c>
      <c r="N254">
        <v>9340</v>
      </c>
      <c r="O254" t="s">
        <v>17</v>
      </c>
    </row>
    <row r="255" spans="1:15" hidden="1" x14ac:dyDescent="0.25">
      <c r="A255" t="s">
        <v>504</v>
      </c>
      <c r="B255" t="s">
        <v>505</v>
      </c>
      <c r="C255" t="e">
        <v>#NAME?</v>
      </c>
      <c r="D255" t="e">
        <v>#NAME?</v>
      </c>
      <c r="E255">
        <v>43950</v>
      </c>
      <c r="F255">
        <v>7</v>
      </c>
      <c r="G255">
        <v>5626</v>
      </c>
      <c r="H255" s="1">
        <v>46063</v>
      </c>
      <c r="I255" s="1">
        <v>46069</v>
      </c>
      <c r="J255" s="1">
        <v>46069</v>
      </c>
      <c r="K255" s="2">
        <v>0.4375</v>
      </c>
      <c r="M255" t="s">
        <v>502</v>
      </c>
      <c r="N255">
        <v>5273</v>
      </c>
      <c r="O255" t="s">
        <v>17</v>
      </c>
    </row>
    <row r="256" spans="1:15" hidden="1" x14ac:dyDescent="0.25">
      <c r="A256" t="s">
        <v>506</v>
      </c>
      <c r="B256" t="s">
        <v>507</v>
      </c>
      <c r="C256" t="e">
        <v>#NAME?</v>
      </c>
      <c r="D256" t="e">
        <v>#NAME?</v>
      </c>
      <c r="E256">
        <v>23975</v>
      </c>
      <c r="F256">
        <v>4</v>
      </c>
      <c r="G256">
        <v>3380</v>
      </c>
      <c r="H256" s="1">
        <v>46063</v>
      </c>
      <c r="I256" s="1">
        <v>46069</v>
      </c>
      <c r="J256" s="1">
        <v>46069</v>
      </c>
      <c r="K256" s="2">
        <v>0.4375</v>
      </c>
      <c r="M256" t="s">
        <v>508</v>
      </c>
      <c r="N256">
        <v>3130</v>
      </c>
      <c r="O256" t="s">
        <v>17</v>
      </c>
    </row>
    <row r="257" spans="1:15" hidden="1" x14ac:dyDescent="0.25">
      <c r="A257" t="s">
        <v>504</v>
      </c>
      <c r="B257" t="s">
        <v>509</v>
      </c>
      <c r="C257" t="e">
        <v>#NAME?</v>
      </c>
      <c r="D257" t="e">
        <v>#NAME?</v>
      </c>
      <c r="E257">
        <v>24250</v>
      </c>
      <c r="F257">
        <v>4</v>
      </c>
      <c r="G257">
        <v>2474</v>
      </c>
      <c r="H257" s="1">
        <v>46063</v>
      </c>
      <c r="I257" s="1">
        <v>46069</v>
      </c>
      <c r="J257" s="1">
        <v>46069</v>
      </c>
      <c r="K257" s="2">
        <v>0.4375</v>
      </c>
      <c r="M257" t="s">
        <v>508</v>
      </c>
      <c r="N257">
        <v>2425</v>
      </c>
      <c r="O257" t="s">
        <v>17</v>
      </c>
    </row>
    <row r="258" spans="1:15" hidden="1" x14ac:dyDescent="0.25">
      <c r="A258" t="s">
        <v>510</v>
      </c>
      <c r="B258" t="s">
        <v>511</v>
      </c>
      <c r="C258" t="e">
        <v>#NAME?</v>
      </c>
      <c r="D258" t="e">
        <v>#NAME?</v>
      </c>
      <c r="E258">
        <v>39112</v>
      </c>
      <c r="F258">
        <v>7</v>
      </c>
      <c r="G258">
        <v>4029</v>
      </c>
      <c r="H258" s="1">
        <v>46063</v>
      </c>
      <c r="I258" s="1">
        <v>46069</v>
      </c>
      <c r="J258" s="1">
        <v>46069</v>
      </c>
      <c r="K258" s="2">
        <v>0.45833333333333331</v>
      </c>
      <c r="M258" t="s">
        <v>512</v>
      </c>
      <c r="N258">
        <v>2473</v>
      </c>
      <c r="O258" t="s">
        <v>17</v>
      </c>
    </row>
    <row r="259" spans="1:15" hidden="1" x14ac:dyDescent="0.25">
      <c r="A259" t="s">
        <v>513</v>
      </c>
      <c r="B259" t="s">
        <v>514</v>
      </c>
      <c r="C259" t="e">
        <v>#NAME?</v>
      </c>
      <c r="D259" t="e">
        <v>#NAME?</v>
      </c>
      <c r="E259">
        <v>26181</v>
      </c>
      <c r="F259">
        <v>7</v>
      </c>
      <c r="G259">
        <v>5707</v>
      </c>
      <c r="H259" s="1">
        <v>46063</v>
      </c>
      <c r="I259" s="1">
        <v>46069</v>
      </c>
      <c r="J259" s="1">
        <v>46069</v>
      </c>
      <c r="K259" s="2">
        <v>0.47916666666666669</v>
      </c>
      <c r="M259" t="s">
        <v>487</v>
      </c>
      <c r="N259">
        <v>5707</v>
      </c>
      <c r="O259" t="s">
        <v>17</v>
      </c>
    </row>
    <row r="260" spans="1:15" hidden="1" x14ac:dyDescent="0.25">
      <c r="A260" t="s">
        <v>515</v>
      </c>
      <c r="B260" t="s">
        <v>516</v>
      </c>
      <c r="C260" t="e">
        <v>#NAME?</v>
      </c>
      <c r="D260" t="e">
        <v>#NAME?</v>
      </c>
      <c r="E260">
        <v>31161</v>
      </c>
      <c r="F260">
        <v>8</v>
      </c>
      <c r="G260">
        <v>5391</v>
      </c>
      <c r="H260" s="1">
        <v>46063</v>
      </c>
      <c r="I260" s="1">
        <v>46069</v>
      </c>
      <c r="J260" s="1">
        <v>46069</v>
      </c>
      <c r="K260" s="2">
        <v>0.47916666666666669</v>
      </c>
      <c r="M260" t="s">
        <v>517</v>
      </c>
      <c r="N260">
        <v>5390</v>
      </c>
      <c r="O260" t="s">
        <v>17</v>
      </c>
    </row>
    <row r="261" spans="1:15" hidden="1" x14ac:dyDescent="0.25">
      <c r="A261" t="s">
        <v>518</v>
      </c>
      <c r="B261" t="s">
        <v>519</v>
      </c>
      <c r="C261" t="e">
        <v>#NAME?</v>
      </c>
      <c r="D261" t="e">
        <v>#NAME?</v>
      </c>
      <c r="E261">
        <v>24846</v>
      </c>
      <c r="F261">
        <v>6</v>
      </c>
      <c r="G261">
        <v>3404</v>
      </c>
      <c r="H261" s="1">
        <v>46063</v>
      </c>
      <c r="I261" s="1">
        <v>46069</v>
      </c>
      <c r="J261" s="1">
        <v>46069</v>
      </c>
      <c r="K261" s="2">
        <v>0.47916666666666669</v>
      </c>
      <c r="M261" t="s">
        <v>487</v>
      </c>
      <c r="N261">
        <v>3476</v>
      </c>
      <c r="O261" t="s">
        <v>17</v>
      </c>
    </row>
    <row r="262" spans="1:15" hidden="1" x14ac:dyDescent="0.25">
      <c r="A262" t="s">
        <v>518</v>
      </c>
      <c r="B262" t="s">
        <v>520</v>
      </c>
      <c r="C262" t="e">
        <v>#NAME?</v>
      </c>
      <c r="D262" t="e">
        <v>#NAME?</v>
      </c>
      <c r="E262">
        <v>55110</v>
      </c>
      <c r="F262">
        <v>12</v>
      </c>
      <c r="G262">
        <v>6062</v>
      </c>
      <c r="H262" s="1">
        <v>46063</v>
      </c>
      <c r="I262" s="1">
        <v>46069</v>
      </c>
      <c r="J262" s="1">
        <v>46069</v>
      </c>
      <c r="K262" s="2">
        <v>0.47916666666666669</v>
      </c>
      <c r="M262" t="s">
        <v>487</v>
      </c>
      <c r="N262">
        <v>6060</v>
      </c>
      <c r="O262" t="s">
        <v>17</v>
      </c>
    </row>
    <row r="263" spans="1:15" hidden="1" x14ac:dyDescent="0.25">
      <c r="A263" t="s">
        <v>515</v>
      </c>
      <c r="B263" t="s">
        <v>521</v>
      </c>
      <c r="C263" t="e">
        <v>#NAME?</v>
      </c>
      <c r="D263" t="e">
        <v>#NAME?</v>
      </c>
      <c r="E263">
        <v>33210</v>
      </c>
      <c r="F263">
        <v>8</v>
      </c>
      <c r="G263">
        <v>2956</v>
      </c>
      <c r="H263" s="1">
        <v>46063</v>
      </c>
      <c r="I263" s="1">
        <v>46069</v>
      </c>
      <c r="J263" s="1">
        <v>46069</v>
      </c>
      <c r="K263" s="2">
        <v>0.47916666666666669</v>
      </c>
      <c r="M263" t="s">
        <v>487</v>
      </c>
      <c r="N263">
        <v>2939</v>
      </c>
      <c r="O263" t="s">
        <v>17</v>
      </c>
    </row>
    <row r="264" spans="1:15" hidden="1" x14ac:dyDescent="0.25">
      <c r="A264" t="s">
        <v>513</v>
      </c>
      <c r="B264" t="s">
        <v>522</v>
      </c>
      <c r="C264" t="e">
        <v>#NAME?</v>
      </c>
      <c r="D264" t="e">
        <v>#NAME?</v>
      </c>
      <c r="E264">
        <v>33131</v>
      </c>
      <c r="F264">
        <v>7</v>
      </c>
      <c r="G264">
        <v>1292</v>
      </c>
      <c r="H264" s="1">
        <v>46063</v>
      </c>
      <c r="I264" s="1">
        <v>46069</v>
      </c>
      <c r="J264" s="1">
        <v>46069</v>
      </c>
      <c r="K264" s="2">
        <v>0.47916666666666669</v>
      </c>
      <c r="M264" t="s">
        <v>487</v>
      </c>
      <c r="N264">
        <v>3451</v>
      </c>
      <c r="O264" t="s">
        <v>17</v>
      </c>
    </row>
    <row r="265" spans="1:15" hidden="1" x14ac:dyDescent="0.25">
      <c r="A265" t="s">
        <v>523</v>
      </c>
      <c r="B265" t="s">
        <v>524</v>
      </c>
      <c r="C265" t="e">
        <v>#NAME?</v>
      </c>
      <c r="D265" t="e">
        <v>#NAME?</v>
      </c>
      <c r="E265">
        <v>23813</v>
      </c>
      <c r="F265">
        <v>5</v>
      </c>
      <c r="G265">
        <v>2381</v>
      </c>
      <c r="H265" s="1">
        <v>46063</v>
      </c>
      <c r="I265" s="1">
        <v>46069</v>
      </c>
      <c r="J265" s="1">
        <v>46069</v>
      </c>
      <c r="K265" s="2">
        <v>0.54166666666666663</v>
      </c>
      <c r="M265" t="s">
        <v>525</v>
      </c>
      <c r="N265">
        <v>2734</v>
      </c>
      <c r="O265" t="s">
        <v>17</v>
      </c>
    </row>
    <row r="266" spans="1:15" hidden="1" x14ac:dyDescent="0.25">
      <c r="A266" t="s">
        <v>523</v>
      </c>
      <c r="B266" t="s">
        <v>526</v>
      </c>
      <c r="C266" t="e">
        <v>#NAME?</v>
      </c>
      <c r="D266" t="e">
        <v>#NAME?</v>
      </c>
      <c r="E266">
        <v>35619</v>
      </c>
      <c r="F266">
        <v>8</v>
      </c>
      <c r="G266">
        <v>3562</v>
      </c>
      <c r="H266" s="1">
        <v>46063</v>
      </c>
      <c r="I266" s="1">
        <v>46069</v>
      </c>
      <c r="J266" s="1">
        <v>46069</v>
      </c>
      <c r="K266" s="2">
        <v>0.54166666666666663</v>
      </c>
      <c r="M266" t="s">
        <v>525</v>
      </c>
      <c r="N266">
        <v>3924</v>
      </c>
      <c r="O266" t="s">
        <v>17</v>
      </c>
    </row>
    <row r="267" spans="1:15" hidden="1" x14ac:dyDescent="0.25">
      <c r="A267" t="s">
        <v>527</v>
      </c>
      <c r="B267" t="s">
        <v>528</v>
      </c>
      <c r="C267" t="e">
        <v>#NAME?</v>
      </c>
      <c r="D267" t="e">
        <v>#NAME?</v>
      </c>
      <c r="E267">
        <v>24316</v>
      </c>
      <c r="F267">
        <v>8</v>
      </c>
      <c r="G267">
        <v>5520</v>
      </c>
      <c r="H267" s="1">
        <v>46063</v>
      </c>
      <c r="I267" s="1">
        <v>46069</v>
      </c>
      <c r="J267" s="1">
        <v>46069</v>
      </c>
      <c r="K267" s="2">
        <v>0.5625</v>
      </c>
      <c r="M267" t="s">
        <v>529</v>
      </c>
      <c r="N267">
        <v>5591</v>
      </c>
      <c r="O267" t="s">
        <v>17</v>
      </c>
    </row>
    <row r="268" spans="1:15" hidden="1" x14ac:dyDescent="0.25">
      <c r="A268" t="s">
        <v>527</v>
      </c>
      <c r="B268" t="s">
        <v>530</v>
      </c>
      <c r="C268" t="e">
        <v>#NAME?</v>
      </c>
      <c r="D268" t="e">
        <v>#NAME?</v>
      </c>
      <c r="E268">
        <v>50307</v>
      </c>
      <c r="F268">
        <v>15</v>
      </c>
      <c r="G268">
        <v>10514</v>
      </c>
      <c r="H268" s="1">
        <v>46063</v>
      </c>
      <c r="I268" s="1">
        <v>46069</v>
      </c>
      <c r="J268" s="1">
        <v>46069</v>
      </c>
      <c r="K268" s="2">
        <v>0.5625</v>
      </c>
      <c r="M268" t="s">
        <v>529</v>
      </c>
      <c r="N268">
        <v>10514</v>
      </c>
      <c r="O268" t="s">
        <v>17</v>
      </c>
    </row>
    <row r="269" spans="1:15" hidden="1" x14ac:dyDescent="0.25">
      <c r="A269" t="s">
        <v>531</v>
      </c>
      <c r="B269" t="s">
        <v>532</v>
      </c>
      <c r="C269" t="e">
        <v>#NAME?</v>
      </c>
      <c r="D269" t="e">
        <v>#NAME?</v>
      </c>
      <c r="E269">
        <v>46109</v>
      </c>
      <c r="F269">
        <v>12</v>
      </c>
      <c r="G269">
        <v>7516</v>
      </c>
      <c r="H269" s="1">
        <v>46063</v>
      </c>
      <c r="I269" s="1">
        <v>46069</v>
      </c>
      <c r="J269" s="1">
        <v>46069</v>
      </c>
      <c r="K269" s="2">
        <v>0.58333333333333337</v>
      </c>
      <c r="M269" t="s">
        <v>529</v>
      </c>
      <c r="N269">
        <v>7605</v>
      </c>
      <c r="O269" t="s">
        <v>17</v>
      </c>
    </row>
    <row r="270" spans="1:15" hidden="1" x14ac:dyDescent="0.25">
      <c r="A270" t="s">
        <v>531</v>
      </c>
      <c r="B270" t="s">
        <v>533</v>
      </c>
      <c r="C270" t="e">
        <v>#NAME?</v>
      </c>
      <c r="D270" t="e">
        <v>#NAME?</v>
      </c>
      <c r="E270">
        <v>24267</v>
      </c>
      <c r="F270">
        <v>7</v>
      </c>
      <c r="G270">
        <v>5945</v>
      </c>
      <c r="H270" s="1">
        <v>46063</v>
      </c>
      <c r="I270" s="1">
        <v>46069</v>
      </c>
      <c r="J270" s="1">
        <v>46069</v>
      </c>
      <c r="K270" s="2">
        <v>0.58333333333333337</v>
      </c>
      <c r="M270" t="s">
        <v>529</v>
      </c>
      <c r="N270">
        <v>6066</v>
      </c>
      <c r="O270" t="s">
        <v>17</v>
      </c>
    </row>
    <row r="271" spans="1:15" hidden="1" x14ac:dyDescent="0.25">
      <c r="A271" t="s">
        <v>534</v>
      </c>
      <c r="B271" t="s">
        <v>535</v>
      </c>
      <c r="C271" t="e">
        <v>#NAME?</v>
      </c>
      <c r="D271" t="e">
        <v>#NAME?</v>
      </c>
      <c r="E271">
        <v>28110</v>
      </c>
      <c r="F271">
        <v>7</v>
      </c>
      <c r="G271">
        <v>5060</v>
      </c>
      <c r="H271" s="1">
        <v>46063</v>
      </c>
      <c r="I271" s="1">
        <v>46069</v>
      </c>
      <c r="J271" s="1">
        <v>46069</v>
      </c>
      <c r="K271" s="2">
        <v>0.60416666666666663</v>
      </c>
      <c r="M271" t="s">
        <v>525</v>
      </c>
      <c r="N271">
        <v>5074</v>
      </c>
      <c r="O271" t="s">
        <v>17</v>
      </c>
    </row>
    <row r="272" spans="1:15" hidden="1" x14ac:dyDescent="0.25">
      <c r="A272" t="s">
        <v>536</v>
      </c>
      <c r="B272" t="s">
        <v>537</v>
      </c>
      <c r="C272" t="e">
        <v>#NAME?</v>
      </c>
      <c r="D272" t="e">
        <v>#NAME?</v>
      </c>
      <c r="E272">
        <v>27255</v>
      </c>
      <c r="F272">
        <v>5</v>
      </c>
      <c r="G272">
        <v>4497</v>
      </c>
      <c r="H272" s="1">
        <v>46062</v>
      </c>
      <c r="I272" s="1">
        <v>46069</v>
      </c>
      <c r="J272" s="1">
        <v>46069</v>
      </c>
      <c r="K272" s="2">
        <v>0.625</v>
      </c>
      <c r="N272">
        <v>3469</v>
      </c>
      <c r="O272" t="s">
        <v>17</v>
      </c>
    </row>
    <row r="273" spans="1:15" hidden="1" x14ac:dyDescent="0.25">
      <c r="A273" t="s">
        <v>538</v>
      </c>
      <c r="B273" t="s">
        <v>539</v>
      </c>
      <c r="C273" t="e">
        <v>#NAME?</v>
      </c>
      <c r="D273" t="e">
        <v>#NAME?</v>
      </c>
      <c r="E273">
        <v>33134</v>
      </c>
      <c r="F273">
        <v>3</v>
      </c>
      <c r="G273">
        <v>2154</v>
      </c>
      <c r="H273" s="1">
        <v>46062</v>
      </c>
      <c r="I273" s="1">
        <v>46069</v>
      </c>
      <c r="J273" s="1">
        <v>46069</v>
      </c>
      <c r="K273" s="2">
        <v>0.625</v>
      </c>
      <c r="N273">
        <v>2125</v>
      </c>
      <c r="O273" t="s">
        <v>17</v>
      </c>
    </row>
    <row r="274" spans="1:15" hidden="1" x14ac:dyDescent="0.25">
      <c r="A274" t="s">
        <v>540</v>
      </c>
      <c r="B274" t="s">
        <v>541</v>
      </c>
      <c r="C274" t="e">
        <v>#NAME?</v>
      </c>
      <c r="D274" t="e">
        <v>#NAME?</v>
      </c>
      <c r="E274">
        <v>23669</v>
      </c>
      <c r="F274">
        <v>4</v>
      </c>
      <c r="G274">
        <v>2722</v>
      </c>
      <c r="H274" s="1">
        <v>46062</v>
      </c>
      <c r="I274" s="1">
        <v>46069</v>
      </c>
      <c r="J274" s="1">
        <v>46069</v>
      </c>
      <c r="K274" s="2">
        <v>0.625</v>
      </c>
      <c r="N274">
        <v>3399</v>
      </c>
      <c r="O274" t="s">
        <v>17</v>
      </c>
    </row>
    <row r="275" spans="1:15" hidden="1" x14ac:dyDescent="0.25">
      <c r="A275" t="s">
        <v>542</v>
      </c>
      <c r="B275" t="s">
        <v>543</v>
      </c>
      <c r="C275" t="e">
        <v>#NAME?</v>
      </c>
      <c r="D275" t="e">
        <v>#NAME?</v>
      </c>
      <c r="E275">
        <v>32666</v>
      </c>
      <c r="F275">
        <v>6</v>
      </c>
      <c r="G275">
        <v>4671</v>
      </c>
      <c r="H275" s="1">
        <v>46062</v>
      </c>
      <c r="I275" s="1">
        <v>46069</v>
      </c>
      <c r="J275" s="1">
        <v>46069</v>
      </c>
      <c r="K275" s="2">
        <v>0.625</v>
      </c>
      <c r="N275">
        <v>4380</v>
      </c>
      <c r="O275" t="s">
        <v>17</v>
      </c>
    </row>
    <row r="276" spans="1:15" hidden="1" x14ac:dyDescent="0.25">
      <c r="A276" t="s">
        <v>536</v>
      </c>
      <c r="B276" t="s">
        <v>544</v>
      </c>
      <c r="C276" t="e">
        <v>#NAME?</v>
      </c>
      <c r="D276" t="e">
        <v>#NAME?</v>
      </c>
      <c r="E276">
        <v>50695</v>
      </c>
      <c r="F276">
        <v>8</v>
      </c>
      <c r="G276">
        <v>8365</v>
      </c>
      <c r="H276" s="1">
        <v>46062</v>
      </c>
      <c r="I276" s="1">
        <v>46069</v>
      </c>
      <c r="J276" s="1">
        <v>46069</v>
      </c>
      <c r="K276" s="2">
        <v>0.625</v>
      </c>
      <c r="N276">
        <v>6598</v>
      </c>
      <c r="O276" t="s">
        <v>17</v>
      </c>
    </row>
    <row r="277" spans="1:15" hidden="1" x14ac:dyDescent="0.25">
      <c r="A277" t="s">
        <v>545</v>
      </c>
      <c r="B277" t="s">
        <v>546</v>
      </c>
      <c r="C277" t="e">
        <v>#NAME?</v>
      </c>
      <c r="D277" t="e">
        <v>#NAME?</v>
      </c>
      <c r="E277">
        <v>48427</v>
      </c>
      <c r="F277">
        <v>7</v>
      </c>
      <c r="G277">
        <v>7264</v>
      </c>
      <c r="H277" s="1">
        <v>46064</v>
      </c>
      <c r="I277" s="1">
        <v>46069</v>
      </c>
      <c r="J277" s="1">
        <v>46069</v>
      </c>
      <c r="K277" s="2">
        <v>0.64583333333333337</v>
      </c>
      <c r="M277" t="s">
        <v>508</v>
      </c>
      <c r="N277">
        <v>4992</v>
      </c>
      <c r="O277" t="s">
        <v>17</v>
      </c>
    </row>
    <row r="278" spans="1:15" hidden="1" x14ac:dyDescent="0.25">
      <c r="A278" t="s">
        <v>547</v>
      </c>
      <c r="B278" t="s">
        <v>548</v>
      </c>
      <c r="C278" t="e">
        <v>#NAME?</v>
      </c>
      <c r="D278" t="e">
        <v>#NAME?</v>
      </c>
      <c r="E278">
        <v>41931</v>
      </c>
      <c r="F278">
        <v>5</v>
      </c>
      <c r="G278">
        <v>5870</v>
      </c>
      <c r="H278" s="1">
        <v>46064</v>
      </c>
      <c r="I278" s="1">
        <v>46069</v>
      </c>
      <c r="J278" s="1">
        <v>46069</v>
      </c>
      <c r="K278" s="2">
        <v>0.64583333333333337</v>
      </c>
      <c r="M278" t="s">
        <v>508</v>
      </c>
      <c r="N278">
        <v>5870</v>
      </c>
      <c r="O278" t="s">
        <v>17</v>
      </c>
    </row>
    <row r="279" spans="1:15" hidden="1" x14ac:dyDescent="0.25">
      <c r="A279" t="s">
        <v>549</v>
      </c>
      <c r="B279" t="s">
        <v>550</v>
      </c>
      <c r="C279" t="e">
        <v>#NAME?</v>
      </c>
      <c r="D279" t="e">
        <v>#NAME?</v>
      </c>
      <c r="E279">
        <v>35646</v>
      </c>
      <c r="F279">
        <v>5</v>
      </c>
      <c r="G279">
        <v>5347</v>
      </c>
      <c r="H279" s="1">
        <v>46063</v>
      </c>
      <c r="I279" s="1">
        <v>46069</v>
      </c>
      <c r="J279" s="1">
        <v>46069</v>
      </c>
      <c r="K279" s="2">
        <v>0.64583333333333337</v>
      </c>
      <c r="M279" t="s">
        <v>508</v>
      </c>
      <c r="N279">
        <v>3564</v>
      </c>
      <c r="O279" t="s">
        <v>17</v>
      </c>
    </row>
    <row r="280" spans="1:15" hidden="1" x14ac:dyDescent="0.25">
      <c r="A280" t="s">
        <v>551</v>
      </c>
      <c r="B280" t="s">
        <v>552</v>
      </c>
      <c r="C280" t="e">
        <v>#NAME?</v>
      </c>
      <c r="D280" t="e">
        <v>#NAME?</v>
      </c>
      <c r="E280">
        <v>33858</v>
      </c>
      <c r="F280">
        <v>5</v>
      </c>
      <c r="G280">
        <v>5079</v>
      </c>
      <c r="H280" s="1">
        <v>46064</v>
      </c>
      <c r="I280" s="1">
        <v>46069</v>
      </c>
      <c r="J280" s="1">
        <v>46069</v>
      </c>
      <c r="K280" s="2">
        <v>0.64583333333333337</v>
      </c>
      <c r="M280" t="s">
        <v>508</v>
      </c>
      <c r="N280">
        <v>3553</v>
      </c>
      <c r="O280" t="s">
        <v>17</v>
      </c>
    </row>
    <row r="281" spans="1:15" hidden="1" x14ac:dyDescent="0.25">
      <c r="A281" t="s">
        <v>553</v>
      </c>
      <c r="B281" t="s">
        <v>554</v>
      </c>
      <c r="C281" t="e">
        <v>#NAME?</v>
      </c>
      <c r="D281" t="e">
        <v>#NAME?</v>
      </c>
      <c r="E281">
        <v>26244</v>
      </c>
      <c r="F281">
        <v>18</v>
      </c>
      <c r="G281">
        <v>7873</v>
      </c>
      <c r="H281" s="1">
        <v>46042</v>
      </c>
      <c r="I281" s="1">
        <v>46071</v>
      </c>
      <c r="J281" s="1">
        <v>46071</v>
      </c>
      <c r="K281" s="2">
        <v>0.375</v>
      </c>
      <c r="L281" t="s">
        <v>31</v>
      </c>
      <c r="N281">
        <v>8483</v>
      </c>
      <c r="O281" t="s">
        <v>17</v>
      </c>
    </row>
    <row r="282" spans="1:15" hidden="1" x14ac:dyDescent="0.25">
      <c r="A282" t="s">
        <v>555</v>
      </c>
      <c r="B282" t="s">
        <v>556</v>
      </c>
      <c r="C282" t="e">
        <v>#NAME?</v>
      </c>
      <c r="D282" t="e">
        <v>#NAME?</v>
      </c>
      <c r="E282">
        <v>45849</v>
      </c>
      <c r="F282">
        <v>15</v>
      </c>
      <c r="G282">
        <v>13755</v>
      </c>
      <c r="H282" s="1">
        <v>46042</v>
      </c>
      <c r="I282" s="1">
        <v>46071</v>
      </c>
      <c r="J282" s="1">
        <v>46071</v>
      </c>
      <c r="K282" s="2">
        <v>0.39583333333333331</v>
      </c>
      <c r="L282" t="s">
        <v>31</v>
      </c>
      <c r="N282">
        <v>8850</v>
      </c>
      <c r="O282" t="s">
        <v>17</v>
      </c>
    </row>
    <row r="283" spans="1:15" hidden="1" x14ac:dyDescent="0.25">
      <c r="A283" t="s">
        <v>557</v>
      </c>
      <c r="B283" t="s">
        <v>558</v>
      </c>
      <c r="C283" t="e">
        <v>#NAME?</v>
      </c>
      <c r="D283" t="e">
        <v>#NAME?</v>
      </c>
      <c r="E283">
        <v>43145</v>
      </c>
      <c r="F283">
        <v>9</v>
      </c>
      <c r="G283">
        <v>7464</v>
      </c>
      <c r="H283" s="1">
        <v>46066</v>
      </c>
      <c r="I283" s="1">
        <v>46071</v>
      </c>
      <c r="J283" s="1">
        <v>46071</v>
      </c>
      <c r="K283" s="2">
        <v>0.41666666666666669</v>
      </c>
      <c r="M283" t="s">
        <v>559</v>
      </c>
      <c r="N283">
        <v>7593</v>
      </c>
      <c r="O283" t="s">
        <v>17</v>
      </c>
    </row>
    <row r="284" spans="1:15" hidden="1" x14ac:dyDescent="0.25">
      <c r="A284" t="s">
        <v>337</v>
      </c>
      <c r="B284" t="s">
        <v>560</v>
      </c>
      <c r="C284" t="e">
        <v>#NAME?</v>
      </c>
      <c r="D284" t="e">
        <v>#NAME?</v>
      </c>
      <c r="E284">
        <v>24698</v>
      </c>
      <c r="F284">
        <v>5</v>
      </c>
      <c r="G284">
        <v>4248</v>
      </c>
      <c r="H284" s="1">
        <v>46066</v>
      </c>
      <c r="I284" s="1">
        <v>46071</v>
      </c>
      <c r="J284" s="1">
        <v>46071</v>
      </c>
      <c r="K284" s="2">
        <v>0.41666666666666669</v>
      </c>
      <c r="N284">
        <v>4248</v>
      </c>
      <c r="O284" t="s">
        <v>17</v>
      </c>
    </row>
    <row r="285" spans="1:15" hidden="1" x14ac:dyDescent="0.25">
      <c r="A285" t="s">
        <v>561</v>
      </c>
      <c r="B285" t="s">
        <v>562</v>
      </c>
      <c r="C285" t="e">
        <v>#NAME?</v>
      </c>
      <c r="D285" t="e">
        <v>#NAME?</v>
      </c>
      <c r="E285">
        <v>44635</v>
      </c>
      <c r="F285">
        <v>7</v>
      </c>
      <c r="G285">
        <v>6249</v>
      </c>
      <c r="H285" s="1">
        <v>46066</v>
      </c>
      <c r="I285" s="1">
        <v>46071</v>
      </c>
      <c r="J285" s="1">
        <v>46071</v>
      </c>
      <c r="K285" s="2">
        <v>0.41666666666666669</v>
      </c>
      <c r="M285" t="s">
        <v>563</v>
      </c>
      <c r="N285">
        <v>5999</v>
      </c>
      <c r="O285" t="s">
        <v>17</v>
      </c>
    </row>
    <row r="286" spans="1:15" hidden="1" x14ac:dyDescent="0.25">
      <c r="A286" t="s">
        <v>564</v>
      </c>
      <c r="B286" t="s">
        <v>565</v>
      </c>
      <c r="C286" t="e">
        <v>#NAME?</v>
      </c>
      <c r="D286" t="e">
        <v>#NAME?</v>
      </c>
      <c r="E286">
        <v>23889</v>
      </c>
      <c r="F286">
        <v>6</v>
      </c>
      <c r="G286">
        <v>3703</v>
      </c>
      <c r="H286" s="1">
        <v>46066</v>
      </c>
      <c r="I286" s="1">
        <v>46071</v>
      </c>
      <c r="J286" s="1">
        <v>46071</v>
      </c>
      <c r="K286" s="2">
        <v>0.41666666666666669</v>
      </c>
      <c r="N286">
        <v>3702</v>
      </c>
      <c r="O286" t="s">
        <v>17</v>
      </c>
    </row>
    <row r="287" spans="1:15" hidden="1" x14ac:dyDescent="0.25">
      <c r="A287" t="s">
        <v>566</v>
      </c>
      <c r="B287" t="s">
        <v>567</v>
      </c>
      <c r="C287" t="e">
        <v>#NAME?</v>
      </c>
      <c r="D287" t="e">
        <v>#NAME?</v>
      </c>
      <c r="E287">
        <v>28123</v>
      </c>
      <c r="F287">
        <v>3</v>
      </c>
      <c r="G287">
        <v>2137</v>
      </c>
      <c r="H287" s="1">
        <v>46066</v>
      </c>
      <c r="I287" s="1">
        <v>46071</v>
      </c>
      <c r="J287" s="1">
        <v>46071</v>
      </c>
      <c r="K287" s="2">
        <v>0.41666666666666669</v>
      </c>
      <c r="N287">
        <v>2137</v>
      </c>
      <c r="O287" t="s">
        <v>17</v>
      </c>
    </row>
    <row r="288" spans="1:15" hidden="1" x14ac:dyDescent="0.25">
      <c r="A288" t="s">
        <v>568</v>
      </c>
      <c r="B288" t="s">
        <v>569</v>
      </c>
      <c r="C288" t="e">
        <v>#NAME?</v>
      </c>
      <c r="D288" t="e">
        <v>#NAME?</v>
      </c>
      <c r="E288">
        <v>25677</v>
      </c>
      <c r="F288">
        <v>4</v>
      </c>
      <c r="G288">
        <v>3543</v>
      </c>
      <c r="H288" s="1">
        <v>46066</v>
      </c>
      <c r="I288" s="1">
        <v>46071</v>
      </c>
      <c r="J288" s="1">
        <v>46071</v>
      </c>
      <c r="K288" s="2">
        <v>0.41666666666666669</v>
      </c>
      <c r="M288" t="s">
        <v>559</v>
      </c>
      <c r="N288">
        <v>4757</v>
      </c>
      <c r="O288" t="s">
        <v>17</v>
      </c>
    </row>
    <row r="289" spans="1:15" hidden="1" x14ac:dyDescent="0.25">
      <c r="A289" t="s">
        <v>570</v>
      </c>
      <c r="B289" t="s">
        <v>571</v>
      </c>
      <c r="C289" t="e">
        <v>#NAME?</v>
      </c>
      <c r="D289" t="e">
        <v>#NAME?</v>
      </c>
      <c r="E289">
        <v>30797</v>
      </c>
      <c r="F289">
        <v>6</v>
      </c>
      <c r="G289">
        <v>4312</v>
      </c>
      <c r="H289" s="1">
        <v>46066</v>
      </c>
      <c r="I289" s="1">
        <v>46071</v>
      </c>
      <c r="J289" s="1">
        <v>46071</v>
      </c>
      <c r="K289" s="2">
        <v>0.41666666666666669</v>
      </c>
      <c r="M289" t="s">
        <v>572</v>
      </c>
      <c r="N289">
        <v>4146</v>
      </c>
      <c r="O289" t="s">
        <v>17</v>
      </c>
    </row>
    <row r="290" spans="1:15" hidden="1" x14ac:dyDescent="0.25">
      <c r="A290" t="s">
        <v>573</v>
      </c>
      <c r="B290" t="s">
        <v>574</v>
      </c>
      <c r="C290" t="e">
        <v>#NAME?</v>
      </c>
      <c r="D290" t="e">
        <v>#NAME?</v>
      </c>
      <c r="E290">
        <v>35240</v>
      </c>
      <c r="F290">
        <v>5</v>
      </c>
      <c r="G290">
        <v>3524</v>
      </c>
      <c r="H290" s="1">
        <v>46066</v>
      </c>
      <c r="I290" s="1">
        <v>46071</v>
      </c>
      <c r="J290" s="1">
        <v>46071</v>
      </c>
      <c r="K290" s="2">
        <v>0.41666666666666669</v>
      </c>
      <c r="M290" t="s">
        <v>563</v>
      </c>
      <c r="N290">
        <v>3663</v>
      </c>
      <c r="O290" t="s">
        <v>17</v>
      </c>
    </row>
    <row r="291" spans="1:15" hidden="1" x14ac:dyDescent="0.25">
      <c r="A291" t="s">
        <v>575</v>
      </c>
      <c r="B291" t="s">
        <v>576</v>
      </c>
      <c r="C291" t="e">
        <v>#NAME?</v>
      </c>
      <c r="D291" t="e">
        <v>#NAME?</v>
      </c>
      <c r="E291">
        <v>64897</v>
      </c>
      <c r="F291">
        <v>7</v>
      </c>
      <c r="G291">
        <v>6490</v>
      </c>
      <c r="H291" s="1">
        <v>46066</v>
      </c>
      <c r="I291" s="1">
        <v>46071</v>
      </c>
      <c r="J291" s="1">
        <v>46071</v>
      </c>
      <c r="K291" s="2">
        <v>0.41666666666666669</v>
      </c>
      <c r="N291">
        <v>6489</v>
      </c>
      <c r="O291" t="s">
        <v>17</v>
      </c>
    </row>
    <row r="292" spans="1:15" hidden="1" x14ac:dyDescent="0.25">
      <c r="A292" t="s">
        <v>577</v>
      </c>
      <c r="B292" t="s">
        <v>578</v>
      </c>
      <c r="C292" t="e">
        <v>#NAME?</v>
      </c>
      <c r="D292" t="e">
        <v>#NAME?</v>
      </c>
      <c r="E292">
        <v>33446</v>
      </c>
      <c r="F292">
        <v>4</v>
      </c>
      <c r="G292">
        <v>3345</v>
      </c>
      <c r="H292" s="1">
        <v>46052</v>
      </c>
      <c r="I292" s="1">
        <v>46071</v>
      </c>
      <c r="J292" s="1">
        <v>46071</v>
      </c>
      <c r="K292" s="2">
        <v>0.4375</v>
      </c>
      <c r="L292" t="s">
        <v>132</v>
      </c>
      <c r="N292">
        <v>3350</v>
      </c>
      <c r="O292" t="s">
        <v>17</v>
      </c>
    </row>
    <row r="293" spans="1:15" hidden="1" x14ac:dyDescent="0.25">
      <c r="A293" t="s">
        <v>577</v>
      </c>
      <c r="B293" t="s">
        <v>579</v>
      </c>
      <c r="C293" t="e">
        <v>#NAME?</v>
      </c>
      <c r="D293" t="e">
        <v>#NAME?</v>
      </c>
      <c r="E293">
        <v>24152</v>
      </c>
      <c r="F293">
        <v>4</v>
      </c>
      <c r="G293">
        <v>2850</v>
      </c>
      <c r="H293" s="1">
        <v>46052</v>
      </c>
      <c r="I293" s="1">
        <v>46071</v>
      </c>
      <c r="J293" s="1">
        <v>46071</v>
      </c>
      <c r="K293" s="2">
        <v>0.4375</v>
      </c>
      <c r="L293" t="s">
        <v>132</v>
      </c>
      <c r="N293">
        <v>2832</v>
      </c>
      <c r="O293" t="s">
        <v>17</v>
      </c>
    </row>
    <row r="294" spans="1:15" hidden="1" x14ac:dyDescent="0.25">
      <c r="A294" t="s">
        <v>580</v>
      </c>
      <c r="B294" t="s">
        <v>581</v>
      </c>
      <c r="C294" t="e">
        <v>#NAME?</v>
      </c>
      <c r="D294" t="e">
        <v>#NAME?</v>
      </c>
      <c r="E294">
        <v>33207</v>
      </c>
      <c r="F294">
        <v>5</v>
      </c>
      <c r="G294">
        <v>3918</v>
      </c>
      <c r="H294" s="1">
        <v>46051</v>
      </c>
      <c r="I294" s="1">
        <v>46071</v>
      </c>
      <c r="J294" s="1">
        <v>46071</v>
      </c>
      <c r="K294" s="2">
        <v>0.5625</v>
      </c>
      <c r="L294" t="s">
        <v>31</v>
      </c>
      <c r="N294">
        <v>3829</v>
      </c>
      <c r="O294" t="s">
        <v>17</v>
      </c>
    </row>
    <row r="295" spans="1:15" hidden="1" x14ac:dyDescent="0.25">
      <c r="A295" t="s">
        <v>580</v>
      </c>
      <c r="B295" t="s">
        <v>582</v>
      </c>
      <c r="C295" t="e">
        <v>#NAME?</v>
      </c>
      <c r="D295" t="e">
        <v>#NAME?</v>
      </c>
      <c r="E295">
        <v>30645</v>
      </c>
      <c r="F295">
        <v>5</v>
      </c>
      <c r="G295">
        <v>3065</v>
      </c>
      <c r="H295" s="1">
        <v>46051</v>
      </c>
      <c r="I295" s="1">
        <v>46071</v>
      </c>
      <c r="J295" s="1">
        <v>46071</v>
      </c>
      <c r="K295" s="2">
        <v>0.5625</v>
      </c>
      <c r="L295" t="s">
        <v>31</v>
      </c>
      <c r="N295">
        <v>3075</v>
      </c>
      <c r="O295" t="s">
        <v>17</v>
      </c>
    </row>
    <row r="296" spans="1:15" hidden="1" x14ac:dyDescent="0.25">
      <c r="A296" t="s">
        <v>583</v>
      </c>
      <c r="B296" t="s">
        <v>584</v>
      </c>
      <c r="C296" t="e">
        <v>#NAME?</v>
      </c>
      <c r="D296" t="e">
        <v>#NAME?</v>
      </c>
      <c r="E296">
        <v>35361</v>
      </c>
      <c r="F296">
        <v>7</v>
      </c>
      <c r="G296">
        <v>4208</v>
      </c>
      <c r="H296" s="1">
        <v>46057</v>
      </c>
      <c r="I296" s="1">
        <v>46071</v>
      </c>
      <c r="J296" s="1">
        <v>46071</v>
      </c>
      <c r="K296" s="2">
        <v>0.54166666666666663</v>
      </c>
      <c r="L296" t="s">
        <v>31</v>
      </c>
      <c r="M296" t="s">
        <v>585</v>
      </c>
      <c r="N296">
        <v>3136</v>
      </c>
      <c r="O296" t="s">
        <v>17</v>
      </c>
    </row>
    <row r="297" spans="1:15" hidden="1" x14ac:dyDescent="0.25">
      <c r="A297" t="s">
        <v>583</v>
      </c>
      <c r="B297" t="s">
        <v>586</v>
      </c>
      <c r="C297" t="e">
        <v>#NAME?</v>
      </c>
      <c r="D297" t="e">
        <v>#NAME?</v>
      </c>
      <c r="E297">
        <v>26753</v>
      </c>
      <c r="F297">
        <v>6</v>
      </c>
      <c r="G297">
        <v>4147</v>
      </c>
      <c r="H297" s="1">
        <v>46057</v>
      </c>
      <c r="I297" s="1">
        <v>46071</v>
      </c>
      <c r="J297" s="1">
        <v>46071</v>
      </c>
      <c r="K297" s="2">
        <v>0.60416666666666663</v>
      </c>
      <c r="L297" t="s">
        <v>31</v>
      </c>
      <c r="M297" t="s">
        <v>585</v>
      </c>
      <c r="N297">
        <v>4147</v>
      </c>
      <c r="O297" t="s">
        <v>17</v>
      </c>
    </row>
    <row r="298" spans="1:15" hidden="1" x14ac:dyDescent="0.25">
      <c r="A298" t="s">
        <v>587</v>
      </c>
      <c r="B298" t="s">
        <v>588</v>
      </c>
      <c r="C298" t="e">
        <v>#NAME?</v>
      </c>
      <c r="D298" t="e">
        <v>#NAME?</v>
      </c>
      <c r="E298">
        <v>41270</v>
      </c>
      <c r="F298">
        <v>11</v>
      </c>
      <c r="G298">
        <v>8171</v>
      </c>
      <c r="H298" s="1">
        <v>46057</v>
      </c>
      <c r="I298" s="1">
        <v>46071</v>
      </c>
      <c r="J298" s="1">
        <v>46071</v>
      </c>
      <c r="K298" s="2">
        <v>0.625</v>
      </c>
      <c r="L298" t="s">
        <v>31</v>
      </c>
      <c r="M298" t="s">
        <v>502</v>
      </c>
      <c r="N298">
        <v>8668</v>
      </c>
      <c r="O298" t="s">
        <v>17</v>
      </c>
    </row>
    <row r="299" spans="1:15" hidden="1" x14ac:dyDescent="0.25">
      <c r="A299" t="s">
        <v>587</v>
      </c>
      <c r="B299" t="s">
        <v>589</v>
      </c>
      <c r="C299" t="e">
        <v>#NAME?</v>
      </c>
      <c r="D299" t="e">
        <v>#NAME?</v>
      </c>
      <c r="E299">
        <v>75298</v>
      </c>
      <c r="F299">
        <v>16</v>
      </c>
      <c r="G299">
        <v>12349</v>
      </c>
      <c r="H299" s="1">
        <v>46057</v>
      </c>
      <c r="I299" s="1">
        <v>46071</v>
      </c>
      <c r="J299" s="1">
        <v>46071</v>
      </c>
      <c r="K299" s="2">
        <v>0.625</v>
      </c>
      <c r="L299" t="s">
        <v>31</v>
      </c>
      <c r="M299" t="s">
        <v>502</v>
      </c>
      <c r="N299">
        <v>12085</v>
      </c>
      <c r="O299" t="s">
        <v>17</v>
      </c>
    </row>
    <row r="300" spans="1:15" hidden="1" x14ac:dyDescent="0.25">
      <c r="A300" t="s">
        <v>590</v>
      </c>
      <c r="B300" t="s">
        <v>591</v>
      </c>
      <c r="C300" t="e">
        <v>#NAME?</v>
      </c>
      <c r="D300" t="e">
        <v>#NAME?</v>
      </c>
      <c r="E300">
        <v>52628</v>
      </c>
      <c r="F300">
        <v>7</v>
      </c>
      <c r="G300">
        <v>5263</v>
      </c>
      <c r="H300" s="1">
        <v>46057</v>
      </c>
      <c r="I300" s="1">
        <v>46071</v>
      </c>
      <c r="J300" s="1">
        <v>46071</v>
      </c>
      <c r="K300" s="2">
        <v>0.64583333333333337</v>
      </c>
      <c r="L300" t="s">
        <v>31</v>
      </c>
      <c r="M300" t="s">
        <v>585</v>
      </c>
      <c r="N300">
        <v>6316</v>
      </c>
      <c r="O300" t="s">
        <v>17</v>
      </c>
    </row>
    <row r="301" spans="1:15" hidden="1" x14ac:dyDescent="0.25">
      <c r="A301" t="s">
        <v>592</v>
      </c>
      <c r="B301" t="s">
        <v>593</v>
      </c>
      <c r="C301" t="e">
        <v>#NAME?</v>
      </c>
      <c r="D301" t="e">
        <v>#NAME?</v>
      </c>
      <c r="E301">
        <v>24331</v>
      </c>
      <c r="F301">
        <v>7</v>
      </c>
      <c r="G301">
        <v>4380</v>
      </c>
      <c r="H301" s="1">
        <v>46059</v>
      </c>
      <c r="I301" s="1">
        <v>46071</v>
      </c>
      <c r="J301" s="1">
        <v>46071</v>
      </c>
      <c r="K301" s="2">
        <v>0.64583333333333337</v>
      </c>
      <c r="L301" t="s">
        <v>20</v>
      </c>
      <c r="N301">
        <v>4379</v>
      </c>
      <c r="O301" t="s">
        <v>17</v>
      </c>
    </row>
    <row r="302" spans="1:15" hidden="1" x14ac:dyDescent="0.25">
      <c r="A302" t="s">
        <v>592</v>
      </c>
      <c r="B302" t="s">
        <v>594</v>
      </c>
      <c r="C302" t="e">
        <v>#NAME?</v>
      </c>
      <c r="D302" t="e">
        <v>#NAME?</v>
      </c>
      <c r="E302">
        <v>48770</v>
      </c>
      <c r="F302">
        <v>8</v>
      </c>
      <c r="G302">
        <v>4682</v>
      </c>
      <c r="H302" s="1">
        <v>46059</v>
      </c>
      <c r="I302" s="1">
        <v>46071</v>
      </c>
      <c r="J302" s="1">
        <v>46071</v>
      </c>
      <c r="K302" s="2">
        <v>0.64583333333333337</v>
      </c>
      <c r="L302" t="s">
        <v>20</v>
      </c>
      <c r="N302">
        <v>5825</v>
      </c>
      <c r="O302" t="s">
        <v>17</v>
      </c>
    </row>
    <row r="303" spans="1:15" hidden="1" x14ac:dyDescent="0.25">
      <c r="A303" t="s">
        <v>590</v>
      </c>
      <c r="B303" t="s">
        <v>595</v>
      </c>
      <c r="C303" t="e">
        <v>#NAME?</v>
      </c>
      <c r="D303" t="e">
        <v>#NAME?</v>
      </c>
      <c r="E303">
        <v>36431</v>
      </c>
      <c r="F303">
        <v>5</v>
      </c>
      <c r="G303">
        <v>3643</v>
      </c>
      <c r="H303" s="1">
        <v>46057</v>
      </c>
      <c r="I303" s="1">
        <v>46071</v>
      </c>
      <c r="J303" s="1">
        <v>46071</v>
      </c>
      <c r="K303" s="2">
        <v>0.64583333333333337</v>
      </c>
      <c r="L303" t="s">
        <v>31</v>
      </c>
      <c r="M303" t="s">
        <v>585</v>
      </c>
      <c r="N303">
        <v>3643</v>
      </c>
      <c r="O303" t="s">
        <v>17</v>
      </c>
    </row>
    <row r="304" spans="1:15" hidden="1" x14ac:dyDescent="0.25">
      <c r="A304" t="s">
        <v>573</v>
      </c>
      <c r="B304" t="s">
        <v>596</v>
      </c>
      <c r="C304" t="e">
        <v>#NAME?</v>
      </c>
      <c r="D304" t="e">
        <v>#NAME?</v>
      </c>
      <c r="E304">
        <v>32894</v>
      </c>
      <c r="F304">
        <v>4</v>
      </c>
      <c r="G304">
        <v>2960</v>
      </c>
      <c r="H304" s="1">
        <v>46066</v>
      </c>
      <c r="I304" s="1">
        <v>46071</v>
      </c>
      <c r="J304" s="1">
        <v>46071</v>
      </c>
      <c r="K304" s="2">
        <v>0.54166666666666663</v>
      </c>
      <c r="M304" t="s">
        <v>563</v>
      </c>
      <c r="N304">
        <v>7593</v>
      </c>
      <c r="O304" t="s">
        <v>17</v>
      </c>
    </row>
    <row r="305" spans="1:15" hidden="1" x14ac:dyDescent="0.25">
      <c r="A305" t="s">
        <v>597</v>
      </c>
      <c r="B305" t="s">
        <v>598</v>
      </c>
      <c r="C305" t="e">
        <v>#NAME?</v>
      </c>
      <c r="D305" t="e">
        <v>#NAME?</v>
      </c>
      <c r="E305">
        <v>50108</v>
      </c>
      <c r="F305">
        <v>23</v>
      </c>
      <c r="G305">
        <v>17237</v>
      </c>
      <c r="H305" s="1">
        <v>46057</v>
      </c>
      <c r="I305" s="1">
        <v>46072</v>
      </c>
      <c r="J305" s="1">
        <v>46072</v>
      </c>
      <c r="K305" s="2">
        <v>0.375</v>
      </c>
      <c r="L305" t="s">
        <v>20</v>
      </c>
      <c r="M305" t="s">
        <v>599</v>
      </c>
      <c r="N305">
        <v>16806</v>
      </c>
      <c r="O305" t="s">
        <v>17</v>
      </c>
    </row>
    <row r="306" spans="1:15" hidden="1" x14ac:dyDescent="0.25">
      <c r="A306" t="s">
        <v>600</v>
      </c>
      <c r="B306" t="s">
        <v>601</v>
      </c>
      <c r="C306" t="e">
        <v>#NAME?</v>
      </c>
      <c r="D306" t="e">
        <v>#NAME?</v>
      </c>
      <c r="E306">
        <v>34210</v>
      </c>
      <c r="F306">
        <v>9</v>
      </c>
      <c r="G306">
        <v>6842</v>
      </c>
      <c r="H306" s="1">
        <v>46057</v>
      </c>
      <c r="I306" s="1">
        <v>46072</v>
      </c>
      <c r="J306" s="1">
        <v>46072</v>
      </c>
      <c r="K306" s="2">
        <v>0.39583333333333331</v>
      </c>
      <c r="L306" t="s">
        <v>31</v>
      </c>
      <c r="M306" t="s">
        <v>599</v>
      </c>
      <c r="N306">
        <v>6515</v>
      </c>
      <c r="O306" t="s">
        <v>17</v>
      </c>
    </row>
    <row r="307" spans="1:15" hidden="1" x14ac:dyDescent="0.25">
      <c r="A307" t="s">
        <v>600</v>
      </c>
      <c r="B307" t="s">
        <v>602</v>
      </c>
      <c r="C307" t="e">
        <v>#NAME?</v>
      </c>
      <c r="D307" t="e">
        <v>#NAME?</v>
      </c>
      <c r="E307">
        <v>34125</v>
      </c>
      <c r="F307">
        <v>19</v>
      </c>
      <c r="G307">
        <v>14674</v>
      </c>
      <c r="H307" s="1">
        <v>46059</v>
      </c>
      <c r="I307" s="1">
        <v>46072</v>
      </c>
      <c r="J307" s="1">
        <v>46072</v>
      </c>
      <c r="K307" s="2">
        <v>0.39583333333333331</v>
      </c>
      <c r="L307" t="s">
        <v>20</v>
      </c>
      <c r="M307" t="s">
        <v>352</v>
      </c>
      <c r="N307">
        <v>14202</v>
      </c>
      <c r="O307" t="s">
        <v>17</v>
      </c>
    </row>
    <row r="308" spans="1:15" hidden="1" x14ac:dyDescent="0.25">
      <c r="A308" t="s">
        <v>603</v>
      </c>
      <c r="B308" t="s">
        <v>604</v>
      </c>
      <c r="C308" t="e">
        <v>#NAME?</v>
      </c>
      <c r="D308" t="e">
        <v>#NAME?</v>
      </c>
      <c r="E308">
        <v>23723</v>
      </c>
      <c r="F308">
        <v>4</v>
      </c>
      <c r="G308">
        <v>1779</v>
      </c>
      <c r="H308" s="1">
        <v>46052</v>
      </c>
      <c r="I308" s="1">
        <v>46072</v>
      </c>
      <c r="J308" s="1">
        <v>46072</v>
      </c>
      <c r="K308" s="2">
        <v>0.41666666666666669</v>
      </c>
      <c r="L308" t="s">
        <v>257</v>
      </c>
      <c r="M308" t="s">
        <v>605</v>
      </c>
      <c r="N308">
        <v>2728</v>
      </c>
      <c r="O308" t="s">
        <v>17</v>
      </c>
    </row>
    <row r="309" spans="1:15" hidden="1" x14ac:dyDescent="0.25">
      <c r="A309" t="s">
        <v>606</v>
      </c>
      <c r="B309" t="s">
        <v>607</v>
      </c>
      <c r="C309" t="e">
        <v>#NAME?</v>
      </c>
      <c r="D309" t="e">
        <v>#NAME?</v>
      </c>
      <c r="E309">
        <v>25785</v>
      </c>
      <c r="F309">
        <v>6</v>
      </c>
      <c r="G309">
        <v>4255</v>
      </c>
      <c r="H309" s="1">
        <v>46062</v>
      </c>
      <c r="I309" s="1">
        <v>46072</v>
      </c>
      <c r="J309" s="1">
        <v>46072</v>
      </c>
      <c r="K309" s="2">
        <v>0.41666666666666669</v>
      </c>
      <c r="M309" t="s">
        <v>605</v>
      </c>
      <c r="N309">
        <v>4254</v>
      </c>
      <c r="O309" t="s">
        <v>17</v>
      </c>
    </row>
    <row r="310" spans="1:15" hidden="1" x14ac:dyDescent="0.25">
      <c r="A310" t="s">
        <v>608</v>
      </c>
      <c r="B310" t="s">
        <v>609</v>
      </c>
      <c r="C310" t="e">
        <v>#NAME?</v>
      </c>
      <c r="D310" t="e">
        <v>#NAME?</v>
      </c>
      <c r="E310">
        <v>29788</v>
      </c>
      <c r="F310">
        <v>4</v>
      </c>
      <c r="G310">
        <v>3128</v>
      </c>
      <c r="H310" s="1">
        <v>46062</v>
      </c>
      <c r="I310" s="1">
        <v>46072</v>
      </c>
      <c r="J310" s="1">
        <v>46072</v>
      </c>
      <c r="K310" s="2">
        <v>0.41666666666666669</v>
      </c>
      <c r="M310" t="s">
        <v>605</v>
      </c>
      <c r="N310">
        <v>2828</v>
      </c>
      <c r="O310" t="s">
        <v>17</v>
      </c>
    </row>
    <row r="311" spans="1:15" hidden="1" x14ac:dyDescent="0.25">
      <c r="A311" t="s">
        <v>606</v>
      </c>
      <c r="B311" t="s">
        <v>610</v>
      </c>
      <c r="C311" t="e">
        <v>#NAME?</v>
      </c>
      <c r="D311" t="e">
        <v>#NAME?</v>
      </c>
      <c r="E311">
        <v>52376</v>
      </c>
      <c r="F311">
        <v>7</v>
      </c>
      <c r="G311">
        <v>6285</v>
      </c>
      <c r="H311" s="1">
        <v>46062</v>
      </c>
      <c r="I311" s="1">
        <v>46072</v>
      </c>
      <c r="J311" s="1">
        <v>46072</v>
      </c>
      <c r="K311" s="2">
        <v>0.41666666666666669</v>
      </c>
      <c r="M311" t="s">
        <v>605</v>
      </c>
      <c r="N311">
        <v>3565</v>
      </c>
      <c r="O311" t="s">
        <v>17</v>
      </c>
    </row>
    <row r="312" spans="1:15" hidden="1" x14ac:dyDescent="0.25">
      <c r="A312" t="s">
        <v>611</v>
      </c>
      <c r="B312" t="s">
        <v>612</v>
      </c>
      <c r="C312" t="e">
        <v>#NAME?</v>
      </c>
      <c r="D312" t="e">
        <v>#NAME?</v>
      </c>
      <c r="E312">
        <v>35710</v>
      </c>
      <c r="F312">
        <v>8</v>
      </c>
      <c r="G312">
        <v>2250</v>
      </c>
      <c r="H312" s="1">
        <v>46063</v>
      </c>
      <c r="I312" s="1">
        <v>46072</v>
      </c>
      <c r="J312" s="1">
        <v>46072</v>
      </c>
      <c r="K312" s="2">
        <v>0.4375</v>
      </c>
      <c r="M312" t="s">
        <v>613</v>
      </c>
      <c r="N312">
        <v>2142</v>
      </c>
      <c r="O312" t="s">
        <v>17</v>
      </c>
    </row>
    <row r="313" spans="1:15" hidden="1" x14ac:dyDescent="0.25">
      <c r="A313" t="s">
        <v>611</v>
      </c>
      <c r="B313" t="s">
        <v>614</v>
      </c>
      <c r="C313" t="e">
        <v>#NAME?</v>
      </c>
      <c r="D313" t="e">
        <v>#NAME?</v>
      </c>
      <c r="E313">
        <v>33792</v>
      </c>
      <c r="F313">
        <v>8</v>
      </c>
      <c r="G313">
        <v>9124</v>
      </c>
      <c r="H313" s="1">
        <v>46063</v>
      </c>
      <c r="I313" s="1">
        <v>46072</v>
      </c>
      <c r="J313" s="1">
        <v>46072</v>
      </c>
      <c r="K313" s="2">
        <v>0.4375</v>
      </c>
      <c r="M313" t="s">
        <v>615</v>
      </c>
      <c r="N313">
        <v>6936</v>
      </c>
      <c r="O313" t="s">
        <v>17</v>
      </c>
    </row>
    <row r="314" spans="1:15" hidden="1" x14ac:dyDescent="0.25">
      <c r="A314" t="s">
        <v>616</v>
      </c>
      <c r="B314" t="s">
        <v>617</v>
      </c>
      <c r="C314" t="e">
        <v>#NAME?</v>
      </c>
      <c r="D314" t="e">
        <v>#NAME?</v>
      </c>
      <c r="E314">
        <v>54259</v>
      </c>
      <c r="F314">
        <v>7</v>
      </c>
      <c r="G314">
        <v>6511</v>
      </c>
      <c r="H314" s="1">
        <v>46062</v>
      </c>
      <c r="I314" s="1">
        <v>46072</v>
      </c>
      <c r="J314" s="1">
        <v>46072</v>
      </c>
      <c r="K314" s="2">
        <v>0.45833333333333331</v>
      </c>
      <c r="M314" t="s">
        <v>618</v>
      </c>
      <c r="N314">
        <v>4879</v>
      </c>
      <c r="O314" t="s">
        <v>17</v>
      </c>
    </row>
    <row r="315" spans="1:15" hidden="1" x14ac:dyDescent="0.25">
      <c r="A315" t="s">
        <v>616</v>
      </c>
      <c r="B315" t="s">
        <v>619</v>
      </c>
      <c r="C315" t="e">
        <v>#NAME?</v>
      </c>
      <c r="D315" t="e">
        <v>#NAME?</v>
      </c>
      <c r="E315">
        <v>47588</v>
      </c>
      <c r="F315">
        <v>9</v>
      </c>
      <c r="G315">
        <v>8566</v>
      </c>
      <c r="H315" s="1">
        <v>46062</v>
      </c>
      <c r="I315" s="1">
        <v>46072</v>
      </c>
      <c r="J315" s="1">
        <v>46072</v>
      </c>
      <c r="K315" s="2">
        <v>0.45833333333333331</v>
      </c>
      <c r="M315" t="s">
        <v>620</v>
      </c>
      <c r="N315">
        <v>13406</v>
      </c>
      <c r="O315" t="s">
        <v>17</v>
      </c>
    </row>
    <row r="316" spans="1:15" hidden="1" x14ac:dyDescent="0.25">
      <c r="A316" t="s">
        <v>300</v>
      </c>
      <c r="B316" t="s">
        <v>621</v>
      </c>
      <c r="C316" t="e">
        <v>#NAME?</v>
      </c>
      <c r="D316" t="e">
        <v>#NAME?</v>
      </c>
      <c r="E316">
        <v>63598</v>
      </c>
      <c r="F316">
        <v>13</v>
      </c>
      <c r="G316">
        <v>12720</v>
      </c>
      <c r="H316" s="1">
        <v>46062</v>
      </c>
      <c r="I316" s="1">
        <v>46072</v>
      </c>
      <c r="J316" s="1">
        <v>46072</v>
      </c>
      <c r="K316" s="2">
        <v>0.45833333333333331</v>
      </c>
      <c r="M316" t="s">
        <v>622</v>
      </c>
      <c r="N316">
        <v>14880</v>
      </c>
      <c r="O316" t="s">
        <v>17</v>
      </c>
    </row>
    <row r="317" spans="1:15" hidden="1" x14ac:dyDescent="0.25">
      <c r="A317" t="s">
        <v>623</v>
      </c>
      <c r="B317" t="s">
        <v>624</v>
      </c>
      <c r="C317" t="e">
        <v>#NAME?</v>
      </c>
      <c r="D317" t="e">
        <v>#NAME?</v>
      </c>
      <c r="E317">
        <v>44096</v>
      </c>
      <c r="F317">
        <v>5</v>
      </c>
      <c r="G317">
        <v>5292</v>
      </c>
      <c r="H317" s="1">
        <v>46062</v>
      </c>
      <c r="I317" s="1">
        <v>46072</v>
      </c>
      <c r="J317" s="1">
        <v>46072</v>
      </c>
      <c r="K317" s="2">
        <v>0.45833333333333331</v>
      </c>
      <c r="M317" t="s">
        <v>618</v>
      </c>
      <c r="N317">
        <v>3965</v>
      </c>
      <c r="O317" t="s">
        <v>17</v>
      </c>
    </row>
    <row r="318" spans="1:15" hidden="1" x14ac:dyDescent="0.25">
      <c r="A318" t="s">
        <v>298</v>
      </c>
      <c r="B318" t="s">
        <v>625</v>
      </c>
      <c r="C318" t="e">
        <v>#NAME?</v>
      </c>
      <c r="D318" t="e">
        <v>#NAME?</v>
      </c>
      <c r="E318">
        <v>35585</v>
      </c>
      <c r="F318">
        <v>7</v>
      </c>
      <c r="G318">
        <v>7117</v>
      </c>
      <c r="H318" s="1">
        <v>46062</v>
      </c>
      <c r="I318" s="1">
        <v>46072</v>
      </c>
      <c r="J318" s="1">
        <v>46072</v>
      </c>
      <c r="K318" s="2">
        <v>0.45833333333333331</v>
      </c>
      <c r="M318" t="s">
        <v>622</v>
      </c>
      <c r="N318">
        <v>6191</v>
      </c>
      <c r="O318" t="s">
        <v>17</v>
      </c>
    </row>
    <row r="319" spans="1:15" hidden="1" x14ac:dyDescent="0.25">
      <c r="A319" t="s">
        <v>626</v>
      </c>
      <c r="B319" t="s">
        <v>627</v>
      </c>
      <c r="C319" t="e">
        <v>#NAME?</v>
      </c>
      <c r="D319" t="e">
        <v>#NAME?</v>
      </c>
      <c r="E319">
        <v>50175</v>
      </c>
      <c r="F319">
        <v>5</v>
      </c>
      <c r="G319">
        <v>5519</v>
      </c>
      <c r="H319" s="1">
        <v>46062</v>
      </c>
      <c r="I319" s="1">
        <v>46072</v>
      </c>
      <c r="J319" s="1">
        <v>46072</v>
      </c>
      <c r="K319" s="2">
        <v>0.45833333333333331</v>
      </c>
      <c r="M319" t="s">
        <v>622</v>
      </c>
      <c r="N319">
        <v>3609</v>
      </c>
      <c r="O319" t="s">
        <v>17</v>
      </c>
    </row>
    <row r="320" spans="1:15" hidden="1" x14ac:dyDescent="0.25">
      <c r="A320" t="s">
        <v>628</v>
      </c>
      <c r="B320" t="s">
        <v>629</v>
      </c>
      <c r="C320" t="e">
        <v>#NAME?</v>
      </c>
      <c r="D320" t="e">
        <v>#NAME?</v>
      </c>
      <c r="E320">
        <v>32925</v>
      </c>
      <c r="F320">
        <v>7</v>
      </c>
      <c r="G320">
        <v>5136</v>
      </c>
      <c r="H320" s="1">
        <v>46057</v>
      </c>
      <c r="I320" s="1">
        <v>46072</v>
      </c>
      <c r="J320" s="1">
        <v>46072</v>
      </c>
      <c r="K320" s="2">
        <v>0.54166666666666663</v>
      </c>
      <c r="L320" t="s">
        <v>31</v>
      </c>
      <c r="M320" t="s">
        <v>630</v>
      </c>
      <c r="N320">
        <v>4935</v>
      </c>
      <c r="O320" t="s">
        <v>17</v>
      </c>
    </row>
    <row r="321" spans="1:15" hidden="1" x14ac:dyDescent="0.25">
      <c r="A321" t="s">
        <v>628</v>
      </c>
      <c r="B321" t="s">
        <v>629</v>
      </c>
      <c r="C321" t="e">
        <v>#NAME?</v>
      </c>
      <c r="D321" t="e">
        <v>#NAME?</v>
      </c>
      <c r="E321">
        <v>100</v>
      </c>
      <c r="F321">
        <v>7</v>
      </c>
      <c r="G321">
        <v>16</v>
      </c>
      <c r="H321" s="1">
        <v>46057</v>
      </c>
      <c r="I321" s="1">
        <v>46072</v>
      </c>
      <c r="J321" s="1">
        <v>46077</v>
      </c>
      <c r="K321" s="2">
        <v>0.54166666666666663</v>
      </c>
      <c r="L321" t="s">
        <v>31</v>
      </c>
      <c r="N321">
        <v>16</v>
      </c>
      <c r="O321" t="s">
        <v>17</v>
      </c>
    </row>
    <row r="322" spans="1:15" hidden="1" x14ac:dyDescent="0.25">
      <c r="A322" t="s">
        <v>628</v>
      </c>
      <c r="B322" t="s">
        <v>631</v>
      </c>
      <c r="C322" t="e">
        <v>#NAME?</v>
      </c>
      <c r="D322" t="e">
        <v>#NAME?</v>
      </c>
      <c r="E322">
        <v>31780</v>
      </c>
      <c r="F322">
        <v>6</v>
      </c>
      <c r="G322">
        <v>4354</v>
      </c>
      <c r="H322" s="1">
        <v>46057</v>
      </c>
      <c r="I322" s="1">
        <v>46072</v>
      </c>
      <c r="J322" s="1">
        <v>46072</v>
      </c>
      <c r="K322" s="2">
        <v>0.54166666666666663</v>
      </c>
      <c r="M322" t="s">
        <v>630</v>
      </c>
      <c r="N322">
        <v>4460</v>
      </c>
      <c r="O322" t="s">
        <v>17</v>
      </c>
    </row>
    <row r="323" spans="1:15" hidden="1" x14ac:dyDescent="0.25">
      <c r="A323" t="s">
        <v>628</v>
      </c>
      <c r="B323" t="s">
        <v>631</v>
      </c>
      <c r="C323" t="e">
        <v>#NAME?</v>
      </c>
      <c r="D323" t="e">
        <v>#NAME?</v>
      </c>
      <c r="E323">
        <v>826</v>
      </c>
      <c r="F323">
        <v>6</v>
      </c>
      <c r="G323">
        <v>113</v>
      </c>
      <c r="H323" s="1">
        <v>46057</v>
      </c>
      <c r="I323" s="1">
        <v>46072</v>
      </c>
      <c r="J323" s="1">
        <v>46077</v>
      </c>
      <c r="K323" s="2">
        <v>0.54166666666666663</v>
      </c>
      <c r="N323">
        <v>113</v>
      </c>
      <c r="O323" t="s">
        <v>17</v>
      </c>
    </row>
    <row r="324" spans="1:15" hidden="1" x14ac:dyDescent="0.25">
      <c r="A324" t="s">
        <v>632</v>
      </c>
      <c r="B324" t="s">
        <v>633</v>
      </c>
      <c r="C324" t="e">
        <v>#NAME?</v>
      </c>
      <c r="D324" t="e">
        <v>#NAME?</v>
      </c>
      <c r="E324">
        <v>31030</v>
      </c>
      <c r="F324">
        <v>7</v>
      </c>
      <c r="G324">
        <v>6206</v>
      </c>
      <c r="H324" s="1">
        <v>46042</v>
      </c>
      <c r="I324" s="1">
        <v>46072</v>
      </c>
      <c r="J324" s="1">
        <v>46072</v>
      </c>
      <c r="K324" s="2">
        <v>0.375</v>
      </c>
      <c r="L324" t="s">
        <v>31</v>
      </c>
      <c r="M324" t="s">
        <v>605</v>
      </c>
      <c r="N324">
        <v>5430</v>
      </c>
      <c r="O324" t="s">
        <v>17</v>
      </c>
    </row>
    <row r="325" spans="1:15" hidden="1" x14ac:dyDescent="0.25">
      <c r="A325" t="s">
        <v>634</v>
      </c>
      <c r="B325" t="s">
        <v>635</v>
      </c>
      <c r="C325" t="e">
        <v>#NAME?</v>
      </c>
      <c r="D325" t="e">
        <v>#NAME?</v>
      </c>
      <c r="E325">
        <v>43558</v>
      </c>
      <c r="F325">
        <v>6</v>
      </c>
      <c r="G325">
        <v>4486</v>
      </c>
      <c r="H325" s="1">
        <v>46062</v>
      </c>
      <c r="I325" s="1">
        <v>46073</v>
      </c>
      <c r="J325" s="1">
        <v>46073</v>
      </c>
      <c r="K325" s="2">
        <v>0.39583333333333331</v>
      </c>
      <c r="M325" t="s">
        <v>636</v>
      </c>
      <c r="N325">
        <v>4535</v>
      </c>
      <c r="O325" t="s">
        <v>17</v>
      </c>
    </row>
    <row r="326" spans="1:15" hidden="1" x14ac:dyDescent="0.25">
      <c r="A326" t="s">
        <v>634</v>
      </c>
      <c r="B326" t="s">
        <v>637</v>
      </c>
      <c r="C326" t="e">
        <v>#NAME?</v>
      </c>
      <c r="D326" t="e">
        <v>#NAME?</v>
      </c>
      <c r="E326">
        <v>32104</v>
      </c>
      <c r="F326">
        <v>4</v>
      </c>
      <c r="G326">
        <v>3178</v>
      </c>
      <c r="H326" s="1">
        <v>46062</v>
      </c>
      <c r="I326" s="1">
        <v>46073</v>
      </c>
      <c r="J326" s="1">
        <v>46073</v>
      </c>
      <c r="K326" s="2">
        <v>0.39583333333333331</v>
      </c>
      <c r="M326" t="s">
        <v>636</v>
      </c>
      <c r="N326">
        <v>3054</v>
      </c>
      <c r="O326" t="s">
        <v>17</v>
      </c>
    </row>
    <row r="327" spans="1:15" hidden="1" x14ac:dyDescent="0.25">
      <c r="A327" t="s">
        <v>638</v>
      </c>
      <c r="B327" t="s">
        <v>639</v>
      </c>
      <c r="C327" t="e">
        <v>#NAME?</v>
      </c>
      <c r="D327" t="e">
        <v>#NAME?</v>
      </c>
      <c r="E327">
        <v>31832</v>
      </c>
      <c r="F327">
        <v>4</v>
      </c>
      <c r="G327">
        <v>2674</v>
      </c>
      <c r="H327" s="1">
        <v>46064</v>
      </c>
      <c r="I327" s="1">
        <v>46073</v>
      </c>
      <c r="J327" s="1">
        <v>46073</v>
      </c>
      <c r="K327" s="2">
        <v>0.45833333333333331</v>
      </c>
      <c r="M327" t="s">
        <v>636</v>
      </c>
      <c r="N327">
        <v>2945</v>
      </c>
      <c r="O327" t="s">
        <v>17</v>
      </c>
    </row>
    <row r="328" spans="1:15" hidden="1" x14ac:dyDescent="0.25">
      <c r="A328" t="s">
        <v>638</v>
      </c>
      <c r="B328" t="s">
        <v>640</v>
      </c>
      <c r="C328" t="e">
        <v>#NAME?</v>
      </c>
      <c r="D328" t="e">
        <v>#NAME?</v>
      </c>
      <c r="E328">
        <v>33358</v>
      </c>
      <c r="F328">
        <v>4</v>
      </c>
      <c r="G328">
        <v>2802</v>
      </c>
      <c r="H328" s="1">
        <v>46064</v>
      </c>
      <c r="I328" s="1">
        <v>46073</v>
      </c>
      <c r="J328" s="1">
        <v>46073</v>
      </c>
      <c r="K328" s="2">
        <v>0.45833333333333331</v>
      </c>
      <c r="M328" t="s">
        <v>636</v>
      </c>
      <c r="N328">
        <v>2840</v>
      </c>
      <c r="O328" t="s">
        <v>17</v>
      </c>
    </row>
    <row r="329" spans="1:15" hidden="1" x14ac:dyDescent="0.25">
      <c r="A329" t="s">
        <v>641</v>
      </c>
      <c r="B329" t="s">
        <v>642</v>
      </c>
      <c r="C329" t="e">
        <v>#NAME?</v>
      </c>
      <c r="D329" t="e">
        <v>#NAME?</v>
      </c>
      <c r="E329">
        <v>33312</v>
      </c>
      <c r="F329">
        <v>4</v>
      </c>
      <c r="G329">
        <v>2798</v>
      </c>
      <c r="H329" s="1">
        <v>46064</v>
      </c>
      <c r="I329" s="1">
        <v>46073</v>
      </c>
      <c r="J329" s="1">
        <v>46073</v>
      </c>
      <c r="K329" s="2">
        <v>0.45833333333333331</v>
      </c>
      <c r="M329" t="s">
        <v>636</v>
      </c>
      <c r="N329">
        <v>2840</v>
      </c>
      <c r="O329" t="s">
        <v>17</v>
      </c>
    </row>
    <row r="330" spans="1:15" hidden="1" x14ac:dyDescent="0.25">
      <c r="A330" t="s">
        <v>641</v>
      </c>
      <c r="B330" t="s">
        <v>643</v>
      </c>
      <c r="C330" t="e">
        <v>#NAME?</v>
      </c>
      <c r="D330" t="e">
        <v>#NAME?</v>
      </c>
      <c r="E330">
        <v>56778</v>
      </c>
      <c r="F330">
        <v>7</v>
      </c>
      <c r="G330">
        <v>4769</v>
      </c>
      <c r="H330" s="1">
        <v>46064</v>
      </c>
      <c r="I330" s="1">
        <v>46073</v>
      </c>
      <c r="J330" s="1">
        <v>46073</v>
      </c>
      <c r="K330" s="2">
        <v>0.45833333333333331</v>
      </c>
      <c r="M330" t="s">
        <v>636</v>
      </c>
      <c r="N330">
        <v>4833</v>
      </c>
      <c r="O330" t="s">
        <v>17</v>
      </c>
    </row>
    <row r="331" spans="1:15" hidden="1" x14ac:dyDescent="0.25">
      <c r="A331" t="s">
        <v>644</v>
      </c>
      <c r="B331" t="s">
        <v>645</v>
      </c>
      <c r="C331" t="e">
        <v>#NAME?</v>
      </c>
      <c r="D331" t="e">
        <v>#NAME?</v>
      </c>
      <c r="E331">
        <v>36841</v>
      </c>
      <c r="F331">
        <v>8</v>
      </c>
      <c r="G331">
        <v>4237</v>
      </c>
      <c r="H331" s="1">
        <v>46064</v>
      </c>
      <c r="I331" s="1">
        <v>46073</v>
      </c>
      <c r="J331" s="1">
        <v>46073</v>
      </c>
      <c r="K331" s="2">
        <v>0.47916666666666669</v>
      </c>
      <c r="M331" t="s">
        <v>646</v>
      </c>
      <c r="N331">
        <v>7799</v>
      </c>
      <c r="O331" t="s">
        <v>17</v>
      </c>
    </row>
    <row r="332" spans="1:15" hidden="1" x14ac:dyDescent="0.25">
      <c r="A332" t="s">
        <v>644</v>
      </c>
      <c r="B332" t="s">
        <v>647</v>
      </c>
      <c r="C332" t="e">
        <v>#NAME?</v>
      </c>
      <c r="D332" t="e">
        <v>#NAME?</v>
      </c>
      <c r="E332">
        <v>23957</v>
      </c>
      <c r="F332">
        <v>6</v>
      </c>
      <c r="G332">
        <v>3162</v>
      </c>
      <c r="H332" s="1">
        <v>46064</v>
      </c>
      <c r="I332" s="1">
        <v>46073</v>
      </c>
      <c r="J332" s="1">
        <v>46073</v>
      </c>
      <c r="K332" s="2">
        <v>0.47916666666666669</v>
      </c>
      <c r="M332" t="s">
        <v>648</v>
      </c>
      <c r="N332">
        <v>5607</v>
      </c>
      <c r="O332" t="s">
        <v>17</v>
      </c>
    </row>
    <row r="333" spans="1:15" hidden="1" x14ac:dyDescent="0.25">
      <c r="A333" t="s">
        <v>649</v>
      </c>
      <c r="B333" t="s">
        <v>650</v>
      </c>
      <c r="C333" t="e">
        <v>#NAME?</v>
      </c>
      <c r="D333" t="e">
        <v>#NAME?</v>
      </c>
      <c r="E333">
        <v>36856</v>
      </c>
      <c r="F333">
        <v>8</v>
      </c>
      <c r="G333">
        <v>2101</v>
      </c>
      <c r="H333" s="1">
        <v>46064</v>
      </c>
      <c r="I333" s="1">
        <v>46073</v>
      </c>
      <c r="J333" s="1">
        <v>46073</v>
      </c>
      <c r="K333" s="2">
        <v>0.47916666666666669</v>
      </c>
      <c r="M333" t="s">
        <v>648</v>
      </c>
      <c r="N333">
        <v>3321</v>
      </c>
      <c r="O333" t="s">
        <v>17</v>
      </c>
    </row>
    <row r="334" spans="1:15" hidden="1" x14ac:dyDescent="0.25">
      <c r="A334" t="s">
        <v>649</v>
      </c>
      <c r="B334" t="s">
        <v>651</v>
      </c>
      <c r="C334" t="e">
        <v>#NAME?</v>
      </c>
      <c r="D334" t="e">
        <v>#NAME?</v>
      </c>
      <c r="E334">
        <v>24412</v>
      </c>
      <c r="F334">
        <v>6</v>
      </c>
      <c r="G334">
        <v>2319</v>
      </c>
      <c r="H334" s="1">
        <v>46064</v>
      </c>
      <c r="I334" s="1">
        <v>46073</v>
      </c>
      <c r="J334" s="1">
        <v>46073</v>
      </c>
      <c r="K334" s="2">
        <v>0.47916666666666669</v>
      </c>
      <c r="M334" t="s">
        <v>648</v>
      </c>
      <c r="N334">
        <v>5645</v>
      </c>
      <c r="O334" t="s">
        <v>17</v>
      </c>
    </row>
    <row r="335" spans="1:15" hidden="1" x14ac:dyDescent="0.25">
      <c r="A335" t="s">
        <v>652</v>
      </c>
      <c r="B335" t="s">
        <v>653</v>
      </c>
      <c r="C335" t="e">
        <v>#NAME?</v>
      </c>
      <c r="D335" t="e">
        <v>#NAME?</v>
      </c>
      <c r="E335">
        <v>45058</v>
      </c>
      <c r="F335">
        <v>10</v>
      </c>
      <c r="G335">
        <v>5542</v>
      </c>
      <c r="H335" s="1">
        <v>46064</v>
      </c>
      <c r="I335" s="1">
        <v>46073</v>
      </c>
      <c r="J335" s="1">
        <v>46073</v>
      </c>
      <c r="K335" s="2">
        <v>0.47916666666666669</v>
      </c>
      <c r="M335" t="s">
        <v>654</v>
      </c>
      <c r="N335">
        <v>9648</v>
      </c>
      <c r="O335" t="s">
        <v>17</v>
      </c>
    </row>
    <row r="336" spans="1:15" hidden="1" x14ac:dyDescent="0.25">
      <c r="A336" t="s">
        <v>655</v>
      </c>
      <c r="B336" t="s">
        <v>656</v>
      </c>
      <c r="C336" t="e">
        <v>#NAME?</v>
      </c>
      <c r="D336" t="e">
        <v>#NAME?</v>
      </c>
      <c r="E336">
        <v>38914</v>
      </c>
      <c r="F336">
        <v>8</v>
      </c>
      <c r="G336">
        <v>2218</v>
      </c>
      <c r="H336" s="1">
        <v>46064</v>
      </c>
      <c r="I336" s="1">
        <v>46073</v>
      </c>
      <c r="J336" s="1">
        <v>46073</v>
      </c>
      <c r="K336" s="2">
        <v>0.47916666666666669</v>
      </c>
      <c r="M336" t="s">
        <v>654</v>
      </c>
      <c r="N336">
        <v>2480</v>
      </c>
      <c r="O336" t="s">
        <v>17</v>
      </c>
    </row>
    <row r="337" spans="1:15" hidden="1" x14ac:dyDescent="0.25">
      <c r="A337" t="s">
        <v>655</v>
      </c>
      <c r="B337" t="s">
        <v>657</v>
      </c>
      <c r="C337" t="e">
        <v>#NAME?</v>
      </c>
      <c r="D337" t="e">
        <v>#NAME?</v>
      </c>
      <c r="E337">
        <v>37428</v>
      </c>
      <c r="F337">
        <v>8</v>
      </c>
      <c r="G337">
        <v>2133</v>
      </c>
      <c r="H337" s="1">
        <v>46064</v>
      </c>
      <c r="I337" s="1">
        <v>46073</v>
      </c>
      <c r="J337" s="1">
        <v>46073</v>
      </c>
      <c r="K337" s="2">
        <v>0.47916666666666669</v>
      </c>
      <c r="M337" t="s">
        <v>654</v>
      </c>
      <c r="N337">
        <v>3308</v>
      </c>
      <c r="O337" t="s">
        <v>17</v>
      </c>
    </row>
    <row r="338" spans="1:15" hidden="1" x14ac:dyDescent="0.25">
      <c r="A338" t="s">
        <v>658</v>
      </c>
      <c r="B338" t="s">
        <v>659</v>
      </c>
      <c r="C338" t="e">
        <v>#NAME?</v>
      </c>
      <c r="D338" t="e">
        <v>#NAME?</v>
      </c>
      <c r="E338">
        <v>37726</v>
      </c>
      <c r="F338">
        <v>8</v>
      </c>
      <c r="G338">
        <v>1358</v>
      </c>
      <c r="H338" s="1">
        <v>46064</v>
      </c>
      <c r="I338" s="1">
        <v>46073</v>
      </c>
      <c r="J338" s="1">
        <v>46073</v>
      </c>
      <c r="K338" s="2">
        <v>0.47916666666666669</v>
      </c>
      <c r="M338" t="s">
        <v>654</v>
      </c>
      <c r="N338">
        <v>2064</v>
      </c>
      <c r="O338" t="s">
        <v>17</v>
      </c>
    </row>
    <row r="339" spans="1:15" hidden="1" x14ac:dyDescent="0.25">
      <c r="A339" t="s">
        <v>658</v>
      </c>
      <c r="B339" t="s">
        <v>660</v>
      </c>
      <c r="C339" t="e">
        <v>#NAME?</v>
      </c>
      <c r="D339" t="e">
        <v>#NAME?</v>
      </c>
      <c r="E339">
        <v>27974</v>
      </c>
      <c r="F339">
        <v>6</v>
      </c>
      <c r="G339">
        <v>2658</v>
      </c>
      <c r="H339" s="1">
        <v>46064</v>
      </c>
      <c r="I339" s="1">
        <v>46073</v>
      </c>
      <c r="J339" s="1">
        <v>46073</v>
      </c>
      <c r="K339" s="2">
        <v>0.47916666666666669</v>
      </c>
      <c r="M339" t="s">
        <v>654</v>
      </c>
      <c r="N339">
        <v>6025</v>
      </c>
      <c r="O339" t="s">
        <v>17</v>
      </c>
    </row>
    <row r="340" spans="1:15" hidden="1" x14ac:dyDescent="0.25">
      <c r="A340" t="s">
        <v>661</v>
      </c>
      <c r="B340" t="s">
        <v>662</v>
      </c>
      <c r="C340" t="e">
        <v>#NAME?</v>
      </c>
      <c r="D340" t="e">
        <v>#NAME?</v>
      </c>
      <c r="E340">
        <v>50588</v>
      </c>
      <c r="F340">
        <v>10</v>
      </c>
      <c r="G340">
        <v>8701</v>
      </c>
      <c r="H340" s="1">
        <v>46064</v>
      </c>
      <c r="I340" s="1">
        <v>46073</v>
      </c>
      <c r="J340" s="1">
        <v>46073</v>
      </c>
      <c r="K340" s="2">
        <v>0.54166666666666663</v>
      </c>
      <c r="M340" t="s">
        <v>663</v>
      </c>
      <c r="N340">
        <v>6682</v>
      </c>
      <c r="O340" t="s">
        <v>17</v>
      </c>
    </row>
    <row r="341" spans="1:15" hidden="1" x14ac:dyDescent="0.25">
      <c r="A341" t="s">
        <v>664</v>
      </c>
      <c r="B341" t="s">
        <v>665</v>
      </c>
      <c r="C341" t="e">
        <v>#NAME?</v>
      </c>
      <c r="D341" t="e">
        <v>#NAME?</v>
      </c>
      <c r="E341">
        <v>29327</v>
      </c>
      <c r="F341">
        <v>6</v>
      </c>
      <c r="G341">
        <v>6159</v>
      </c>
      <c r="H341" s="1">
        <v>46064</v>
      </c>
      <c r="I341" s="1">
        <v>46073</v>
      </c>
      <c r="J341" s="1">
        <v>46073</v>
      </c>
      <c r="K341" s="2">
        <v>0.5625</v>
      </c>
      <c r="M341" t="s">
        <v>666</v>
      </c>
      <c r="N341">
        <v>4766</v>
      </c>
      <c r="O341" t="s">
        <v>17</v>
      </c>
    </row>
    <row r="342" spans="1:15" hidden="1" x14ac:dyDescent="0.25">
      <c r="A342" t="s">
        <v>667</v>
      </c>
      <c r="B342" t="s">
        <v>668</v>
      </c>
      <c r="C342" t="e">
        <v>#NAME?</v>
      </c>
      <c r="D342" t="e">
        <v>#NAME?</v>
      </c>
      <c r="E342">
        <v>34882</v>
      </c>
      <c r="F342">
        <v>6</v>
      </c>
      <c r="G342">
        <v>4011</v>
      </c>
      <c r="H342" s="1">
        <v>46064</v>
      </c>
      <c r="I342" s="1">
        <v>46073</v>
      </c>
      <c r="J342" s="1">
        <v>46073</v>
      </c>
      <c r="K342" s="2">
        <v>0.60416666666666663</v>
      </c>
      <c r="M342" t="s">
        <v>669</v>
      </c>
      <c r="N342">
        <v>4888</v>
      </c>
      <c r="O342" t="s">
        <v>17</v>
      </c>
    </row>
    <row r="343" spans="1:15" hidden="1" x14ac:dyDescent="0.25">
      <c r="A343" t="s">
        <v>670</v>
      </c>
      <c r="B343" t="s">
        <v>671</v>
      </c>
      <c r="C343" t="e">
        <v>#NAME?</v>
      </c>
      <c r="D343" t="e">
        <v>#NAME?</v>
      </c>
      <c r="E343">
        <v>33327</v>
      </c>
      <c r="F343">
        <v>6</v>
      </c>
      <c r="G343">
        <v>4766</v>
      </c>
      <c r="H343" s="1">
        <v>46064</v>
      </c>
      <c r="I343" s="1">
        <v>46073</v>
      </c>
      <c r="J343" s="1">
        <v>46073</v>
      </c>
      <c r="K343" s="2">
        <v>0.60416666666666663</v>
      </c>
      <c r="M343" t="s">
        <v>669</v>
      </c>
      <c r="N343">
        <v>4625</v>
      </c>
      <c r="O343" t="s">
        <v>17</v>
      </c>
    </row>
    <row r="344" spans="1:15" hidden="1" x14ac:dyDescent="0.25">
      <c r="A344" t="s">
        <v>195</v>
      </c>
      <c r="B344" t="s">
        <v>672</v>
      </c>
      <c r="C344" t="e">
        <v>#NAME?</v>
      </c>
      <c r="D344" t="e">
        <v>#NAME?</v>
      </c>
      <c r="E344">
        <v>26989</v>
      </c>
      <c r="F344">
        <v>5</v>
      </c>
      <c r="G344">
        <v>3104</v>
      </c>
      <c r="H344" s="1">
        <v>46064</v>
      </c>
      <c r="I344" s="1">
        <v>46073</v>
      </c>
      <c r="J344" s="1">
        <v>46073</v>
      </c>
      <c r="K344" s="2">
        <v>0.60416666666666663</v>
      </c>
      <c r="M344" t="s">
        <v>669</v>
      </c>
      <c r="N344">
        <v>3620</v>
      </c>
      <c r="O344" t="s">
        <v>17</v>
      </c>
    </row>
    <row r="345" spans="1:15" hidden="1" x14ac:dyDescent="0.25">
      <c r="A345" t="s">
        <v>673</v>
      </c>
      <c r="B345" t="s">
        <v>674</v>
      </c>
      <c r="C345" t="e">
        <v>#NAME?</v>
      </c>
      <c r="D345" t="e">
        <v>#NAME?</v>
      </c>
      <c r="E345">
        <v>33264</v>
      </c>
      <c r="F345">
        <v>5</v>
      </c>
      <c r="G345">
        <v>4524</v>
      </c>
      <c r="H345" s="1">
        <v>46064</v>
      </c>
      <c r="I345" s="1">
        <v>46073</v>
      </c>
      <c r="J345" s="1">
        <v>46073</v>
      </c>
      <c r="K345" s="2">
        <v>0.60416666666666663</v>
      </c>
      <c r="M345" t="s">
        <v>669</v>
      </c>
      <c r="N345">
        <v>3664</v>
      </c>
      <c r="O345" t="s">
        <v>17</v>
      </c>
    </row>
    <row r="346" spans="1:15" hidden="1" x14ac:dyDescent="0.25">
      <c r="A346" t="s">
        <v>375</v>
      </c>
      <c r="B346" t="s">
        <v>675</v>
      </c>
      <c r="C346" t="e">
        <v>#NAME?</v>
      </c>
      <c r="D346" t="e">
        <v>#NAME?</v>
      </c>
      <c r="E346">
        <v>29712</v>
      </c>
      <c r="F346">
        <v>6</v>
      </c>
      <c r="G346">
        <v>4308</v>
      </c>
      <c r="H346" s="1">
        <v>46064</v>
      </c>
      <c r="I346" s="1">
        <v>46073</v>
      </c>
      <c r="J346" s="1">
        <v>46073</v>
      </c>
      <c r="K346" s="2">
        <v>0.60416666666666663</v>
      </c>
      <c r="M346" t="s">
        <v>669</v>
      </c>
      <c r="N346">
        <v>4163</v>
      </c>
      <c r="O346" t="s">
        <v>17</v>
      </c>
    </row>
    <row r="347" spans="1:15" hidden="1" x14ac:dyDescent="0.25">
      <c r="A347" t="s">
        <v>676</v>
      </c>
      <c r="B347" t="s">
        <v>677</v>
      </c>
      <c r="C347" t="e">
        <v>#NAME?</v>
      </c>
      <c r="D347" t="e">
        <v>#NAME?</v>
      </c>
      <c r="E347">
        <v>30361</v>
      </c>
      <c r="F347">
        <v>4</v>
      </c>
      <c r="G347">
        <v>2915</v>
      </c>
      <c r="H347" s="1">
        <v>46063</v>
      </c>
      <c r="I347" s="1">
        <v>46073</v>
      </c>
      <c r="J347" s="1">
        <v>46073</v>
      </c>
      <c r="K347" s="2">
        <v>0.64583333333333337</v>
      </c>
      <c r="M347" t="s">
        <v>663</v>
      </c>
      <c r="N347">
        <v>2938</v>
      </c>
      <c r="O347" t="s">
        <v>17</v>
      </c>
    </row>
    <row r="348" spans="1:15" hidden="1" x14ac:dyDescent="0.25">
      <c r="A348" t="s">
        <v>678</v>
      </c>
      <c r="B348" t="s">
        <v>679</v>
      </c>
      <c r="C348" t="e">
        <v>#NAME?</v>
      </c>
      <c r="D348" t="e">
        <v>#NAME?</v>
      </c>
      <c r="E348">
        <v>52692</v>
      </c>
      <c r="F348">
        <v>8</v>
      </c>
      <c r="G348">
        <v>7535</v>
      </c>
      <c r="H348" s="1">
        <v>46063</v>
      </c>
      <c r="I348" s="1">
        <v>46073</v>
      </c>
      <c r="J348" s="1">
        <v>46073</v>
      </c>
      <c r="K348" s="2">
        <v>0.64583333333333337</v>
      </c>
      <c r="M348" t="s">
        <v>663</v>
      </c>
      <c r="N348">
        <v>7265</v>
      </c>
      <c r="O348" t="s">
        <v>17</v>
      </c>
    </row>
    <row r="349" spans="1:15" hidden="1" x14ac:dyDescent="0.25">
      <c r="A349" t="s">
        <v>680</v>
      </c>
      <c r="B349" t="s">
        <v>681</v>
      </c>
      <c r="C349" t="e">
        <v>#NAME?</v>
      </c>
      <c r="D349" t="e">
        <v>#NAME?</v>
      </c>
      <c r="E349">
        <v>40615</v>
      </c>
      <c r="F349">
        <v>6</v>
      </c>
      <c r="G349">
        <v>5442</v>
      </c>
      <c r="H349" s="1">
        <v>46063</v>
      </c>
      <c r="I349" s="1">
        <v>46073</v>
      </c>
      <c r="J349" s="1">
        <v>46073</v>
      </c>
      <c r="K349" s="2">
        <v>0.64583333333333337</v>
      </c>
      <c r="M349" t="s">
        <v>663</v>
      </c>
      <c r="N349">
        <v>5278</v>
      </c>
      <c r="O349" t="s">
        <v>17</v>
      </c>
    </row>
    <row r="350" spans="1:15" x14ac:dyDescent="0.25">
      <c r="A350" t="s">
        <v>682</v>
      </c>
      <c r="B350" t="s">
        <v>683</v>
      </c>
      <c r="C350" t="e">
        <v>#NAME?</v>
      </c>
      <c r="D350" t="e">
        <v>#NAME?</v>
      </c>
      <c r="E350">
        <v>33692</v>
      </c>
      <c r="F350" s="48">
        <v>6</v>
      </c>
      <c r="G350">
        <v>2898</v>
      </c>
      <c r="H350" s="1">
        <v>46063</v>
      </c>
      <c r="I350" s="1">
        <v>46073</v>
      </c>
      <c r="J350" s="1">
        <v>46073</v>
      </c>
      <c r="K350" s="2">
        <v>0.64583333333333337</v>
      </c>
      <c r="N350" t="s">
        <v>684</v>
      </c>
      <c r="O350" t="s">
        <v>17</v>
      </c>
    </row>
    <row r="351" spans="1:15" hidden="1" x14ac:dyDescent="0.25">
      <c r="A351" t="s">
        <v>685</v>
      </c>
      <c r="B351" t="s">
        <v>686</v>
      </c>
      <c r="C351" t="e">
        <v>#NAME?</v>
      </c>
      <c r="D351" t="e">
        <v>#NAME?</v>
      </c>
      <c r="E351">
        <v>38559</v>
      </c>
      <c r="F351">
        <v>5</v>
      </c>
      <c r="G351">
        <v>5013</v>
      </c>
      <c r="H351" s="1">
        <v>46065</v>
      </c>
      <c r="I351" s="1">
        <v>46076</v>
      </c>
      <c r="J351" s="1">
        <v>46076</v>
      </c>
      <c r="K351" s="2">
        <v>0.375</v>
      </c>
      <c r="M351" t="s">
        <v>687</v>
      </c>
      <c r="N351">
        <v>5135</v>
      </c>
      <c r="O351" t="s">
        <v>17</v>
      </c>
    </row>
    <row r="352" spans="1:15" hidden="1" x14ac:dyDescent="0.25">
      <c r="A352" t="s">
        <v>685</v>
      </c>
      <c r="B352" t="s">
        <v>688</v>
      </c>
      <c r="C352" t="e">
        <v>#NAME?</v>
      </c>
      <c r="D352" t="e">
        <v>#NAME?</v>
      </c>
      <c r="E352">
        <v>45315</v>
      </c>
      <c r="F352">
        <v>8</v>
      </c>
      <c r="G352">
        <v>5891</v>
      </c>
      <c r="H352" s="1">
        <v>46065</v>
      </c>
      <c r="I352" s="1">
        <v>46076</v>
      </c>
      <c r="J352" s="1">
        <v>46076</v>
      </c>
      <c r="K352" s="2">
        <v>0.375</v>
      </c>
      <c r="M352" t="s">
        <v>687</v>
      </c>
      <c r="N352">
        <v>6084</v>
      </c>
      <c r="O352" t="s">
        <v>17</v>
      </c>
    </row>
    <row r="353" spans="1:15" hidden="1" x14ac:dyDescent="0.25">
      <c r="A353" t="s">
        <v>689</v>
      </c>
      <c r="B353" t="s">
        <v>690</v>
      </c>
      <c r="C353" t="e">
        <v>#NAME?</v>
      </c>
      <c r="D353" t="e">
        <v>#NAME?</v>
      </c>
      <c r="E353">
        <v>45563</v>
      </c>
      <c r="F353">
        <v>7</v>
      </c>
      <c r="G353">
        <v>5695</v>
      </c>
      <c r="H353" s="1">
        <v>46065</v>
      </c>
      <c r="I353" s="1">
        <v>46076</v>
      </c>
      <c r="J353" s="1">
        <v>46076</v>
      </c>
      <c r="K353" s="2">
        <v>0.375</v>
      </c>
      <c r="M353" t="s">
        <v>687</v>
      </c>
      <c r="N353">
        <v>5682</v>
      </c>
      <c r="O353" t="s">
        <v>17</v>
      </c>
    </row>
    <row r="354" spans="1:15" hidden="1" x14ac:dyDescent="0.25">
      <c r="A354" t="s">
        <v>691</v>
      </c>
      <c r="B354" t="s">
        <v>692</v>
      </c>
      <c r="C354" t="e">
        <v>#NAME?</v>
      </c>
      <c r="D354" t="e">
        <v>#NAME?</v>
      </c>
      <c r="E354">
        <v>43748</v>
      </c>
      <c r="F354">
        <v>4</v>
      </c>
      <c r="G354">
        <v>3719</v>
      </c>
      <c r="H354" s="1">
        <v>46065</v>
      </c>
      <c r="I354" s="1">
        <v>46076</v>
      </c>
      <c r="J354" s="1">
        <v>46076</v>
      </c>
      <c r="K354" s="2">
        <v>0.39583333333333331</v>
      </c>
      <c r="M354" t="s">
        <v>693</v>
      </c>
      <c r="N354">
        <v>4177</v>
      </c>
      <c r="O354" t="s">
        <v>17</v>
      </c>
    </row>
    <row r="355" spans="1:15" hidden="1" x14ac:dyDescent="0.25">
      <c r="A355" t="s">
        <v>694</v>
      </c>
      <c r="B355" t="s">
        <v>695</v>
      </c>
      <c r="C355" t="e">
        <v>#NAME?</v>
      </c>
      <c r="D355" t="e">
        <v>#NAME?</v>
      </c>
      <c r="E355">
        <v>38891</v>
      </c>
      <c r="F355">
        <v>5</v>
      </c>
      <c r="G355">
        <v>3306</v>
      </c>
      <c r="H355" s="1">
        <v>46065</v>
      </c>
      <c r="I355" s="1">
        <v>46076</v>
      </c>
      <c r="J355" s="1">
        <v>46076</v>
      </c>
      <c r="K355" s="2">
        <v>0.39583333333333331</v>
      </c>
      <c r="M355" t="s">
        <v>696</v>
      </c>
      <c r="N355">
        <v>3305</v>
      </c>
      <c r="O355" t="s">
        <v>17</v>
      </c>
    </row>
    <row r="356" spans="1:15" hidden="1" x14ac:dyDescent="0.25">
      <c r="A356" t="s">
        <v>697</v>
      </c>
      <c r="B356" t="s">
        <v>698</v>
      </c>
      <c r="C356" t="e">
        <v>#NAME?</v>
      </c>
      <c r="D356" t="e">
        <v>#NAME?</v>
      </c>
      <c r="E356">
        <v>33143</v>
      </c>
      <c r="F356">
        <v>4</v>
      </c>
      <c r="G356">
        <v>3314</v>
      </c>
      <c r="H356" s="1">
        <v>46065</v>
      </c>
      <c r="I356" s="1">
        <v>46076</v>
      </c>
      <c r="J356" s="1">
        <v>46076</v>
      </c>
      <c r="K356" s="2">
        <v>0.39583333333333331</v>
      </c>
      <c r="M356" t="s">
        <v>296</v>
      </c>
      <c r="N356">
        <v>3314</v>
      </c>
      <c r="O356" t="s">
        <v>17</v>
      </c>
    </row>
    <row r="357" spans="1:15" hidden="1" x14ac:dyDescent="0.25">
      <c r="A357" t="s">
        <v>699</v>
      </c>
      <c r="B357" t="s">
        <v>700</v>
      </c>
      <c r="C357" t="e">
        <v>#NAME?</v>
      </c>
      <c r="D357" t="e">
        <v>#NAME?</v>
      </c>
      <c r="E357">
        <v>32464</v>
      </c>
      <c r="F357">
        <v>7</v>
      </c>
      <c r="G357">
        <v>5649</v>
      </c>
      <c r="H357" s="1">
        <v>46065</v>
      </c>
      <c r="I357" s="1">
        <v>46076</v>
      </c>
      <c r="J357" s="1">
        <v>46076</v>
      </c>
      <c r="K357" s="2">
        <v>0.39583333333333331</v>
      </c>
      <c r="M357" t="s">
        <v>701</v>
      </c>
      <c r="N357">
        <v>5648</v>
      </c>
      <c r="O357" t="s">
        <v>17</v>
      </c>
    </row>
    <row r="358" spans="1:15" hidden="1" x14ac:dyDescent="0.25">
      <c r="A358" t="s">
        <v>702</v>
      </c>
      <c r="B358" t="s">
        <v>703</v>
      </c>
      <c r="C358" t="e">
        <v>#NAME?</v>
      </c>
      <c r="D358" t="e">
        <v>#NAME?</v>
      </c>
      <c r="E358">
        <v>30318</v>
      </c>
      <c r="F358">
        <v>5</v>
      </c>
      <c r="G358">
        <v>4214</v>
      </c>
      <c r="H358" s="1">
        <v>46065</v>
      </c>
      <c r="I358" s="1">
        <v>46076</v>
      </c>
      <c r="J358" s="1">
        <v>46076</v>
      </c>
      <c r="K358" s="2">
        <v>0.41666666666666669</v>
      </c>
      <c r="M358" t="s">
        <v>704</v>
      </c>
      <c r="N358">
        <v>3340</v>
      </c>
      <c r="O358" t="s">
        <v>17</v>
      </c>
    </row>
    <row r="359" spans="1:15" hidden="1" x14ac:dyDescent="0.25">
      <c r="A359" t="s">
        <v>705</v>
      </c>
      <c r="B359" t="s">
        <v>706</v>
      </c>
      <c r="C359" t="e">
        <v>#NAME?</v>
      </c>
      <c r="D359" t="e">
        <v>#NAME?</v>
      </c>
      <c r="E359">
        <v>33234</v>
      </c>
      <c r="F359">
        <v>6</v>
      </c>
      <c r="G359">
        <v>4752</v>
      </c>
      <c r="H359" s="1">
        <v>46065</v>
      </c>
      <c r="I359" s="1">
        <v>46076</v>
      </c>
      <c r="J359" s="1">
        <v>46076</v>
      </c>
      <c r="K359" s="2">
        <v>0.41666666666666669</v>
      </c>
      <c r="M359" t="s">
        <v>704</v>
      </c>
      <c r="N359">
        <v>4591</v>
      </c>
      <c r="O359" t="s">
        <v>17</v>
      </c>
    </row>
    <row r="360" spans="1:15" hidden="1" x14ac:dyDescent="0.25">
      <c r="A360" t="s">
        <v>670</v>
      </c>
      <c r="B360" t="s">
        <v>707</v>
      </c>
      <c r="C360" t="e">
        <v>#NAME?</v>
      </c>
      <c r="D360" t="e">
        <v>#NAME?</v>
      </c>
      <c r="E360">
        <v>33070</v>
      </c>
      <c r="F360">
        <v>6</v>
      </c>
      <c r="G360">
        <v>4729</v>
      </c>
      <c r="H360" s="1">
        <v>46065</v>
      </c>
      <c r="I360" s="1">
        <v>46076</v>
      </c>
      <c r="J360" s="1">
        <v>46076</v>
      </c>
      <c r="K360" s="2">
        <v>0.41666666666666669</v>
      </c>
      <c r="M360" t="s">
        <v>133</v>
      </c>
      <c r="N360">
        <v>4633</v>
      </c>
      <c r="O360" t="s">
        <v>17</v>
      </c>
    </row>
    <row r="361" spans="1:15" hidden="1" x14ac:dyDescent="0.25">
      <c r="A361" t="s">
        <v>708</v>
      </c>
      <c r="B361" t="s">
        <v>709</v>
      </c>
      <c r="C361" t="e">
        <v>#NAME?</v>
      </c>
      <c r="D361" t="e">
        <v>#NAME?</v>
      </c>
      <c r="E361">
        <v>30259</v>
      </c>
      <c r="F361">
        <v>5</v>
      </c>
      <c r="G361">
        <v>4236</v>
      </c>
      <c r="H361" s="1">
        <v>46065</v>
      </c>
      <c r="I361" s="1">
        <v>46076</v>
      </c>
      <c r="J361" s="1">
        <v>46076</v>
      </c>
      <c r="K361" s="2">
        <v>0.41666666666666669</v>
      </c>
      <c r="M361" t="s">
        <v>704</v>
      </c>
      <c r="N361">
        <v>4240</v>
      </c>
      <c r="O361" t="s">
        <v>17</v>
      </c>
    </row>
    <row r="362" spans="1:15" hidden="1" x14ac:dyDescent="0.25">
      <c r="A362" t="s">
        <v>705</v>
      </c>
      <c r="B362" t="s">
        <v>710</v>
      </c>
      <c r="C362" t="e">
        <v>#NAME?</v>
      </c>
      <c r="D362" t="e">
        <v>#NAME?</v>
      </c>
      <c r="E362">
        <v>30364</v>
      </c>
      <c r="F362">
        <v>5</v>
      </c>
      <c r="G362">
        <v>4342</v>
      </c>
      <c r="H362" s="1">
        <v>46065</v>
      </c>
      <c r="I362" s="1">
        <v>46076</v>
      </c>
      <c r="J362" s="1">
        <v>46076</v>
      </c>
      <c r="K362" s="2">
        <v>0.4375</v>
      </c>
      <c r="M362" t="s">
        <v>711</v>
      </c>
      <c r="N362">
        <v>4072</v>
      </c>
      <c r="O362" t="s">
        <v>17</v>
      </c>
    </row>
    <row r="363" spans="1:15" hidden="1" x14ac:dyDescent="0.25">
      <c r="A363" t="s">
        <v>712</v>
      </c>
      <c r="B363" t="s">
        <v>713</v>
      </c>
      <c r="C363" t="e">
        <v>#NAME?</v>
      </c>
      <c r="D363" t="e">
        <v>#NAME?</v>
      </c>
      <c r="E363">
        <v>26441</v>
      </c>
      <c r="F363">
        <v>5</v>
      </c>
      <c r="G363">
        <v>3781</v>
      </c>
      <c r="H363" s="1">
        <v>46065</v>
      </c>
      <c r="I363" s="1">
        <v>46076</v>
      </c>
      <c r="J363" s="1">
        <v>46076</v>
      </c>
      <c r="K363" s="2">
        <v>0.4375</v>
      </c>
      <c r="M363" t="s">
        <v>711</v>
      </c>
      <c r="N363">
        <v>4184</v>
      </c>
      <c r="O363" t="s">
        <v>17</v>
      </c>
    </row>
    <row r="364" spans="1:15" hidden="1" x14ac:dyDescent="0.25">
      <c r="A364" t="s">
        <v>714</v>
      </c>
      <c r="B364" t="s">
        <v>715</v>
      </c>
      <c r="C364" t="e">
        <v>#NAME?</v>
      </c>
      <c r="D364" t="e">
        <v>#NAME?</v>
      </c>
      <c r="E364">
        <v>23609</v>
      </c>
      <c r="F364">
        <v>4</v>
      </c>
      <c r="G364">
        <v>3305</v>
      </c>
      <c r="H364" s="1">
        <v>46065</v>
      </c>
      <c r="I364" s="1">
        <v>46076</v>
      </c>
      <c r="J364" s="1">
        <v>46076</v>
      </c>
      <c r="K364" s="2">
        <v>0.4375</v>
      </c>
      <c r="M364" t="s">
        <v>716</v>
      </c>
      <c r="N364">
        <v>3167</v>
      </c>
      <c r="O364" t="s">
        <v>17</v>
      </c>
    </row>
    <row r="365" spans="1:15" hidden="1" x14ac:dyDescent="0.25">
      <c r="A365" t="s">
        <v>277</v>
      </c>
      <c r="B365" t="s">
        <v>717</v>
      </c>
      <c r="C365" t="e">
        <v>#NAME?</v>
      </c>
      <c r="D365" t="e">
        <v>#NAME?</v>
      </c>
      <c r="E365">
        <v>30681</v>
      </c>
      <c r="F365">
        <v>5</v>
      </c>
      <c r="G365">
        <v>3528</v>
      </c>
      <c r="H365" s="1">
        <v>46065</v>
      </c>
      <c r="I365" s="1">
        <v>46076</v>
      </c>
      <c r="J365" s="1">
        <v>46076</v>
      </c>
      <c r="K365" s="2">
        <v>0.4375</v>
      </c>
      <c r="M365" t="s">
        <v>718</v>
      </c>
      <c r="N365">
        <v>3952</v>
      </c>
      <c r="O365" t="s">
        <v>17</v>
      </c>
    </row>
    <row r="366" spans="1:15" hidden="1" x14ac:dyDescent="0.25">
      <c r="A366" t="s">
        <v>719</v>
      </c>
      <c r="B366" t="s">
        <v>720</v>
      </c>
      <c r="C366" t="e">
        <v>#NAME?</v>
      </c>
      <c r="D366" t="e">
        <v>#NAME?</v>
      </c>
      <c r="E366">
        <v>24576</v>
      </c>
      <c r="F366">
        <v>4</v>
      </c>
      <c r="G366">
        <v>3441</v>
      </c>
      <c r="H366" s="1">
        <v>46065</v>
      </c>
      <c r="I366" s="1">
        <v>46076</v>
      </c>
      <c r="J366" s="1">
        <v>46076</v>
      </c>
      <c r="K366" s="2">
        <v>0.4375</v>
      </c>
      <c r="M366" t="s">
        <v>716</v>
      </c>
      <c r="N366">
        <v>3296</v>
      </c>
      <c r="O366" t="s">
        <v>17</v>
      </c>
    </row>
    <row r="367" spans="1:15" hidden="1" x14ac:dyDescent="0.25">
      <c r="A367" t="s">
        <v>721</v>
      </c>
      <c r="B367" t="s">
        <v>722</v>
      </c>
      <c r="C367" t="e">
        <v>#NAME?</v>
      </c>
      <c r="D367" t="e">
        <v>#NAME?</v>
      </c>
      <c r="E367">
        <v>23616</v>
      </c>
      <c r="F367">
        <v>4</v>
      </c>
      <c r="G367">
        <v>3377</v>
      </c>
      <c r="H367" s="1">
        <v>46065</v>
      </c>
      <c r="I367" s="1">
        <v>46076</v>
      </c>
      <c r="J367" s="1">
        <v>46076</v>
      </c>
      <c r="K367" s="2">
        <v>0.4375</v>
      </c>
      <c r="M367" t="s">
        <v>711</v>
      </c>
      <c r="N367">
        <v>4456</v>
      </c>
      <c r="O367" t="s">
        <v>17</v>
      </c>
    </row>
    <row r="368" spans="1:15" hidden="1" x14ac:dyDescent="0.25">
      <c r="A368" t="s">
        <v>723</v>
      </c>
      <c r="B368" t="s">
        <v>724</v>
      </c>
      <c r="C368" t="e">
        <v>#NAME?</v>
      </c>
      <c r="D368" t="e">
        <v>#NAME?</v>
      </c>
      <c r="E368">
        <v>71733</v>
      </c>
      <c r="F368">
        <v>18</v>
      </c>
      <c r="G368">
        <v>12840</v>
      </c>
      <c r="H368" s="1">
        <v>46057</v>
      </c>
      <c r="I368" s="1">
        <v>46076</v>
      </c>
      <c r="J368" s="1">
        <v>46076</v>
      </c>
      <c r="K368" s="2">
        <v>0.47916666666666669</v>
      </c>
      <c r="L368" t="s">
        <v>31</v>
      </c>
      <c r="M368" t="s">
        <v>725</v>
      </c>
      <c r="N368">
        <v>13621</v>
      </c>
      <c r="O368" t="s">
        <v>17</v>
      </c>
    </row>
    <row r="369" spans="1:15" hidden="1" x14ac:dyDescent="0.25">
      <c r="A369" t="s">
        <v>726</v>
      </c>
      <c r="B369" t="s">
        <v>727</v>
      </c>
      <c r="C369" t="e">
        <v>#NAME?</v>
      </c>
      <c r="D369" t="e">
        <v>#NAME?</v>
      </c>
      <c r="E369">
        <v>27489</v>
      </c>
      <c r="F369">
        <v>6</v>
      </c>
      <c r="G369">
        <v>4783</v>
      </c>
      <c r="H369" s="1">
        <v>46057</v>
      </c>
      <c r="I369" s="1">
        <v>46076</v>
      </c>
      <c r="J369" s="1">
        <v>46076</v>
      </c>
      <c r="K369" s="2">
        <v>0.47916666666666669</v>
      </c>
      <c r="L369" t="s">
        <v>31</v>
      </c>
      <c r="M369" t="s">
        <v>728</v>
      </c>
      <c r="N369">
        <v>4675</v>
      </c>
      <c r="O369" t="s">
        <v>17</v>
      </c>
    </row>
    <row r="370" spans="1:15" hidden="1" x14ac:dyDescent="0.25">
      <c r="A370" t="s">
        <v>726</v>
      </c>
      <c r="B370" t="s">
        <v>729</v>
      </c>
      <c r="C370" t="e">
        <v>#NAME?</v>
      </c>
      <c r="D370" t="e">
        <v>#NAME?</v>
      </c>
      <c r="E370">
        <v>39392</v>
      </c>
      <c r="F370">
        <v>9</v>
      </c>
      <c r="G370">
        <v>6263</v>
      </c>
      <c r="H370" s="1">
        <v>46057</v>
      </c>
      <c r="I370" s="1">
        <v>46076</v>
      </c>
      <c r="J370" s="1">
        <v>46076</v>
      </c>
      <c r="K370" s="2">
        <v>0.47916666666666669</v>
      </c>
      <c r="L370" t="s">
        <v>31</v>
      </c>
      <c r="M370" t="s">
        <v>728</v>
      </c>
      <c r="N370">
        <v>6894</v>
      </c>
      <c r="O370" t="s">
        <v>17</v>
      </c>
    </row>
    <row r="371" spans="1:15" hidden="1" x14ac:dyDescent="0.25">
      <c r="A371" t="s">
        <v>730</v>
      </c>
      <c r="B371" t="s">
        <v>731</v>
      </c>
      <c r="C371" t="e">
        <v>#NAME?</v>
      </c>
      <c r="D371" t="e">
        <v>#NAME?</v>
      </c>
      <c r="E371">
        <v>33177</v>
      </c>
      <c r="F371">
        <v>4</v>
      </c>
      <c r="G371">
        <v>3152</v>
      </c>
      <c r="H371" s="1">
        <v>46065</v>
      </c>
      <c r="I371" s="1">
        <v>46076</v>
      </c>
      <c r="J371" s="1">
        <v>46076</v>
      </c>
      <c r="K371" s="2">
        <v>0.5625</v>
      </c>
      <c r="M371" t="s">
        <v>687</v>
      </c>
      <c r="N371">
        <v>3473</v>
      </c>
      <c r="O371" t="s">
        <v>17</v>
      </c>
    </row>
    <row r="372" spans="1:15" hidden="1" x14ac:dyDescent="0.25">
      <c r="A372" t="s">
        <v>730</v>
      </c>
      <c r="B372" t="s">
        <v>732</v>
      </c>
      <c r="C372" t="e">
        <v>#NAME?</v>
      </c>
      <c r="D372" t="e">
        <v>#NAME?</v>
      </c>
      <c r="E372">
        <v>35073</v>
      </c>
      <c r="F372">
        <v>5</v>
      </c>
      <c r="G372">
        <v>4559</v>
      </c>
      <c r="H372" s="1">
        <v>46065</v>
      </c>
      <c r="I372" s="1">
        <v>46076</v>
      </c>
      <c r="J372" s="1">
        <v>46076</v>
      </c>
      <c r="K372" s="2">
        <v>0.5625</v>
      </c>
      <c r="M372" t="s">
        <v>687</v>
      </c>
      <c r="N372">
        <v>4620</v>
      </c>
      <c r="O372" t="s">
        <v>17</v>
      </c>
    </row>
    <row r="373" spans="1:15" hidden="1" x14ac:dyDescent="0.25">
      <c r="A373" t="s">
        <v>733</v>
      </c>
      <c r="B373" t="s">
        <v>734</v>
      </c>
      <c r="C373" t="e">
        <v>#NAME?</v>
      </c>
      <c r="D373" t="e">
        <v>#NAME?</v>
      </c>
      <c r="E373">
        <v>23693</v>
      </c>
      <c r="F373">
        <v>4</v>
      </c>
      <c r="G373">
        <v>2867</v>
      </c>
      <c r="H373" s="1">
        <v>46062</v>
      </c>
      <c r="I373" s="1">
        <v>46076</v>
      </c>
      <c r="J373" s="1">
        <v>46076</v>
      </c>
      <c r="K373" s="2">
        <v>0.60416666666666663</v>
      </c>
      <c r="L373" t="s">
        <v>20</v>
      </c>
      <c r="M373" t="s">
        <v>728</v>
      </c>
      <c r="N373">
        <v>2847</v>
      </c>
      <c r="O373" t="s">
        <v>17</v>
      </c>
    </row>
    <row r="374" spans="1:15" hidden="1" x14ac:dyDescent="0.25">
      <c r="A374" t="s">
        <v>735</v>
      </c>
      <c r="B374" t="s">
        <v>736</v>
      </c>
      <c r="C374" t="e">
        <v>#NAME?</v>
      </c>
      <c r="D374" t="e">
        <v>#NAME?</v>
      </c>
      <c r="E374">
        <v>37130</v>
      </c>
      <c r="F374">
        <v>7</v>
      </c>
      <c r="G374">
        <v>8540</v>
      </c>
      <c r="H374" s="1">
        <v>46066</v>
      </c>
      <c r="I374" s="1">
        <v>46076</v>
      </c>
      <c r="J374" s="1">
        <v>46076</v>
      </c>
      <c r="K374" s="2">
        <v>0.64583333333333337</v>
      </c>
      <c r="M374" t="s">
        <v>737</v>
      </c>
      <c r="N374">
        <v>5217</v>
      </c>
      <c r="O374" t="s">
        <v>17</v>
      </c>
    </row>
    <row r="375" spans="1:15" hidden="1" x14ac:dyDescent="0.25">
      <c r="A375" t="s">
        <v>735</v>
      </c>
      <c r="B375" t="s">
        <v>738</v>
      </c>
      <c r="C375" t="e">
        <v>#NAME?</v>
      </c>
      <c r="D375" t="e">
        <v>#NAME?</v>
      </c>
      <c r="E375">
        <v>37235</v>
      </c>
      <c r="F375">
        <v>7</v>
      </c>
      <c r="G375">
        <v>8564</v>
      </c>
      <c r="H375" s="1">
        <v>46066</v>
      </c>
      <c r="I375" s="1">
        <v>46076</v>
      </c>
      <c r="J375" s="1">
        <v>46076</v>
      </c>
      <c r="K375" s="2">
        <v>0.64583333333333337</v>
      </c>
      <c r="M375" t="s">
        <v>737</v>
      </c>
      <c r="N375">
        <v>5221</v>
      </c>
      <c r="O375" t="s">
        <v>17</v>
      </c>
    </row>
    <row r="376" spans="1:15" hidden="1" x14ac:dyDescent="0.25">
      <c r="A376" t="s">
        <v>739</v>
      </c>
      <c r="B376" t="s">
        <v>740</v>
      </c>
      <c r="C376" t="e">
        <v>#NAME?</v>
      </c>
      <c r="D376" t="e">
        <v>#NAME?</v>
      </c>
      <c r="E376">
        <v>24482</v>
      </c>
      <c r="F376">
        <v>6</v>
      </c>
      <c r="G376">
        <v>3623</v>
      </c>
      <c r="H376" s="1">
        <v>46066</v>
      </c>
      <c r="I376" s="1">
        <v>46076</v>
      </c>
      <c r="J376" s="1">
        <v>46076</v>
      </c>
      <c r="K376" s="2">
        <v>0.64583333333333337</v>
      </c>
      <c r="M376" t="s">
        <v>737</v>
      </c>
      <c r="N376">
        <v>3623</v>
      </c>
      <c r="O376" t="s">
        <v>17</v>
      </c>
    </row>
    <row r="377" spans="1:15" hidden="1" x14ac:dyDescent="0.25">
      <c r="A377" t="s">
        <v>739</v>
      </c>
      <c r="B377" t="s">
        <v>741</v>
      </c>
      <c r="C377" t="e">
        <v>#NAME?</v>
      </c>
      <c r="D377" t="e">
        <v>#NAME?</v>
      </c>
      <c r="E377">
        <v>38938</v>
      </c>
      <c r="F377">
        <v>3</v>
      </c>
      <c r="G377">
        <v>6152</v>
      </c>
      <c r="H377" s="1">
        <v>46066</v>
      </c>
      <c r="I377" s="1">
        <v>46076</v>
      </c>
      <c r="J377" s="1">
        <v>46076</v>
      </c>
      <c r="K377" s="2">
        <v>0.64583333333333337</v>
      </c>
      <c r="M377" t="s">
        <v>737</v>
      </c>
      <c r="N377">
        <v>4132</v>
      </c>
      <c r="O377" t="s">
        <v>17</v>
      </c>
    </row>
    <row r="378" spans="1:15" hidden="1" x14ac:dyDescent="0.25">
      <c r="A378" t="s">
        <v>742</v>
      </c>
      <c r="B378" t="s">
        <v>743</v>
      </c>
      <c r="C378" t="e">
        <v>#NAME?</v>
      </c>
      <c r="D378" t="e">
        <v>#NAME?</v>
      </c>
      <c r="E378">
        <v>30954</v>
      </c>
      <c r="F378">
        <v>5</v>
      </c>
      <c r="G378">
        <v>4891</v>
      </c>
      <c r="H378" s="1">
        <v>46066</v>
      </c>
      <c r="I378" s="1">
        <v>46076</v>
      </c>
      <c r="J378" s="1">
        <v>46076</v>
      </c>
      <c r="K378" s="2">
        <v>0.64583333333333337</v>
      </c>
      <c r="M378" t="s">
        <v>744</v>
      </c>
      <c r="N378">
        <v>3273</v>
      </c>
      <c r="O378" t="s">
        <v>17</v>
      </c>
    </row>
    <row r="379" spans="1:15" hidden="1" x14ac:dyDescent="0.25">
      <c r="A379" t="s">
        <v>742</v>
      </c>
      <c r="B379" t="s">
        <v>745</v>
      </c>
      <c r="C379" t="e">
        <v>#NAME?</v>
      </c>
      <c r="D379" t="e">
        <v>#NAME?</v>
      </c>
      <c r="E379">
        <v>45248</v>
      </c>
      <c r="F379">
        <v>9</v>
      </c>
      <c r="G379">
        <v>10407</v>
      </c>
      <c r="H379" s="1">
        <v>46066</v>
      </c>
      <c r="I379" s="1">
        <v>46076</v>
      </c>
      <c r="J379" s="1">
        <v>46076</v>
      </c>
      <c r="K379" s="2">
        <v>0.64583333333333337</v>
      </c>
      <c r="M379" t="s">
        <v>744</v>
      </c>
      <c r="N379">
        <v>6442</v>
      </c>
      <c r="O379" t="s">
        <v>17</v>
      </c>
    </row>
    <row r="380" spans="1:15" hidden="1" x14ac:dyDescent="0.25">
      <c r="A380" t="s">
        <v>746</v>
      </c>
      <c r="B380" t="s">
        <v>747</v>
      </c>
      <c r="C380" t="e">
        <v>#NAME?</v>
      </c>
      <c r="D380" t="e">
        <v>#NAME?</v>
      </c>
      <c r="E380">
        <v>33207</v>
      </c>
      <c r="F380">
        <v>7</v>
      </c>
      <c r="G380">
        <v>9431</v>
      </c>
      <c r="H380" s="1">
        <v>46066</v>
      </c>
      <c r="I380" s="1">
        <v>46076</v>
      </c>
      <c r="J380" s="1">
        <v>46076</v>
      </c>
      <c r="K380" s="2">
        <v>0.64583333333333337</v>
      </c>
      <c r="M380" t="s">
        <v>737</v>
      </c>
      <c r="N380">
        <v>5852</v>
      </c>
      <c r="O380" t="s">
        <v>17</v>
      </c>
    </row>
    <row r="381" spans="1:15" hidden="1" x14ac:dyDescent="0.25">
      <c r="A381" t="s">
        <v>748</v>
      </c>
      <c r="B381" t="s">
        <v>749</v>
      </c>
      <c r="C381" t="e">
        <v>#NAME?</v>
      </c>
      <c r="D381" t="e">
        <v>#NAME?</v>
      </c>
      <c r="E381">
        <v>25061</v>
      </c>
      <c r="F381">
        <v>4</v>
      </c>
      <c r="G381">
        <v>2882</v>
      </c>
      <c r="H381" s="1">
        <v>46062</v>
      </c>
      <c r="I381" s="1">
        <v>46076</v>
      </c>
      <c r="J381" s="1">
        <v>46076</v>
      </c>
      <c r="K381" s="2">
        <v>0.625</v>
      </c>
      <c r="M381" t="s">
        <v>728</v>
      </c>
      <c r="N381">
        <v>2887</v>
      </c>
      <c r="O381" t="s">
        <v>17</v>
      </c>
    </row>
    <row r="382" spans="1:15" hidden="1" x14ac:dyDescent="0.25">
      <c r="A382" t="s">
        <v>748</v>
      </c>
      <c r="B382" t="s">
        <v>750</v>
      </c>
      <c r="C382" t="e">
        <v>#NAME?</v>
      </c>
      <c r="D382" t="e">
        <v>#NAME?</v>
      </c>
      <c r="E382">
        <v>39763</v>
      </c>
      <c r="F382">
        <v>6</v>
      </c>
      <c r="G382">
        <v>4811</v>
      </c>
      <c r="H382" s="1">
        <v>46062</v>
      </c>
      <c r="I382" s="1">
        <v>46076</v>
      </c>
      <c r="J382" s="1">
        <v>46076</v>
      </c>
      <c r="K382" s="2">
        <v>0.625</v>
      </c>
      <c r="M382" t="s">
        <v>728</v>
      </c>
      <c r="N382">
        <v>4775</v>
      </c>
      <c r="O382" t="s">
        <v>17</v>
      </c>
    </row>
    <row r="383" spans="1:15" hidden="1" x14ac:dyDescent="0.25">
      <c r="A383" t="s">
        <v>691</v>
      </c>
      <c r="B383" t="s">
        <v>751</v>
      </c>
      <c r="C383" t="e">
        <v>#NAME?</v>
      </c>
      <c r="D383" t="e">
        <v>#NAME?</v>
      </c>
      <c r="E383">
        <v>36828</v>
      </c>
      <c r="F383">
        <v>4</v>
      </c>
      <c r="G383">
        <v>3793</v>
      </c>
      <c r="H383" s="1">
        <v>46065</v>
      </c>
      <c r="I383" s="1">
        <v>46076</v>
      </c>
      <c r="J383" s="1">
        <v>46076</v>
      </c>
      <c r="K383" s="2">
        <v>0.39583333333333331</v>
      </c>
      <c r="N383">
        <v>3793</v>
      </c>
      <c r="O383" t="s">
        <v>17</v>
      </c>
    </row>
    <row r="384" spans="1:15" hidden="1" x14ac:dyDescent="0.25">
      <c r="A384" t="s">
        <v>694</v>
      </c>
      <c r="B384" t="s">
        <v>752</v>
      </c>
      <c r="C384" t="e">
        <v>#NAME?</v>
      </c>
      <c r="D384" t="e">
        <v>#NAME?</v>
      </c>
      <c r="E384">
        <v>26562</v>
      </c>
      <c r="F384">
        <v>4</v>
      </c>
      <c r="G384">
        <v>2736</v>
      </c>
      <c r="H384" s="1">
        <v>46065</v>
      </c>
      <c r="I384" s="1">
        <v>46076</v>
      </c>
      <c r="J384" s="1">
        <v>46076</v>
      </c>
      <c r="K384" s="2">
        <v>0.39583333333333331</v>
      </c>
      <c r="M384" t="s">
        <v>696</v>
      </c>
      <c r="N384">
        <v>2736</v>
      </c>
      <c r="O384" t="s">
        <v>17</v>
      </c>
    </row>
    <row r="385" spans="1:15" hidden="1" x14ac:dyDescent="0.25">
      <c r="A385" t="s">
        <v>719</v>
      </c>
      <c r="B385" t="s">
        <v>753</v>
      </c>
      <c r="C385" t="e">
        <v>#NAME?</v>
      </c>
      <c r="D385" t="e">
        <v>#NAME?</v>
      </c>
      <c r="E385">
        <v>33555</v>
      </c>
      <c r="F385">
        <v>6</v>
      </c>
      <c r="G385">
        <v>4698</v>
      </c>
      <c r="H385" s="1">
        <v>46065</v>
      </c>
      <c r="I385" s="1">
        <v>46076</v>
      </c>
      <c r="J385" s="1">
        <v>46076</v>
      </c>
      <c r="K385" s="2">
        <v>0.41666666666666669</v>
      </c>
      <c r="N385">
        <v>4698</v>
      </c>
      <c r="O385" t="s">
        <v>17</v>
      </c>
    </row>
    <row r="386" spans="1:15" hidden="1" x14ac:dyDescent="0.25">
      <c r="A386" t="s">
        <v>754</v>
      </c>
      <c r="B386" t="s">
        <v>755</v>
      </c>
      <c r="C386" t="e">
        <v>#NAME?</v>
      </c>
      <c r="D386" t="e">
        <v>#NAME?</v>
      </c>
      <c r="E386">
        <v>24003</v>
      </c>
      <c r="F386">
        <v>6</v>
      </c>
      <c r="G386">
        <v>4801</v>
      </c>
      <c r="H386" s="1">
        <v>46065</v>
      </c>
      <c r="I386" s="1">
        <v>46076</v>
      </c>
      <c r="J386" s="1">
        <v>46076</v>
      </c>
      <c r="K386" s="2">
        <v>0.58333333333333337</v>
      </c>
      <c r="N386">
        <v>4801</v>
      </c>
      <c r="O386" t="s">
        <v>17</v>
      </c>
    </row>
    <row r="387" spans="1:15" hidden="1" x14ac:dyDescent="0.25">
      <c r="A387" t="s">
        <v>756</v>
      </c>
      <c r="B387" t="s">
        <v>757</v>
      </c>
      <c r="C387" t="e">
        <v>#NAME?</v>
      </c>
      <c r="D387" t="e">
        <v>#NAME?</v>
      </c>
      <c r="E387">
        <v>30954</v>
      </c>
      <c r="F387">
        <v>5</v>
      </c>
      <c r="G387">
        <v>3095</v>
      </c>
      <c r="H387" s="1">
        <v>46073</v>
      </c>
      <c r="I387" s="1">
        <v>46077</v>
      </c>
      <c r="J387" s="1">
        <v>46077</v>
      </c>
      <c r="K387" s="2">
        <v>0.375</v>
      </c>
      <c r="M387" t="s">
        <v>758</v>
      </c>
      <c r="N387">
        <v>3218</v>
      </c>
      <c r="O387" t="s">
        <v>17</v>
      </c>
    </row>
    <row r="388" spans="1:15" hidden="1" x14ac:dyDescent="0.25">
      <c r="A388" t="s">
        <v>759</v>
      </c>
      <c r="B388" t="s">
        <v>760</v>
      </c>
      <c r="C388" t="e">
        <v>#NAME?</v>
      </c>
      <c r="D388" t="e">
        <v>#NAME?</v>
      </c>
      <c r="E388">
        <v>36750</v>
      </c>
      <c r="F388">
        <v>5</v>
      </c>
      <c r="G388">
        <v>5145</v>
      </c>
      <c r="H388" s="1">
        <v>46066</v>
      </c>
      <c r="I388" s="1">
        <v>46077</v>
      </c>
      <c r="J388" s="1">
        <v>46077</v>
      </c>
      <c r="K388" s="2">
        <v>0.375</v>
      </c>
      <c r="M388" t="s">
        <v>761</v>
      </c>
      <c r="N388">
        <v>5145</v>
      </c>
      <c r="O388" t="s">
        <v>17</v>
      </c>
    </row>
    <row r="389" spans="1:15" hidden="1" x14ac:dyDescent="0.25">
      <c r="A389" t="s">
        <v>759</v>
      </c>
      <c r="B389" t="s">
        <v>762</v>
      </c>
      <c r="C389" t="e">
        <v>#NAME?</v>
      </c>
      <c r="D389" t="e">
        <v>#NAME?</v>
      </c>
      <c r="E389">
        <v>33137</v>
      </c>
      <c r="F389">
        <v>7</v>
      </c>
      <c r="G389">
        <v>12758</v>
      </c>
      <c r="H389" s="1">
        <v>46066</v>
      </c>
      <c r="I389" s="1">
        <v>46077</v>
      </c>
      <c r="J389" s="1">
        <v>46077</v>
      </c>
      <c r="K389" s="2">
        <v>0.375</v>
      </c>
      <c r="M389" t="s">
        <v>763</v>
      </c>
      <c r="N389">
        <v>12750</v>
      </c>
      <c r="O389" t="s">
        <v>17</v>
      </c>
    </row>
    <row r="390" spans="1:15" hidden="1" x14ac:dyDescent="0.25">
      <c r="A390" t="s">
        <v>764</v>
      </c>
      <c r="B390" t="s">
        <v>765</v>
      </c>
      <c r="C390" t="e">
        <v>#NAME?</v>
      </c>
      <c r="D390" t="e">
        <v>#NAME?</v>
      </c>
      <c r="E390">
        <v>33328</v>
      </c>
      <c r="F390">
        <v>7</v>
      </c>
      <c r="G390">
        <v>4099</v>
      </c>
      <c r="H390" s="1">
        <v>46073</v>
      </c>
      <c r="I390" s="1">
        <v>46077</v>
      </c>
      <c r="J390" s="1">
        <v>46077</v>
      </c>
      <c r="K390" s="2">
        <v>0.375</v>
      </c>
      <c r="M390" t="s">
        <v>766</v>
      </c>
      <c r="N390">
        <v>4452</v>
      </c>
      <c r="O390" t="s">
        <v>17</v>
      </c>
    </row>
    <row r="391" spans="1:15" hidden="1" x14ac:dyDescent="0.25">
      <c r="A391" t="s">
        <v>767</v>
      </c>
      <c r="B391" t="s">
        <v>768</v>
      </c>
      <c r="C391" t="e">
        <v>#NAME?</v>
      </c>
      <c r="D391" t="e">
        <v>#NAME?</v>
      </c>
      <c r="E391">
        <v>23895</v>
      </c>
      <c r="F391">
        <v>4</v>
      </c>
      <c r="G391">
        <v>5257</v>
      </c>
      <c r="H391" s="1">
        <v>46065</v>
      </c>
      <c r="I391" s="1">
        <v>46077</v>
      </c>
      <c r="J391" s="1">
        <v>46077</v>
      </c>
      <c r="K391" s="2">
        <v>0.39583333333333331</v>
      </c>
      <c r="M391" t="s">
        <v>769</v>
      </c>
      <c r="N391">
        <v>5524</v>
      </c>
      <c r="O391" t="s">
        <v>17</v>
      </c>
    </row>
    <row r="392" spans="1:15" hidden="1" x14ac:dyDescent="0.25">
      <c r="A392" t="s">
        <v>767</v>
      </c>
      <c r="B392" t="s">
        <v>770</v>
      </c>
      <c r="C392" t="e">
        <v>#NAME?</v>
      </c>
      <c r="D392" t="e">
        <v>#NAME?</v>
      </c>
      <c r="E392">
        <v>35628</v>
      </c>
      <c r="F392">
        <v>8</v>
      </c>
      <c r="G392">
        <v>5344</v>
      </c>
      <c r="H392" s="1">
        <v>46065</v>
      </c>
      <c r="I392" s="1">
        <v>46077</v>
      </c>
      <c r="J392" s="1">
        <v>46077</v>
      </c>
      <c r="K392" s="2">
        <v>0.39583333333333331</v>
      </c>
      <c r="M392" t="s">
        <v>769</v>
      </c>
      <c r="N392">
        <v>3529</v>
      </c>
      <c r="O392" t="s">
        <v>17</v>
      </c>
    </row>
    <row r="393" spans="1:15" hidden="1" x14ac:dyDescent="0.25">
      <c r="A393" t="s">
        <v>771</v>
      </c>
      <c r="B393" t="s">
        <v>772</v>
      </c>
      <c r="C393" t="e">
        <v>#NAME?</v>
      </c>
      <c r="D393" t="e">
        <v>#NAME?</v>
      </c>
      <c r="E393">
        <v>29606</v>
      </c>
      <c r="F393">
        <v>6</v>
      </c>
      <c r="G393">
        <v>4737</v>
      </c>
      <c r="H393" s="1">
        <v>46065</v>
      </c>
      <c r="I393" s="1">
        <v>46077</v>
      </c>
      <c r="J393" s="1">
        <v>46077</v>
      </c>
      <c r="K393" s="2">
        <v>0.41666666666666669</v>
      </c>
      <c r="M393" t="s">
        <v>773</v>
      </c>
      <c r="N393">
        <v>4400</v>
      </c>
      <c r="O393" t="s">
        <v>17</v>
      </c>
    </row>
    <row r="394" spans="1:15" hidden="1" x14ac:dyDescent="0.25">
      <c r="A394" t="s">
        <v>774</v>
      </c>
      <c r="B394" t="s">
        <v>775</v>
      </c>
      <c r="C394" t="e">
        <v>#NAME?</v>
      </c>
      <c r="D394" t="e">
        <v>#NAME?</v>
      </c>
      <c r="E394">
        <v>31258</v>
      </c>
      <c r="F394">
        <v>6</v>
      </c>
      <c r="G394">
        <v>3532</v>
      </c>
      <c r="H394" s="1">
        <v>46065</v>
      </c>
      <c r="I394" s="1">
        <v>46077</v>
      </c>
      <c r="J394" s="1">
        <v>46077</v>
      </c>
      <c r="K394" s="2">
        <v>0.4375</v>
      </c>
      <c r="M394" t="s">
        <v>776</v>
      </c>
      <c r="N394">
        <v>3280</v>
      </c>
      <c r="O394" t="s">
        <v>17</v>
      </c>
    </row>
    <row r="395" spans="1:15" hidden="1" x14ac:dyDescent="0.25">
      <c r="A395" t="s">
        <v>661</v>
      </c>
      <c r="B395" t="s">
        <v>777</v>
      </c>
      <c r="C395" t="e">
        <v>#NAME?</v>
      </c>
      <c r="D395" t="e">
        <v>#NAME?</v>
      </c>
      <c r="E395">
        <v>24018</v>
      </c>
      <c r="F395">
        <v>5</v>
      </c>
      <c r="G395">
        <v>4347</v>
      </c>
      <c r="H395" s="1">
        <v>46065</v>
      </c>
      <c r="I395" s="1">
        <v>46077</v>
      </c>
      <c r="J395" s="1">
        <v>46077</v>
      </c>
      <c r="K395" s="2">
        <v>0.45833333333333331</v>
      </c>
      <c r="M395" t="s">
        <v>778</v>
      </c>
      <c r="N395">
        <v>4473</v>
      </c>
      <c r="O395" t="s">
        <v>17</v>
      </c>
    </row>
    <row r="396" spans="1:15" hidden="1" x14ac:dyDescent="0.25">
      <c r="A396" t="s">
        <v>779</v>
      </c>
      <c r="B396" t="s">
        <v>780</v>
      </c>
      <c r="C396" t="e">
        <v>#NAME?</v>
      </c>
      <c r="D396" t="e">
        <v>#NAME?</v>
      </c>
      <c r="E396">
        <v>31691</v>
      </c>
      <c r="F396">
        <v>6</v>
      </c>
      <c r="G396">
        <v>4247</v>
      </c>
      <c r="H396" s="1">
        <v>46065</v>
      </c>
      <c r="I396" s="1">
        <v>46077</v>
      </c>
      <c r="J396" s="1">
        <v>46077</v>
      </c>
      <c r="K396" s="2">
        <v>0.45833333333333331</v>
      </c>
      <c r="M396" t="s">
        <v>778</v>
      </c>
      <c r="N396">
        <v>4119</v>
      </c>
      <c r="O396" t="s">
        <v>17</v>
      </c>
    </row>
    <row r="397" spans="1:15" hidden="1" x14ac:dyDescent="0.25">
      <c r="A397" t="s">
        <v>781</v>
      </c>
      <c r="B397" t="s">
        <v>782</v>
      </c>
      <c r="C397" t="e">
        <v>#NAME?</v>
      </c>
      <c r="D397" t="e">
        <v>#NAME?</v>
      </c>
      <c r="E397">
        <v>26002</v>
      </c>
      <c r="F397">
        <v>4</v>
      </c>
      <c r="G397">
        <v>2990</v>
      </c>
      <c r="H397" s="1">
        <v>46065</v>
      </c>
      <c r="I397" s="1">
        <v>46077</v>
      </c>
      <c r="J397" s="1">
        <v>46077</v>
      </c>
      <c r="K397" s="2">
        <v>0.45833333333333331</v>
      </c>
      <c r="M397" t="s">
        <v>778</v>
      </c>
      <c r="N397">
        <v>2971</v>
      </c>
      <c r="O397" t="s">
        <v>17</v>
      </c>
    </row>
    <row r="398" spans="1:15" hidden="1" x14ac:dyDescent="0.25">
      <c r="A398" t="s">
        <v>783</v>
      </c>
      <c r="B398" t="s">
        <v>784</v>
      </c>
      <c r="C398" t="e">
        <v>#NAME?</v>
      </c>
      <c r="D398" t="e">
        <v>#NAME?</v>
      </c>
      <c r="E398">
        <v>33192</v>
      </c>
      <c r="F398">
        <v>4</v>
      </c>
      <c r="G398">
        <v>3817</v>
      </c>
      <c r="H398" s="1">
        <v>46065</v>
      </c>
      <c r="I398" s="1">
        <v>46077</v>
      </c>
      <c r="J398" s="1">
        <v>46077</v>
      </c>
      <c r="K398" s="2">
        <v>0.47916666666666669</v>
      </c>
      <c r="M398" t="s">
        <v>778</v>
      </c>
      <c r="N398">
        <v>3319</v>
      </c>
      <c r="O398" t="s">
        <v>17</v>
      </c>
    </row>
    <row r="399" spans="1:15" hidden="1" x14ac:dyDescent="0.25">
      <c r="A399" t="s">
        <v>785</v>
      </c>
      <c r="B399" t="s">
        <v>786</v>
      </c>
      <c r="C399" t="e">
        <v>#NAME?</v>
      </c>
      <c r="D399" t="e">
        <v>#NAME?</v>
      </c>
      <c r="E399">
        <v>36833</v>
      </c>
      <c r="F399">
        <v>8</v>
      </c>
      <c r="G399">
        <v>7735</v>
      </c>
      <c r="H399" s="1">
        <v>46065</v>
      </c>
      <c r="I399" s="1">
        <v>46077</v>
      </c>
      <c r="J399" s="1">
        <v>46077</v>
      </c>
      <c r="K399" s="2">
        <v>0.47916666666666669</v>
      </c>
      <c r="M399" t="s">
        <v>778</v>
      </c>
      <c r="N399">
        <v>7178</v>
      </c>
      <c r="O399" t="s">
        <v>17</v>
      </c>
    </row>
    <row r="400" spans="1:15" hidden="1" x14ac:dyDescent="0.25">
      <c r="A400" t="s">
        <v>787</v>
      </c>
      <c r="B400" t="s">
        <v>788</v>
      </c>
      <c r="C400" t="e">
        <v>#NAME?</v>
      </c>
      <c r="D400" t="e">
        <v>#NAME?</v>
      </c>
      <c r="E400">
        <v>76733</v>
      </c>
      <c r="F400">
        <v>17</v>
      </c>
      <c r="G400">
        <v>15347</v>
      </c>
      <c r="H400" s="1">
        <v>46063</v>
      </c>
      <c r="I400" s="1">
        <v>46077</v>
      </c>
      <c r="J400" s="1">
        <v>46077</v>
      </c>
      <c r="K400" s="2">
        <v>0.5</v>
      </c>
      <c r="M400" t="s">
        <v>789</v>
      </c>
      <c r="N400">
        <v>13431</v>
      </c>
      <c r="O400" t="s">
        <v>17</v>
      </c>
    </row>
    <row r="401" spans="1:15" hidden="1" x14ac:dyDescent="0.25">
      <c r="A401" t="s">
        <v>790</v>
      </c>
      <c r="B401" t="s">
        <v>791</v>
      </c>
      <c r="C401" t="e">
        <v>#NAME?</v>
      </c>
      <c r="D401" t="e">
        <v>#NAME?</v>
      </c>
      <c r="E401">
        <v>40860</v>
      </c>
      <c r="F401">
        <v>9</v>
      </c>
      <c r="G401">
        <v>4413</v>
      </c>
      <c r="H401" s="1">
        <v>46066</v>
      </c>
      <c r="I401" s="1">
        <v>46077</v>
      </c>
      <c r="J401" s="1">
        <v>46077</v>
      </c>
      <c r="K401" s="2">
        <v>0.54166666666666663</v>
      </c>
      <c r="M401" t="s">
        <v>776</v>
      </c>
      <c r="N401">
        <v>5717</v>
      </c>
      <c r="O401" t="s">
        <v>17</v>
      </c>
    </row>
    <row r="402" spans="1:15" hidden="1" x14ac:dyDescent="0.25">
      <c r="A402" t="s">
        <v>792</v>
      </c>
      <c r="B402" t="s">
        <v>793</v>
      </c>
      <c r="C402" t="e">
        <v>#NAME?</v>
      </c>
      <c r="D402" t="e">
        <v>#NAME?</v>
      </c>
      <c r="E402">
        <v>31273</v>
      </c>
      <c r="F402">
        <v>6</v>
      </c>
      <c r="G402">
        <v>4847</v>
      </c>
      <c r="H402" s="1">
        <v>46066</v>
      </c>
      <c r="I402" s="1">
        <v>46077</v>
      </c>
      <c r="J402" s="1">
        <v>46077</v>
      </c>
      <c r="K402" s="2">
        <v>0.5625</v>
      </c>
      <c r="M402" t="s">
        <v>794</v>
      </c>
      <c r="N402">
        <v>4690</v>
      </c>
      <c r="O402" t="s">
        <v>17</v>
      </c>
    </row>
    <row r="403" spans="1:15" hidden="1" x14ac:dyDescent="0.25">
      <c r="A403" t="s">
        <v>795</v>
      </c>
      <c r="B403" t="s">
        <v>796</v>
      </c>
      <c r="C403" t="e">
        <v>#NAME?</v>
      </c>
      <c r="D403" t="e">
        <v>#NAME?</v>
      </c>
      <c r="E403">
        <v>61046</v>
      </c>
      <c r="F403">
        <v>22</v>
      </c>
      <c r="G403">
        <v>18680</v>
      </c>
      <c r="H403" s="1">
        <v>46066</v>
      </c>
      <c r="I403" s="1">
        <v>46077</v>
      </c>
      <c r="J403" s="1">
        <v>46077</v>
      </c>
      <c r="K403" s="2">
        <v>0.5625</v>
      </c>
      <c r="M403" t="s">
        <v>794</v>
      </c>
      <c r="N403">
        <v>20355</v>
      </c>
      <c r="O403" t="s">
        <v>17</v>
      </c>
    </row>
    <row r="404" spans="1:15" hidden="1" x14ac:dyDescent="0.25">
      <c r="A404" t="s">
        <v>797</v>
      </c>
      <c r="B404" t="s">
        <v>798</v>
      </c>
      <c r="C404" t="e">
        <v>#NAME?</v>
      </c>
      <c r="D404" t="e">
        <v>#NAME?</v>
      </c>
      <c r="E404">
        <v>24013</v>
      </c>
      <c r="F404">
        <v>5</v>
      </c>
      <c r="G404">
        <v>4370</v>
      </c>
      <c r="H404" s="1">
        <v>46066</v>
      </c>
      <c r="I404" s="1">
        <v>46077</v>
      </c>
      <c r="J404" s="1">
        <v>46077</v>
      </c>
      <c r="K404" s="2">
        <v>0.5625</v>
      </c>
      <c r="M404" t="s">
        <v>794</v>
      </c>
      <c r="N404">
        <v>3630</v>
      </c>
      <c r="O404" t="s">
        <v>17</v>
      </c>
    </row>
    <row r="405" spans="1:15" hidden="1" x14ac:dyDescent="0.25">
      <c r="A405" t="s">
        <v>797</v>
      </c>
      <c r="B405" t="s">
        <v>799</v>
      </c>
      <c r="C405" t="e">
        <v>#NAME?</v>
      </c>
      <c r="D405" t="e">
        <v>#NAME?</v>
      </c>
      <c r="E405">
        <v>33328</v>
      </c>
      <c r="F405">
        <v>5</v>
      </c>
      <c r="G405">
        <v>3666</v>
      </c>
      <c r="H405" s="1">
        <v>46066</v>
      </c>
      <c r="I405" s="1">
        <v>46077</v>
      </c>
      <c r="J405" s="1">
        <v>46077</v>
      </c>
      <c r="K405" s="2">
        <v>0.5625</v>
      </c>
      <c r="M405" t="s">
        <v>794</v>
      </c>
      <c r="N405">
        <v>3601</v>
      </c>
      <c r="O405" t="s">
        <v>17</v>
      </c>
    </row>
    <row r="406" spans="1:15" hidden="1" x14ac:dyDescent="0.25">
      <c r="A406" t="s">
        <v>712</v>
      </c>
      <c r="B406" t="s">
        <v>800</v>
      </c>
      <c r="C406" t="e">
        <v>#NAME?</v>
      </c>
      <c r="D406" t="e">
        <v>#NAME?</v>
      </c>
      <c r="E406">
        <v>45654</v>
      </c>
      <c r="F406">
        <v>8</v>
      </c>
      <c r="G406">
        <v>6529</v>
      </c>
      <c r="H406" s="1">
        <v>46066</v>
      </c>
      <c r="I406" s="1">
        <v>46077</v>
      </c>
      <c r="J406" s="1">
        <v>46077</v>
      </c>
      <c r="K406" s="2">
        <v>0.60416666666666663</v>
      </c>
      <c r="M406" t="s">
        <v>801</v>
      </c>
      <c r="N406">
        <v>2700</v>
      </c>
      <c r="O406" t="s">
        <v>17</v>
      </c>
    </row>
    <row r="407" spans="1:15" hidden="1" x14ac:dyDescent="0.25">
      <c r="A407" t="s">
        <v>721</v>
      </c>
      <c r="B407" t="s">
        <v>802</v>
      </c>
      <c r="C407" t="e">
        <v>#NAME?</v>
      </c>
      <c r="D407" t="e">
        <v>#NAME?</v>
      </c>
      <c r="E407">
        <v>39460</v>
      </c>
      <c r="F407">
        <v>5</v>
      </c>
      <c r="G407">
        <v>3985</v>
      </c>
      <c r="H407" s="1">
        <v>46066</v>
      </c>
      <c r="I407" s="1">
        <v>46077</v>
      </c>
      <c r="J407" s="1">
        <v>46077</v>
      </c>
      <c r="K407" s="2">
        <v>0.60416666666666663</v>
      </c>
      <c r="M407" t="s">
        <v>801</v>
      </c>
      <c r="N407">
        <v>3328</v>
      </c>
      <c r="O407" t="s">
        <v>17</v>
      </c>
    </row>
    <row r="408" spans="1:15" hidden="1" x14ac:dyDescent="0.25">
      <c r="A408" t="s">
        <v>803</v>
      </c>
      <c r="B408" t="s">
        <v>804</v>
      </c>
      <c r="C408" t="e">
        <v>#NAME?</v>
      </c>
      <c r="D408" t="e">
        <v>#NAME?</v>
      </c>
      <c r="E408">
        <v>38727</v>
      </c>
      <c r="F408">
        <v>5</v>
      </c>
      <c r="G408">
        <v>1936</v>
      </c>
      <c r="H408" s="1">
        <v>46066</v>
      </c>
      <c r="I408" s="1">
        <v>46077</v>
      </c>
      <c r="J408" s="1">
        <v>46077</v>
      </c>
      <c r="K408" s="2">
        <v>0.60416666666666663</v>
      </c>
      <c r="M408" t="s">
        <v>801</v>
      </c>
      <c r="N408">
        <v>1937</v>
      </c>
      <c r="O408" t="s">
        <v>17</v>
      </c>
    </row>
    <row r="409" spans="1:15" hidden="1" x14ac:dyDescent="0.25">
      <c r="A409" t="s">
        <v>218</v>
      </c>
      <c r="B409" t="s">
        <v>805</v>
      </c>
      <c r="C409" t="e">
        <v>#NAME?</v>
      </c>
      <c r="D409" t="e">
        <v>#NAME?</v>
      </c>
      <c r="E409">
        <v>24816</v>
      </c>
      <c r="F409">
        <v>4</v>
      </c>
      <c r="G409">
        <v>3549</v>
      </c>
      <c r="H409" s="1">
        <v>46066</v>
      </c>
      <c r="I409" s="1">
        <v>46077</v>
      </c>
      <c r="J409" s="1">
        <v>46077</v>
      </c>
      <c r="K409" s="2">
        <v>0.60416666666666663</v>
      </c>
      <c r="M409" t="s">
        <v>801</v>
      </c>
      <c r="N409">
        <v>6122</v>
      </c>
      <c r="O409" t="s">
        <v>17</v>
      </c>
    </row>
    <row r="410" spans="1:15" hidden="1" x14ac:dyDescent="0.25">
      <c r="A410" t="s">
        <v>806</v>
      </c>
      <c r="B410" t="s">
        <v>807</v>
      </c>
      <c r="C410" t="e">
        <v>#NAME?</v>
      </c>
      <c r="D410" t="e">
        <v>#NAME?</v>
      </c>
      <c r="E410">
        <v>33040</v>
      </c>
      <c r="F410">
        <v>3</v>
      </c>
      <c r="G410">
        <v>2841</v>
      </c>
      <c r="H410" s="1">
        <v>46066</v>
      </c>
      <c r="I410" s="1">
        <v>46077</v>
      </c>
      <c r="J410" s="1">
        <v>46077</v>
      </c>
      <c r="K410" s="2">
        <v>0.60416666666666663</v>
      </c>
      <c r="M410" t="s">
        <v>801</v>
      </c>
      <c r="N410">
        <v>3875</v>
      </c>
      <c r="O410" t="s">
        <v>17</v>
      </c>
    </row>
    <row r="411" spans="1:15" hidden="1" x14ac:dyDescent="0.25">
      <c r="A411" t="s">
        <v>808</v>
      </c>
      <c r="B411" t="s">
        <v>809</v>
      </c>
      <c r="C411" t="e">
        <v>#NAME?</v>
      </c>
      <c r="D411" t="e">
        <v>#NAME?</v>
      </c>
      <c r="E411">
        <v>33298</v>
      </c>
      <c r="F411">
        <v>3</v>
      </c>
      <c r="G411">
        <v>2997</v>
      </c>
      <c r="H411" s="1">
        <v>46066</v>
      </c>
      <c r="I411" s="1">
        <v>46077</v>
      </c>
      <c r="J411" s="1">
        <v>46077</v>
      </c>
      <c r="K411" s="2">
        <v>0.625</v>
      </c>
      <c r="M411" t="s">
        <v>810</v>
      </c>
      <c r="N411">
        <v>2799</v>
      </c>
      <c r="O411" t="s">
        <v>17</v>
      </c>
    </row>
    <row r="412" spans="1:15" hidden="1" x14ac:dyDescent="0.25">
      <c r="A412" t="s">
        <v>673</v>
      </c>
      <c r="B412" t="s">
        <v>811</v>
      </c>
      <c r="C412" t="e">
        <v>#NAME?</v>
      </c>
      <c r="D412" t="e">
        <v>#NAME?</v>
      </c>
      <c r="E412">
        <v>31090</v>
      </c>
      <c r="F412">
        <v>6</v>
      </c>
      <c r="G412">
        <v>5814</v>
      </c>
      <c r="H412" s="1">
        <v>46066</v>
      </c>
      <c r="I412" s="1">
        <v>46077</v>
      </c>
      <c r="J412" s="1">
        <v>46077</v>
      </c>
      <c r="K412" s="2">
        <v>0.625</v>
      </c>
      <c r="M412" t="s">
        <v>812</v>
      </c>
      <c r="N412">
        <v>4487</v>
      </c>
      <c r="O412" t="s">
        <v>17</v>
      </c>
    </row>
    <row r="413" spans="1:15" hidden="1" x14ac:dyDescent="0.25">
      <c r="A413" t="s">
        <v>813</v>
      </c>
      <c r="B413" t="s">
        <v>814</v>
      </c>
      <c r="C413" t="e">
        <v>#NAME?</v>
      </c>
      <c r="D413" t="e">
        <v>#NAME?</v>
      </c>
      <c r="E413">
        <v>48497</v>
      </c>
      <c r="F413">
        <v>5</v>
      </c>
      <c r="G413">
        <v>4171</v>
      </c>
      <c r="H413" s="1">
        <v>46066</v>
      </c>
      <c r="I413" s="1">
        <v>46077</v>
      </c>
      <c r="J413" s="1">
        <v>46077</v>
      </c>
      <c r="K413" s="2">
        <v>0.625</v>
      </c>
      <c r="M413" t="s">
        <v>812</v>
      </c>
      <c r="N413">
        <v>3701</v>
      </c>
      <c r="O413" t="s">
        <v>17</v>
      </c>
    </row>
    <row r="414" spans="1:15" hidden="1" x14ac:dyDescent="0.25">
      <c r="A414" t="s">
        <v>815</v>
      </c>
      <c r="B414" t="s">
        <v>816</v>
      </c>
      <c r="C414" t="e">
        <v>#NAME?</v>
      </c>
      <c r="D414" t="e">
        <v>#NAME?</v>
      </c>
      <c r="E414">
        <v>25591</v>
      </c>
      <c r="F414">
        <v>4</v>
      </c>
      <c r="G414">
        <v>3839</v>
      </c>
      <c r="H414" s="1">
        <v>46066</v>
      </c>
      <c r="I414" s="1">
        <v>46077</v>
      </c>
      <c r="J414" s="1">
        <v>46077</v>
      </c>
      <c r="K414" s="2">
        <v>0.625</v>
      </c>
      <c r="M414" t="s">
        <v>812</v>
      </c>
      <c r="N414">
        <v>1639</v>
      </c>
      <c r="O414" t="s">
        <v>17</v>
      </c>
    </row>
    <row r="415" spans="1:15" hidden="1" x14ac:dyDescent="0.25">
      <c r="A415" t="s">
        <v>817</v>
      </c>
      <c r="B415" t="s">
        <v>818</v>
      </c>
      <c r="C415" t="e">
        <v>#NAME?</v>
      </c>
      <c r="D415" t="e">
        <v>#NAME?</v>
      </c>
      <c r="E415">
        <v>30676</v>
      </c>
      <c r="F415">
        <v>4</v>
      </c>
      <c r="G415">
        <v>3068</v>
      </c>
      <c r="H415" s="1">
        <v>46066</v>
      </c>
      <c r="I415" s="1">
        <v>46077</v>
      </c>
      <c r="J415" s="1">
        <v>46077</v>
      </c>
      <c r="K415" s="2">
        <v>0.625</v>
      </c>
      <c r="M415" t="s">
        <v>812</v>
      </c>
      <c r="N415">
        <v>1533</v>
      </c>
      <c r="O415" t="s">
        <v>17</v>
      </c>
    </row>
    <row r="416" spans="1:15" hidden="1" x14ac:dyDescent="0.25">
      <c r="A416" t="s">
        <v>819</v>
      </c>
      <c r="B416" t="s">
        <v>820</v>
      </c>
      <c r="C416" t="e">
        <v>#NAME?</v>
      </c>
      <c r="D416" t="e">
        <v>#NAME?</v>
      </c>
      <c r="E416">
        <v>45331</v>
      </c>
      <c r="F416">
        <v>7</v>
      </c>
      <c r="G416">
        <v>9973</v>
      </c>
      <c r="H416" s="1">
        <v>46066</v>
      </c>
      <c r="I416" s="1">
        <v>46077</v>
      </c>
      <c r="J416" s="1">
        <v>46077</v>
      </c>
      <c r="K416" s="2">
        <v>0.625</v>
      </c>
      <c r="M416" t="s">
        <v>810</v>
      </c>
      <c r="N416">
        <v>6079</v>
      </c>
      <c r="O416" t="s">
        <v>17</v>
      </c>
    </row>
    <row r="417" spans="1:15" hidden="1" x14ac:dyDescent="0.25">
      <c r="A417" t="s">
        <v>817</v>
      </c>
      <c r="B417" t="s">
        <v>821</v>
      </c>
      <c r="C417" t="e">
        <v>#NAME?</v>
      </c>
      <c r="D417" t="e">
        <v>#NAME?</v>
      </c>
      <c r="E417">
        <v>46987</v>
      </c>
      <c r="F417">
        <v>6</v>
      </c>
      <c r="G417">
        <v>5404</v>
      </c>
      <c r="H417" s="1">
        <v>46066</v>
      </c>
      <c r="I417" s="1">
        <v>46077</v>
      </c>
      <c r="J417" s="1">
        <v>46077</v>
      </c>
      <c r="K417" s="2">
        <v>0.625</v>
      </c>
      <c r="M417" t="s">
        <v>812</v>
      </c>
      <c r="N417">
        <v>5268</v>
      </c>
      <c r="O417" t="s">
        <v>17</v>
      </c>
    </row>
    <row r="418" spans="1:15" hidden="1" x14ac:dyDescent="0.25">
      <c r="A418" t="s">
        <v>822</v>
      </c>
      <c r="B418" t="s">
        <v>823</v>
      </c>
      <c r="C418" t="e">
        <v>#NAME?</v>
      </c>
      <c r="D418" t="e">
        <v>#NAME?</v>
      </c>
      <c r="E418">
        <v>23745</v>
      </c>
      <c r="F418">
        <v>3</v>
      </c>
      <c r="G418">
        <v>2849</v>
      </c>
      <c r="H418" s="1">
        <v>46066</v>
      </c>
      <c r="I418" s="1">
        <v>46077</v>
      </c>
      <c r="J418" s="1">
        <v>46077</v>
      </c>
      <c r="K418" s="2">
        <v>0.625</v>
      </c>
      <c r="M418" t="s">
        <v>812</v>
      </c>
      <c r="N418">
        <v>2150</v>
      </c>
      <c r="O418" t="s">
        <v>17</v>
      </c>
    </row>
    <row r="419" spans="1:15" hidden="1" x14ac:dyDescent="0.25">
      <c r="A419" t="s">
        <v>824</v>
      </c>
      <c r="B419" t="s">
        <v>825</v>
      </c>
      <c r="C419" t="e">
        <v>#NAME?</v>
      </c>
      <c r="D419" t="e">
        <v>#NAME?</v>
      </c>
      <c r="E419">
        <v>33416</v>
      </c>
      <c r="F419">
        <v>4</v>
      </c>
      <c r="G419">
        <v>3342</v>
      </c>
      <c r="H419" s="1">
        <v>46066</v>
      </c>
      <c r="I419" s="1">
        <v>46077</v>
      </c>
      <c r="J419" s="1">
        <v>46077</v>
      </c>
      <c r="K419" s="2">
        <v>0.625</v>
      </c>
      <c r="M419" t="s">
        <v>810</v>
      </c>
      <c r="N419">
        <v>3342</v>
      </c>
      <c r="O419" t="s">
        <v>17</v>
      </c>
    </row>
    <row r="420" spans="1:15" hidden="1" x14ac:dyDescent="0.25">
      <c r="A420" t="s">
        <v>826</v>
      </c>
      <c r="B420" t="s">
        <v>827</v>
      </c>
      <c r="C420" t="e">
        <v>#NAME?</v>
      </c>
      <c r="D420" t="e">
        <v>#NAME?</v>
      </c>
      <c r="E420">
        <v>54655</v>
      </c>
      <c r="F420">
        <v>6</v>
      </c>
      <c r="G420">
        <v>5466</v>
      </c>
      <c r="H420" s="1">
        <v>46066</v>
      </c>
      <c r="I420" s="1">
        <v>46077</v>
      </c>
      <c r="J420" s="1">
        <v>46077</v>
      </c>
      <c r="K420" s="2">
        <v>0.625</v>
      </c>
      <c r="M420" t="s">
        <v>810</v>
      </c>
      <c r="N420">
        <v>5477</v>
      </c>
      <c r="O420" t="s">
        <v>17</v>
      </c>
    </row>
    <row r="421" spans="1:15" hidden="1" x14ac:dyDescent="0.25">
      <c r="A421" t="s">
        <v>733</v>
      </c>
      <c r="B421" t="s">
        <v>828</v>
      </c>
      <c r="C421" t="e">
        <v>#NAME?</v>
      </c>
      <c r="D421" t="e">
        <v>#NAME?</v>
      </c>
      <c r="E421">
        <v>51459</v>
      </c>
      <c r="F421">
        <v>8</v>
      </c>
      <c r="G421">
        <v>6227</v>
      </c>
      <c r="H421" s="1">
        <v>46062</v>
      </c>
      <c r="I421" s="1">
        <v>46077</v>
      </c>
      <c r="J421" s="1">
        <v>46077</v>
      </c>
      <c r="K421" s="2">
        <v>0.64583333333333337</v>
      </c>
      <c r="L421" t="s">
        <v>20</v>
      </c>
      <c r="M421" t="s">
        <v>789</v>
      </c>
      <c r="N421">
        <v>5643</v>
      </c>
      <c r="O421" t="s">
        <v>17</v>
      </c>
    </row>
    <row r="422" spans="1:15" hidden="1" x14ac:dyDescent="0.25">
      <c r="A422" t="s">
        <v>829</v>
      </c>
      <c r="B422" t="s">
        <v>830</v>
      </c>
      <c r="C422" t="e">
        <v>#NAME?</v>
      </c>
      <c r="D422" t="e">
        <v>#NAME?</v>
      </c>
      <c r="E422">
        <v>27201</v>
      </c>
      <c r="F422">
        <v>5</v>
      </c>
      <c r="G422">
        <v>3291</v>
      </c>
      <c r="H422" s="1">
        <v>46062</v>
      </c>
      <c r="I422" s="1">
        <v>46077</v>
      </c>
      <c r="J422" s="1">
        <v>46077</v>
      </c>
      <c r="K422" s="2">
        <v>0.64583333333333337</v>
      </c>
      <c r="L422" t="s">
        <v>20</v>
      </c>
      <c r="M422" t="s">
        <v>789</v>
      </c>
      <c r="N422">
        <v>3269</v>
      </c>
      <c r="O422" t="s">
        <v>17</v>
      </c>
    </row>
    <row r="423" spans="1:15" hidden="1" x14ac:dyDescent="0.25">
      <c r="A423" t="s">
        <v>831</v>
      </c>
      <c r="B423" t="s">
        <v>832</v>
      </c>
      <c r="C423" t="e">
        <v>#NAME?</v>
      </c>
      <c r="D423" t="e">
        <v>#NAME?</v>
      </c>
      <c r="E423">
        <v>30196</v>
      </c>
      <c r="F423">
        <v>3</v>
      </c>
      <c r="G423">
        <v>1208</v>
      </c>
      <c r="H423" s="1">
        <v>46066</v>
      </c>
      <c r="I423" s="1">
        <v>46077</v>
      </c>
      <c r="J423" s="1">
        <v>46077</v>
      </c>
      <c r="K423" s="2">
        <v>0.60416666666666663</v>
      </c>
      <c r="M423" t="s">
        <v>833</v>
      </c>
      <c r="N423">
        <v>1859</v>
      </c>
      <c r="O423" t="s">
        <v>17</v>
      </c>
    </row>
    <row r="424" spans="1:15" hidden="1" x14ac:dyDescent="0.25">
      <c r="A424" t="s">
        <v>771</v>
      </c>
      <c r="B424" t="s">
        <v>834</v>
      </c>
      <c r="C424" t="e">
        <v>#NAME?</v>
      </c>
      <c r="D424" t="e">
        <v>#NAME?</v>
      </c>
      <c r="E424">
        <v>58129</v>
      </c>
      <c r="F424">
        <v>12</v>
      </c>
      <c r="G424">
        <v>6569</v>
      </c>
      <c r="H424" s="1">
        <v>46065</v>
      </c>
      <c r="I424" s="1">
        <v>46077</v>
      </c>
      <c r="J424" s="1">
        <v>46077</v>
      </c>
      <c r="K424" s="2">
        <v>0.41666666666666669</v>
      </c>
      <c r="M424" t="s">
        <v>773</v>
      </c>
      <c r="N424">
        <v>6569</v>
      </c>
      <c r="O424" t="s">
        <v>17</v>
      </c>
    </row>
    <row r="425" spans="1:15" hidden="1" x14ac:dyDescent="0.25">
      <c r="A425" t="s">
        <v>774</v>
      </c>
      <c r="B425" t="s">
        <v>835</v>
      </c>
      <c r="C425" t="e">
        <v>#NAME?</v>
      </c>
      <c r="D425" t="e">
        <v>#NAME?</v>
      </c>
      <c r="E425">
        <v>47058</v>
      </c>
      <c r="F425">
        <v>10</v>
      </c>
      <c r="G425">
        <v>7294</v>
      </c>
      <c r="H425" s="1">
        <v>46065</v>
      </c>
      <c r="I425" s="1">
        <v>46077</v>
      </c>
      <c r="J425" s="1">
        <v>46077</v>
      </c>
      <c r="K425" s="2">
        <v>0.4375</v>
      </c>
      <c r="N425">
        <v>7294</v>
      </c>
      <c r="O425" t="s">
        <v>17</v>
      </c>
    </row>
    <row r="426" spans="1:15" hidden="1" x14ac:dyDescent="0.25">
      <c r="A426" t="s">
        <v>815</v>
      </c>
      <c r="B426" t="s">
        <v>836</v>
      </c>
      <c r="C426" t="e">
        <v>#NAME?</v>
      </c>
      <c r="D426" t="e">
        <v>#NAME?</v>
      </c>
      <c r="E426">
        <v>53534</v>
      </c>
      <c r="F426">
        <v>8</v>
      </c>
      <c r="G426">
        <v>6692</v>
      </c>
      <c r="H426" s="1">
        <v>46066</v>
      </c>
      <c r="I426" s="1">
        <v>46077</v>
      </c>
      <c r="J426" s="1">
        <v>46077</v>
      </c>
      <c r="K426" s="2">
        <v>0.625</v>
      </c>
      <c r="M426" t="s">
        <v>810</v>
      </c>
      <c r="N426">
        <v>6428</v>
      </c>
      <c r="O426" t="s">
        <v>17</v>
      </c>
    </row>
    <row r="427" spans="1:15" hidden="1" x14ac:dyDescent="0.25">
      <c r="A427" t="s">
        <v>792</v>
      </c>
      <c r="B427" t="s">
        <v>837</v>
      </c>
      <c r="C427" t="e">
        <v>#NAME?</v>
      </c>
      <c r="D427" t="e">
        <v>#NAME?</v>
      </c>
      <c r="E427">
        <v>52049</v>
      </c>
      <c r="F427">
        <v>5</v>
      </c>
      <c r="G427">
        <v>4268</v>
      </c>
      <c r="H427" s="1">
        <v>46066</v>
      </c>
      <c r="I427" s="1">
        <v>46078</v>
      </c>
      <c r="J427" s="1">
        <v>46078</v>
      </c>
      <c r="K427" s="2">
        <v>0.375</v>
      </c>
      <c r="M427" t="s">
        <v>838</v>
      </c>
      <c r="N427">
        <v>4494</v>
      </c>
      <c r="O427" t="s">
        <v>17</v>
      </c>
    </row>
    <row r="428" spans="1:15" hidden="1" x14ac:dyDescent="0.25">
      <c r="A428" t="s">
        <v>795</v>
      </c>
      <c r="B428" t="s">
        <v>839</v>
      </c>
      <c r="C428" t="e">
        <v>#NAME?</v>
      </c>
      <c r="D428" t="e">
        <v>#NAME?</v>
      </c>
      <c r="E428">
        <v>45903</v>
      </c>
      <c r="F428">
        <v>8</v>
      </c>
      <c r="G428">
        <v>11797</v>
      </c>
      <c r="H428" s="1">
        <v>46066</v>
      </c>
      <c r="I428" s="1">
        <v>46078</v>
      </c>
      <c r="J428" s="1">
        <v>46078</v>
      </c>
      <c r="K428" s="2">
        <v>0.375</v>
      </c>
      <c r="M428" t="s">
        <v>838</v>
      </c>
      <c r="N428">
        <v>11243</v>
      </c>
      <c r="O428" t="s">
        <v>17</v>
      </c>
    </row>
    <row r="429" spans="1:15" hidden="1" x14ac:dyDescent="0.25">
      <c r="A429" t="s">
        <v>824</v>
      </c>
      <c r="B429" t="s">
        <v>840</v>
      </c>
      <c r="C429" t="e">
        <v>#NAME?</v>
      </c>
      <c r="D429" t="e">
        <v>#NAME?</v>
      </c>
      <c r="E429">
        <v>59192</v>
      </c>
      <c r="F429">
        <v>10</v>
      </c>
      <c r="G429">
        <v>10359</v>
      </c>
      <c r="H429" s="1">
        <v>46066</v>
      </c>
      <c r="I429" s="1">
        <v>46078</v>
      </c>
      <c r="J429" s="1">
        <v>46078</v>
      </c>
      <c r="K429" s="2">
        <v>0.375</v>
      </c>
      <c r="M429" t="s">
        <v>838</v>
      </c>
      <c r="N429">
        <v>9238</v>
      </c>
      <c r="O429" t="s">
        <v>17</v>
      </c>
    </row>
    <row r="430" spans="1:15" hidden="1" x14ac:dyDescent="0.25">
      <c r="A430" t="s">
        <v>841</v>
      </c>
      <c r="B430" t="s">
        <v>842</v>
      </c>
      <c r="C430" t="e">
        <v>#NAME?</v>
      </c>
      <c r="D430" t="e">
        <v>#NAME?</v>
      </c>
      <c r="E430">
        <v>36913</v>
      </c>
      <c r="F430">
        <v>7</v>
      </c>
      <c r="G430">
        <v>11295</v>
      </c>
      <c r="H430" s="1">
        <v>46066</v>
      </c>
      <c r="I430" s="1">
        <v>46078</v>
      </c>
      <c r="J430" s="1">
        <v>46078</v>
      </c>
      <c r="K430" s="2">
        <v>0.39583333333333331</v>
      </c>
      <c r="N430">
        <v>4311</v>
      </c>
      <c r="O430" t="s">
        <v>17</v>
      </c>
    </row>
    <row r="431" spans="1:15" hidden="1" x14ac:dyDescent="0.25">
      <c r="A431" t="s">
        <v>843</v>
      </c>
      <c r="B431" t="s">
        <v>844</v>
      </c>
      <c r="C431" t="e">
        <v>#NAME?</v>
      </c>
      <c r="D431" t="e">
        <v>#NAME?</v>
      </c>
      <c r="E431">
        <v>57320</v>
      </c>
      <c r="F431">
        <v>8</v>
      </c>
      <c r="G431">
        <v>6592</v>
      </c>
      <c r="H431" s="1">
        <v>46066</v>
      </c>
      <c r="I431" s="1">
        <v>46078</v>
      </c>
      <c r="J431" s="1">
        <v>46078</v>
      </c>
      <c r="K431" s="2">
        <v>0.39583333333333331</v>
      </c>
      <c r="N431">
        <v>6448</v>
      </c>
      <c r="O431" t="s">
        <v>17</v>
      </c>
    </row>
    <row r="432" spans="1:15" hidden="1" x14ac:dyDescent="0.25">
      <c r="A432" t="s">
        <v>843</v>
      </c>
      <c r="B432" t="s">
        <v>845</v>
      </c>
      <c r="C432" t="e">
        <v>#NAME?</v>
      </c>
      <c r="D432" t="e">
        <v>#NAME?</v>
      </c>
      <c r="E432">
        <v>36079</v>
      </c>
      <c r="F432">
        <v>6</v>
      </c>
      <c r="G432">
        <v>4510</v>
      </c>
      <c r="H432" s="1">
        <v>46066</v>
      </c>
      <c r="I432" s="1">
        <v>46078</v>
      </c>
      <c r="J432" s="1">
        <v>46078</v>
      </c>
      <c r="K432" s="2">
        <v>0.39583333333333331</v>
      </c>
      <c r="N432">
        <v>4443</v>
      </c>
      <c r="O432" t="s">
        <v>17</v>
      </c>
    </row>
    <row r="433" spans="1:15" hidden="1" x14ac:dyDescent="0.25">
      <c r="A433" t="s">
        <v>846</v>
      </c>
      <c r="B433" t="s">
        <v>392</v>
      </c>
      <c r="C433" t="e">
        <v>#NAME?</v>
      </c>
      <c r="D433" t="e">
        <v>#NAME?</v>
      </c>
      <c r="E433">
        <v>32423</v>
      </c>
      <c r="F433">
        <v>6</v>
      </c>
      <c r="G433">
        <v>7263</v>
      </c>
      <c r="H433" s="1">
        <v>46066</v>
      </c>
      <c r="I433" s="1">
        <v>46078</v>
      </c>
      <c r="J433" s="1">
        <v>46078</v>
      </c>
      <c r="K433" s="2">
        <v>0.41666666666666669</v>
      </c>
      <c r="M433" t="s">
        <v>847</v>
      </c>
      <c r="N433">
        <v>7336</v>
      </c>
      <c r="O433" t="s">
        <v>17</v>
      </c>
    </row>
    <row r="434" spans="1:15" hidden="1" x14ac:dyDescent="0.25">
      <c r="A434" t="s">
        <v>848</v>
      </c>
      <c r="B434" t="s">
        <v>849</v>
      </c>
      <c r="C434" t="e">
        <v>#NAME?</v>
      </c>
      <c r="D434" t="e">
        <v>#NAME?</v>
      </c>
      <c r="E434">
        <v>34437</v>
      </c>
      <c r="F434">
        <v>6</v>
      </c>
      <c r="G434">
        <v>5166</v>
      </c>
      <c r="H434" s="1">
        <v>46066</v>
      </c>
      <c r="I434" s="1">
        <v>46078</v>
      </c>
      <c r="J434" s="1">
        <v>46078</v>
      </c>
      <c r="K434" s="2">
        <v>0.41666666666666669</v>
      </c>
      <c r="M434" t="s">
        <v>847</v>
      </c>
      <c r="N434">
        <v>6144</v>
      </c>
      <c r="O434" t="s">
        <v>17</v>
      </c>
    </row>
    <row r="435" spans="1:15" hidden="1" x14ac:dyDescent="0.25">
      <c r="A435" t="s">
        <v>850</v>
      </c>
      <c r="B435" t="s">
        <v>851</v>
      </c>
      <c r="C435" t="e">
        <v>#NAME?</v>
      </c>
      <c r="D435" t="e">
        <v>#NAME?</v>
      </c>
      <c r="E435">
        <v>31803</v>
      </c>
      <c r="F435">
        <v>6</v>
      </c>
      <c r="G435">
        <v>12721</v>
      </c>
      <c r="H435" s="1">
        <v>46066</v>
      </c>
      <c r="I435" s="1">
        <v>46078</v>
      </c>
      <c r="J435" s="1">
        <v>46078</v>
      </c>
      <c r="K435" s="2">
        <v>0.41666666666666669</v>
      </c>
      <c r="M435" t="s">
        <v>847</v>
      </c>
      <c r="N435">
        <v>7309</v>
      </c>
      <c r="O435" t="s">
        <v>17</v>
      </c>
    </row>
    <row r="436" spans="1:15" hidden="1" x14ac:dyDescent="0.25">
      <c r="A436" t="s">
        <v>852</v>
      </c>
      <c r="B436" t="s">
        <v>853</v>
      </c>
      <c r="C436" t="e">
        <v>#NAME?</v>
      </c>
      <c r="D436" t="e">
        <v>#NAME?</v>
      </c>
      <c r="E436">
        <v>32883</v>
      </c>
      <c r="F436">
        <v>6</v>
      </c>
      <c r="G436">
        <v>3617</v>
      </c>
      <c r="H436" s="1">
        <v>46066</v>
      </c>
      <c r="I436" s="1">
        <v>46078</v>
      </c>
      <c r="J436" s="1">
        <v>46078</v>
      </c>
      <c r="K436" s="2">
        <v>0.41666666666666669</v>
      </c>
      <c r="M436" t="s">
        <v>847</v>
      </c>
      <c r="N436">
        <v>3493</v>
      </c>
      <c r="O436" t="s">
        <v>17</v>
      </c>
    </row>
    <row r="437" spans="1:15" hidden="1" x14ac:dyDescent="0.25">
      <c r="A437" t="s">
        <v>854</v>
      </c>
      <c r="B437" t="s">
        <v>855</v>
      </c>
      <c r="C437" t="e">
        <v>#NAME?</v>
      </c>
      <c r="D437" t="e">
        <v>#NAME?</v>
      </c>
      <c r="E437">
        <v>27229</v>
      </c>
      <c r="F437">
        <v>6</v>
      </c>
      <c r="G437">
        <v>4928</v>
      </c>
      <c r="H437" s="1">
        <v>46066</v>
      </c>
      <c r="I437" s="1">
        <v>46078</v>
      </c>
      <c r="J437" s="1">
        <v>46078</v>
      </c>
      <c r="K437" s="2">
        <v>0.45833333333333331</v>
      </c>
      <c r="M437" t="s">
        <v>856</v>
      </c>
      <c r="N437">
        <v>4846</v>
      </c>
      <c r="O437" t="s">
        <v>17</v>
      </c>
    </row>
    <row r="438" spans="1:15" hidden="1" x14ac:dyDescent="0.25">
      <c r="A438" t="s">
        <v>857</v>
      </c>
      <c r="B438" t="s">
        <v>858</v>
      </c>
      <c r="C438" t="e">
        <v>#NAME?</v>
      </c>
      <c r="D438" t="e">
        <v>#NAME?</v>
      </c>
      <c r="E438">
        <v>49913</v>
      </c>
      <c r="F438">
        <v>6</v>
      </c>
      <c r="G438">
        <v>5241</v>
      </c>
      <c r="H438" s="1">
        <v>46066</v>
      </c>
      <c r="I438" s="1">
        <v>46078</v>
      </c>
      <c r="J438" s="1">
        <v>46078</v>
      </c>
      <c r="K438" s="2">
        <v>0.45833333333333331</v>
      </c>
      <c r="M438" t="s">
        <v>856</v>
      </c>
      <c r="N438">
        <v>5190</v>
      </c>
      <c r="O438" t="s">
        <v>17</v>
      </c>
    </row>
    <row r="439" spans="1:15" hidden="1" x14ac:dyDescent="0.25">
      <c r="A439" t="s">
        <v>859</v>
      </c>
      <c r="B439" t="s">
        <v>860</v>
      </c>
      <c r="C439" t="e">
        <v>#NAME?</v>
      </c>
      <c r="D439" t="e">
        <v>#NAME?</v>
      </c>
      <c r="E439">
        <v>33510</v>
      </c>
      <c r="F439">
        <v>5</v>
      </c>
      <c r="G439">
        <v>3485</v>
      </c>
      <c r="H439" s="1">
        <v>46066</v>
      </c>
      <c r="I439" s="1">
        <v>46078</v>
      </c>
      <c r="J439" s="1">
        <v>46078</v>
      </c>
      <c r="K439" s="2">
        <v>0.45833333333333331</v>
      </c>
      <c r="M439" t="s">
        <v>856</v>
      </c>
      <c r="N439">
        <v>4019</v>
      </c>
      <c r="O439" t="s">
        <v>17</v>
      </c>
    </row>
    <row r="440" spans="1:15" hidden="1" x14ac:dyDescent="0.25">
      <c r="A440" t="s">
        <v>785</v>
      </c>
      <c r="B440" t="s">
        <v>861</v>
      </c>
      <c r="C440" t="e">
        <v>#NAME?</v>
      </c>
      <c r="D440" t="e">
        <v>#NAME?</v>
      </c>
      <c r="E440">
        <v>41421</v>
      </c>
      <c r="F440">
        <v>6</v>
      </c>
      <c r="G440">
        <v>4308</v>
      </c>
      <c r="H440" s="1">
        <v>46066</v>
      </c>
      <c r="I440" s="1">
        <v>46078</v>
      </c>
      <c r="J440" s="1">
        <v>46078</v>
      </c>
      <c r="K440" s="2">
        <v>0.45833333333333331</v>
      </c>
      <c r="M440" t="s">
        <v>856</v>
      </c>
      <c r="N440">
        <v>4968</v>
      </c>
      <c r="O440" t="s">
        <v>17</v>
      </c>
    </row>
    <row r="441" spans="1:15" hidden="1" x14ac:dyDescent="0.25">
      <c r="A441" t="s">
        <v>862</v>
      </c>
      <c r="B441" t="s">
        <v>863</v>
      </c>
      <c r="C441" t="e">
        <v>#NAME?</v>
      </c>
      <c r="D441" t="e">
        <v>#NAME?</v>
      </c>
      <c r="E441">
        <v>33116</v>
      </c>
      <c r="F441">
        <v>5</v>
      </c>
      <c r="G441">
        <v>4106</v>
      </c>
      <c r="H441" s="1">
        <v>46066</v>
      </c>
      <c r="I441" s="1">
        <v>46078</v>
      </c>
      <c r="J441" s="1">
        <v>46078</v>
      </c>
      <c r="K441" s="2">
        <v>0.45833333333333331</v>
      </c>
      <c r="M441" t="s">
        <v>856</v>
      </c>
      <c r="N441">
        <v>3972</v>
      </c>
      <c r="O441" t="s">
        <v>17</v>
      </c>
    </row>
    <row r="442" spans="1:15" hidden="1" x14ac:dyDescent="0.25">
      <c r="A442" t="s">
        <v>864</v>
      </c>
      <c r="B442" t="s">
        <v>865</v>
      </c>
      <c r="C442" t="e">
        <v>#NAME?</v>
      </c>
      <c r="D442" t="e">
        <v>#NAME?</v>
      </c>
      <c r="E442">
        <v>24543</v>
      </c>
      <c r="F442">
        <v>4</v>
      </c>
      <c r="G442">
        <v>3338</v>
      </c>
      <c r="H442" s="1">
        <v>46066</v>
      </c>
      <c r="I442" s="1">
        <v>46078</v>
      </c>
      <c r="J442" s="1">
        <v>46078</v>
      </c>
      <c r="K442" s="2">
        <v>0.47916666666666669</v>
      </c>
      <c r="M442" t="s">
        <v>866</v>
      </c>
      <c r="N442">
        <v>3393</v>
      </c>
      <c r="O442" t="s">
        <v>17</v>
      </c>
    </row>
    <row r="443" spans="1:15" hidden="1" x14ac:dyDescent="0.25">
      <c r="A443" t="s">
        <v>867</v>
      </c>
      <c r="B443" t="s">
        <v>868</v>
      </c>
      <c r="C443" t="e">
        <v>#NAME?</v>
      </c>
      <c r="D443" t="e">
        <v>#NAME?</v>
      </c>
      <c r="E443">
        <v>97805</v>
      </c>
      <c r="F443">
        <v>16</v>
      </c>
      <c r="G443">
        <v>12421</v>
      </c>
      <c r="H443" s="1">
        <v>46066</v>
      </c>
      <c r="I443" s="1">
        <v>46078</v>
      </c>
      <c r="J443" s="1">
        <v>46078</v>
      </c>
      <c r="K443" s="2">
        <v>0.47916666666666669</v>
      </c>
      <c r="M443" t="s">
        <v>869</v>
      </c>
      <c r="N443">
        <v>12736</v>
      </c>
      <c r="O443" t="s">
        <v>17</v>
      </c>
    </row>
    <row r="444" spans="1:15" hidden="1" x14ac:dyDescent="0.25">
      <c r="A444" t="s">
        <v>870</v>
      </c>
      <c r="B444" t="s">
        <v>871</v>
      </c>
      <c r="C444" t="e">
        <v>#NAME?</v>
      </c>
      <c r="D444" t="e">
        <v>#NAME?</v>
      </c>
      <c r="E444">
        <v>65078</v>
      </c>
      <c r="F444">
        <v>9</v>
      </c>
      <c r="G444">
        <v>7679</v>
      </c>
      <c r="H444" s="1">
        <v>46066</v>
      </c>
      <c r="I444" s="1">
        <v>46078</v>
      </c>
      <c r="J444" s="1">
        <v>46078</v>
      </c>
      <c r="K444" s="2">
        <v>0.47916666666666669</v>
      </c>
      <c r="M444" t="s">
        <v>869</v>
      </c>
      <c r="N444">
        <v>8105</v>
      </c>
      <c r="O444" t="s">
        <v>17</v>
      </c>
    </row>
    <row r="445" spans="1:15" hidden="1" x14ac:dyDescent="0.25">
      <c r="A445" t="s">
        <v>870</v>
      </c>
      <c r="B445" t="s">
        <v>872</v>
      </c>
      <c r="C445" t="e">
        <v>#NAME?</v>
      </c>
      <c r="D445" t="e">
        <v>#NAME?</v>
      </c>
      <c r="E445">
        <v>27789</v>
      </c>
      <c r="F445">
        <v>3</v>
      </c>
      <c r="G445">
        <v>3362</v>
      </c>
      <c r="H445" s="1">
        <v>46066</v>
      </c>
      <c r="I445" s="1">
        <v>46078</v>
      </c>
      <c r="J445" s="1">
        <v>46078</v>
      </c>
      <c r="K445" s="2">
        <v>0.47916666666666669</v>
      </c>
      <c r="M445" t="s">
        <v>869</v>
      </c>
      <c r="N445">
        <v>3592</v>
      </c>
      <c r="O445" t="s">
        <v>17</v>
      </c>
    </row>
    <row r="446" spans="1:15" hidden="1" x14ac:dyDescent="0.25">
      <c r="A446" t="s">
        <v>561</v>
      </c>
      <c r="B446" t="s">
        <v>873</v>
      </c>
      <c r="C446" t="e">
        <v>#NAME?</v>
      </c>
      <c r="D446" t="e">
        <v>#NAME?</v>
      </c>
      <c r="E446">
        <v>50307</v>
      </c>
      <c r="F446">
        <v>8</v>
      </c>
      <c r="G446">
        <v>6389</v>
      </c>
      <c r="H446" s="1">
        <v>46066</v>
      </c>
      <c r="I446" s="1">
        <v>46078</v>
      </c>
      <c r="J446" s="1">
        <v>46078</v>
      </c>
      <c r="K446" s="2">
        <v>0.47916666666666669</v>
      </c>
      <c r="M446" t="s">
        <v>847</v>
      </c>
      <c r="N446">
        <v>6540</v>
      </c>
      <c r="O446" t="s">
        <v>17</v>
      </c>
    </row>
    <row r="447" spans="1:15" hidden="1" x14ac:dyDescent="0.25">
      <c r="A447" t="s">
        <v>566</v>
      </c>
      <c r="B447" t="s">
        <v>874</v>
      </c>
      <c r="C447" t="e">
        <v>#NAME?</v>
      </c>
      <c r="D447" t="e">
        <v>#NAME?</v>
      </c>
      <c r="E447">
        <v>52305</v>
      </c>
      <c r="F447">
        <v>8</v>
      </c>
      <c r="G447">
        <v>3034</v>
      </c>
      <c r="H447" s="1">
        <v>46066</v>
      </c>
      <c r="I447" s="1">
        <v>46078</v>
      </c>
      <c r="J447" s="1">
        <v>46078</v>
      </c>
      <c r="K447" s="2">
        <v>0.47916666666666669</v>
      </c>
      <c r="M447" t="s">
        <v>847</v>
      </c>
      <c r="N447">
        <v>3194</v>
      </c>
      <c r="O447" t="s">
        <v>17</v>
      </c>
    </row>
    <row r="448" spans="1:15" hidden="1" x14ac:dyDescent="0.25">
      <c r="A448" t="s">
        <v>875</v>
      </c>
      <c r="B448" t="s">
        <v>876</v>
      </c>
      <c r="C448" t="e">
        <v>#NAME?</v>
      </c>
      <c r="D448" t="e">
        <v>#NAME?</v>
      </c>
      <c r="E448">
        <v>64162</v>
      </c>
      <c r="F448">
        <v>8</v>
      </c>
      <c r="G448">
        <v>9945</v>
      </c>
      <c r="H448" s="1">
        <v>46066</v>
      </c>
      <c r="I448" s="1">
        <v>46078</v>
      </c>
      <c r="J448" s="1">
        <v>46078</v>
      </c>
      <c r="K448" s="2">
        <v>0.47916666666666669</v>
      </c>
      <c r="M448" t="s">
        <v>877</v>
      </c>
      <c r="N448">
        <v>10010</v>
      </c>
      <c r="O448" t="s">
        <v>17</v>
      </c>
    </row>
    <row r="449" spans="1:15" hidden="1" x14ac:dyDescent="0.25">
      <c r="A449" t="s">
        <v>875</v>
      </c>
      <c r="B449" t="s">
        <v>878</v>
      </c>
      <c r="C449" t="e">
        <v>#NAME?</v>
      </c>
      <c r="D449" t="e">
        <v>#NAME?</v>
      </c>
      <c r="E449">
        <v>34861</v>
      </c>
      <c r="F449">
        <v>4</v>
      </c>
      <c r="G449">
        <v>4462</v>
      </c>
      <c r="H449" s="1">
        <v>46066</v>
      </c>
      <c r="I449" s="1">
        <v>46078</v>
      </c>
      <c r="J449" s="1">
        <v>46078</v>
      </c>
      <c r="K449" s="2">
        <v>0.47916666666666669</v>
      </c>
      <c r="M449" t="s">
        <v>847</v>
      </c>
      <c r="N449">
        <v>4516</v>
      </c>
      <c r="O449" t="s">
        <v>17</v>
      </c>
    </row>
    <row r="450" spans="1:15" hidden="1" x14ac:dyDescent="0.25">
      <c r="A450" t="s">
        <v>879</v>
      </c>
      <c r="B450" t="s">
        <v>880</v>
      </c>
      <c r="C450" t="e">
        <v>#NAME?</v>
      </c>
      <c r="D450" t="e">
        <v>#NAME?</v>
      </c>
      <c r="E450">
        <v>67758</v>
      </c>
      <c r="F450">
        <v>9</v>
      </c>
      <c r="G450">
        <v>9283</v>
      </c>
      <c r="H450" s="1">
        <v>46066</v>
      </c>
      <c r="I450" s="1">
        <v>46078</v>
      </c>
      <c r="J450" s="1">
        <v>46078</v>
      </c>
      <c r="K450" s="2">
        <v>0.47916666666666669</v>
      </c>
      <c r="M450" t="s">
        <v>847</v>
      </c>
      <c r="N450">
        <v>9508</v>
      </c>
      <c r="O450" t="s">
        <v>17</v>
      </c>
    </row>
    <row r="451" spans="1:15" hidden="1" x14ac:dyDescent="0.25">
      <c r="A451" t="s">
        <v>881</v>
      </c>
      <c r="B451" t="s">
        <v>882</v>
      </c>
      <c r="C451" t="e">
        <v>#NAME?</v>
      </c>
      <c r="D451" t="e">
        <v>#NAME?</v>
      </c>
      <c r="E451">
        <v>33343</v>
      </c>
      <c r="F451">
        <v>5</v>
      </c>
      <c r="G451">
        <v>3634</v>
      </c>
      <c r="H451" s="1">
        <v>46066</v>
      </c>
      <c r="I451" s="1">
        <v>46078</v>
      </c>
      <c r="J451" s="1">
        <v>46078</v>
      </c>
      <c r="K451" s="2">
        <v>0.54166666666666663</v>
      </c>
      <c r="M451" t="s">
        <v>866</v>
      </c>
      <c r="N451">
        <v>3707</v>
      </c>
      <c r="O451" t="s">
        <v>17</v>
      </c>
    </row>
    <row r="452" spans="1:15" hidden="1" x14ac:dyDescent="0.25">
      <c r="A452" t="s">
        <v>883</v>
      </c>
      <c r="B452" t="s">
        <v>884</v>
      </c>
      <c r="C452" t="e">
        <v>#NAME?</v>
      </c>
      <c r="D452" t="e">
        <v>#NAME?</v>
      </c>
      <c r="E452">
        <v>34343</v>
      </c>
      <c r="F452">
        <v>6</v>
      </c>
      <c r="G452">
        <v>4430</v>
      </c>
      <c r="H452" s="1">
        <v>46066</v>
      </c>
      <c r="I452" s="1">
        <v>46078</v>
      </c>
      <c r="J452" s="1">
        <v>46078</v>
      </c>
      <c r="K452" s="2">
        <v>0.54166666666666663</v>
      </c>
      <c r="M452" t="s">
        <v>866</v>
      </c>
      <c r="N452">
        <v>4822</v>
      </c>
      <c r="O452" t="s">
        <v>17</v>
      </c>
    </row>
    <row r="453" spans="1:15" hidden="1" x14ac:dyDescent="0.25">
      <c r="A453" t="s">
        <v>885</v>
      </c>
      <c r="B453" t="s">
        <v>886</v>
      </c>
      <c r="C453" t="e">
        <v>#NAME?</v>
      </c>
      <c r="D453" t="e">
        <v>#NAME?</v>
      </c>
      <c r="E453">
        <v>37528</v>
      </c>
      <c r="F453">
        <v>6</v>
      </c>
      <c r="G453">
        <v>5141</v>
      </c>
      <c r="H453" s="1">
        <v>46066</v>
      </c>
      <c r="I453" s="1">
        <v>46078</v>
      </c>
      <c r="J453" s="1">
        <v>46079</v>
      </c>
      <c r="K453" s="2">
        <v>0.47916666666666669</v>
      </c>
      <c r="M453" t="s">
        <v>887</v>
      </c>
      <c r="N453">
        <v>5111</v>
      </c>
      <c r="O453" t="s">
        <v>17</v>
      </c>
    </row>
    <row r="454" spans="1:15" hidden="1" x14ac:dyDescent="0.25">
      <c r="A454" t="s">
        <v>888</v>
      </c>
      <c r="B454" t="s">
        <v>889</v>
      </c>
      <c r="C454" t="e">
        <v>#NAME?</v>
      </c>
      <c r="D454" t="e">
        <v>#NAME?</v>
      </c>
      <c r="E454">
        <v>28186</v>
      </c>
      <c r="F454">
        <v>3</v>
      </c>
      <c r="G454">
        <v>3580</v>
      </c>
      <c r="H454" s="1">
        <v>46066</v>
      </c>
      <c r="I454" s="1">
        <v>46078</v>
      </c>
      <c r="J454" s="1">
        <v>46066</v>
      </c>
      <c r="K454" s="2">
        <v>0.54166666666666663</v>
      </c>
      <c r="M454" t="s">
        <v>432</v>
      </c>
      <c r="N454">
        <v>3156</v>
      </c>
      <c r="O454" t="s">
        <v>17</v>
      </c>
    </row>
    <row r="455" spans="1:15" hidden="1" x14ac:dyDescent="0.25">
      <c r="A455" t="s">
        <v>890</v>
      </c>
      <c r="B455" t="s">
        <v>891</v>
      </c>
      <c r="C455" t="e">
        <v>#NAME?</v>
      </c>
      <c r="D455" t="e">
        <v>#NAME?</v>
      </c>
      <c r="E455">
        <v>24092</v>
      </c>
      <c r="F455">
        <v>4</v>
      </c>
      <c r="G455">
        <v>2674</v>
      </c>
      <c r="H455" s="1">
        <v>46066</v>
      </c>
      <c r="I455" s="1">
        <v>46078</v>
      </c>
      <c r="J455" s="1">
        <v>46079</v>
      </c>
      <c r="K455" s="2">
        <v>0.54166666666666663</v>
      </c>
      <c r="N455">
        <v>2674</v>
      </c>
      <c r="O455" t="s">
        <v>17</v>
      </c>
    </row>
    <row r="456" spans="1:15" hidden="1" x14ac:dyDescent="0.25">
      <c r="A456" t="s">
        <v>892</v>
      </c>
      <c r="B456" t="s">
        <v>893</v>
      </c>
      <c r="C456" t="e">
        <v>#NAME?</v>
      </c>
      <c r="D456" t="e">
        <v>#NAME?</v>
      </c>
      <c r="E456">
        <v>30878</v>
      </c>
      <c r="F456">
        <v>3</v>
      </c>
      <c r="G456">
        <v>3397</v>
      </c>
      <c r="H456" s="1">
        <v>46066</v>
      </c>
      <c r="I456" s="1">
        <v>46078</v>
      </c>
      <c r="J456" s="1">
        <v>46079</v>
      </c>
      <c r="K456" s="2">
        <v>0.54166666666666663</v>
      </c>
      <c r="M456" t="s">
        <v>434</v>
      </c>
      <c r="N456">
        <v>3397</v>
      </c>
      <c r="O456" t="s">
        <v>17</v>
      </c>
    </row>
    <row r="457" spans="1:15" hidden="1" x14ac:dyDescent="0.25">
      <c r="A457" t="s">
        <v>894</v>
      </c>
      <c r="B457" t="s">
        <v>895</v>
      </c>
      <c r="C457" t="e">
        <v>#NAME?</v>
      </c>
      <c r="D457" t="e">
        <v>#NAME?</v>
      </c>
      <c r="E457">
        <v>23647</v>
      </c>
      <c r="F457">
        <v>3</v>
      </c>
      <c r="G457">
        <v>4493</v>
      </c>
      <c r="H457" s="1">
        <v>46066</v>
      </c>
      <c r="I457" s="1">
        <v>46079</v>
      </c>
      <c r="J457" s="1">
        <v>46078</v>
      </c>
      <c r="K457" s="2">
        <v>0.375</v>
      </c>
      <c r="M457" t="s">
        <v>896</v>
      </c>
      <c r="N457">
        <v>1620</v>
      </c>
      <c r="O457" t="s">
        <v>17</v>
      </c>
    </row>
    <row r="458" spans="1:15" hidden="1" x14ac:dyDescent="0.25">
      <c r="A458" t="s">
        <v>897</v>
      </c>
      <c r="B458" t="s">
        <v>898</v>
      </c>
      <c r="C458" t="e">
        <v>#NAME?</v>
      </c>
      <c r="D458" t="e">
        <v>#NAME?</v>
      </c>
      <c r="E458">
        <v>56744</v>
      </c>
      <c r="F458">
        <v>11</v>
      </c>
      <c r="G458">
        <v>7660</v>
      </c>
      <c r="H458" s="1">
        <v>46066</v>
      </c>
      <c r="I458" s="1">
        <v>46079</v>
      </c>
      <c r="J458" s="1">
        <v>46078</v>
      </c>
      <c r="K458" s="2">
        <v>0.375</v>
      </c>
      <c r="M458" t="s">
        <v>896</v>
      </c>
      <c r="N458">
        <v>1094</v>
      </c>
      <c r="O458" t="s">
        <v>17</v>
      </c>
    </row>
    <row r="459" spans="1:15" hidden="1" x14ac:dyDescent="0.25">
      <c r="A459" t="s">
        <v>885</v>
      </c>
      <c r="B459" t="s">
        <v>899</v>
      </c>
      <c r="C459" t="e">
        <v>#NAME?</v>
      </c>
      <c r="D459" t="e">
        <v>#NAME?</v>
      </c>
      <c r="E459">
        <v>74166</v>
      </c>
      <c r="F459">
        <v>10</v>
      </c>
      <c r="G459">
        <v>10161</v>
      </c>
      <c r="H459" s="1">
        <v>46066</v>
      </c>
      <c r="I459" s="1">
        <v>46079</v>
      </c>
      <c r="J459" s="1">
        <v>46078</v>
      </c>
      <c r="K459" s="2">
        <v>0.45833333333333331</v>
      </c>
      <c r="M459" t="s">
        <v>866</v>
      </c>
      <c r="N459">
        <v>6235</v>
      </c>
      <c r="O459" t="s">
        <v>17</v>
      </c>
    </row>
    <row r="460" spans="1:15" hidden="1" x14ac:dyDescent="0.25">
      <c r="A460" t="s">
        <v>900</v>
      </c>
      <c r="B460" t="s">
        <v>901</v>
      </c>
      <c r="C460" t="e">
        <v>#NAME?</v>
      </c>
      <c r="D460" t="e">
        <v>#NAME?</v>
      </c>
      <c r="E460">
        <v>24722</v>
      </c>
      <c r="F460">
        <v>5</v>
      </c>
      <c r="G460">
        <v>3066</v>
      </c>
      <c r="H460" s="1">
        <v>46066</v>
      </c>
      <c r="I460" s="1">
        <v>46079</v>
      </c>
      <c r="J460" s="1">
        <v>46079</v>
      </c>
      <c r="K460" s="2">
        <v>0.375</v>
      </c>
      <c r="M460" t="s">
        <v>902</v>
      </c>
      <c r="N460">
        <v>3027</v>
      </c>
      <c r="O460" t="s">
        <v>17</v>
      </c>
    </row>
    <row r="461" spans="1:15" hidden="1" x14ac:dyDescent="0.25">
      <c r="A461" t="s">
        <v>903</v>
      </c>
      <c r="B461" t="s">
        <v>904</v>
      </c>
      <c r="C461" t="e">
        <v>#NAME?</v>
      </c>
      <c r="D461" t="e">
        <v>#NAME?</v>
      </c>
      <c r="E461">
        <v>28232</v>
      </c>
      <c r="F461">
        <v>6</v>
      </c>
      <c r="G461">
        <v>3501</v>
      </c>
      <c r="H461" s="1">
        <v>46066</v>
      </c>
      <c r="I461" s="1">
        <v>46079</v>
      </c>
      <c r="J461" s="1">
        <v>46079</v>
      </c>
      <c r="K461" s="2">
        <v>0.39583333333333331</v>
      </c>
      <c r="M461" t="s">
        <v>902</v>
      </c>
      <c r="N461">
        <v>3442</v>
      </c>
      <c r="O461" t="s">
        <v>17</v>
      </c>
    </row>
    <row r="462" spans="1:15" hidden="1" x14ac:dyDescent="0.25">
      <c r="A462" t="s">
        <v>905</v>
      </c>
      <c r="B462" t="s">
        <v>906</v>
      </c>
      <c r="C462" t="e">
        <v>#NAME?</v>
      </c>
      <c r="D462" t="e">
        <v>#NAME?</v>
      </c>
      <c r="E462">
        <v>39914</v>
      </c>
      <c r="F462">
        <v>8</v>
      </c>
      <c r="G462">
        <v>4949</v>
      </c>
      <c r="H462" s="1">
        <v>46066</v>
      </c>
      <c r="I462" s="1">
        <v>46079</v>
      </c>
      <c r="J462" s="1">
        <v>46079</v>
      </c>
      <c r="K462" s="2">
        <v>0.39583333333333331</v>
      </c>
      <c r="M462" t="s">
        <v>907</v>
      </c>
      <c r="O462" t="s">
        <v>17</v>
      </c>
    </row>
    <row r="463" spans="1:15" hidden="1" x14ac:dyDescent="0.25">
      <c r="A463" t="s">
        <v>908</v>
      </c>
      <c r="B463" t="s">
        <v>909</v>
      </c>
      <c r="C463" t="e">
        <v>#NAME?</v>
      </c>
      <c r="D463" t="e">
        <v>#NAME?</v>
      </c>
      <c r="E463">
        <v>37256</v>
      </c>
      <c r="F463">
        <v>7</v>
      </c>
      <c r="G463">
        <v>4098</v>
      </c>
      <c r="H463" s="1">
        <v>46066</v>
      </c>
      <c r="I463" s="1">
        <v>46079</v>
      </c>
      <c r="J463" s="1">
        <v>46079</v>
      </c>
      <c r="K463" s="2">
        <v>0.39583333333333331</v>
      </c>
      <c r="M463" t="s">
        <v>902</v>
      </c>
      <c r="N463">
        <v>4164</v>
      </c>
      <c r="O463" t="s">
        <v>17</v>
      </c>
    </row>
    <row r="464" spans="1:15" hidden="1" x14ac:dyDescent="0.25">
      <c r="A464" t="s">
        <v>180</v>
      </c>
      <c r="B464" t="s">
        <v>910</v>
      </c>
      <c r="C464" t="e">
        <v>#NAME?</v>
      </c>
      <c r="D464" t="e">
        <v>#NAME?</v>
      </c>
      <c r="E464">
        <v>24440</v>
      </c>
      <c r="F464">
        <v>4</v>
      </c>
      <c r="G464">
        <v>3128</v>
      </c>
      <c r="H464" s="1">
        <v>46066</v>
      </c>
      <c r="I464" s="1">
        <v>46079</v>
      </c>
      <c r="J464" s="1">
        <v>46079</v>
      </c>
      <c r="K464" s="2">
        <v>0.41666666666666669</v>
      </c>
      <c r="M464" t="s">
        <v>911</v>
      </c>
      <c r="N464">
        <v>2886</v>
      </c>
      <c r="O464" t="s">
        <v>17</v>
      </c>
    </row>
    <row r="465" spans="1:15" hidden="1" x14ac:dyDescent="0.25">
      <c r="A465" t="s">
        <v>912</v>
      </c>
      <c r="B465" t="s">
        <v>913</v>
      </c>
      <c r="C465" t="e">
        <v>#NAME?</v>
      </c>
      <c r="D465" t="e">
        <v>#NAME?</v>
      </c>
      <c r="E465">
        <v>25997</v>
      </c>
      <c r="F465">
        <v>4</v>
      </c>
      <c r="G465">
        <v>3068</v>
      </c>
      <c r="H465" s="1">
        <v>46066</v>
      </c>
      <c r="I465" s="1">
        <v>46079</v>
      </c>
      <c r="J465" s="1">
        <v>46079</v>
      </c>
      <c r="K465" s="2">
        <v>0.41666666666666669</v>
      </c>
      <c r="M465" t="s">
        <v>911</v>
      </c>
      <c r="N465">
        <v>2810</v>
      </c>
      <c r="O465" t="s">
        <v>17</v>
      </c>
    </row>
    <row r="466" spans="1:15" hidden="1" x14ac:dyDescent="0.25">
      <c r="A466" t="s">
        <v>808</v>
      </c>
      <c r="B466" t="s">
        <v>914</v>
      </c>
      <c r="C466" t="e">
        <v>#NAME?</v>
      </c>
      <c r="D466" t="e">
        <v>#NAME?</v>
      </c>
      <c r="E466">
        <v>35045</v>
      </c>
      <c r="F466">
        <v>5</v>
      </c>
      <c r="G466">
        <v>4135</v>
      </c>
      <c r="H466" s="1">
        <v>46066</v>
      </c>
      <c r="I466" s="1">
        <v>46079</v>
      </c>
      <c r="J466" s="1">
        <v>46079</v>
      </c>
      <c r="K466" s="2">
        <v>0.41666666666666669</v>
      </c>
      <c r="M466" t="s">
        <v>911</v>
      </c>
      <c r="N466">
        <v>3859</v>
      </c>
      <c r="O466" t="s">
        <v>17</v>
      </c>
    </row>
    <row r="467" spans="1:15" hidden="1" x14ac:dyDescent="0.25">
      <c r="A467" t="s">
        <v>915</v>
      </c>
      <c r="B467" t="s">
        <v>916</v>
      </c>
      <c r="C467" t="e">
        <v>#NAME?</v>
      </c>
      <c r="D467" t="e">
        <v>#NAME?</v>
      </c>
      <c r="E467">
        <v>24440</v>
      </c>
      <c r="F467">
        <v>4</v>
      </c>
      <c r="G467">
        <v>3275</v>
      </c>
      <c r="H467" s="1">
        <v>46066</v>
      </c>
      <c r="I467" s="1">
        <v>46079</v>
      </c>
      <c r="J467" s="1">
        <v>46079</v>
      </c>
      <c r="K467" s="2">
        <v>0.4375</v>
      </c>
      <c r="M467" t="s">
        <v>917</v>
      </c>
      <c r="N467">
        <v>2932</v>
      </c>
      <c r="O467" t="s">
        <v>17</v>
      </c>
    </row>
    <row r="468" spans="1:15" hidden="1" x14ac:dyDescent="0.25">
      <c r="A468" t="s">
        <v>680</v>
      </c>
      <c r="B468" t="s">
        <v>918</v>
      </c>
      <c r="C468" t="e">
        <v>#NAME?</v>
      </c>
      <c r="D468" t="e">
        <v>#NAME?</v>
      </c>
      <c r="E468">
        <v>27303</v>
      </c>
      <c r="F468">
        <v>3</v>
      </c>
      <c r="G468">
        <v>2867</v>
      </c>
      <c r="H468" s="1">
        <v>46066</v>
      </c>
      <c r="I468" s="1">
        <v>46079</v>
      </c>
      <c r="J468" s="1">
        <v>46079</v>
      </c>
      <c r="K468" s="2">
        <v>0.4375</v>
      </c>
      <c r="M468" t="s">
        <v>917</v>
      </c>
      <c r="N468">
        <v>2879</v>
      </c>
      <c r="O468" t="s">
        <v>17</v>
      </c>
    </row>
    <row r="469" spans="1:15" hidden="1" x14ac:dyDescent="0.25">
      <c r="A469" t="s">
        <v>919</v>
      </c>
      <c r="B469" t="s">
        <v>920</v>
      </c>
      <c r="C469" t="e">
        <v>#NAME?</v>
      </c>
      <c r="D469" t="e">
        <v>#NAME?</v>
      </c>
      <c r="E469">
        <v>23995</v>
      </c>
      <c r="F469">
        <v>4</v>
      </c>
      <c r="G469">
        <v>2975</v>
      </c>
      <c r="H469" s="1">
        <v>46066</v>
      </c>
      <c r="I469" s="1">
        <v>46079</v>
      </c>
      <c r="J469" s="1">
        <v>46079</v>
      </c>
      <c r="K469" s="2">
        <v>0.4375</v>
      </c>
      <c r="M469" t="s">
        <v>917</v>
      </c>
      <c r="N469">
        <v>2838</v>
      </c>
      <c r="O469" t="s">
        <v>17</v>
      </c>
    </row>
    <row r="470" spans="1:15" hidden="1" x14ac:dyDescent="0.25">
      <c r="A470" t="s">
        <v>921</v>
      </c>
      <c r="B470" t="s">
        <v>922</v>
      </c>
      <c r="C470" t="e">
        <v>#NAME?</v>
      </c>
      <c r="D470" t="e">
        <v>#NAME?</v>
      </c>
      <c r="E470">
        <v>26850</v>
      </c>
      <c r="F470">
        <v>3</v>
      </c>
      <c r="G470">
        <v>2067</v>
      </c>
      <c r="H470" s="1">
        <v>46066</v>
      </c>
      <c r="I470" s="1">
        <v>46079</v>
      </c>
      <c r="J470" s="1">
        <v>46079</v>
      </c>
      <c r="K470" s="2">
        <v>0.4375</v>
      </c>
      <c r="M470" t="s">
        <v>917</v>
      </c>
      <c r="N470">
        <v>2093</v>
      </c>
      <c r="O470" t="s">
        <v>17</v>
      </c>
    </row>
    <row r="471" spans="1:15" hidden="1" x14ac:dyDescent="0.25">
      <c r="A471" t="s">
        <v>923</v>
      </c>
      <c r="B471" t="s">
        <v>924</v>
      </c>
      <c r="C471" t="e">
        <v>#NAME?</v>
      </c>
      <c r="D471" t="e">
        <v>#NAME?</v>
      </c>
      <c r="E471">
        <v>43149</v>
      </c>
      <c r="F471">
        <v>5</v>
      </c>
      <c r="G471">
        <v>4962</v>
      </c>
      <c r="H471" s="1">
        <v>46066</v>
      </c>
      <c r="I471" s="1">
        <v>46079</v>
      </c>
      <c r="J471" s="1">
        <v>46079</v>
      </c>
      <c r="K471" s="2">
        <v>0.4375</v>
      </c>
      <c r="M471" t="s">
        <v>917</v>
      </c>
      <c r="N471">
        <v>4915</v>
      </c>
      <c r="O471" t="s">
        <v>17</v>
      </c>
    </row>
    <row r="472" spans="1:15" hidden="1" x14ac:dyDescent="0.25">
      <c r="A472" t="s">
        <v>223</v>
      </c>
      <c r="B472" t="s">
        <v>925</v>
      </c>
      <c r="C472" t="e">
        <v>#NAME?</v>
      </c>
      <c r="D472" t="e">
        <v>#NAME?</v>
      </c>
      <c r="E472">
        <v>37493</v>
      </c>
      <c r="F472">
        <v>5</v>
      </c>
      <c r="G472">
        <v>3899</v>
      </c>
      <c r="H472" s="1">
        <v>46066</v>
      </c>
      <c r="I472" s="1">
        <v>46079</v>
      </c>
      <c r="J472" s="1">
        <v>46079</v>
      </c>
      <c r="K472" s="2">
        <v>0.4375</v>
      </c>
      <c r="M472" t="s">
        <v>917</v>
      </c>
      <c r="N472">
        <v>4697</v>
      </c>
      <c r="O472" t="s">
        <v>17</v>
      </c>
    </row>
    <row r="473" spans="1:15" hidden="1" x14ac:dyDescent="0.25">
      <c r="A473" t="s">
        <v>926</v>
      </c>
      <c r="B473" t="s">
        <v>927</v>
      </c>
      <c r="C473" t="e">
        <v>#NAME?</v>
      </c>
      <c r="D473" t="e">
        <v>#NAME?</v>
      </c>
      <c r="E473">
        <v>29333</v>
      </c>
      <c r="F473">
        <v>4</v>
      </c>
      <c r="G473">
        <v>3051</v>
      </c>
      <c r="H473" s="1">
        <v>46066</v>
      </c>
      <c r="I473" s="1">
        <v>46079</v>
      </c>
      <c r="J473" s="1">
        <v>46079</v>
      </c>
      <c r="K473" s="2">
        <v>0.4375</v>
      </c>
      <c r="M473" t="s">
        <v>917</v>
      </c>
      <c r="N473">
        <v>3518</v>
      </c>
      <c r="O473" t="s">
        <v>17</v>
      </c>
    </row>
    <row r="474" spans="1:15" hidden="1" x14ac:dyDescent="0.25">
      <c r="A474" t="s">
        <v>568</v>
      </c>
      <c r="B474" t="s">
        <v>928</v>
      </c>
      <c r="C474" t="e">
        <v>#NAME?</v>
      </c>
      <c r="D474" t="e">
        <v>#NAME?</v>
      </c>
      <c r="E474">
        <v>46119</v>
      </c>
      <c r="F474">
        <v>8</v>
      </c>
      <c r="G474">
        <v>5073</v>
      </c>
      <c r="H474" s="1">
        <v>46066</v>
      </c>
      <c r="I474" s="1">
        <v>46079</v>
      </c>
      <c r="J474" s="1">
        <v>46079</v>
      </c>
      <c r="K474" s="2">
        <v>0.45833333333333331</v>
      </c>
      <c r="M474" t="s">
        <v>866</v>
      </c>
      <c r="N474">
        <v>5071</v>
      </c>
      <c r="O474" t="s">
        <v>17</v>
      </c>
    </row>
    <row r="475" spans="1:15" hidden="1" x14ac:dyDescent="0.25">
      <c r="A475" t="s">
        <v>929</v>
      </c>
      <c r="B475" t="s">
        <v>930</v>
      </c>
      <c r="C475" t="e">
        <v>#NAME?</v>
      </c>
      <c r="D475" t="e">
        <v>#NAME?</v>
      </c>
      <c r="E475">
        <v>26259</v>
      </c>
      <c r="F475">
        <v>6</v>
      </c>
      <c r="G475">
        <v>4018</v>
      </c>
      <c r="H475" s="1">
        <v>46066</v>
      </c>
      <c r="I475" s="1">
        <v>46079</v>
      </c>
      <c r="J475" s="1">
        <v>46079</v>
      </c>
      <c r="K475" s="2">
        <v>0.45833333333333331</v>
      </c>
      <c r="M475" t="s">
        <v>866</v>
      </c>
      <c r="N475">
        <v>4165</v>
      </c>
      <c r="O475" t="s">
        <v>17</v>
      </c>
    </row>
    <row r="476" spans="1:15" hidden="1" x14ac:dyDescent="0.25">
      <c r="A476" t="s">
        <v>406</v>
      </c>
      <c r="B476" t="s">
        <v>931</v>
      </c>
      <c r="C476" t="e">
        <v>#NAME?</v>
      </c>
      <c r="D476" t="e">
        <v>#NAME?</v>
      </c>
      <c r="E476">
        <v>72259</v>
      </c>
      <c r="F476">
        <v>9</v>
      </c>
      <c r="G476">
        <v>6720</v>
      </c>
      <c r="H476" s="1">
        <v>46066</v>
      </c>
      <c r="I476" s="1">
        <v>46079</v>
      </c>
      <c r="J476" s="1">
        <v>46079</v>
      </c>
      <c r="K476" s="2">
        <v>0.45833333333333331</v>
      </c>
      <c r="M476" t="s">
        <v>866</v>
      </c>
      <c r="N476">
        <v>7225</v>
      </c>
      <c r="O476" t="s">
        <v>17</v>
      </c>
    </row>
    <row r="477" spans="1:15" hidden="1" x14ac:dyDescent="0.25">
      <c r="A477" t="s">
        <v>408</v>
      </c>
      <c r="B477" t="s">
        <v>932</v>
      </c>
      <c r="C477" t="e">
        <v>#NAME?</v>
      </c>
      <c r="D477" t="e">
        <v>#NAME?</v>
      </c>
      <c r="E477">
        <v>33222</v>
      </c>
      <c r="F477">
        <v>4</v>
      </c>
      <c r="G477">
        <v>3090</v>
      </c>
      <c r="H477" s="1">
        <v>46066</v>
      </c>
      <c r="I477" s="1">
        <v>46079</v>
      </c>
      <c r="J477" s="1">
        <v>46079</v>
      </c>
      <c r="K477" s="2">
        <v>0.45833333333333331</v>
      </c>
      <c r="M477" t="s">
        <v>866</v>
      </c>
      <c r="N477">
        <v>3444</v>
      </c>
      <c r="O477" t="s">
        <v>17</v>
      </c>
    </row>
    <row r="478" spans="1:15" hidden="1" x14ac:dyDescent="0.25">
      <c r="A478" t="s">
        <v>903</v>
      </c>
      <c r="B478" t="s">
        <v>933</v>
      </c>
      <c r="C478" t="e">
        <v>#NAME?</v>
      </c>
      <c r="D478" t="e">
        <v>#NAME?</v>
      </c>
      <c r="E478">
        <v>42762</v>
      </c>
      <c r="F478">
        <v>9</v>
      </c>
      <c r="G478">
        <v>5302</v>
      </c>
      <c r="H478" s="1">
        <v>46066</v>
      </c>
      <c r="I478" s="1">
        <v>46079</v>
      </c>
      <c r="J478" s="1">
        <v>46079</v>
      </c>
      <c r="K478" s="2">
        <v>0.5625</v>
      </c>
      <c r="N478">
        <v>6130</v>
      </c>
      <c r="O478" t="s">
        <v>17</v>
      </c>
    </row>
    <row r="479" spans="1:15" hidden="1" x14ac:dyDescent="0.25">
      <c r="A479" t="s">
        <v>905</v>
      </c>
      <c r="B479" t="s">
        <v>934</v>
      </c>
      <c r="C479" t="e">
        <v>#NAME?</v>
      </c>
      <c r="D479" t="e">
        <v>#NAME?</v>
      </c>
      <c r="E479">
        <v>43892</v>
      </c>
      <c r="F479">
        <v>8</v>
      </c>
      <c r="G479">
        <v>5355</v>
      </c>
      <c r="H479" s="1">
        <v>46066</v>
      </c>
      <c r="I479" s="1">
        <v>46079</v>
      </c>
      <c r="J479" s="1">
        <v>46079</v>
      </c>
      <c r="K479" s="2">
        <v>0.39583333333333331</v>
      </c>
      <c r="M479" t="s">
        <v>907</v>
      </c>
      <c r="O479" t="s">
        <v>17</v>
      </c>
    </row>
    <row r="480" spans="1:15" hidden="1" x14ac:dyDescent="0.25">
      <c r="A480" t="s">
        <v>935</v>
      </c>
      <c r="B480" t="s">
        <v>936</v>
      </c>
      <c r="C480" t="e">
        <v>#NAME?</v>
      </c>
      <c r="D480" t="e">
        <v>#NAME?</v>
      </c>
      <c r="E480">
        <v>54365</v>
      </c>
      <c r="F480">
        <v>9</v>
      </c>
      <c r="G480">
        <v>8698</v>
      </c>
      <c r="H480" s="1">
        <v>46066</v>
      </c>
      <c r="I480" s="1">
        <v>46079</v>
      </c>
      <c r="J480" s="1">
        <v>46079</v>
      </c>
      <c r="K480" s="2">
        <v>0.39583333333333331</v>
      </c>
      <c r="M480" t="s">
        <v>907</v>
      </c>
      <c r="O480" t="s">
        <v>17</v>
      </c>
    </row>
    <row r="481" spans="1:15" hidden="1" x14ac:dyDescent="0.25">
      <c r="A481" t="s">
        <v>848</v>
      </c>
      <c r="B481" t="s">
        <v>937</v>
      </c>
      <c r="C481" t="e">
        <v>#NAME?</v>
      </c>
      <c r="D481" t="e">
        <v>#NAME?</v>
      </c>
      <c r="E481">
        <v>186801</v>
      </c>
      <c r="F481">
        <v>32</v>
      </c>
      <c r="G481">
        <v>32690</v>
      </c>
      <c r="H481" s="1">
        <v>46066</v>
      </c>
      <c r="I481" s="1">
        <v>46079</v>
      </c>
      <c r="J481" s="1">
        <v>46079</v>
      </c>
      <c r="K481" s="2">
        <v>0.375</v>
      </c>
      <c r="M481" t="s">
        <v>938</v>
      </c>
      <c r="N481">
        <v>28224</v>
      </c>
      <c r="O481" t="s">
        <v>17</v>
      </c>
    </row>
    <row r="482" spans="1:15" hidden="1" x14ac:dyDescent="0.25">
      <c r="A482" t="s">
        <v>890</v>
      </c>
      <c r="B482" t="s">
        <v>939</v>
      </c>
      <c r="C482" t="e">
        <v>#NAME?</v>
      </c>
      <c r="D482" t="e">
        <v>#NAME?</v>
      </c>
      <c r="E482">
        <v>33286</v>
      </c>
      <c r="F482">
        <v>4</v>
      </c>
      <c r="G482">
        <v>2496</v>
      </c>
      <c r="H482" s="1">
        <v>46078</v>
      </c>
      <c r="I482" s="1">
        <v>46079</v>
      </c>
      <c r="J482" s="1">
        <v>46079</v>
      </c>
      <c r="K482" s="2">
        <v>0.625</v>
      </c>
      <c r="M482" t="s">
        <v>940</v>
      </c>
      <c r="N482">
        <v>2849</v>
      </c>
      <c r="O482" t="s">
        <v>17</v>
      </c>
    </row>
    <row r="483" spans="1:15" hidden="1" x14ac:dyDescent="0.25">
      <c r="A483" t="s">
        <v>941</v>
      </c>
      <c r="B483" t="s">
        <v>942</v>
      </c>
      <c r="C483" t="e">
        <v>#NAME?</v>
      </c>
      <c r="D483" t="e">
        <v>#NAME?</v>
      </c>
      <c r="E483">
        <v>44778</v>
      </c>
      <c r="F483">
        <v>6</v>
      </c>
      <c r="G483">
        <v>4164</v>
      </c>
      <c r="H483" s="1">
        <v>46078</v>
      </c>
      <c r="I483" s="1">
        <v>46079</v>
      </c>
      <c r="J483" s="1">
        <v>46079</v>
      </c>
      <c r="K483" s="2">
        <v>0.625</v>
      </c>
      <c r="M483" t="s">
        <v>940</v>
      </c>
      <c r="N483">
        <v>4650</v>
      </c>
      <c r="O483" t="s">
        <v>17</v>
      </c>
    </row>
    <row r="484" spans="1:15" hidden="1" x14ac:dyDescent="0.25">
      <c r="A484" t="s">
        <v>430</v>
      </c>
      <c r="B484" t="s">
        <v>943</v>
      </c>
      <c r="C484" t="e">
        <v>#NAME?</v>
      </c>
      <c r="D484" t="e">
        <v>#NAME?</v>
      </c>
      <c r="E484">
        <v>23964</v>
      </c>
      <c r="F484">
        <v>4</v>
      </c>
      <c r="G484">
        <v>2444</v>
      </c>
      <c r="H484" s="1">
        <v>46078</v>
      </c>
      <c r="I484" s="1">
        <v>46079</v>
      </c>
      <c r="J484" s="1">
        <v>46079</v>
      </c>
      <c r="K484" s="2">
        <v>0.625</v>
      </c>
      <c r="M484" t="s">
        <v>940</v>
      </c>
      <c r="N484">
        <v>2739</v>
      </c>
      <c r="O484" t="s">
        <v>17</v>
      </c>
    </row>
    <row r="485" spans="1:15" hidden="1" x14ac:dyDescent="0.25">
      <c r="A485" t="s">
        <v>564</v>
      </c>
      <c r="B485" t="s">
        <v>944</v>
      </c>
      <c r="C485" t="e">
        <v>#NAME?</v>
      </c>
      <c r="D485" t="e">
        <v>#NAME?</v>
      </c>
      <c r="E485">
        <v>38438</v>
      </c>
      <c r="F485">
        <v>5</v>
      </c>
      <c r="G485">
        <v>7342</v>
      </c>
      <c r="H485" s="1">
        <v>46066</v>
      </c>
      <c r="I485" s="1">
        <v>46079</v>
      </c>
      <c r="J485" s="1">
        <v>46079</v>
      </c>
      <c r="K485" s="2">
        <v>0.625</v>
      </c>
      <c r="M485" t="s">
        <v>887</v>
      </c>
      <c r="N485">
        <v>7646</v>
      </c>
      <c r="O485" t="s">
        <v>17</v>
      </c>
    </row>
    <row r="486" spans="1:15" hidden="1" x14ac:dyDescent="0.25">
      <c r="A486" t="s">
        <v>945</v>
      </c>
      <c r="B486" t="s">
        <v>946</v>
      </c>
      <c r="C486" t="e">
        <v>#NAME?</v>
      </c>
      <c r="D486" t="e">
        <v>#NAME?</v>
      </c>
      <c r="E486">
        <v>50164</v>
      </c>
      <c r="F486">
        <v>7</v>
      </c>
      <c r="G486">
        <v>5869</v>
      </c>
      <c r="H486" s="1">
        <v>46066</v>
      </c>
      <c r="I486" s="1">
        <v>46080</v>
      </c>
      <c r="J486" s="1">
        <v>46080</v>
      </c>
      <c r="K486" s="2">
        <v>0.375</v>
      </c>
      <c r="M486" t="s">
        <v>947</v>
      </c>
      <c r="N486">
        <v>4794</v>
      </c>
      <c r="O486" t="s">
        <v>17</v>
      </c>
    </row>
    <row r="487" spans="1:15" hidden="1" x14ac:dyDescent="0.25">
      <c r="A487" t="s">
        <v>948</v>
      </c>
      <c r="B487" t="s">
        <v>949</v>
      </c>
      <c r="C487" t="e">
        <v>#NAME?</v>
      </c>
      <c r="D487" t="e">
        <v>#NAME?</v>
      </c>
      <c r="E487">
        <v>27110</v>
      </c>
      <c r="F487">
        <v>4</v>
      </c>
      <c r="G487">
        <v>5422</v>
      </c>
      <c r="H487" s="1">
        <v>46066</v>
      </c>
      <c r="I487" s="1">
        <v>46080</v>
      </c>
      <c r="J487" s="1">
        <v>46080</v>
      </c>
      <c r="K487" s="2">
        <v>0.375</v>
      </c>
      <c r="M487" t="s">
        <v>947</v>
      </c>
      <c r="N487">
        <v>4285</v>
      </c>
      <c r="O487" t="s">
        <v>17</v>
      </c>
    </row>
    <row r="488" spans="1:15" hidden="1" x14ac:dyDescent="0.25">
      <c r="A488" t="s">
        <v>950</v>
      </c>
      <c r="B488" t="s">
        <v>951</v>
      </c>
      <c r="C488" t="e">
        <v>#NAME?</v>
      </c>
      <c r="D488" t="e">
        <v>#NAME?</v>
      </c>
      <c r="E488">
        <v>40831</v>
      </c>
      <c r="F488">
        <v>3</v>
      </c>
      <c r="G488">
        <v>4083</v>
      </c>
      <c r="H488" s="1">
        <v>46066</v>
      </c>
      <c r="I488" s="1">
        <v>46080</v>
      </c>
      <c r="J488" s="1">
        <v>46080</v>
      </c>
      <c r="K488" s="2">
        <v>0.375</v>
      </c>
      <c r="M488" t="s">
        <v>947</v>
      </c>
      <c r="N488">
        <v>4083</v>
      </c>
      <c r="O488" t="s">
        <v>17</v>
      </c>
    </row>
    <row r="489" spans="1:15" hidden="1" x14ac:dyDescent="0.25">
      <c r="A489" t="s">
        <v>850</v>
      </c>
      <c r="B489" t="s">
        <v>952</v>
      </c>
      <c r="C489" t="e">
        <v>#NAME?</v>
      </c>
      <c r="D489" t="e">
        <v>#NAME?</v>
      </c>
      <c r="E489">
        <v>49353</v>
      </c>
      <c r="F489">
        <v>5</v>
      </c>
      <c r="G489">
        <v>4935</v>
      </c>
      <c r="H489" s="1">
        <v>46066</v>
      </c>
      <c r="I489" s="1">
        <v>46080</v>
      </c>
      <c r="J489" s="1">
        <v>46080</v>
      </c>
      <c r="K489" s="2">
        <v>0.375</v>
      </c>
      <c r="M489" t="s">
        <v>947</v>
      </c>
      <c r="N489">
        <v>2836</v>
      </c>
      <c r="O489" t="s">
        <v>17</v>
      </c>
    </row>
    <row r="490" spans="1:15" hidden="1" x14ac:dyDescent="0.25">
      <c r="A490" t="s">
        <v>953</v>
      </c>
      <c r="B490" t="s">
        <v>954</v>
      </c>
      <c r="C490" t="e">
        <v>#NAME?</v>
      </c>
      <c r="D490" t="e">
        <v>#NAME?</v>
      </c>
      <c r="E490">
        <v>40801</v>
      </c>
      <c r="F490">
        <v>4</v>
      </c>
      <c r="G490">
        <v>2856</v>
      </c>
      <c r="H490" s="1">
        <v>46066</v>
      </c>
      <c r="I490" s="1">
        <v>46080</v>
      </c>
      <c r="J490" s="1">
        <v>46080</v>
      </c>
      <c r="K490" s="2">
        <v>0.375</v>
      </c>
      <c r="M490" t="s">
        <v>947</v>
      </c>
      <c r="N490">
        <v>2761</v>
      </c>
      <c r="O490" t="s">
        <v>17</v>
      </c>
    </row>
    <row r="491" spans="1:15" hidden="1" x14ac:dyDescent="0.25">
      <c r="A491" t="s">
        <v>955</v>
      </c>
      <c r="B491" t="s">
        <v>956</v>
      </c>
      <c r="C491" t="e">
        <v>#NAME?</v>
      </c>
      <c r="D491" t="e">
        <v>#NAME?</v>
      </c>
      <c r="E491">
        <v>29333</v>
      </c>
      <c r="F491">
        <v>3</v>
      </c>
      <c r="G491">
        <v>2933</v>
      </c>
      <c r="H491" s="1">
        <v>46066</v>
      </c>
      <c r="I491" s="1">
        <v>46080</v>
      </c>
      <c r="J491" s="1">
        <v>46080</v>
      </c>
      <c r="K491" s="2">
        <v>0.375</v>
      </c>
      <c r="M491" t="s">
        <v>947</v>
      </c>
      <c r="N491">
        <v>1628</v>
      </c>
      <c r="O491" t="s">
        <v>17</v>
      </c>
    </row>
    <row r="492" spans="1:15" hidden="1" x14ac:dyDescent="0.25">
      <c r="A492" t="s">
        <v>957</v>
      </c>
      <c r="B492" t="s">
        <v>958</v>
      </c>
      <c r="C492" t="e">
        <v>#NAME?</v>
      </c>
      <c r="D492" t="e">
        <v>#NAME?</v>
      </c>
      <c r="E492">
        <v>24821</v>
      </c>
      <c r="F492">
        <v>4</v>
      </c>
      <c r="G492">
        <v>3723</v>
      </c>
      <c r="H492" s="1">
        <v>46066</v>
      </c>
      <c r="I492" s="1">
        <v>46080</v>
      </c>
      <c r="J492" s="1">
        <v>46080</v>
      </c>
      <c r="K492" s="2">
        <v>0.375</v>
      </c>
      <c r="M492" t="s">
        <v>947</v>
      </c>
      <c r="N492">
        <v>3659</v>
      </c>
      <c r="O492" t="s">
        <v>17</v>
      </c>
    </row>
    <row r="493" spans="1:15" hidden="1" x14ac:dyDescent="0.25">
      <c r="A493" t="s">
        <v>959</v>
      </c>
      <c r="B493" t="s">
        <v>960</v>
      </c>
      <c r="C493" t="e">
        <v>#NAME?</v>
      </c>
      <c r="D493" t="e">
        <v>#NAME?</v>
      </c>
      <c r="E493">
        <v>59216</v>
      </c>
      <c r="F493">
        <v>10</v>
      </c>
      <c r="G493">
        <v>5922</v>
      </c>
      <c r="H493" s="1">
        <v>46066</v>
      </c>
      <c r="I493" s="1">
        <v>46080</v>
      </c>
      <c r="J493" s="1">
        <v>46080</v>
      </c>
      <c r="K493" s="2">
        <v>0.39583333333333331</v>
      </c>
      <c r="M493" t="s">
        <v>961</v>
      </c>
      <c r="N493">
        <v>9844</v>
      </c>
      <c r="O493" t="s">
        <v>17</v>
      </c>
    </row>
    <row r="494" spans="1:15" hidden="1" x14ac:dyDescent="0.25">
      <c r="A494" t="s">
        <v>852</v>
      </c>
      <c r="B494" t="s">
        <v>962</v>
      </c>
      <c r="C494" t="e">
        <v>#NAME?</v>
      </c>
      <c r="D494" t="e">
        <v>#NAME?</v>
      </c>
      <c r="E494">
        <v>46790</v>
      </c>
      <c r="F494">
        <v>6</v>
      </c>
      <c r="G494">
        <v>5381</v>
      </c>
      <c r="H494" s="1">
        <v>46066</v>
      </c>
      <c r="I494" s="1">
        <v>46080</v>
      </c>
      <c r="J494" s="1">
        <v>46080</v>
      </c>
      <c r="K494" s="2">
        <v>0.39583333333333331</v>
      </c>
      <c r="M494" t="s">
        <v>961</v>
      </c>
      <c r="N494">
        <v>4911</v>
      </c>
      <c r="O494" t="s">
        <v>17</v>
      </c>
    </row>
    <row r="495" spans="1:15" hidden="1" x14ac:dyDescent="0.25">
      <c r="A495" t="s">
        <v>957</v>
      </c>
      <c r="B495" t="s">
        <v>963</v>
      </c>
      <c r="C495" t="e">
        <v>#NAME?</v>
      </c>
      <c r="D495" t="e">
        <v>#NAME?</v>
      </c>
      <c r="E495">
        <v>50573</v>
      </c>
      <c r="F495">
        <v>5</v>
      </c>
      <c r="G495">
        <v>3793</v>
      </c>
      <c r="H495" s="1">
        <v>46066</v>
      </c>
      <c r="I495" s="1">
        <v>46080</v>
      </c>
      <c r="J495" s="1">
        <v>46080</v>
      </c>
      <c r="K495" s="2">
        <v>0.39583333333333331</v>
      </c>
      <c r="M495" t="s">
        <v>961</v>
      </c>
      <c r="N495">
        <v>4122</v>
      </c>
      <c r="O495" t="s">
        <v>17</v>
      </c>
    </row>
    <row r="496" spans="1:15" hidden="1" x14ac:dyDescent="0.25">
      <c r="A496" t="s">
        <v>826</v>
      </c>
      <c r="B496" t="s">
        <v>964</v>
      </c>
      <c r="C496" t="e">
        <v>#NAME?</v>
      </c>
      <c r="D496" t="e">
        <v>#NAME?</v>
      </c>
      <c r="E496">
        <v>23624</v>
      </c>
      <c r="F496">
        <v>4</v>
      </c>
      <c r="G496">
        <v>2953</v>
      </c>
      <c r="H496" s="1">
        <v>46066</v>
      </c>
      <c r="I496" s="1">
        <v>46080</v>
      </c>
      <c r="J496" s="1">
        <v>46080</v>
      </c>
      <c r="K496" s="2">
        <v>0.39583333333333331</v>
      </c>
      <c r="M496" t="s">
        <v>961</v>
      </c>
      <c r="N496">
        <v>2770</v>
      </c>
      <c r="O496" t="s">
        <v>17</v>
      </c>
    </row>
    <row r="497" spans="1:15" hidden="1" x14ac:dyDescent="0.25">
      <c r="A497" t="s">
        <v>965</v>
      </c>
      <c r="B497" t="s">
        <v>966</v>
      </c>
      <c r="C497" t="e">
        <v>#NAME?</v>
      </c>
      <c r="D497" t="e">
        <v>#NAME?</v>
      </c>
      <c r="E497">
        <v>23935</v>
      </c>
      <c r="F497">
        <v>3</v>
      </c>
      <c r="G497">
        <v>2896</v>
      </c>
      <c r="H497" s="1">
        <v>46066</v>
      </c>
      <c r="I497" s="1">
        <v>46080</v>
      </c>
      <c r="J497" s="1">
        <v>46080</v>
      </c>
      <c r="K497" s="2">
        <v>0.4375</v>
      </c>
      <c r="M497" t="s">
        <v>967</v>
      </c>
      <c r="N497">
        <v>2896</v>
      </c>
      <c r="O497" t="s">
        <v>17</v>
      </c>
    </row>
    <row r="498" spans="1:15" hidden="1" x14ac:dyDescent="0.25">
      <c r="A498" t="s">
        <v>965</v>
      </c>
      <c r="B498" t="s">
        <v>968</v>
      </c>
      <c r="C498" t="e">
        <v>#NAME?</v>
      </c>
      <c r="D498" t="e">
        <v>#NAME?</v>
      </c>
      <c r="E498">
        <v>33476</v>
      </c>
      <c r="F498">
        <v>4</v>
      </c>
      <c r="G498">
        <v>3448</v>
      </c>
      <c r="H498" s="1">
        <v>46066</v>
      </c>
      <c r="I498" s="1">
        <v>46080</v>
      </c>
      <c r="J498" s="1">
        <v>46080</v>
      </c>
      <c r="K498" s="2">
        <v>0.4375</v>
      </c>
      <c r="M498" t="s">
        <v>967</v>
      </c>
      <c r="N498">
        <v>3448</v>
      </c>
      <c r="O498" t="s">
        <v>17</v>
      </c>
    </row>
    <row r="499" spans="1:15" hidden="1" x14ac:dyDescent="0.25">
      <c r="A499" t="s">
        <v>969</v>
      </c>
      <c r="B499" t="s">
        <v>970</v>
      </c>
      <c r="C499" t="e">
        <v>#NAME?</v>
      </c>
      <c r="D499" t="e">
        <v>#NAME?</v>
      </c>
      <c r="E499">
        <v>29479</v>
      </c>
      <c r="F499">
        <v>4</v>
      </c>
      <c r="G499">
        <v>2624</v>
      </c>
      <c r="H499" s="1">
        <v>46066</v>
      </c>
      <c r="I499" s="1">
        <v>46080</v>
      </c>
      <c r="J499" s="1">
        <v>46080</v>
      </c>
      <c r="K499" s="2">
        <v>0.4375</v>
      </c>
      <c r="M499" t="s">
        <v>967</v>
      </c>
      <c r="N499">
        <v>2624</v>
      </c>
      <c r="O499" t="s">
        <v>17</v>
      </c>
    </row>
    <row r="500" spans="1:15" hidden="1" x14ac:dyDescent="0.25">
      <c r="A500" t="s">
        <v>969</v>
      </c>
      <c r="B500" t="s">
        <v>971</v>
      </c>
      <c r="C500" t="e">
        <v>#NAME?</v>
      </c>
      <c r="D500" t="e">
        <v>#NAME?</v>
      </c>
      <c r="E500">
        <v>59425</v>
      </c>
      <c r="F500">
        <v>10</v>
      </c>
      <c r="G500">
        <v>9151</v>
      </c>
      <c r="H500" s="1">
        <v>46066</v>
      </c>
      <c r="I500" s="1">
        <v>46080</v>
      </c>
      <c r="J500" s="1">
        <v>46080</v>
      </c>
      <c r="K500" s="2">
        <v>0.4375</v>
      </c>
      <c r="M500" t="s">
        <v>967</v>
      </c>
      <c r="N500">
        <v>9151</v>
      </c>
      <c r="O500" t="s">
        <v>17</v>
      </c>
    </row>
    <row r="501" spans="1:15" hidden="1" x14ac:dyDescent="0.25">
      <c r="A501" t="s">
        <v>972</v>
      </c>
      <c r="B501" t="s">
        <v>973</v>
      </c>
      <c r="C501" t="e">
        <v>#NAME?</v>
      </c>
      <c r="D501" t="e">
        <v>#NAME?</v>
      </c>
      <c r="E501">
        <v>37983</v>
      </c>
      <c r="F501">
        <v>11</v>
      </c>
      <c r="G501">
        <v>7483</v>
      </c>
      <c r="H501" s="1">
        <v>46066</v>
      </c>
      <c r="I501" s="1">
        <v>46080</v>
      </c>
      <c r="J501" s="1">
        <v>46080</v>
      </c>
      <c r="K501" s="2">
        <v>0.4375</v>
      </c>
      <c r="M501" t="s">
        <v>967</v>
      </c>
      <c r="N501">
        <v>7483</v>
      </c>
      <c r="O501" t="s">
        <v>17</v>
      </c>
    </row>
    <row r="502" spans="1:15" hidden="1" x14ac:dyDescent="0.25">
      <c r="A502" t="s">
        <v>972</v>
      </c>
      <c r="B502" t="s">
        <v>974</v>
      </c>
      <c r="C502" t="e">
        <v>#NAME?</v>
      </c>
      <c r="D502" t="e">
        <v>#NAME?</v>
      </c>
      <c r="E502">
        <v>26653</v>
      </c>
      <c r="F502">
        <v>5</v>
      </c>
      <c r="G502">
        <v>2372</v>
      </c>
      <c r="H502" s="1">
        <v>46066</v>
      </c>
      <c r="I502" s="1">
        <v>46080</v>
      </c>
      <c r="J502" s="1">
        <v>46080</v>
      </c>
      <c r="K502" s="2">
        <v>0.4375</v>
      </c>
      <c r="M502" t="s">
        <v>967</v>
      </c>
      <c r="N502">
        <v>2372</v>
      </c>
      <c r="O502" t="s">
        <v>17</v>
      </c>
    </row>
    <row r="503" spans="1:15" hidden="1" x14ac:dyDescent="0.25">
      <c r="A503" t="s">
        <v>975</v>
      </c>
      <c r="B503" t="s">
        <v>976</v>
      </c>
      <c r="C503" t="e">
        <v>#NAME?</v>
      </c>
      <c r="D503" t="e">
        <v>#NAME?</v>
      </c>
      <c r="E503">
        <v>24920</v>
      </c>
      <c r="F503">
        <v>3</v>
      </c>
      <c r="G503">
        <v>2965</v>
      </c>
      <c r="H503" s="1">
        <v>46066</v>
      </c>
      <c r="I503" s="1">
        <v>46080</v>
      </c>
      <c r="J503" s="1">
        <v>46080</v>
      </c>
      <c r="K503" s="2">
        <v>0.4375</v>
      </c>
      <c r="M503" t="s">
        <v>967</v>
      </c>
      <c r="N503">
        <v>2965</v>
      </c>
      <c r="O503" t="s">
        <v>17</v>
      </c>
    </row>
    <row r="504" spans="1:15" hidden="1" x14ac:dyDescent="0.25">
      <c r="A504" t="s">
        <v>929</v>
      </c>
      <c r="B504" t="s">
        <v>977</v>
      </c>
      <c r="C504" t="e">
        <v>#NAME?</v>
      </c>
      <c r="D504" t="e">
        <v>#NAME?</v>
      </c>
      <c r="E504">
        <v>45119</v>
      </c>
      <c r="F504">
        <v>7</v>
      </c>
      <c r="G504">
        <v>5775</v>
      </c>
      <c r="H504" s="1">
        <v>46066</v>
      </c>
      <c r="I504" s="1">
        <v>46080</v>
      </c>
      <c r="J504" s="1">
        <v>46080</v>
      </c>
      <c r="K504" s="2">
        <v>0.47916666666666669</v>
      </c>
      <c r="M504" t="s">
        <v>429</v>
      </c>
      <c r="N504">
        <v>5775</v>
      </c>
      <c r="O504" t="s">
        <v>17</v>
      </c>
    </row>
    <row r="505" spans="1:15" hidden="1" x14ac:dyDescent="0.25">
      <c r="A505" t="s">
        <v>570</v>
      </c>
      <c r="B505" t="s">
        <v>978</v>
      </c>
      <c r="C505" t="e">
        <v>#NAME?</v>
      </c>
      <c r="D505" t="e">
        <v>#NAME?</v>
      </c>
      <c r="E505">
        <v>33086</v>
      </c>
      <c r="F505">
        <v>3</v>
      </c>
      <c r="G505">
        <v>2217</v>
      </c>
      <c r="H505" s="1">
        <v>46066</v>
      </c>
      <c r="I505" s="1">
        <v>46080</v>
      </c>
      <c r="J505" s="1">
        <v>46080</v>
      </c>
      <c r="K505" s="2">
        <v>0.47916666666666669</v>
      </c>
      <c r="M505" t="s">
        <v>979</v>
      </c>
      <c r="N505">
        <v>2290</v>
      </c>
      <c r="O505" t="s">
        <v>17</v>
      </c>
    </row>
    <row r="506" spans="1:15" hidden="1" x14ac:dyDescent="0.25">
      <c r="A506" t="s">
        <v>864</v>
      </c>
      <c r="B506" t="s">
        <v>980</v>
      </c>
      <c r="C506" t="e">
        <v>#NAME?</v>
      </c>
      <c r="D506" t="e">
        <v>#NAME?</v>
      </c>
      <c r="E506">
        <v>57648</v>
      </c>
      <c r="F506">
        <v>8</v>
      </c>
      <c r="G506">
        <v>6284</v>
      </c>
      <c r="H506" s="1">
        <v>46066</v>
      </c>
      <c r="I506" s="1">
        <v>46080</v>
      </c>
      <c r="J506" s="1">
        <v>46080</v>
      </c>
      <c r="K506" s="2">
        <v>0.47916666666666669</v>
      </c>
      <c r="M506" t="s">
        <v>429</v>
      </c>
      <c r="N506">
        <v>6510</v>
      </c>
      <c r="O506" t="s">
        <v>17</v>
      </c>
    </row>
    <row r="507" spans="1:15" hidden="1" x14ac:dyDescent="0.25">
      <c r="A507" t="s">
        <v>881</v>
      </c>
      <c r="B507" t="s">
        <v>981</v>
      </c>
      <c r="C507" t="e">
        <v>#NAME?</v>
      </c>
      <c r="D507" t="e">
        <v>#NAME?</v>
      </c>
      <c r="E507">
        <v>29031</v>
      </c>
      <c r="F507">
        <v>7</v>
      </c>
      <c r="G507">
        <v>4993</v>
      </c>
      <c r="H507" s="1">
        <v>46066</v>
      </c>
      <c r="I507" s="1">
        <v>46080</v>
      </c>
      <c r="J507" s="1">
        <v>46080</v>
      </c>
      <c r="K507" s="2">
        <v>0.47916666666666669</v>
      </c>
      <c r="M507" t="s">
        <v>979</v>
      </c>
      <c r="N507">
        <v>5145</v>
      </c>
      <c r="O507" t="s">
        <v>17</v>
      </c>
    </row>
    <row r="508" spans="1:15" hidden="1" x14ac:dyDescent="0.25">
      <c r="A508" t="s">
        <v>982</v>
      </c>
      <c r="B508" t="s">
        <v>983</v>
      </c>
      <c r="C508" t="e">
        <v>#NAME?</v>
      </c>
      <c r="D508" t="e">
        <v>#NAME?</v>
      </c>
      <c r="E508">
        <v>37129</v>
      </c>
      <c r="F508">
        <v>5</v>
      </c>
      <c r="G508">
        <v>3453</v>
      </c>
      <c r="H508" s="1">
        <v>46066</v>
      </c>
      <c r="I508" s="1">
        <v>46080</v>
      </c>
      <c r="J508" s="1">
        <v>46080</v>
      </c>
      <c r="K508" s="2">
        <v>0.47916666666666669</v>
      </c>
      <c r="M508" t="s">
        <v>59</v>
      </c>
      <c r="N508">
        <v>3856</v>
      </c>
      <c r="O508" t="s">
        <v>17</v>
      </c>
    </row>
    <row r="509" spans="1:15" hidden="1" x14ac:dyDescent="0.25">
      <c r="A509" t="s">
        <v>982</v>
      </c>
      <c r="B509" t="s">
        <v>984</v>
      </c>
      <c r="C509" t="e">
        <v>#NAME?</v>
      </c>
      <c r="D509" t="e">
        <v>#NAME?</v>
      </c>
      <c r="E509">
        <v>32121</v>
      </c>
      <c r="F509">
        <v>5</v>
      </c>
      <c r="G509">
        <v>2987</v>
      </c>
      <c r="H509" s="1">
        <v>46066</v>
      </c>
      <c r="I509" s="1">
        <v>46080</v>
      </c>
      <c r="J509" s="1">
        <v>46080</v>
      </c>
      <c r="K509" s="2">
        <v>0.47916666666666669</v>
      </c>
      <c r="M509" t="s">
        <v>979</v>
      </c>
      <c r="N509">
        <v>3345</v>
      </c>
      <c r="O509" t="s">
        <v>17</v>
      </c>
    </row>
    <row r="510" spans="1:15" hidden="1" x14ac:dyDescent="0.25">
      <c r="A510" t="s">
        <v>888</v>
      </c>
      <c r="B510" t="s">
        <v>985</v>
      </c>
      <c r="C510" t="e">
        <v>#NAME?</v>
      </c>
      <c r="D510" t="e">
        <v>#NAME?</v>
      </c>
      <c r="E510">
        <v>38127</v>
      </c>
      <c r="F510">
        <v>5</v>
      </c>
      <c r="G510">
        <v>3546</v>
      </c>
      <c r="H510" s="1">
        <v>46066</v>
      </c>
      <c r="I510" s="1">
        <v>46080</v>
      </c>
      <c r="J510" s="1">
        <v>46080</v>
      </c>
      <c r="K510" s="2">
        <v>0.47916666666666669</v>
      </c>
      <c r="M510" t="s">
        <v>979</v>
      </c>
      <c r="N510">
        <v>4038</v>
      </c>
      <c r="O510" t="s">
        <v>17</v>
      </c>
    </row>
    <row r="511" spans="1:15" hidden="1" x14ac:dyDescent="0.25">
      <c r="A511" t="s">
        <v>986</v>
      </c>
      <c r="B511" t="s">
        <v>987</v>
      </c>
      <c r="C511" t="e">
        <v>#NAME?</v>
      </c>
      <c r="D511" t="e">
        <v>#NAME?</v>
      </c>
      <c r="E511">
        <v>51194</v>
      </c>
      <c r="F511">
        <v>8</v>
      </c>
      <c r="G511">
        <v>5683</v>
      </c>
      <c r="H511" s="1">
        <v>46066</v>
      </c>
      <c r="I511" s="1">
        <v>46080</v>
      </c>
      <c r="J511" s="1">
        <v>46080</v>
      </c>
      <c r="K511" s="2">
        <v>0.47916666666666669</v>
      </c>
      <c r="M511" t="s">
        <v>979</v>
      </c>
      <c r="N511">
        <v>6252</v>
      </c>
      <c r="O511" t="s">
        <v>17</v>
      </c>
    </row>
    <row r="512" spans="1:15" hidden="1" x14ac:dyDescent="0.25">
      <c r="A512" t="s">
        <v>986</v>
      </c>
      <c r="B512" t="s">
        <v>988</v>
      </c>
      <c r="C512" t="e">
        <v>#NAME?</v>
      </c>
      <c r="D512" t="e">
        <v>#NAME?</v>
      </c>
      <c r="E512">
        <v>32816</v>
      </c>
      <c r="F512">
        <v>2</v>
      </c>
      <c r="G512">
        <v>2133</v>
      </c>
      <c r="H512" s="1">
        <v>46066</v>
      </c>
      <c r="I512" s="1">
        <v>46080</v>
      </c>
      <c r="J512" s="1">
        <v>46080</v>
      </c>
      <c r="K512" s="2">
        <v>0.47916666666666669</v>
      </c>
      <c r="M512" t="s">
        <v>59</v>
      </c>
      <c r="N512">
        <v>1997</v>
      </c>
      <c r="O512" t="s">
        <v>17</v>
      </c>
    </row>
    <row r="513" spans="1:15" hidden="1" x14ac:dyDescent="0.25">
      <c r="A513" t="s">
        <v>989</v>
      </c>
      <c r="B513" t="s">
        <v>990</v>
      </c>
      <c r="C513" t="e">
        <v>#NAME?</v>
      </c>
      <c r="D513" t="e">
        <v>#NAME?</v>
      </c>
      <c r="E513">
        <v>45467</v>
      </c>
      <c r="F513">
        <v>6</v>
      </c>
      <c r="G513">
        <v>3455</v>
      </c>
      <c r="H513" s="1">
        <v>46066</v>
      </c>
      <c r="I513" s="1">
        <v>46080</v>
      </c>
      <c r="J513" s="1">
        <v>46080</v>
      </c>
      <c r="K513" s="2">
        <v>0.47916666666666669</v>
      </c>
      <c r="M513" t="s">
        <v>429</v>
      </c>
      <c r="N513">
        <v>4850</v>
      </c>
      <c r="O513" t="s">
        <v>17</v>
      </c>
    </row>
    <row r="514" spans="1:15" hidden="1" x14ac:dyDescent="0.25">
      <c r="A514" t="s">
        <v>991</v>
      </c>
      <c r="B514" t="s">
        <v>992</v>
      </c>
      <c r="C514" t="e">
        <v>#NAME?</v>
      </c>
      <c r="D514" t="e">
        <v>#NAME?</v>
      </c>
      <c r="E514">
        <v>33177</v>
      </c>
      <c r="F514">
        <v>4</v>
      </c>
      <c r="G514">
        <v>1659</v>
      </c>
      <c r="H514" s="1">
        <v>46066</v>
      </c>
      <c r="I514" s="1">
        <v>46080</v>
      </c>
      <c r="J514" s="1">
        <v>46080</v>
      </c>
      <c r="K514" s="2">
        <v>0.47916666666666669</v>
      </c>
      <c r="M514" t="s">
        <v>59</v>
      </c>
      <c r="N514">
        <v>2811</v>
      </c>
      <c r="O514" t="s">
        <v>17</v>
      </c>
    </row>
    <row r="515" spans="1:15" hidden="1" x14ac:dyDescent="0.25">
      <c r="A515" t="s">
        <v>993</v>
      </c>
      <c r="B515" t="s">
        <v>994</v>
      </c>
      <c r="C515" t="e">
        <v>#NAME?</v>
      </c>
      <c r="D515" t="e">
        <v>#NAME?</v>
      </c>
      <c r="E515">
        <v>30257</v>
      </c>
      <c r="F515">
        <v>3</v>
      </c>
      <c r="G515">
        <v>3631</v>
      </c>
      <c r="H515" s="1">
        <v>46066</v>
      </c>
      <c r="I515" s="1">
        <v>46080</v>
      </c>
      <c r="J515" s="1">
        <v>46080</v>
      </c>
      <c r="K515" s="2">
        <v>0.47916666666666669</v>
      </c>
      <c r="M515" t="s">
        <v>995</v>
      </c>
      <c r="N515">
        <v>3746</v>
      </c>
      <c r="O515" t="s">
        <v>17</v>
      </c>
    </row>
    <row r="516" spans="1:15" hidden="1" x14ac:dyDescent="0.25">
      <c r="A516" t="s">
        <v>867</v>
      </c>
      <c r="B516" t="s">
        <v>996</v>
      </c>
      <c r="C516" t="e">
        <v>#NAME?</v>
      </c>
      <c r="D516" t="e">
        <v>#NAME?</v>
      </c>
      <c r="E516">
        <v>37998</v>
      </c>
      <c r="F516">
        <v>5</v>
      </c>
      <c r="G516">
        <v>4142</v>
      </c>
      <c r="H516" s="1">
        <v>46078</v>
      </c>
      <c r="I516" s="1">
        <v>46080</v>
      </c>
      <c r="J516" s="1">
        <v>46080</v>
      </c>
      <c r="K516" s="2">
        <v>0.47916666666666669</v>
      </c>
      <c r="M516" t="s">
        <v>59</v>
      </c>
      <c r="N516">
        <v>3145</v>
      </c>
      <c r="O516" t="s">
        <v>17</v>
      </c>
    </row>
    <row r="517" spans="1:15" hidden="1" x14ac:dyDescent="0.25">
      <c r="A517" t="s">
        <v>879</v>
      </c>
      <c r="B517" t="s">
        <v>997</v>
      </c>
      <c r="C517" t="e">
        <v>#NAME?</v>
      </c>
      <c r="D517" t="e">
        <v>#NAME?</v>
      </c>
      <c r="E517">
        <v>39732</v>
      </c>
      <c r="F517">
        <v>7</v>
      </c>
      <c r="G517">
        <v>5443</v>
      </c>
      <c r="H517" s="1">
        <v>46079</v>
      </c>
      <c r="I517" s="1">
        <v>46080</v>
      </c>
      <c r="J517" s="1">
        <v>46080</v>
      </c>
      <c r="K517" s="2">
        <v>0.47916666666666669</v>
      </c>
      <c r="M517" t="s">
        <v>429</v>
      </c>
      <c r="N517">
        <v>5569</v>
      </c>
      <c r="O517" t="s">
        <v>17</v>
      </c>
    </row>
    <row r="518" spans="1:15" hidden="1" x14ac:dyDescent="0.25">
      <c r="A518" t="s">
        <v>998</v>
      </c>
      <c r="B518" t="s">
        <v>999</v>
      </c>
      <c r="C518" t="e">
        <v>#NAME?</v>
      </c>
      <c r="D518" t="e">
        <v>#NAME?</v>
      </c>
      <c r="E518">
        <v>24336</v>
      </c>
      <c r="F518">
        <v>6</v>
      </c>
      <c r="G518">
        <v>3626</v>
      </c>
      <c r="H518" s="1">
        <v>46064</v>
      </c>
      <c r="I518" s="1">
        <v>46080</v>
      </c>
      <c r="J518" s="1">
        <v>46080</v>
      </c>
      <c r="K518" s="2">
        <v>0.54166666666666663</v>
      </c>
      <c r="M518" t="s">
        <v>1000</v>
      </c>
      <c r="N518">
        <v>2415</v>
      </c>
      <c r="O518" t="s">
        <v>17</v>
      </c>
    </row>
    <row r="519" spans="1:15" hidden="1" x14ac:dyDescent="0.25">
      <c r="A519" t="s">
        <v>1001</v>
      </c>
      <c r="B519" t="s">
        <v>1002</v>
      </c>
      <c r="C519" t="e">
        <v>#NAME?</v>
      </c>
      <c r="D519" t="e">
        <v>#NAME?</v>
      </c>
      <c r="E519">
        <v>26526</v>
      </c>
      <c r="F519">
        <v>6</v>
      </c>
      <c r="G519">
        <v>3183</v>
      </c>
      <c r="H519" s="1">
        <v>46064</v>
      </c>
      <c r="I519" s="1">
        <v>46080</v>
      </c>
      <c r="J519" s="1">
        <v>46080</v>
      </c>
      <c r="K519" s="2">
        <v>0.54166666666666663</v>
      </c>
      <c r="M519" t="s">
        <v>1000</v>
      </c>
      <c r="N519">
        <v>3182</v>
      </c>
      <c r="O519" t="s">
        <v>17</v>
      </c>
    </row>
    <row r="520" spans="1:15" hidden="1" x14ac:dyDescent="0.25">
      <c r="A520" t="s">
        <v>1001</v>
      </c>
      <c r="B520" t="s">
        <v>1003</v>
      </c>
      <c r="C520" t="e">
        <v>#NAME?</v>
      </c>
      <c r="D520" t="e">
        <v>#NAME?</v>
      </c>
      <c r="E520">
        <v>44316</v>
      </c>
      <c r="F520">
        <v>10</v>
      </c>
      <c r="G520">
        <v>4875</v>
      </c>
      <c r="H520" s="1">
        <v>46064</v>
      </c>
      <c r="I520" s="1">
        <v>46080</v>
      </c>
      <c r="J520" s="1">
        <v>46080</v>
      </c>
      <c r="K520" s="2">
        <v>0.54166666666666663</v>
      </c>
      <c r="M520" t="s">
        <v>1000</v>
      </c>
      <c r="N520">
        <v>4374</v>
      </c>
      <c r="O520" t="s">
        <v>17</v>
      </c>
    </row>
    <row r="521" spans="1:15" hidden="1" x14ac:dyDescent="0.25">
      <c r="A521" t="s">
        <v>1004</v>
      </c>
      <c r="B521" t="s">
        <v>1005</v>
      </c>
      <c r="C521" t="e">
        <v>#NAME?</v>
      </c>
      <c r="D521" t="e">
        <v>#NAME?</v>
      </c>
      <c r="E521">
        <v>33074</v>
      </c>
      <c r="F521">
        <v>7</v>
      </c>
      <c r="G521">
        <v>4465</v>
      </c>
      <c r="H521" s="1">
        <v>46064</v>
      </c>
      <c r="I521" s="1">
        <v>46080</v>
      </c>
      <c r="J521" s="1">
        <v>46080</v>
      </c>
      <c r="K521" s="2">
        <v>0.54166666666666663</v>
      </c>
      <c r="M521" t="s">
        <v>1006</v>
      </c>
      <c r="N521">
        <v>4627</v>
      </c>
      <c r="O521" t="s">
        <v>17</v>
      </c>
    </row>
    <row r="522" spans="1:15" hidden="1" x14ac:dyDescent="0.25">
      <c r="A522" t="s">
        <v>1004</v>
      </c>
      <c r="B522" t="s">
        <v>1007</v>
      </c>
      <c r="C522" t="e">
        <v>#NAME?</v>
      </c>
      <c r="D522" t="e">
        <v>#NAME?</v>
      </c>
      <c r="E522">
        <v>41059</v>
      </c>
      <c r="F522">
        <v>9</v>
      </c>
      <c r="G522">
        <v>4516</v>
      </c>
      <c r="H522" s="1">
        <v>46064</v>
      </c>
      <c r="I522" s="1">
        <v>46080</v>
      </c>
      <c r="J522" s="1">
        <v>46080</v>
      </c>
      <c r="K522" s="2">
        <v>0.54166666666666663</v>
      </c>
      <c r="M522" t="s">
        <v>1006</v>
      </c>
      <c r="N522">
        <v>4328</v>
      </c>
      <c r="O522" t="s">
        <v>17</v>
      </c>
    </row>
    <row r="523" spans="1:15" hidden="1" x14ac:dyDescent="0.25">
      <c r="A523" t="s">
        <v>1008</v>
      </c>
      <c r="B523" t="s">
        <v>1009</v>
      </c>
      <c r="C523" t="e">
        <v>#NAME?</v>
      </c>
      <c r="D523" t="e">
        <v>#NAME?</v>
      </c>
      <c r="E523">
        <v>38252</v>
      </c>
      <c r="F523">
        <v>8</v>
      </c>
      <c r="G523">
        <v>4475</v>
      </c>
      <c r="H523" s="1">
        <v>46064</v>
      </c>
      <c r="I523" s="1">
        <v>46080</v>
      </c>
      <c r="J523" s="1">
        <v>46080</v>
      </c>
      <c r="K523" s="2">
        <v>0.54166666666666663</v>
      </c>
      <c r="M523" t="s">
        <v>1006</v>
      </c>
      <c r="N523">
        <v>4778</v>
      </c>
      <c r="O523" t="s">
        <v>17</v>
      </c>
    </row>
    <row r="524" spans="1:15" hidden="1" x14ac:dyDescent="0.25">
      <c r="A524" t="s">
        <v>1008</v>
      </c>
      <c r="B524" t="s">
        <v>1010</v>
      </c>
      <c r="C524" t="e">
        <v>#NAME?</v>
      </c>
      <c r="D524" t="e">
        <v>#NAME?</v>
      </c>
      <c r="E524">
        <v>23646</v>
      </c>
      <c r="F524">
        <v>5</v>
      </c>
      <c r="G524">
        <v>2601</v>
      </c>
      <c r="H524" s="1">
        <v>46064</v>
      </c>
      <c r="I524" s="1">
        <v>46080</v>
      </c>
      <c r="J524" s="1">
        <v>46080</v>
      </c>
      <c r="K524" s="2">
        <v>0.54166666666666663</v>
      </c>
      <c r="M524" t="s">
        <v>1006</v>
      </c>
      <c r="N524">
        <v>2160</v>
      </c>
      <c r="O524" t="s">
        <v>17</v>
      </c>
    </row>
    <row r="525" spans="1:15" hidden="1" x14ac:dyDescent="0.25">
      <c r="A525" t="s">
        <v>1011</v>
      </c>
      <c r="B525" t="s">
        <v>1012</v>
      </c>
      <c r="C525" t="e">
        <v>#NAME?</v>
      </c>
      <c r="D525" t="e">
        <v>#NAME?</v>
      </c>
      <c r="E525">
        <v>38337</v>
      </c>
      <c r="F525">
        <v>9</v>
      </c>
      <c r="G525">
        <v>5712</v>
      </c>
      <c r="H525" s="1">
        <v>46064</v>
      </c>
      <c r="I525" s="1">
        <v>46080</v>
      </c>
      <c r="J525" s="1">
        <v>46080</v>
      </c>
      <c r="K525" s="2">
        <v>0.54166666666666663</v>
      </c>
      <c r="M525" t="s">
        <v>1000</v>
      </c>
      <c r="N525">
        <v>5712</v>
      </c>
      <c r="O525" t="s">
        <v>17</v>
      </c>
    </row>
    <row r="526" spans="1:15" hidden="1" x14ac:dyDescent="0.25">
      <c r="A526" t="s">
        <v>435</v>
      </c>
      <c r="B526" t="s">
        <v>1013</v>
      </c>
      <c r="C526" t="e">
        <v>#NAME?</v>
      </c>
      <c r="D526" t="e">
        <v>#NAME?</v>
      </c>
      <c r="E526">
        <v>44126</v>
      </c>
      <c r="F526">
        <v>7</v>
      </c>
      <c r="G526">
        <v>6619</v>
      </c>
      <c r="H526" s="1">
        <v>46066</v>
      </c>
      <c r="I526" s="1">
        <v>46080</v>
      </c>
      <c r="J526" s="1">
        <v>46080</v>
      </c>
      <c r="K526" s="2">
        <v>0.58333333333333337</v>
      </c>
      <c r="N526">
        <v>6619</v>
      </c>
      <c r="O526" t="s">
        <v>17</v>
      </c>
    </row>
    <row r="527" spans="1:15" hidden="1" x14ac:dyDescent="0.25">
      <c r="A527" t="s">
        <v>1014</v>
      </c>
      <c r="B527" t="s">
        <v>1015</v>
      </c>
      <c r="C527" t="e">
        <v>#NAME?</v>
      </c>
      <c r="D527" t="e">
        <v>#NAME?</v>
      </c>
      <c r="E527">
        <v>33995</v>
      </c>
      <c r="F527">
        <v>4</v>
      </c>
      <c r="G527">
        <v>2720</v>
      </c>
      <c r="H527" s="1">
        <v>46066</v>
      </c>
      <c r="I527" s="1">
        <v>46080</v>
      </c>
      <c r="J527" s="1">
        <v>46080</v>
      </c>
      <c r="K527" s="2">
        <v>0.58333333333333337</v>
      </c>
      <c r="M527" t="s">
        <v>1016</v>
      </c>
      <c r="N527">
        <v>2719</v>
      </c>
      <c r="O527" t="s">
        <v>17</v>
      </c>
    </row>
    <row r="528" spans="1:15" hidden="1" x14ac:dyDescent="0.25">
      <c r="A528" t="s">
        <v>1017</v>
      </c>
      <c r="B528" t="s">
        <v>1018</v>
      </c>
      <c r="C528" t="e">
        <v>#NAME?</v>
      </c>
      <c r="D528" t="e">
        <v>#NAME?</v>
      </c>
      <c r="E528">
        <v>33446</v>
      </c>
      <c r="F528">
        <v>6</v>
      </c>
      <c r="G528">
        <v>3311</v>
      </c>
      <c r="H528" s="1">
        <v>46066</v>
      </c>
      <c r="I528" s="1">
        <v>46080</v>
      </c>
      <c r="J528" s="1">
        <v>46080</v>
      </c>
      <c r="K528" s="2">
        <v>0.58333333333333337</v>
      </c>
      <c r="N528">
        <v>3311</v>
      </c>
      <c r="O528" t="s">
        <v>17</v>
      </c>
    </row>
    <row r="529" spans="1:15" hidden="1" x14ac:dyDescent="0.25">
      <c r="A529" t="s">
        <v>1019</v>
      </c>
      <c r="B529" t="s">
        <v>1020</v>
      </c>
      <c r="C529" t="e">
        <v>#NAME?</v>
      </c>
      <c r="D529" t="e">
        <v>#NAME?</v>
      </c>
      <c r="E529">
        <v>40081</v>
      </c>
      <c r="F529">
        <v>6</v>
      </c>
      <c r="G529">
        <v>4609</v>
      </c>
      <c r="H529" s="1">
        <v>46066</v>
      </c>
      <c r="I529" s="1">
        <v>46080</v>
      </c>
      <c r="J529" s="1">
        <v>46080</v>
      </c>
      <c r="K529" s="2">
        <v>0.58333333333333337</v>
      </c>
      <c r="N529">
        <v>4609</v>
      </c>
      <c r="O529" t="s">
        <v>17</v>
      </c>
    </row>
    <row r="530" spans="1:15" hidden="1" x14ac:dyDescent="0.25">
      <c r="A530" t="s">
        <v>1019</v>
      </c>
      <c r="B530" t="s">
        <v>1021</v>
      </c>
      <c r="C530" t="e">
        <v>#NAME?</v>
      </c>
      <c r="D530" t="e">
        <v>#NAME?</v>
      </c>
      <c r="E530">
        <v>23707</v>
      </c>
      <c r="F530">
        <v>3</v>
      </c>
      <c r="G530">
        <v>2726</v>
      </c>
      <c r="H530" s="1">
        <v>46066</v>
      </c>
      <c r="I530" s="1">
        <v>46080</v>
      </c>
      <c r="J530" s="1">
        <v>46080</v>
      </c>
      <c r="K530" s="2">
        <v>0.58333333333333337</v>
      </c>
      <c r="N530">
        <v>2726</v>
      </c>
      <c r="O530" t="s">
        <v>17</v>
      </c>
    </row>
    <row r="531" spans="1:15" hidden="1" x14ac:dyDescent="0.25">
      <c r="A531" t="s">
        <v>1022</v>
      </c>
      <c r="B531" t="s">
        <v>1023</v>
      </c>
      <c r="C531" t="e">
        <v>#NAME?</v>
      </c>
      <c r="D531" t="e">
        <v>#NAME?</v>
      </c>
      <c r="E531">
        <v>51457</v>
      </c>
      <c r="F531">
        <v>9</v>
      </c>
      <c r="G531">
        <v>23619</v>
      </c>
      <c r="H531" s="1">
        <v>46066</v>
      </c>
      <c r="I531" s="1">
        <v>46083</v>
      </c>
      <c r="J531" s="1">
        <v>46083</v>
      </c>
      <c r="K531" s="2">
        <v>0.39583333333333331</v>
      </c>
      <c r="M531" t="s">
        <v>1024</v>
      </c>
      <c r="N531">
        <v>23114</v>
      </c>
      <c r="O531" t="s">
        <v>17</v>
      </c>
    </row>
    <row r="532" spans="1:15" hidden="1" x14ac:dyDescent="0.25">
      <c r="A532" t="s">
        <v>822</v>
      </c>
      <c r="B532" t="s">
        <v>1025</v>
      </c>
      <c r="C532" t="e">
        <v>#NAME?</v>
      </c>
      <c r="D532" t="e">
        <v>#NAME?</v>
      </c>
      <c r="E532">
        <v>165341</v>
      </c>
      <c r="F532">
        <v>15</v>
      </c>
      <c r="G532">
        <v>33068</v>
      </c>
      <c r="H532" s="1">
        <v>46066</v>
      </c>
      <c r="I532" s="1">
        <v>46083</v>
      </c>
      <c r="J532" s="1">
        <v>46083</v>
      </c>
      <c r="K532" s="2">
        <v>0.39583333333333331</v>
      </c>
      <c r="M532" t="s">
        <v>1024</v>
      </c>
      <c r="N532">
        <v>13501</v>
      </c>
      <c r="O532" t="s">
        <v>17</v>
      </c>
    </row>
    <row r="533" spans="1:15" hidden="1" x14ac:dyDescent="0.25">
      <c r="A533" t="s">
        <v>1026</v>
      </c>
      <c r="B533" t="s">
        <v>1027</v>
      </c>
      <c r="C533" t="e">
        <v>#NAME?</v>
      </c>
      <c r="D533" t="e">
        <v>#NAME?</v>
      </c>
      <c r="E533">
        <v>33161</v>
      </c>
      <c r="F533">
        <v>5</v>
      </c>
      <c r="G533">
        <v>3316</v>
      </c>
      <c r="H533" s="1">
        <v>46066</v>
      </c>
      <c r="I533" s="1">
        <v>46083</v>
      </c>
      <c r="J533" s="1">
        <v>46083</v>
      </c>
      <c r="K533" s="2">
        <v>0.41666666666666669</v>
      </c>
      <c r="M533" t="s">
        <v>1028</v>
      </c>
      <c r="N533">
        <v>2418</v>
      </c>
      <c r="O533" t="s">
        <v>17</v>
      </c>
    </row>
    <row r="534" spans="1:15" hidden="1" x14ac:dyDescent="0.25">
      <c r="A534" t="s">
        <v>1026</v>
      </c>
      <c r="B534" t="s">
        <v>1029</v>
      </c>
      <c r="C534" t="e">
        <v>#NAME?</v>
      </c>
      <c r="D534" t="e">
        <v>#NAME?</v>
      </c>
      <c r="E534">
        <v>23723</v>
      </c>
      <c r="F534">
        <v>4</v>
      </c>
      <c r="G534">
        <v>2372</v>
      </c>
      <c r="H534" s="1">
        <v>46066</v>
      </c>
      <c r="I534" s="1">
        <v>46083</v>
      </c>
      <c r="J534" s="1">
        <v>46083</v>
      </c>
      <c r="K534" s="2">
        <v>0.41666666666666669</v>
      </c>
      <c r="M534" t="s">
        <v>1028</v>
      </c>
      <c r="N534">
        <v>2523</v>
      </c>
      <c r="O534" t="s">
        <v>17</v>
      </c>
    </row>
    <row r="535" spans="1:15" hidden="1" x14ac:dyDescent="0.25">
      <c r="A535" t="s">
        <v>1030</v>
      </c>
      <c r="B535" t="s">
        <v>1031</v>
      </c>
      <c r="C535" t="e">
        <v>#NAME?</v>
      </c>
      <c r="D535" t="e">
        <v>#NAME?</v>
      </c>
      <c r="E535">
        <v>33583</v>
      </c>
      <c r="F535">
        <v>8</v>
      </c>
      <c r="G535">
        <v>5037</v>
      </c>
      <c r="H535" s="1">
        <v>46066</v>
      </c>
      <c r="I535" s="1">
        <v>46083</v>
      </c>
      <c r="J535" s="1">
        <v>46083</v>
      </c>
      <c r="K535" s="2">
        <v>0.41666666666666669</v>
      </c>
      <c r="M535" t="s">
        <v>1032</v>
      </c>
      <c r="N535">
        <v>5145</v>
      </c>
      <c r="O535" t="s">
        <v>17</v>
      </c>
    </row>
    <row r="536" spans="1:15" hidden="1" x14ac:dyDescent="0.25">
      <c r="A536" t="s">
        <v>1030</v>
      </c>
      <c r="B536" t="s">
        <v>1033</v>
      </c>
      <c r="C536" t="e">
        <v>#NAME?</v>
      </c>
      <c r="D536" t="e">
        <v>#NAME?</v>
      </c>
      <c r="E536">
        <v>33019</v>
      </c>
      <c r="F536">
        <v>13</v>
      </c>
      <c r="G536">
        <v>6604</v>
      </c>
      <c r="H536" s="1">
        <v>46066</v>
      </c>
      <c r="I536" s="1">
        <v>46083</v>
      </c>
      <c r="J536" s="1">
        <v>46083</v>
      </c>
      <c r="K536" s="2">
        <v>0.4375</v>
      </c>
      <c r="M536" t="s">
        <v>1034</v>
      </c>
      <c r="N536">
        <v>5903</v>
      </c>
      <c r="O536" t="s">
        <v>17</v>
      </c>
    </row>
    <row r="537" spans="1:15" hidden="1" x14ac:dyDescent="0.25">
      <c r="A537" t="s">
        <v>1035</v>
      </c>
      <c r="B537" t="s">
        <v>1036</v>
      </c>
      <c r="C537" t="e">
        <v>#NAME?</v>
      </c>
      <c r="D537" t="e">
        <v>#NAME?</v>
      </c>
      <c r="E537">
        <v>35582</v>
      </c>
      <c r="F537">
        <v>8</v>
      </c>
      <c r="G537">
        <v>5337</v>
      </c>
      <c r="H537" s="1">
        <v>46066</v>
      </c>
      <c r="I537" s="1">
        <v>46083</v>
      </c>
      <c r="J537" s="1">
        <v>46083</v>
      </c>
      <c r="K537" s="2">
        <v>0.4375</v>
      </c>
      <c r="M537" t="s">
        <v>1032</v>
      </c>
      <c r="N537">
        <v>5798</v>
      </c>
      <c r="O537" t="s">
        <v>17</v>
      </c>
    </row>
    <row r="538" spans="1:15" hidden="1" x14ac:dyDescent="0.25">
      <c r="A538" t="s">
        <v>1035</v>
      </c>
      <c r="B538" t="s">
        <v>1037</v>
      </c>
      <c r="C538" t="e">
        <v>#NAME?</v>
      </c>
      <c r="D538" t="e">
        <v>#NAME?</v>
      </c>
      <c r="E538">
        <v>25182</v>
      </c>
      <c r="F538">
        <v>16</v>
      </c>
      <c r="G538">
        <v>7555</v>
      </c>
      <c r="H538" s="1">
        <v>46066</v>
      </c>
      <c r="I538" s="1">
        <v>46083</v>
      </c>
      <c r="J538" s="1">
        <v>46083</v>
      </c>
      <c r="K538" s="2">
        <v>0.4375</v>
      </c>
      <c r="M538" t="s">
        <v>1034</v>
      </c>
      <c r="N538">
        <v>7744</v>
      </c>
      <c r="O538" t="s">
        <v>17</v>
      </c>
    </row>
    <row r="539" spans="1:15" hidden="1" x14ac:dyDescent="0.25">
      <c r="A539" t="s">
        <v>1038</v>
      </c>
      <c r="B539" t="s">
        <v>1039</v>
      </c>
      <c r="C539" t="e">
        <v>#NAME?</v>
      </c>
      <c r="D539" t="e">
        <v>#NAME?</v>
      </c>
      <c r="E539">
        <v>53322</v>
      </c>
      <c r="F539">
        <v>12</v>
      </c>
      <c r="G539">
        <v>7998</v>
      </c>
      <c r="H539" s="1">
        <v>46066</v>
      </c>
      <c r="I539" s="1">
        <v>46083</v>
      </c>
      <c r="J539" s="1">
        <v>46083</v>
      </c>
      <c r="K539" s="2">
        <v>0.45833333333333331</v>
      </c>
      <c r="M539" t="s">
        <v>1032</v>
      </c>
      <c r="N539">
        <v>8027</v>
      </c>
      <c r="O539" t="s">
        <v>17</v>
      </c>
    </row>
    <row r="540" spans="1:15" hidden="1" x14ac:dyDescent="0.25">
      <c r="A540" t="s">
        <v>1040</v>
      </c>
      <c r="B540" t="s">
        <v>1041</v>
      </c>
      <c r="C540" t="e">
        <v>#NAME?</v>
      </c>
      <c r="D540" t="e">
        <v>#NAME?</v>
      </c>
      <c r="E540">
        <v>76153</v>
      </c>
      <c r="F540">
        <v>14</v>
      </c>
      <c r="G540">
        <v>11423</v>
      </c>
      <c r="H540" s="1">
        <v>46066</v>
      </c>
      <c r="I540" s="1">
        <v>46083</v>
      </c>
      <c r="J540" s="1">
        <v>46083</v>
      </c>
      <c r="K540" s="2">
        <v>0.45833333333333331</v>
      </c>
      <c r="M540" t="s">
        <v>1028</v>
      </c>
      <c r="N540">
        <v>9255</v>
      </c>
      <c r="O540" t="s">
        <v>17</v>
      </c>
    </row>
    <row r="541" spans="1:15" hidden="1" x14ac:dyDescent="0.25">
      <c r="A541" t="s">
        <v>1040</v>
      </c>
      <c r="B541" t="s">
        <v>1042</v>
      </c>
      <c r="C541" t="e">
        <v>#NAME?</v>
      </c>
      <c r="D541" t="e">
        <v>#NAME?</v>
      </c>
      <c r="E541">
        <v>23799</v>
      </c>
      <c r="F541">
        <v>4</v>
      </c>
      <c r="G541">
        <v>2380</v>
      </c>
      <c r="H541" s="1">
        <v>46066</v>
      </c>
      <c r="I541" s="1">
        <v>46083</v>
      </c>
      <c r="J541" s="1">
        <v>46083</v>
      </c>
      <c r="K541" s="2">
        <v>0.45833333333333331</v>
      </c>
      <c r="M541" t="s">
        <v>1028</v>
      </c>
      <c r="N541">
        <v>2418</v>
      </c>
      <c r="O541" t="s">
        <v>17</v>
      </c>
    </row>
    <row r="542" spans="1:15" hidden="1" x14ac:dyDescent="0.25">
      <c r="A542" t="s">
        <v>1043</v>
      </c>
      <c r="B542" t="s">
        <v>1044</v>
      </c>
      <c r="C542" t="e">
        <v>#NAME?</v>
      </c>
      <c r="D542" t="e">
        <v>#NAME?</v>
      </c>
      <c r="E542">
        <v>23773</v>
      </c>
      <c r="F542">
        <v>4</v>
      </c>
      <c r="G542">
        <v>2948</v>
      </c>
      <c r="H542" s="1">
        <v>46066</v>
      </c>
      <c r="I542" s="1">
        <v>46083</v>
      </c>
      <c r="J542" s="1">
        <v>46083</v>
      </c>
      <c r="K542" s="2">
        <v>0.47916666666666669</v>
      </c>
      <c r="M542" t="s">
        <v>1045</v>
      </c>
      <c r="N542">
        <v>2852</v>
      </c>
      <c r="O542" t="s">
        <v>17</v>
      </c>
    </row>
    <row r="543" spans="1:15" hidden="1" x14ac:dyDescent="0.25">
      <c r="A543" t="s">
        <v>678</v>
      </c>
      <c r="B543" t="s">
        <v>1046</v>
      </c>
      <c r="C543" t="e">
        <v>#NAME?</v>
      </c>
      <c r="D543" t="e">
        <v>#NAME?</v>
      </c>
      <c r="E543">
        <v>33631</v>
      </c>
      <c r="F543">
        <v>4</v>
      </c>
      <c r="G543">
        <v>2892</v>
      </c>
      <c r="H543" s="1">
        <v>46066</v>
      </c>
      <c r="I543" s="1">
        <v>46083</v>
      </c>
      <c r="J543" s="1">
        <v>46083</v>
      </c>
      <c r="K543" s="2">
        <v>0.47916666666666669</v>
      </c>
      <c r="M543" t="s">
        <v>1047</v>
      </c>
      <c r="N543">
        <v>2880</v>
      </c>
      <c r="O543" t="s">
        <v>17</v>
      </c>
    </row>
    <row r="544" spans="1:15" hidden="1" x14ac:dyDescent="0.25">
      <c r="A544" t="s">
        <v>783</v>
      </c>
      <c r="B544" t="s">
        <v>379</v>
      </c>
      <c r="C544" t="e">
        <v>#NAME?</v>
      </c>
      <c r="D544" t="e">
        <v>#NAME?</v>
      </c>
      <c r="E544">
        <v>38175</v>
      </c>
      <c r="F544">
        <v>5</v>
      </c>
      <c r="G544">
        <v>4008</v>
      </c>
      <c r="H544" s="1">
        <v>46066</v>
      </c>
      <c r="I544" s="1">
        <v>46083</v>
      </c>
      <c r="J544" s="1">
        <v>46083</v>
      </c>
      <c r="K544" s="2">
        <v>0.47916666666666669</v>
      </c>
      <c r="M544" t="s">
        <v>1045</v>
      </c>
      <c r="N544">
        <v>3970</v>
      </c>
      <c r="O544" t="s">
        <v>17</v>
      </c>
    </row>
    <row r="545" spans="1:15" hidden="1" x14ac:dyDescent="0.25">
      <c r="A545" t="s">
        <v>1048</v>
      </c>
      <c r="B545" t="s">
        <v>1049</v>
      </c>
      <c r="C545" t="e">
        <v>#NAME?</v>
      </c>
      <c r="D545" t="e">
        <v>#NAME?</v>
      </c>
      <c r="E545">
        <v>32801</v>
      </c>
      <c r="F545">
        <v>5</v>
      </c>
      <c r="G545">
        <v>3411</v>
      </c>
      <c r="H545" s="1">
        <v>46066</v>
      </c>
      <c r="I545" s="1">
        <v>46083</v>
      </c>
      <c r="J545" s="1">
        <v>46083</v>
      </c>
      <c r="K545" s="2">
        <v>0.47916666666666669</v>
      </c>
      <c r="M545" t="s">
        <v>1047</v>
      </c>
      <c r="N545">
        <v>3934</v>
      </c>
      <c r="O545" t="s">
        <v>17</v>
      </c>
    </row>
    <row r="546" spans="1:15" hidden="1" x14ac:dyDescent="0.25">
      <c r="A546" t="s">
        <v>1050</v>
      </c>
      <c r="B546" t="s">
        <v>1051</v>
      </c>
      <c r="C546" t="e">
        <v>#NAME?</v>
      </c>
      <c r="D546" t="e">
        <v>#NAME?</v>
      </c>
      <c r="E546">
        <v>34231</v>
      </c>
      <c r="F546">
        <v>5</v>
      </c>
      <c r="G546">
        <v>3560</v>
      </c>
      <c r="H546" s="1">
        <v>46066</v>
      </c>
      <c r="I546" s="1">
        <v>46083</v>
      </c>
      <c r="J546" s="1">
        <v>46083</v>
      </c>
      <c r="K546" s="2">
        <v>0.47916666666666669</v>
      </c>
      <c r="M546" t="s">
        <v>1047</v>
      </c>
      <c r="N546">
        <v>4106</v>
      </c>
      <c r="O546" t="s">
        <v>17</v>
      </c>
    </row>
    <row r="547" spans="1:15" hidden="1" x14ac:dyDescent="0.25">
      <c r="A547" t="s">
        <v>1052</v>
      </c>
      <c r="B547" t="s">
        <v>1053</v>
      </c>
      <c r="C547" t="e">
        <v>#NAME?</v>
      </c>
      <c r="D547" t="e">
        <v>#NAME?</v>
      </c>
      <c r="E547">
        <v>45211</v>
      </c>
      <c r="F547">
        <v>5</v>
      </c>
      <c r="G547">
        <v>4069</v>
      </c>
      <c r="H547" s="1">
        <v>46066</v>
      </c>
      <c r="I547" s="1">
        <v>46083</v>
      </c>
      <c r="J547" s="1">
        <v>46083</v>
      </c>
      <c r="K547" s="2">
        <v>0.47916666666666669</v>
      </c>
      <c r="M547" t="s">
        <v>1047</v>
      </c>
      <c r="N547">
        <v>3884</v>
      </c>
      <c r="O547" t="s">
        <v>17</v>
      </c>
    </row>
    <row r="548" spans="1:15" hidden="1" x14ac:dyDescent="0.25">
      <c r="A548" t="s">
        <v>1054</v>
      </c>
      <c r="B548" t="s">
        <v>1055</v>
      </c>
      <c r="C548" t="e">
        <v>#NAME?</v>
      </c>
      <c r="D548" t="e">
        <v>#NAME?</v>
      </c>
      <c r="E548">
        <v>27088</v>
      </c>
      <c r="F548">
        <v>3</v>
      </c>
      <c r="G548">
        <v>2330</v>
      </c>
      <c r="H548" s="1">
        <v>46066</v>
      </c>
      <c r="I548" s="1">
        <v>46083</v>
      </c>
      <c r="J548" s="1">
        <v>46083</v>
      </c>
      <c r="K548" s="2">
        <v>0.5</v>
      </c>
      <c r="M548" t="s">
        <v>1045</v>
      </c>
      <c r="N548">
        <v>2327</v>
      </c>
      <c r="O548" t="s">
        <v>17</v>
      </c>
    </row>
    <row r="549" spans="1:15" hidden="1" x14ac:dyDescent="0.25">
      <c r="A549" t="s">
        <v>921</v>
      </c>
      <c r="B549" t="s">
        <v>1056</v>
      </c>
      <c r="C549" t="e">
        <v>#NAME?</v>
      </c>
      <c r="D549" t="e">
        <v>#NAME?</v>
      </c>
      <c r="E549">
        <v>35101</v>
      </c>
      <c r="F549">
        <v>3</v>
      </c>
      <c r="G549">
        <v>4107</v>
      </c>
      <c r="H549" s="1">
        <v>46066</v>
      </c>
      <c r="I549" s="1">
        <v>46083</v>
      </c>
      <c r="J549" s="1">
        <v>46083</v>
      </c>
      <c r="K549" s="2">
        <v>0.5</v>
      </c>
      <c r="M549" t="s">
        <v>1045</v>
      </c>
      <c r="N549">
        <v>2239</v>
      </c>
      <c r="O549" t="s">
        <v>17</v>
      </c>
    </row>
    <row r="550" spans="1:15" hidden="1" x14ac:dyDescent="0.25">
      <c r="A550" t="s">
        <v>1057</v>
      </c>
      <c r="B550" t="s">
        <v>1058</v>
      </c>
      <c r="C550" t="e">
        <v>#NAME?</v>
      </c>
      <c r="D550" t="e">
        <v>#NAME?</v>
      </c>
      <c r="E550">
        <v>33237</v>
      </c>
      <c r="F550">
        <v>4</v>
      </c>
      <c r="G550">
        <v>3158</v>
      </c>
      <c r="H550" s="1">
        <v>46066</v>
      </c>
      <c r="I550" s="1">
        <v>46083</v>
      </c>
      <c r="J550" s="1">
        <v>46083</v>
      </c>
      <c r="K550" s="2">
        <v>0.5</v>
      </c>
      <c r="M550" t="s">
        <v>1045</v>
      </c>
      <c r="N550">
        <v>3786</v>
      </c>
      <c r="O550" t="s">
        <v>17</v>
      </c>
    </row>
    <row r="551" spans="1:15" hidden="1" x14ac:dyDescent="0.25">
      <c r="A551" t="s">
        <v>1059</v>
      </c>
      <c r="B551" t="s">
        <v>1060</v>
      </c>
      <c r="C551" t="e">
        <v>#NAME?</v>
      </c>
      <c r="D551" t="e">
        <v>#NAME?</v>
      </c>
      <c r="E551">
        <v>33370</v>
      </c>
      <c r="F551">
        <v>4</v>
      </c>
      <c r="G551">
        <v>3838</v>
      </c>
      <c r="H551" s="1">
        <v>46066</v>
      </c>
      <c r="I551" s="1">
        <v>46083</v>
      </c>
      <c r="J551" s="1">
        <v>46083</v>
      </c>
      <c r="K551" s="2">
        <v>0.5</v>
      </c>
      <c r="M551" t="s">
        <v>1045</v>
      </c>
      <c r="N551">
        <v>3470</v>
      </c>
      <c r="O551" t="s">
        <v>17</v>
      </c>
    </row>
    <row r="552" spans="1:15" hidden="1" x14ac:dyDescent="0.25">
      <c r="A552" t="s">
        <v>1061</v>
      </c>
      <c r="B552" t="s">
        <v>1062</v>
      </c>
      <c r="C552" t="e">
        <v>#NAME?</v>
      </c>
      <c r="D552" t="e">
        <v>#NAME?</v>
      </c>
      <c r="E552">
        <v>33528</v>
      </c>
      <c r="F552">
        <v>4</v>
      </c>
      <c r="G552">
        <v>3520</v>
      </c>
      <c r="H552" s="1">
        <v>46066</v>
      </c>
      <c r="I552" s="1">
        <v>46083</v>
      </c>
      <c r="J552" s="1">
        <v>46083</v>
      </c>
      <c r="K552" s="2">
        <v>0.5</v>
      </c>
      <c r="M552" t="s">
        <v>1047</v>
      </c>
      <c r="N552">
        <v>3460</v>
      </c>
      <c r="O552" t="s">
        <v>17</v>
      </c>
    </row>
    <row r="553" spans="1:15" hidden="1" x14ac:dyDescent="0.25">
      <c r="A553" t="s">
        <v>1063</v>
      </c>
      <c r="B553" t="s">
        <v>1064</v>
      </c>
      <c r="C553" t="e">
        <v>#NAME?</v>
      </c>
      <c r="D553" t="e">
        <v>#NAME?</v>
      </c>
      <c r="E553">
        <v>25775</v>
      </c>
      <c r="F553">
        <v>4</v>
      </c>
      <c r="G553">
        <v>2681</v>
      </c>
      <c r="H553" s="1">
        <v>46066</v>
      </c>
      <c r="I553" s="1">
        <v>46083</v>
      </c>
      <c r="J553" s="1">
        <v>46083</v>
      </c>
      <c r="K553" s="2">
        <v>0.5</v>
      </c>
      <c r="M553" t="s">
        <v>1047</v>
      </c>
      <c r="N553">
        <v>3091</v>
      </c>
      <c r="O553" t="s">
        <v>17</v>
      </c>
    </row>
    <row r="554" spans="1:15" hidden="1" x14ac:dyDescent="0.25">
      <c r="A554" t="s">
        <v>1065</v>
      </c>
      <c r="B554" t="s">
        <v>1066</v>
      </c>
      <c r="C554" t="e">
        <v>#NAME?</v>
      </c>
      <c r="D554" t="e">
        <v>#NAME?</v>
      </c>
      <c r="E554">
        <v>29999</v>
      </c>
      <c r="F554">
        <v>3</v>
      </c>
      <c r="G554">
        <v>2580</v>
      </c>
      <c r="H554" s="1">
        <v>46066</v>
      </c>
      <c r="I554" s="1">
        <v>46083</v>
      </c>
      <c r="J554" s="1">
        <v>46083</v>
      </c>
      <c r="K554" s="2">
        <v>0.5</v>
      </c>
      <c r="M554" t="s">
        <v>1047</v>
      </c>
      <c r="N554">
        <v>2578</v>
      </c>
      <c r="O554" t="s">
        <v>17</v>
      </c>
    </row>
    <row r="555" spans="1:15" hidden="1" x14ac:dyDescent="0.25">
      <c r="A555" t="s">
        <v>1043</v>
      </c>
      <c r="B555" t="s">
        <v>1067</v>
      </c>
      <c r="C555" t="e">
        <v>#NAME?</v>
      </c>
      <c r="D555" t="e">
        <v>#NAME?</v>
      </c>
      <c r="E555">
        <v>50065</v>
      </c>
      <c r="F555">
        <v>5</v>
      </c>
      <c r="G555">
        <v>4806</v>
      </c>
      <c r="H555" s="1">
        <v>46066</v>
      </c>
      <c r="I555" s="1">
        <v>46083</v>
      </c>
      <c r="J555" s="1">
        <v>46083</v>
      </c>
      <c r="K555" s="2">
        <v>0.52083333333333337</v>
      </c>
      <c r="M555" t="s">
        <v>1068</v>
      </c>
      <c r="N555">
        <v>4803</v>
      </c>
      <c r="O555" t="s">
        <v>17</v>
      </c>
    </row>
    <row r="556" spans="1:15" hidden="1" x14ac:dyDescent="0.25">
      <c r="A556" t="s">
        <v>857</v>
      </c>
      <c r="B556" t="s">
        <v>1069</v>
      </c>
      <c r="C556" t="e">
        <v>#NAME?</v>
      </c>
      <c r="D556" t="e">
        <v>#NAME?</v>
      </c>
      <c r="E556">
        <v>33288</v>
      </c>
      <c r="F556">
        <v>5</v>
      </c>
      <c r="G556">
        <v>4128</v>
      </c>
      <c r="H556" s="1">
        <v>46066</v>
      </c>
      <c r="I556" s="1">
        <v>46083</v>
      </c>
      <c r="J556" s="1">
        <v>46083</v>
      </c>
      <c r="K556" s="2">
        <v>0.52083333333333337</v>
      </c>
      <c r="M556" t="s">
        <v>917</v>
      </c>
      <c r="N556">
        <v>3992</v>
      </c>
      <c r="O556" t="s">
        <v>17</v>
      </c>
    </row>
    <row r="557" spans="1:15" hidden="1" x14ac:dyDescent="0.25">
      <c r="A557" t="s">
        <v>1070</v>
      </c>
      <c r="B557" t="s">
        <v>1071</v>
      </c>
      <c r="C557" t="e">
        <v>#NAME?</v>
      </c>
      <c r="D557" t="e">
        <v>#NAME?</v>
      </c>
      <c r="E557">
        <v>44937</v>
      </c>
      <c r="F557">
        <v>7</v>
      </c>
      <c r="G557">
        <v>6426</v>
      </c>
      <c r="H557" s="1">
        <v>46066</v>
      </c>
      <c r="I557" s="1">
        <v>46083</v>
      </c>
      <c r="J557" s="1">
        <v>46083</v>
      </c>
      <c r="K557" s="2">
        <v>0.52083333333333337</v>
      </c>
      <c r="M557" t="s">
        <v>1068</v>
      </c>
      <c r="N557">
        <v>6133</v>
      </c>
      <c r="O557" t="s">
        <v>17</v>
      </c>
    </row>
    <row r="558" spans="1:15" hidden="1" x14ac:dyDescent="0.25">
      <c r="A558" t="s">
        <v>1072</v>
      </c>
      <c r="B558" t="s">
        <v>1073</v>
      </c>
      <c r="C558" t="e">
        <v>#NAME?</v>
      </c>
      <c r="D558" t="e">
        <v>#NAME?</v>
      </c>
      <c r="E558">
        <v>51315</v>
      </c>
      <c r="F558">
        <v>7</v>
      </c>
      <c r="G558">
        <v>6363</v>
      </c>
      <c r="H558" s="1">
        <v>46066</v>
      </c>
      <c r="I558" s="1">
        <v>46083</v>
      </c>
      <c r="J558" s="1">
        <v>46083</v>
      </c>
      <c r="K558" s="2">
        <v>0.52083333333333337</v>
      </c>
      <c r="M558" t="s">
        <v>917</v>
      </c>
      <c r="N558">
        <v>6155</v>
      </c>
      <c r="O558" t="s">
        <v>17</v>
      </c>
    </row>
    <row r="559" spans="1:15" hidden="1" x14ac:dyDescent="0.25">
      <c r="A559" t="s">
        <v>1074</v>
      </c>
      <c r="B559" t="s">
        <v>1075</v>
      </c>
      <c r="C559" t="e">
        <v>#NAME?</v>
      </c>
      <c r="D559" t="e">
        <v>#NAME?</v>
      </c>
      <c r="E559">
        <v>45881</v>
      </c>
      <c r="F559">
        <v>6</v>
      </c>
      <c r="G559">
        <v>5689</v>
      </c>
      <c r="H559" s="1">
        <v>46066</v>
      </c>
      <c r="I559" s="1">
        <v>46083</v>
      </c>
      <c r="J559" s="1">
        <v>46083</v>
      </c>
      <c r="K559" s="2">
        <v>0.52083333333333337</v>
      </c>
      <c r="M559" t="s">
        <v>917</v>
      </c>
      <c r="N559">
        <v>5502</v>
      </c>
      <c r="O559" t="s">
        <v>17</v>
      </c>
    </row>
    <row r="560" spans="1:15" hidden="1" x14ac:dyDescent="0.25">
      <c r="A560" t="s">
        <v>1076</v>
      </c>
      <c r="B560" t="s">
        <v>1077</v>
      </c>
      <c r="C560" t="e">
        <v>#NAME?</v>
      </c>
      <c r="D560" t="e">
        <v>#NAME?</v>
      </c>
      <c r="E560">
        <v>31846</v>
      </c>
      <c r="F560">
        <v>4</v>
      </c>
      <c r="G560">
        <v>3344</v>
      </c>
      <c r="H560" s="1">
        <v>46066</v>
      </c>
      <c r="I560" s="1">
        <v>46083</v>
      </c>
      <c r="J560" s="1">
        <v>46083</v>
      </c>
      <c r="K560" s="2"/>
      <c r="M560" t="s">
        <v>1078</v>
      </c>
      <c r="N560">
        <v>3237</v>
      </c>
      <c r="O560" t="s">
        <v>17</v>
      </c>
    </row>
    <row r="561" spans="1:15" hidden="1" x14ac:dyDescent="0.25">
      <c r="A561" t="s">
        <v>1079</v>
      </c>
      <c r="B561" t="s">
        <v>1080</v>
      </c>
      <c r="C561" t="e">
        <v>#NAME?</v>
      </c>
      <c r="D561" t="e">
        <v>#NAME?</v>
      </c>
      <c r="E561">
        <v>38869</v>
      </c>
      <c r="F561">
        <v>5</v>
      </c>
      <c r="G561">
        <v>3343</v>
      </c>
      <c r="H561" s="1">
        <v>46066</v>
      </c>
      <c r="I561" s="1">
        <v>46083</v>
      </c>
      <c r="J561" s="1">
        <v>46083</v>
      </c>
      <c r="K561" s="2"/>
      <c r="M561" t="s">
        <v>1078</v>
      </c>
      <c r="N561">
        <v>4405</v>
      </c>
      <c r="O561" t="s">
        <v>17</v>
      </c>
    </row>
    <row r="562" spans="1:15" hidden="1" x14ac:dyDescent="0.25">
      <c r="A562" t="s">
        <v>1081</v>
      </c>
      <c r="B562" t="s">
        <v>1082</v>
      </c>
      <c r="C562" t="e">
        <v>#NAME?</v>
      </c>
      <c r="D562" t="e">
        <v>#NAME?</v>
      </c>
      <c r="E562">
        <v>27335</v>
      </c>
      <c r="F562">
        <v>5</v>
      </c>
      <c r="G562">
        <v>4647</v>
      </c>
      <c r="H562" s="1">
        <v>46066</v>
      </c>
      <c r="I562" s="1">
        <v>46083</v>
      </c>
      <c r="J562" s="1">
        <v>46083</v>
      </c>
      <c r="K562" s="2"/>
      <c r="M562" t="s">
        <v>1078</v>
      </c>
      <c r="N562">
        <v>4705</v>
      </c>
      <c r="O562" t="s">
        <v>17</v>
      </c>
    </row>
    <row r="563" spans="1:15" hidden="1" x14ac:dyDescent="0.25">
      <c r="A563" t="s">
        <v>1083</v>
      </c>
      <c r="B563" t="s">
        <v>1084</v>
      </c>
      <c r="C563" t="e">
        <v>#NAME?</v>
      </c>
      <c r="D563" t="e">
        <v>#NAME?</v>
      </c>
      <c r="E563">
        <v>33680</v>
      </c>
      <c r="F563">
        <v>5</v>
      </c>
      <c r="G563">
        <v>4176</v>
      </c>
      <c r="H563" s="1">
        <v>46066</v>
      </c>
      <c r="I563" s="1">
        <v>46083</v>
      </c>
      <c r="J563" s="1">
        <v>46083</v>
      </c>
      <c r="K563" s="2"/>
      <c r="M563" t="s">
        <v>1078</v>
      </c>
      <c r="N563">
        <v>3923</v>
      </c>
      <c r="O563" t="s">
        <v>17</v>
      </c>
    </row>
    <row r="564" spans="1:15" hidden="1" x14ac:dyDescent="0.25">
      <c r="A564" t="s">
        <v>1085</v>
      </c>
      <c r="B564" t="s">
        <v>1086</v>
      </c>
      <c r="C564" t="e">
        <v>#NAME?</v>
      </c>
      <c r="D564" t="e">
        <v>#NAME?</v>
      </c>
      <c r="E564">
        <v>52201</v>
      </c>
      <c r="F564">
        <v>7</v>
      </c>
      <c r="G564">
        <v>5847</v>
      </c>
      <c r="H564" s="1">
        <v>46066</v>
      </c>
      <c r="I564" s="1">
        <v>46083</v>
      </c>
      <c r="J564" s="1">
        <v>46083</v>
      </c>
      <c r="K564" s="2"/>
      <c r="M564" t="s">
        <v>1078</v>
      </c>
      <c r="N564">
        <v>5633</v>
      </c>
      <c r="O564" t="s">
        <v>17</v>
      </c>
    </row>
    <row r="565" spans="1:15" hidden="1" x14ac:dyDescent="0.25">
      <c r="A565" t="s">
        <v>1087</v>
      </c>
      <c r="B565" t="s">
        <v>1088</v>
      </c>
      <c r="C565" t="e">
        <v>#NAME?</v>
      </c>
      <c r="D565" t="e">
        <v>#NAME?</v>
      </c>
      <c r="E565">
        <v>33301</v>
      </c>
      <c r="F565">
        <v>6</v>
      </c>
      <c r="G565">
        <v>2331</v>
      </c>
      <c r="H565" s="1">
        <v>46066</v>
      </c>
      <c r="I565" s="1">
        <v>46083</v>
      </c>
      <c r="J565" s="1">
        <v>46086</v>
      </c>
      <c r="K565" s="2">
        <v>0.375</v>
      </c>
      <c r="M565" t="s">
        <v>1089</v>
      </c>
      <c r="N565">
        <v>3180</v>
      </c>
      <c r="O565" t="s">
        <v>17</v>
      </c>
    </row>
    <row r="566" spans="1:15" hidden="1" x14ac:dyDescent="0.25">
      <c r="A566" t="s">
        <v>1090</v>
      </c>
      <c r="B566" t="s">
        <v>1091</v>
      </c>
      <c r="C566" t="e">
        <v>#NAME?</v>
      </c>
      <c r="D566" t="e">
        <v>#NAME?</v>
      </c>
      <c r="E566">
        <v>33476</v>
      </c>
      <c r="F566">
        <v>5</v>
      </c>
      <c r="G566">
        <v>3080</v>
      </c>
      <c r="H566" s="1">
        <v>46066</v>
      </c>
      <c r="I566" s="1">
        <v>46084</v>
      </c>
      <c r="J566" s="1">
        <v>46084</v>
      </c>
      <c r="K566" s="2">
        <v>0.375</v>
      </c>
      <c r="M566" t="s">
        <v>1092</v>
      </c>
      <c r="N566">
        <v>4616</v>
      </c>
      <c r="O566" t="s">
        <v>17</v>
      </c>
    </row>
    <row r="567" spans="1:15" hidden="1" x14ac:dyDescent="0.25">
      <c r="A567" t="s">
        <v>1093</v>
      </c>
      <c r="B567" t="s">
        <v>1094</v>
      </c>
      <c r="C567" t="e">
        <v>#NAME?</v>
      </c>
      <c r="D567" t="e">
        <v>#NAME?</v>
      </c>
      <c r="E567">
        <v>44846</v>
      </c>
      <c r="F567">
        <v>5</v>
      </c>
      <c r="G567">
        <v>4709</v>
      </c>
      <c r="H567" s="1">
        <v>46066</v>
      </c>
      <c r="I567" s="1">
        <v>46084</v>
      </c>
      <c r="J567" s="1">
        <v>46084</v>
      </c>
      <c r="K567" s="2">
        <v>0.375</v>
      </c>
      <c r="M567" t="s">
        <v>1095</v>
      </c>
      <c r="N567">
        <v>4569</v>
      </c>
      <c r="O567" t="s">
        <v>17</v>
      </c>
    </row>
    <row r="568" spans="1:15" hidden="1" x14ac:dyDescent="0.25">
      <c r="A568" t="s">
        <v>1096</v>
      </c>
      <c r="B568" t="s">
        <v>1097</v>
      </c>
      <c r="C568" t="e">
        <v>#NAME?</v>
      </c>
      <c r="D568" t="e">
        <v>#NAME?</v>
      </c>
      <c r="E568">
        <v>38780</v>
      </c>
      <c r="F568">
        <v>5</v>
      </c>
      <c r="G568">
        <v>2637</v>
      </c>
      <c r="H568" s="1">
        <v>46066</v>
      </c>
      <c r="I568" s="1">
        <v>46084</v>
      </c>
      <c r="J568" s="1">
        <v>46084</v>
      </c>
      <c r="K568" s="2">
        <v>0.375</v>
      </c>
      <c r="M568" t="s">
        <v>1092</v>
      </c>
      <c r="N568">
        <v>4432</v>
      </c>
      <c r="O568" t="s">
        <v>17</v>
      </c>
    </row>
    <row r="569" spans="1:15" hidden="1" x14ac:dyDescent="0.25">
      <c r="A569" t="s">
        <v>271</v>
      </c>
      <c r="B569" t="s">
        <v>1098</v>
      </c>
      <c r="C569" t="e">
        <v>#NAME?</v>
      </c>
      <c r="D569" t="e">
        <v>#NAME?</v>
      </c>
      <c r="E569">
        <v>36947</v>
      </c>
      <c r="F569">
        <v>5</v>
      </c>
      <c r="G569">
        <v>4581</v>
      </c>
      <c r="H569" s="1">
        <v>46066</v>
      </c>
      <c r="I569" s="1">
        <v>46084</v>
      </c>
      <c r="J569" s="1">
        <v>46084</v>
      </c>
      <c r="K569" s="2">
        <v>0.375</v>
      </c>
      <c r="M569" t="s">
        <v>1092</v>
      </c>
      <c r="N569">
        <v>4432</v>
      </c>
      <c r="O569" t="s">
        <v>17</v>
      </c>
    </row>
    <row r="570" spans="1:15" hidden="1" x14ac:dyDescent="0.25">
      <c r="A570" t="s">
        <v>859</v>
      </c>
      <c r="B570" t="s">
        <v>1099</v>
      </c>
      <c r="C570" t="e">
        <v>#NAME?</v>
      </c>
      <c r="D570" t="e">
        <v>#NAME?</v>
      </c>
      <c r="E570">
        <v>35852</v>
      </c>
      <c r="F570">
        <v>4</v>
      </c>
      <c r="G570">
        <v>2438</v>
      </c>
      <c r="H570" s="1">
        <v>46066</v>
      </c>
      <c r="I570" s="1">
        <v>46084</v>
      </c>
      <c r="J570" s="1">
        <v>46084</v>
      </c>
      <c r="K570" s="2">
        <v>0.39583333333333331</v>
      </c>
      <c r="M570" t="s">
        <v>1100</v>
      </c>
      <c r="N570">
        <v>3728</v>
      </c>
      <c r="O570" t="s">
        <v>17</v>
      </c>
    </row>
    <row r="571" spans="1:15" hidden="1" x14ac:dyDescent="0.25">
      <c r="A571" t="s">
        <v>1057</v>
      </c>
      <c r="B571" t="s">
        <v>1101</v>
      </c>
      <c r="C571" t="e">
        <v>#NAME?</v>
      </c>
      <c r="D571" t="e">
        <v>#NAME?</v>
      </c>
      <c r="E571">
        <v>33530</v>
      </c>
      <c r="F571">
        <v>4</v>
      </c>
      <c r="G571">
        <v>2280</v>
      </c>
      <c r="H571" s="1">
        <v>46066</v>
      </c>
      <c r="I571" s="1">
        <v>46084</v>
      </c>
      <c r="J571" s="1">
        <v>46084</v>
      </c>
      <c r="K571" s="2">
        <v>0.39583333333333331</v>
      </c>
      <c r="M571" t="s">
        <v>1100</v>
      </c>
      <c r="N571">
        <v>3291</v>
      </c>
      <c r="O571" t="s">
        <v>17</v>
      </c>
    </row>
    <row r="572" spans="1:15" hidden="1" x14ac:dyDescent="0.25">
      <c r="A572" t="s">
        <v>275</v>
      </c>
      <c r="B572" t="s">
        <v>1102</v>
      </c>
      <c r="C572" t="e">
        <v>#NAME?</v>
      </c>
      <c r="D572" t="e">
        <v>#NAME?</v>
      </c>
      <c r="E572">
        <v>33298</v>
      </c>
      <c r="F572">
        <v>5</v>
      </c>
      <c r="G572">
        <v>4129</v>
      </c>
      <c r="H572" s="1">
        <v>46066</v>
      </c>
      <c r="I572" s="1">
        <v>46084</v>
      </c>
      <c r="J572" s="1">
        <v>46084</v>
      </c>
      <c r="K572" s="2">
        <v>0.39583333333333331</v>
      </c>
      <c r="N572">
        <v>4128</v>
      </c>
      <c r="O572" t="s">
        <v>17</v>
      </c>
    </row>
    <row r="573" spans="1:15" hidden="1" x14ac:dyDescent="0.25">
      <c r="A573" t="s">
        <v>1072</v>
      </c>
      <c r="B573" t="s">
        <v>1103</v>
      </c>
      <c r="C573" t="e">
        <v>#NAME?</v>
      </c>
      <c r="D573" t="e">
        <v>#NAME?</v>
      </c>
      <c r="E573">
        <v>38776</v>
      </c>
      <c r="F573">
        <v>5</v>
      </c>
      <c r="G573">
        <v>4071</v>
      </c>
      <c r="H573" s="1">
        <v>46066</v>
      </c>
      <c r="I573" s="1">
        <v>46084</v>
      </c>
      <c r="J573" s="1">
        <v>46084</v>
      </c>
      <c r="K573" s="2">
        <v>0.39583333333333331</v>
      </c>
      <c r="M573" t="s">
        <v>1104</v>
      </c>
      <c r="N573">
        <v>4032</v>
      </c>
      <c r="O573" t="s">
        <v>17</v>
      </c>
    </row>
    <row r="574" spans="1:15" hidden="1" x14ac:dyDescent="0.25">
      <c r="A574" t="s">
        <v>1105</v>
      </c>
      <c r="B574" t="s">
        <v>1106</v>
      </c>
      <c r="C574" t="e">
        <v>#NAME?</v>
      </c>
      <c r="D574" t="e">
        <v>#NAME?</v>
      </c>
      <c r="E574">
        <v>23874</v>
      </c>
      <c r="F574">
        <v>4</v>
      </c>
      <c r="G574">
        <v>3414</v>
      </c>
      <c r="H574" s="1">
        <v>46066</v>
      </c>
      <c r="I574" s="1">
        <v>46084</v>
      </c>
      <c r="J574" s="1">
        <v>46084</v>
      </c>
      <c r="K574" s="2">
        <v>0.39583333333333331</v>
      </c>
      <c r="M574" t="s">
        <v>1107</v>
      </c>
      <c r="N574">
        <v>3994</v>
      </c>
      <c r="O574" t="s">
        <v>17</v>
      </c>
    </row>
    <row r="575" spans="1:15" hidden="1" x14ac:dyDescent="0.25">
      <c r="A575" t="s">
        <v>1108</v>
      </c>
      <c r="B575" t="s">
        <v>1109</v>
      </c>
      <c r="C575" t="e">
        <v>#NAME?</v>
      </c>
      <c r="D575" t="e">
        <v>#NAME?</v>
      </c>
      <c r="E575">
        <v>29110</v>
      </c>
      <c r="F575">
        <v>4</v>
      </c>
      <c r="G575">
        <v>3493</v>
      </c>
      <c r="H575" s="1">
        <v>46066</v>
      </c>
      <c r="I575" s="1">
        <v>46084</v>
      </c>
      <c r="J575" s="1">
        <v>46084</v>
      </c>
      <c r="K575" s="2">
        <v>0.39583333333333331</v>
      </c>
      <c r="M575" t="s">
        <v>1100</v>
      </c>
      <c r="N575">
        <v>3315</v>
      </c>
      <c r="O575" t="s">
        <v>17</v>
      </c>
    </row>
    <row r="576" spans="1:15" hidden="1" x14ac:dyDescent="0.25">
      <c r="A576" t="s">
        <v>1110</v>
      </c>
      <c r="B576" t="s">
        <v>1111</v>
      </c>
      <c r="C576" t="e">
        <v>#NAME?</v>
      </c>
      <c r="D576" t="e">
        <v>#NAME?</v>
      </c>
      <c r="E576">
        <v>30025</v>
      </c>
      <c r="F576">
        <v>4</v>
      </c>
      <c r="G576">
        <v>2042</v>
      </c>
      <c r="H576" s="1">
        <v>46066</v>
      </c>
      <c r="I576" s="1">
        <v>46084</v>
      </c>
      <c r="J576" s="1">
        <v>46084</v>
      </c>
      <c r="K576" s="2">
        <v>0.39583333333333331</v>
      </c>
      <c r="M576" t="s">
        <v>1100</v>
      </c>
      <c r="N576">
        <v>3122</v>
      </c>
      <c r="O576" t="s">
        <v>17</v>
      </c>
    </row>
    <row r="577" spans="1:15" hidden="1" x14ac:dyDescent="0.25">
      <c r="A577" t="s">
        <v>1112</v>
      </c>
      <c r="B577" t="s">
        <v>1113</v>
      </c>
      <c r="C577" t="e">
        <v>#NAME?</v>
      </c>
      <c r="D577" t="e">
        <v>#NAME?</v>
      </c>
      <c r="E577">
        <v>149901</v>
      </c>
      <c r="F577">
        <v>20</v>
      </c>
      <c r="G577">
        <v>30730</v>
      </c>
      <c r="H577" s="1">
        <v>46066</v>
      </c>
      <c r="I577" s="1">
        <v>46084</v>
      </c>
      <c r="J577" s="1">
        <v>46084</v>
      </c>
      <c r="K577" s="2">
        <v>0.4375</v>
      </c>
      <c r="M577" t="s">
        <v>1114</v>
      </c>
      <c r="N577">
        <v>25480</v>
      </c>
      <c r="O577" t="s">
        <v>17</v>
      </c>
    </row>
    <row r="578" spans="1:15" hidden="1" x14ac:dyDescent="0.25">
      <c r="A578" t="s">
        <v>1115</v>
      </c>
      <c r="B578" t="s">
        <v>1116</v>
      </c>
      <c r="C578" t="e">
        <v>#NAME?</v>
      </c>
      <c r="D578" t="e">
        <v>#NAME?</v>
      </c>
      <c r="E578">
        <v>23662</v>
      </c>
      <c r="F578">
        <v>5</v>
      </c>
      <c r="G578">
        <v>4377</v>
      </c>
      <c r="H578" s="1">
        <v>46066</v>
      </c>
      <c r="I578" s="1">
        <v>46084</v>
      </c>
      <c r="J578" s="1">
        <v>46084</v>
      </c>
      <c r="K578" s="2">
        <v>0.4375</v>
      </c>
      <c r="M578" t="s">
        <v>1117</v>
      </c>
      <c r="N578">
        <v>3370</v>
      </c>
      <c r="O578" t="s">
        <v>17</v>
      </c>
    </row>
    <row r="579" spans="1:15" hidden="1" x14ac:dyDescent="0.25">
      <c r="A579" t="s">
        <v>175</v>
      </c>
      <c r="B579" t="s">
        <v>1118</v>
      </c>
      <c r="C579" t="e">
        <v>#NAME?</v>
      </c>
      <c r="D579" t="e">
        <v>#NAME?</v>
      </c>
      <c r="E579">
        <v>39427</v>
      </c>
      <c r="F579">
        <v>4</v>
      </c>
      <c r="G579">
        <v>3391</v>
      </c>
      <c r="H579" s="1">
        <v>46066</v>
      </c>
      <c r="I579" s="1">
        <v>46084</v>
      </c>
      <c r="J579" s="1">
        <v>46084</v>
      </c>
      <c r="K579" s="2">
        <v>0.47916666666666669</v>
      </c>
      <c r="M579" t="s">
        <v>1119</v>
      </c>
      <c r="N579">
        <v>3236</v>
      </c>
      <c r="O579" t="s">
        <v>17</v>
      </c>
    </row>
    <row r="580" spans="1:15" hidden="1" x14ac:dyDescent="0.25">
      <c r="A580" t="s">
        <v>187</v>
      </c>
      <c r="B580" t="s">
        <v>1120</v>
      </c>
      <c r="C580" t="e">
        <v>#NAME?</v>
      </c>
      <c r="D580" t="e">
        <v>#NAME?</v>
      </c>
      <c r="E580">
        <v>35346</v>
      </c>
      <c r="F580">
        <v>4</v>
      </c>
      <c r="G580">
        <v>3004</v>
      </c>
      <c r="H580" s="1">
        <v>46066</v>
      </c>
      <c r="I580" s="1">
        <v>46084</v>
      </c>
      <c r="J580" s="1">
        <v>46084</v>
      </c>
      <c r="K580" s="2">
        <v>0.47916666666666669</v>
      </c>
      <c r="M580" t="s">
        <v>1119</v>
      </c>
      <c r="N580">
        <v>2902</v>
      </c>
      <c r="O580" t="s">
        <v>17</v>
      </c>
    </row>
    <row r="581" spans="1:15" hidden="1" x14ac:dyDescent="0.25">
      <c r="A581" t="s">
        <v>1121</v>
      </c>
      <c r="B581" t="s">
        <v>1122</v>
      </c>
      <c r="C581" t="e">
        <v>#NAME?</v>
      </c>
      <c r="D581" t="e">
        <v>#NAME?</v>
      </c>
      <c r="E581">
        <v>52701</v>
      </c>
      <c r="F581">
        <v>7</v>
      </c>
      <c r="G581">
        <v>6324</v>
      </c>
      <c r="H581" s="1">
        <v>46066</v>
      </c>
      <c r="I581" s="1">
        <v>46084</v>
      </c>
      <c r="J581" s="1">
        <v>46084</v>
      </c>
      <c r="K581" s="2">
        <v>0.5</v>
      </c>
      <c r="M581" t="s">
        <v>1119</v>
      </c>
      <c r="N581">
        <v>5696</v>
      </c>
      <c r="O581" t="s">
        <v>17</v>
      </c>
    </row>
    <row r="582" spans="1:15" hidden="1" x14ac:dyDescent="0.25">
      <c r="A582" t="s">
        <v>1123</v>
      </c>
      <c r="B582" t="s">
        <v>1124</v>
      </c>
      <c r="C582" t="e">
        <v>#NAME?</v>
      </c>
      <c r="D582" t="e">
        <v>#NAME?</v>
      </c>
      <c r="E582">
        <v>60274</v>
      </c>
      <c r="F582">
        <v>10</v>
      </c>
      <c r="G582">
        <v>9644</v>
      </c>
      <c r="H582" s="1">
        <v>46062</v>
      </c>
      <c r="I582" s="1">
        <v>46084</v>
      </c>
      <c r="J582" s="1">
        <v>46084</v>
      </c>
      <c r="K582" s="2">
        <v>0.54166666666666663</v>
      </c>
      <c r="M582" t="s">
        <v>1125</v>
      </c>
      <c r="N582">
        <v>9640</v>
      </c>
      <c r="O582" t="s">
        <v>17</v>
      </c>
    </row>
    <row r="583" spans="1:15" hidden="1" x14ac:dyDescent="0.25">
      <c r="A583" t="s">
        <v>1123</v>
      </c>
      <c r="B583" t="s">
        <v>1126</v>
      </c>
      <c r="C583" t="e">
        <v>#NAME?</v>
      </c>
      <c r="D583" t="e">
        <v>#NAME?</v>
      </c>
      <c r="E583">
        <v>36857</v>
      </c>
      <c r="F583">
        <v>6</v>
      </c>
      <c r="G583">
        <v>5897</v>
      </c>
      <c r="H583" s="1">
        <v>46062</v>
      </c>
      <c r="I583" s="1">
        <v>46084</v>
      </c>
      <c r="J583" s="1">
        <v>46084</v>
      </c>
      <c r="K583" s="2">
        <v>0.54166666666666663</v>
      </c>
      <c r="M583" t="s">
        <v>1127</v>
      </c>
      <c r="N583">
        <v>4760</v>
      </c>
      <c r="O583" t="s">
        <v>17</v>
      </c>
    </row>
    <row r="584" spans="1:15" hidden="1" x14ac:dyDescent="0.25">
      <c r="A584" t="s">
        <v>623</v>
      </c>
      <c r="B584" t="s">
        <v>1128</v>
      </c>
      <c r="C584" t="e">
        <v>#NAME?</v>
      </c>
      <c r="D584" t="e">
        <v>#NAME?</v>
      </c>
      <c r="E584">
        <v>57965</v>
      </c>
      <c r="F584">
        <v>9</v>
      </c>
      <c r="G584">
        <v>9274</v>
      </c>
      <c r="H584" s="1">
        <v>46062</v>
      </c>
      <c r="I584" s="1">
        <v>46084</v>
      </c>
      <c r="J584" s="1">
        <v>46084</v>
      </c>
      <c r="K584" s="2">
        <v>0.54166666666666663</v>
      </c>
      <c r="M584" t="s">
        <v>1129</v>
      </c>
      <c r="N584">
        <v>8690</v>
      </c>
      <c r="O584" t="s">
        <v>17</v>
      </c>
    </row>
    <row r="585" spans="1:15" hidden="1" x14ac:dyDescent="0.25">
      <c r="A585" t="s">
        <v>626</v>
      </c>
      <c r="B585" t="s">
        <v>1130</v>
      </c>
      <c r="C585" t="e">
        <v>#NAME?</v>
      </c>
      <c r="D585" t="e">
        <v>#NAME?</v>
      </c>
      <c r="E585">
        <v>50981</v>
      </c>
      <c r="F585">
        <v>8</v>
      </c>
      <c r="G585">
        <v>8157</v>
      </c>
      <c r="H585" s="1">
        <v>46062</v>
      </c>
      <c r="I585" s="1">
        <v>46084</v>
      </c>
      <c r="J585" s="1">
        <v>46084</v>
      </c>
      <c r="K585" s="2">
        <v>0.54166666666666663</v>
      </c>
      <c r="M585" t="s">
        <v>1131</v>
      </c>
      <c r="N585">
        <v>7848</v>
      </c>
      <c r="O585" t="s">
        <v>17</v>
      </c>
    </row>
    <row r="586" spans="1:15" hidden="1" x14ac:dyDescent="0.25">
      <c r="A586" t="s">
        <v>953</v>
      </c>
      <c r="B586" t="s">
        <v>1132</v>
      </c>
      <c r="C586" t="e">
        <v>#NAME?</v>
      </c>
      <c r="D586" t="e">
        <v>#NAME?</v>
      </c>
      <c r="E586">
        <v>33089</v>
      </c>
      <c r="F586">
        <v>8</v>
      </c>
      <c r="G586">
        <v>5989</v>
      </c>
      <c r="H586" s="1">
        <v>46066</v>
      </c>
      <c r="I586" s="1">
        <v>46084</v>
      </c>
      <c r="J586" s="1">
        <v>46084</v>
      </c>
      <c r="K586" s="2">
        <v>0.375</v>
      </c>
      <c r="M586" t="s">
        <v>1119</v>
      </c>
      <c r="N586">
        <v>5831</v>
      </c>
      <c r="O586" t="s">
        <v>17</v>
      </c>
    </row>
    <row r="587" spans="1:15" hidden="1" x14ac:dyDescent="0.25">
      <c r="A587" t="s">
        <v>950</v>
      </c>
      <c r="B587" t="s">
        <v>1133</v>
      </c>
      <c r="C587" t="e">
        <v>#NAME?</v>
      </c>
      <c r="D587" t="e">
        <v>#NAME?</v>
      </c>
      <c r="E587">
        <v>31539</v>
      </c>
      <c r="F587">
        <v>6</v>
      </c>
      <c r="G587">
        <v>6308</v>
      </c>
      <c r="H587" s="1">
        <v>46066</v>
      </c>
      <c r="I587" s="1">
        <v>46084</v>
      </c>
      <c r="J587" s="1">
        <v>46084</v>
      </c>
      <c r="K587" s="2">
        <v>0.54166666666666663</v>
      </c>
      <c r="M587" t="s">
        <v>1134</v>
      </c>
      <c r="N587">
        <v>3476</v>
      </c>
      <c r="O587" t="s">
        <v>17</v>
      </c>
    </row>
    <row r="588" spans="1:15" hidden="1" x14ac:dyDescent="0.25">
      <c r="A588" t="s">
        <v>1135</v>
      </c>
      <c r="B588" t="s">
        <v>1136</v>
      </c>
      <c r="C588" t="e">
        <v>#NAME?</v>
      </c>
      <c r="D588" t="e">
        <v>#NAME?</v>
      </c>
      <c r="E588">
        <v>41210</v>
      </c>
      <c r="F588">
        <v>7</v>
      </c>
      <c r="G588">
        <v>4121</v>
      </c>
      <c r="H588" s="1">
        <v>46066</v>
      </c>
      <c r="I588" s="1">
        <v>46084</v>
      </c>
      <c r="J588" s="1">
        <v>46084</v>
      </c>
      <c r="K588" s="2">
        <v>0.41666666666666669</v>
      </c>
      <c r="M588" t="s">
        <v>1134</v>
      </c>
      <c r="N588">
        <v>4120</v>
      </c>
      <c r="O588" t="s">
        <v>17</v>
      </c>
    </row>
    <row r="589" spans="1:15" hidden="1" x14ac:dyDescent="0.25">
      <c r="A589" t="s">
        <v>1137</v>
      </c>
      <c r="B589" t="s">
        <v>1138</v>
      </c>
      <c r="C589" t="e">
        <v>#NAME?</v>
      </c>
      <c r="D589" t="e">
        <v>#NAME?</v>
      </c>
      <c r="E589">
        <v>36553</v>
      </c>
      <c r="F589">
        <v>5</v>
      </c>
      <c r="G589">
        <v>6945</v>
      </c>
      <c r="H589" s="1">
        <v>46066</v>
      </c>
      <c r="I589" s="1">
        <v>46084</v>
      </c>
      <c r="J589" s="1">
        <v>46084</v>
      </c>
      <c r="K589" s="2"/>
      <c r="M589" t="s">
        <v>1139</v>
      </c>
      <c r="N589">
        <v>4114</v>
      </c>
      <c r="O589" t="s">
        <v>17</v>
      </c>
    </row>
    <row r="590" spans="1:15" hidden="1" x14ac:dyDescent="0.25">
      <c r="A590" t="s">
        <v>1140</v>
      </c>
      <c r="B590" t="s">
        <v>1141</v>
      </c>
      <c r="C590" t="e">
        <v>#NAME?</v>
      </c>
      <c r="D590" t="e">
        <v>#NAME?</v>
      </c>
      <c r="E590">
        <v>34040</v>
      </c>
      <c r="F590">
        <v>6</v>
      </c>
      <c r="G590">
        <v>10042</v>
      </c>
      <c r="H590" s="1">
        <v>46066</v>
      </c>
      <c r="I590" s="1">
        <v>46084</v>
      </c>
      <c r="J590" s="1">
        <v>46084</v>
      </c>
      <c r="K590" s="2"/>
      <c r="M590" t="s">
        <v>1139</v>
      </c>
      <c r="N590">
        <v>9416</v>
      </c>
      <c r="O590" t="s">
        <v>17</v>
      </c>
    </row>
    <row r="591" spans="1:15" hidden="1" x14ac:dyDescent="0.25">
      <c r="A591" t="s">
        <v>1142</v>
      </c>
      <c r="B591" t="s">
        <v>1143</v>
      </c>
      <c r="C591" t="e">
        <v>#NAME?</v>
      </c>
      <c r="D591" t="e">
        <v>#NAME?</v>
      </c>
      <c r="E591">
        <v>40036</v>
      </c>
      <c r="F591">
        <v>7</v>
      </c>
      <c r="G591">
        <v>4964</v>
      </c>
      <c r="H591" s="1">
        <v>46066</v>
      </c>
      <c r="I591" s="1">
        <v>46084</v>
      </c>
      <c r="J591" s="1">
        <v>46084</v>
      </c>
      <c r="K591" s="2"/>
      <c r="M591" t="s">
        <v>1144</v>
      </c>
      <c r="N591">
        <v>6333</v>
      </c>
      <c r="O591" t="s">
        <v>17</v>
      </c>
    </row>
    <row r="592" spans="1:15" hidden="1" x14ac:dyDescent="0.25">
      <c r="A592" t="s">
        <v>1145</v>
      </c>
      <c r="B592" t="s">
        <v>1146</v>
      </c>
      <c r="C592" t="e">
        <v>#NAME?</v>
      </c>
      <c r="D592" t="e">
        <v>#NAME?</v>
      </c>
      <c r="E592">
        <v>24346</v>
      </c>
      <c r="F592">
        <v>5</v>
      </c>
      <c r="G592">
        <v>2435</v>
      </c>
      <c r="H592" s="1">
        <v>46066</v>
      </c>
      <c r="I592" s="1">
        <v>46084</v>
      </c>
      <c r="J592" s="1">
        <v>46084</v>
      </c>
      <c r="K592" s="2"/>
      <c r="M592" t="s">
        <v>1147</v>
      </c>
      <c r="N592">
        <v>11674</v>
      </c>
      <c r="O592" t="s">
        <v>17</v>
      </c>
    </row>
    <row r="593" spans="1:15" hidden="1" x14ac:dyDescent="0.25">
      <c r="A593" t="s">
        <v>1148</v>
      </c>
      <c r="B593" t="s">
        <v>1149</v>
      </c>
      <c r="C593" t="e">
        <v>#NAME?</v>
      </c>
      <c r="D593" t="e">
        <v>#NAME?</v>
      </c>
      <c r="E593">
        <v>31868</v>
      </c>
      <c r="F593">
        <v>6</v>
      </c>
      <c r="G593">
        <v>8286</v>
      </c>
      <c r="H593" s="1">
        <v>46066</v>
      </c>
      <c r="I593" s="1">
        <v>46084</v>
      </c>
      <c r="J593" s="1">
        <v>46084</v>
      </c>
      <c r="K593" s="2"/>
      <c r="M593" t="s">
        <v>1144</v>
      </c>
      <c r="N593">
        <v>4644</v>
      </c>
      <c r="O593" t="s">
        <v>17</v>
      </c>
    </row>
    <row r="594" spans="1:15" hidden="1" x14ac:dyDescent="0.25">
      <c r="A594" t="s">
        <v>1150</v>
      </c>
      <c r="B594" t="s">
        <v>1151</v>
      </c>
      <c r="C594" t="e">
        <v>#NAME?</v>
      </c>
      <c r="D594" t="e">
        <v>#NAME?</v>
      </c>
      <c r="E594">
        <v>34074</v>
      </c>
      <c r="F594">
        <v>6</v>
      </c>
      <c r="G594">
        <v>21671</v>
      </c>
      <c r="H594" s="1">
        <v>46066</v>
      </c>
      <c r="I594" s="1">
        <v>46084</v>
      </c>
      <c r="J594" s="1">
        <v>46084</v>
      </c>
      <c r="K594" s="2"/>
      <c r="M594" t="s">
        <v>1147</v>
      </c>
      <c r="N594">
        <v>19711</v>
      </c>
      <c r="O594" t="s">
        <v>17</v>
      </c>
    </row>
    <row r="595" spans="1:15" hidden="1" x14ac:dyDescent="0.25">
      <c r="A595" t="s">
        <v>1152</v>
      </c>
      <c r="B595" t="s">
        <v>1153</v>
      </c>
      <c r="C595" t="e">
        <v>#NAME?</v>
      </c>
      <c r="D595" t="e">
        <v>#NAME?</v>
      </c>
      <c r="E595">
        <v>26883</v>
      </c>
      <c r="F595">
        <v>5</v>
      </c>
      <c r="G595">
        <v>5645</v>
      </c>
      <c r="H595" s="1">
        <v>46066</v>
      </c>
      <c r="I595" s="1">
        <v>46084</v>
      </c>
      <c r="J595" s="1">
        <v>46084</v>
      </c>
      <c r="K595" s="2"/>
      <c r="M595" t="s">
        <v>1144</v>
      </c>
      <c r="N595">
        <v>4083</v>
      </c>
      <c r="O595" t="s">
        <v>17</v>
      </c>
    </row>
    <row r="596" spans="1:15" hidden="1" x14ac:dyDescent="0.25">
      <c r="A596" t="s">
        <v>1154</v>
      </c>
      <c r="B596" t="s">
        <v>1155</v>
      </c>
      <c r="C596" t="e">
        <v>#NAME?</v>
      </c>
      <c r="D596" t="e">
        <v>#NAME?</v>
      </c>
      <c r="E596">
        <v>39422</v>
      </c>
      <c r="F596">
        <v>6</v>
      </c>
      <c r="G596">
        <v>2681</v>
      </c>
      <c r="H596" s="1">
        <v>46066</v>
      </c>
      <c r="I596" s="1">
        <v>46084</v>
      </c>
      <c r="J596" s="1">
        <v>46084</v>
      </c>
      <c r="K596" s="2"/>
      <c r="M596" t="s">
        <v>1139</v>
      </c>
      <c r="N596">
        <v>4653</v>
      </c>
      <c r="O596" t="s">
        <v>17</v>
      </c>
    </row>
    <row r="597" spans="1:15" hidden="1" x14ac:dyDescent="0.25">
      <c r="A597" t="s">
        <v>1156</v>
      </c>
      <c r="B597" t="s">
        <v>1157</v>
      </c>
      <c r="C597" t="e">
        <v>#NAME?</v>
      </c>
      <c r="D597" t="e">
        <v>#NAME?</v>
      </c>
      <c r="E597">
        <v>59304</v>
      </c>
      <c r="F597">
        <v>6</v>
      </c>
      <c r="G597">
        <v>5041</v>
      </c>
      <c r="H597" s="1">
        <v>46066</v>
      </c>
      <c r="I597" s="1">
        <v>46084</v>
      </c>
      <c r="J597" s="1">
        <v>46084</v>
      </c>
      <c r="K597" s="2"/>
      <c r="M597" t="s">
        <v>1147</v>
      </c>
      <c r="N597">
        <v>6232</v>
      </c>
      <c r="O597" t="s">
        <v>17</v>
      </c>
    </row>
    <row r="598" spans="1:15" hidden="1" x14ac:dyDescent="0.25">
      <c r="A598" t="s">
        <v>1158</v>
      </c>
      <c r="B598" t="s">
        <v>1159</v>
      </c>
      <c r="C598" t="e">
        <v>#NAME?</v>
      </c>
      <c r="D598" t="e">
        <v>#NAME?</v>
      </c>
      <c r="E598">
        <v>31819</v>
      </c>
      <c r="F598">
        <v>5</v>
      </c>
      <c r="G598">
        <v>3246</v>
      </c>
      <c r="H598" s="1">
        <v>46066</v>
      </c>
      <c r="I598" s="1">
        <v>46084</v>
      </c>
      <c r="J598" s="1">
        <v>46084</v>
      </c>
      <c r="K598" s="2"/>
      <c r="M598" t="s">
        <v>1139</v>
      </c>
      <c r="N598">
        <v>3378</v>
      </c>
      <c r="O598" t="s">
        <v>17</v>
      </c>
    </row>
    <row r="599" spans="1:15" hidden="1" x14ac:dyDescent="0.25">
      <c r="A599" t="s">
        <v>1160</v>
      </c>
      <c r="B599" t="s">
        <v>1161</v>
      </c>
      <c r="C599" t="e">
        <v>#NAME?</v>
      </c>
      <c r="D599" t="e">
        <v>#NAME?</v>
      </c>
      <c r="E599">
        <v>33696</v>
      </c>
      <c r="F599">
        <v>6</v>
      </c>
      <c r="G599">
        <v>8020</v>
      </c>
      <c r="H599" s="1">
        <v>46066</v>
      </c>
      <c r="I599" s="1">
        <v>46084</v>
      </c>
      <c r="J599" s="1">
        <v>46084</v>
      </c>
      <c r="K599" s="2"/>
      <c r="M599" t="s">
        <v>1144</v>
      </c>
      <c r="N599">
        <v>7666</v>
      </c>
      <c r="O599" t="s">
        <v>17</v>
      </c>
    </row>
    <row r="600" spans="1:15" hidden="1" x14ac:dyDescent="0.25">
      <c r="A600" t="s">
        <v>1162</v>
      </c>
      <c r="B600" t="s">
        <v>1163</v>
      </c>
      <c r="C600" t="e">
        <v>#NAME?</v>
      </c>
      <c r="D600" t="e">
        <v>#NAME?</v>
      </c>
      <c r="E600">
        <v>34161</v>
      </c>
      <c r="F600">
        <v>5</v>
      </c>
      <c r="G600">
        <v>3553</v>
      </c>
      <c r="H600" s="1">
        <v>46066</v>
      </c>
      <c r="I600" s="1">
        <v>46084</v>
      </c>
      <c r="J600" s="1">
        <v>46084</v>
      </c>
      <c r="K600" s="2">
        <v>0.375</v>
      </c>
      <c r="N600">
        <v>3552</v>
      </c>
      <c r="O600" t="s">
        <v>17</v>
      </c>
    </row>
    <row r="601" spans="1:15" hidden="1" x14ac:dyDescent="0.25">
      <c r="A601" t="s">
        <v>439</v>
      </c>
      <c r="B601" t="s">
        <v>1164</v>
      </c>
      <c r="C601" t="e">
        <v>#NAME?</v>
      </c>
      <c r="D601" t="e">
        <v>#NAME?</v>
      </c>
      <c r="E601">
        <v>33322</v>
      </c>
      <c r="F601">
        <v>5</v>
      </c>
      <c r="G601">
        <v>3166</v>
      </c>
      <c r="H601" s="1">
        <v>46066</v>
      </c>
      <c r="I601" s="1">
        <v>46084</v>
      </c>
      <c r="J601" s="1">
        <v>46085</v>
      </c>
      <c r="K601" s="2">
        <v>0.45833333333333331</v>
      </c>
      <c r="M601" t="s">
        <v>1165</v>
      </c>
      <c r="N601">
        <v>3934</v>
      </c>
      <c r="O601" t="s">
        <v>17</v>
      </c>
    </row>
    <row r="602" spans="1:15" hidden="1" x14ac:dyDescent="0.25">
      <c r="A602" t="s">
        <v>1166</v>
      </c>
      <c r="B602" t="s">
        <v>1167</v>
      </c>
      <c r="C602" t="e">
        <v>#NAME?</v>
      </c>
      <c r="D602" t="e">
        <v>#NAME?</v>
      </c>
      <c r="E602">
        <v>45119</v>
      </c>
      <c r="F602">
        <v>7</v>
      </c>
      <c r="G602">
        <v>4512</v>
      </c>
      <c r="H602" s="1">
        <v>46066</v>
      </c>
      <c r="I602" s="1">
        <v>46084</v>
      </c>
      <c r="J602" s="1">
        <v>46086</v>
      </c>
      <c r="K602" s="2">
        <v>0.5</v>
      </c>
      <c r="M602" t="s">
        <v>1168</v>
      </c>
      <c r="N602">
        <v>5239</v>
      </c>
      <c r="O602" t="s">
        <v>17</v>
      </c>
    </row>
    <row r="603" spans="1:15" hidden="1" x14ac:dyDescent="0.25">
      <c r="A603" t="s">
        <v>1169</v>
      </c>
      <c r="B603" t="s">
        <v>1170</v>
      </c>
      <c r="C603" t="e">
        <v>#NAME?</v>
      </c>
      <c r="D603" t="e">
        <v>#NAME?</v>
      </c>
      <c r="E603">
        <v>41600</v>
      </c>
      <c r="F603">
        <v>6</v>
      </c>
      <c r="G603">
        <v>4992</v>
      </c>
      <c r="H603" s="1">
        <v>46094</v>
      </c>
      <c r="I603" s="1">
        <v>46084</v>
      </c>
      <c r="J603" s="1">
        <v>46086</v>
      </c>
      <c r="K603" s="2">
        <v>0.58333333333333337</v>
      </c>
      <c r="M603" t="s">
        <v>1168</v>
      </c>
      <c r="N603">
        <v>6072</v>
      </c>
      <c r="O603" t="s">
        <v>17</v>
      </c>
    </row>
    <row r="604" spans="1:15" hidden="1" x14ac:dyDescent="0.25">
      <c r="A604" t="s">
        <v>1063</v>
      </c>
      <c r="B604" t="s">
        <v>1171</v>
      </c>
      <c r="C604" t="e">
        <v>#NAME?</v>
      </c>
      <c r="D604" t="e">
        <v>#NAME?</v>
      </c>
      <c r="E604">
        <v>38119</v>
      </c>
      <c r="F604">
        <v>5</v>
      </c>
      <c r="G604">
        <v>2592</v>
      </c>
      <c r="H604" s="1">
        <v>46066</v>
      </c>
      <c r="I604" s="1">
        <v>46084</v>
      </c>
      <c r="J604" s="1">
        <v>46084</v>
      </c>
      <c r="K604" s="2">
        <v>0.375</v>
      </c>
      <c r="N604">
        <v>2592</v>
      </c>
      <c r="O604" t="s">
        <v>17</v>
      </c>
    </row>
    <row r="605" spans="1:15" hidden="1" x14ac:dyDescent="0.25">
      <c r="A605" t="s">
        <v>171</v>
      </c>
      <c r="B605" t="s">
        <v>1172</v>
      </c>
      <c r="C605" t="e">
        <v>#NAME?</v>
      </c>
      <c r="D605" t="e">
        <v>#NAME?</v>
      </c>
      <c r="E605">
        <v>51633</v>
      </c>
      <c r="F605">
        <v>5</v>
      </c>
      <c r="G605">
        <v>4389</v>
      </c>
      <c r="H605" s="1">
        <v>46066</v>
      </c>
      <c r="I605" s="1">
        <v>46084</v>
      </c>
      <c r="J605" s="1">
        <v>46080</v>
      </c>
      <c r="K605" s="2">
        <v>0.47916666666666669</v>
      </c>
      <c r="N605">
        <v>4389</v>
      </c>
      <c r="O605" t="s">
        <v>17</v>
      </c>
    </row>
    <row r="606" spans="1:15" hidden="1" x14ac:dyDescent="0.25">
      <c r="A606" t="s">
        <v>803</v>
      </c>
      <c r="B606" t="s">
        <v>1173</v>
      </c>
      <c r="C606" t="e">
        <v>#NAME?</v>
      </c>
      <c r="D606" t="e">
        <v>#NAME?</v>
      </c>
      <c r="E606">
        <v>33298</v>
      </c>
      <c r="F606">
        <v>5</v>
      </c>
      <c r="G606">
        <v>3996</v>
      </c>
      <c r="H606" s="1">
        <v>46094</v>
      </c>
      <c r="I606" s="1">
        <v>46084</v>
      </c>
      <c r="J606" s="1">
        <v>46084</v>
      </c>
      <c r="K606" s="2">
        <v>0.58333333333333337</v>
      </c>
      <c r="N606">
        <v>3996</v>
      </c>
      <c r="O606" t="s">
        <v>17</v>
      </c>
    </row>
    <row r="607" spans="1:15" hidden="1" x14ac:dyDescent="0.25">
      <c r="A607" t="s">
        <v>1174</v>
      </c>
      <c r="B607" t="s">
        <v>1175</v>
      </c>
      <c r="C607" t="e">
        <v>#NAME?</v>
      </c>
      <c r="D607" t="e">
        <v>#NAME?</v>
      </c>
      <c r="E607">
        <v>51214</v>
      </c>
      <c r="F607">
        <v>7</v>
      </c>
      <c r="G607">
        <v>7682</v>
      </c>
      <c r="H607" s="1">
        <v>46066</v>
      </c>
      <c r="I607" s="1">
        <v>46085</v>
      </c>
      <c r="J607" s="1">
        <v>46085</v>
      </c>
      <c r="K607" s="2">
        <v>0.58333333333333337</v>
      </c>
      <c r="M607" t="s">
        <v>1176</v>
      </c>
      <c r="N607">
        <v>4485</v>
      </c>
      <c r="O607" t="s">
        <v>17</v>
      </c>
    </row>
    <row r="608" spans="1:15" hidden="1" x14ac:dyDescent="0.25">
      <c r="A608" t="s">
        <v>463</v>
      </c>
      <c r="B608" t="s">
        <v>1177</v>
      </c>
      <c r="C608" t="e">
        <v>#NAME?</v>
      </c>
      <c r="D608" t="e">
        <v>#NAME?</v>
      </c>
      <c r="E608">
        <v>33507</v>
      </c>
      <c r="F608">
        <v>6</v>
      </c>
      <c r="G608">
        <v>2781</v>
      </c>
      <c r="H608" s="1">
        <v>46066</v>
      </c>
      <c r="I608" s="1">
        <v>46085</v>
      </c>
      <c r="J608" s="1">
        <v>46085</v>
      </c>
      <c r="K608" s="2">
        <v>0.58333333333333337</v>
      </c>
      <c r="M608" t="s">
        <v>1178</v>
      </c>
      <c r="N608">
        <v>2842</v>
      </c>
      <c r="O608" t="s">
        <v>17</v>
      </c>
    </row>
    <row r="609" spans="1:15" hidden="1" x14ac:dyDescent="0.25">
      <c r="A609" t="s">
        <v>1179</v>
      </c>
      <c r="B609" t="s">
        <v>1180</v>
      </c>
      <c r="C609" t="e">
        <v>#NAME?</v>
      </c>
      <c r="D609" t="e">
        <v>#NAME?</v>
      </c>
      <c r="E609">
        <v>26018</v>
      </c>
      <c r="F609">
        <v>4</v>
      </c>
      <c r="G609">
        <v>2159</v>
      </c>
      <c r="H609" s="1">
        <v>46066</v>
      </c>
      <c r="I609" s="1">
        <v>46085</v>
      </c>
      <c r="J609" s="1">
        <v>46085</v>
      </c>
      <c r="K609" s="2">
        <v>0.58333333333333337</v>
      </c>
      <c r="M609" t="s">
        <v>1178</v>
      </c>
      <c r="N609">
        <v>2161</v>
      </c>
      <c r="O609" t="s">
        <v>17</v>
      </c>
    </row>
    <row r="610" spans="1:15" hidden="1" x14ac:dyDescent="0.25">
      <c r="A610" t="s">
        <v>935</v>
      </c>
      <c r="B610" t="s">
        <v>1181</v>
      </c>
      <c r="C610" t="e">
        <v>#NAME?</v>
      </c>
      <c r="D610" t="e">
        <v>#NAME?</v>
      </c>
      <c r="E610">
        <v>24164</v>
      </c>
      <c r="F610">
        <v>7</v>
      </c>
      <c r="G610">
        <v>4591</v>
      </c>
      <c r="H610" s="1">
        <v>46066</v>
      </c>
      <c r="I610" s="1">
        <v>46085</v>
      </c>
      <c r="J610" s="1">
        <v>46085</v>
      </c>
      <c r="K610" s="2">
        <v>0.58333333333333337</v>
      </c>
      <c r="M610" t="s">
        <v>1182</v>
      </c>
      <c r="N610">
        <v>4328</v>
      </c>
      <c r="O610" t="s">
        <v>17</v>
      </c>
    </row>
    <row r="611" spans="1:15" hidden="1" x14ac:dyDescent="0.25">
      <c r="A611" t="s">
        <v>975</v>
      </c>
      <c r="B611" t="s">
        <v>1183</v>
      </c>
      <c r="C611" t="e">
        <v>#NAME?</v>
      </c>
      <c r="D611" t="e">
        <v>#NAME?</v>
      </c>
      <c r="E611">
        <v>75274</v>
      </c>
      <c r="F611">
        <v>13</v>
      </c>
      <c r="G611">
        <v>7527</v>
      </c>
      <c r="H611" s="1">
        <v>46066</v>
      </c>
      <c r="I611" s="1">
        <v>46085</v>
      </c>
      <c r="J611" s="1">
        <v>46085</v>
      </c>
      <c r="K611" s="2">
        <v>0.60416666666666663</v>
      </c>
      <c r="M611" t="s">
        <v>1182</v>
      </c>
      <c r="N611">
        <v>7864</v>
      </c>
      <c r="O611" t="s">
        <v>17</v>
      </c>
    </row>
    <row r="612" spans="1:15" hidden="1" x14ac:dyDescent="0.25">
      <c r="A612" t="s">
        <v>1184</v>
      </c>
      <c r="B612" t="s">
        <v>1185</v>
      </c>
      <c r="C612" t="e">
        <v>#NAME?</v>
      </c>
      <c r="D612" t="e">
        <v>#NAME?</v>
      </c>
      <c r="E612">
        <v>25316</v>
      </c>
      <c r="F612">
        <v>2</v>
      </c>
      <c r="G612">
        <v>3797</v>
      </c>
      <c r="H612" s="1">
        <v>46066</v>
      </c>
      <c r="I612" s="1">
        <v>46085</v>
      </c>
      <c r="J612" s="1">
        <v>46085</v>
      </c>
      <c r="K612" s="2">
        <v>0.60416666666666663</v>
      </c>
      <c r="M612" t="s">
        <v>1176</v>
      </c>
      <c r="N612">
        <v>1194</v>
      </c>
      <c r="O612" t="s">
        <v>17</v>
      </c>
    </row>
    <row r="613" spans="1:15" hidden="1" x14ac:dyDescent="0.25">
      <c r="A613" t="s">
        <v>897</v>
      </c>
      <c r="B613" t="s">
        <v>1186</v>
      </c>
      <c r="C613" t="e">
        <v>#NAME?</v>
      </c>
      <c r="D613" t="e">
        <v>#NAME?</v>
      </c>
      <c r="E613">
        <v>30985</v>
      </c>
      <c r="F613">
        <v>11</v>
      </c>
      <c r="G613">
        <v>8056</v>
      </c>
      <c r="H613" s="1">
        <v>46066</v>
      </c>
      <c r="I613" s="1">
        <v>46085</v>
      </c>
      <c r="J613" s="1">
        <v>46085</v>
      </c>
      <c r="K613" s="2">
        <v>0.60416666666666663</v>
      </c>
      <c r="M613" t="s">
        <v>1178</v>
      </c>
      <c r="N613">
        <v>7456</v>
      </c>
      <c r="O613" t="s">
        <v>17</v>
      </c>
    </row>
    <row r="614" spans="1:15" hidden="1" x14ac:dyDescent="0.25">
      <c r="A614" t="s">
        <v>1179</v>
      </c>
      <c r="B614" t="s">
        <v>1187</v>
      </c>
      <c r="C614" t="e">
        <v>#NAME?</v>
      </c>
      <c r="D614" t="e">
        <v>#NAME?</v>
      </c>
      <c r="E614">
        <v>39568</v>
      </c>
      <c r="F614">
        <v>7</v>
      </c>
      <c r="G614">
        <v>3957</v>
      </c>
      <c r="H614" s="1">
        <v>46066</v>
      </c>
      <c r="I614" s="1">
        <v>46085</v>
      </c>
      <c r="J614" s="1">
        <v>46085</v>
      </c>
      <c r="K614" s="2">
        <v>0.60416666666666663</v>
      </c>
      <c r="M614" t="s">
        <v>1178</v>
      </c>
      <c r="N614">
        <v>4059</v>
      </c>
      <c r="O614" t="s">
        <v>17</v>
      </c>
    </row>
    <row r="615" spans="1:15" hidden="1" x14ac:dyDescent="0.25">
      <c r="A615" t="s">
        <v>1188</v>
      </c>
      <c r="B615" t="s">
        <v>1189</v>
      </c>
      <c r="C615" t="e">
        <v>#NAME?</v>
      </c>
      <c r="D615" t="e">
        <v>#NAME?</v>
      </c>
      <c r="E615">
        <v>26853</v>
      </c>
      <c r="F615">
        <v>5</v>
      </c>
      <c r="G615">
        <v>3249</v>
      </c>
      <c r="H615" s="1">
        <v>46072</v>
      </c>
      <c r="I615" s="1">
        <v>46085</v>
      </c>
      <c r="J615" s="1">
        <v>46085</v>
      </c>
      <c r="K615" s="2">
        <v>0.45833333333333331</v>
      </c>
      <c r="M615" t="s">
        <v>1190</v>
      </c>
      <c r="N615">
        <v>2791</v>
      </c>
      <c r="O615" t="s">
        <v>17</v>
      </c>
    </row>
    <row r="616" spans="1:15" hidden="1" x14ac:dyDescent="0.25">
      <c r="A616" t="s">
        <v>1191</v>
      </c>
      <c r="B616" t="s">
        <v>1192</v>
      </c>
      <c r="C616" t="e">
        <v>#NAME?</v>
      </c>
      <c r="D616" t="e">
        <v>#NAME?</v>
      </c>
      <c r="E616">
        <v>41155</v>
      </c>
      <c r="F616">
        <v>6</v>
      </c>
      <c r="G616">
        <v>4321</v>
      </c>
      <c r="H616" s="1">
        <v>46066</v>
      </c>
      <c r="I616" s="1">
        <v>46085</v>
      </c>
      <c r="J616" s="1">
        <v>46085</v>
      </c>
      <c r="K616" s="2">
        <v>0.39583333333333331</v>
      </c>
      <c r="M616" t="s">
        <v>1193</v>
      </c>
      <c r="N616">
        <v>59044</v>
      </c>
      <c r="O616" t="s">
        <v>17</v>
      </c>
    </row>
    <row r="617" spans="1:15" hidden="1" x14ac:dyDescent="0.25">
      <c r="A617" t="s">
        <v>1194</v>
      </c>
      <c r="B617" t="s">
        <v>1195</v>
      </c>
      <c r="C617" t="e">
        <v>#NAME?</v>
      </c>
      <c r="D617" t="e">
        <v>#NAME?</v>
      </c>
      <c r="E617">
        <v>26313</v>
      </c>
      <c r="F617">
        <v>3</v>
      </c>
      <c r="G617">
        <v>1789</v>
      </c>
      <c r="H617" s="1">
        <v>46066</v>
      </c>
      <c r="I617" s="1">
        <v>46085</v>
      </c>
      <c r="J617" s="1">
        <v>46085</v>
      </c>
      <c r="K617" s="2">
        <v>0.41666666666666669</v>
      </c>
      <c r="M617" t="s">
        <v>1196</v>
      </c>
      <c r="N617">
        <v>2736</v>
      </c>
      <c r="O617" t="s">
        <v>17</v>
      </c>
    </row>
    <row r="618" spans="1:15" hidden="1" x14ac:dyDescent="0.25">
      <c r="A618" t="s">
        <v>1197</v>
      </c>
      <c r="B618" t="s">
        <v>1198</v>
      </c>
      <c r="C618" t="e">
        <v>#NAME?</v>
      </c>
      <c r="D618" t="e">
        <v>#NAME?</v>
      </c>
      <c r="E618">
        <v>30161</v>
      </c>
      <c r="F618">
        <v>2</v>
      </c>
      <c r="G618">
        <v>1810</v>
      </c>
      <c r="H618" s="1">
        <v>46066</v>
      </c>
      <c r="I618" s="1">
        <v>46085</v>
      </c>
      <c r="J618" s="1">
        <v>46085</v>
      </c>
      <c r="K618" s="2">
        <v>0.41666666666666669</v>
      </c>
      <c r="M618" t="s">
        <v>1196</v>
      </c>
      <c r="N618">
        <v>1689</v>
      </c>
      <c r="O618" t="s">
        <v>17</v>
      </c>
    </row>
    <row r="619" spans="1:15" hidden="1" x14ac:dyDescent="0.25">
      <c r="A619" t="s">
        <v>1059</v>
      </c>
      <c r="B619" t="s">
        <v>1199</v>
      </c>
      <c r="C619" t="e">
        <v>#NAME?</v>
      </c>
      <c r="D619" t="e">
        <v>#NAME?</v>
      </c>
      <c r="E619">
        <v>34175</v>
      </c>
      <c r="F619">
        <v>4</v>
      </c>
      <c r="G619">
        <v>2939</v>
      </c>
      <c r="H619" s="1">
        <v>46066</v>
      </c>
      <c r="I619" s="1">
        <v>46085</v>
      </c>
      <c r="J619" s="1">
        <v>46085</v>
      </c>
      <c r="K619" s="2">
        <v>0.41666666666666669</v>
      </c>
      <c r="M619" t="s">
        <v>1196</v>
      </c>
      <c r="N619">
        <v>3554</v>
      </c>
      <c r="O619" t="s">
        <v>17</v>
      </c>
    </row>
    <row r="620" spans="1:15" hidden="1" x14ac:dyDescent="0.25">
      <c r="A620" t="s">
        <v>892</v>
      </c>
      <c r="B620" t="s">
        <v>1200</v>
      </c>
      <c r="C620" t="e">
        <v>#NAME?</v>
      </c>
      <c r="D620" t="e">
        <v>#NAME?</v>
      </c>
      <c r="E620">
        <v>33343</v>
      </c>
      <c r="F620">
        <v>4</v>
      </c>
      <c r="G620">
        <v>4001</v>
      </c>
      <c r="H620" s="1">
        <v>46066</v>
      </c>
      <c r="I620" s="1">
        <v>46079</v>
      </c>
      <c r="J620" s="1">
        <v>46079</v>
      </c>
      <c r="K620" s="2">
        <v>0.41666666666666669</v>
      </c>
      <c r="M620" t="s">
        <v>434</v>
      </c>
      <c r="N620">
        <v>3100</v>
      </c>
      <c r="O620" t="s">
        <v>17</v>
      </c>
    </row>
    <row r="621" spans="1:15" hidden="1" x14ac:dyDescent="0.25">
      <c r="A621" t="s">
        <v>1110</v>
      </c>
      <c r="B621" t="s">
        <v>1200</v>
      </c>
      <c r="C621" t="e">
        <v>#NAME?</v>
      </c>
      <c r="D621" t="e">
        <v>#NAME?</v>
      </c>
      <c r="E621">
        <v>36085</v>
      </c>
      <c r="F621">
        <v>4</v>
      </c>
      <c r="G621">
        <v>4330</v>
      </c>
      <c r="H621" s="1">
        <v>46066</v>
      </c>
      <c r="I621" s="1">
        <v>46085</v>
      </c>
      <c r="J621" s="1">
        <v>46085</v>
      </c>
      <c r="K621" s="2">
        <v>0.41666666666666669</v>
      </c>
      <c r="M621" t="s">
        <v>1196</v>
      </c>
      <c r="N621">
        <v>3100</v>
      </c>
      <c r="O621" t="s">
        <v>17</v>
      </c>
    </row>
    <row r="622" spans="1:15" hidden="1" x14ac:dyDescent="0.25">
      <c r="A622" t="s">
        <v>1054</v>
      </c>
      <c r="B622" t="s">
        <v>1201</v>
      </c>
      <c r="C622" t="e">
        <v>#NAME?</v>
      </c>
      <c r="D622" t="e">
        <v>#NAME?</v>
      </c>
      <c r="E622">
        <v>46275</v>
      </c>
      <c r="F622">
        <v>6</v>
      </c>
      <c r="G622">
        <v>5738</v>
      </c>
      <c r="H622" s="1">
        <v>46066</v>
      </c>
      <c r="I622" s="1">
        <v>46085</v>
      </c>
      <c r="J622" s="1">
        <v>46085</v>
      </c>
      <c r="K622" s="2">
        <v>0.4375</v>
      </c>
      <c r="M622" t="s">
        <v>1202</v>
      </c>
      <c r="N622">
        <v>5551</v>
      </c>
      <c r="O622" t="s">
        <v>17</v>
      </c>
    </row>
    <row r="623" spans="1:15" hidden="1" x14ac:dyDescent="0.25">
      <c r="A623" t="s">
        <v>1203</v>
      </c>
      <c r="B623" t="s">
        <v>1204</v>
      </c>
      <c r="C623" t="e">
        <v>#NAME?</v>
      </c>
      <c r="D623" t="e">
        <v>#NAME?</v>
      </c>
      <c r="E623">
        <v>89227</v>
      </c>
      <c r="F623">
        <v>5</v>
      </c>
      <c r="G623">
        <v>3748</v>
      </c>
      <c r="H623" s="1">
        <v>46066</v>
      </c>
      <c r="I623" s="1">
        <v>46085</v>
      </c>
      <c r="J623" s="1">
        <v>46085</v>
      </c>
      <c r="K623" s="2">
        <v>0.4375</v>
      </c>
      <c r="M623" t="s">
        <v>1202</v>
      </c>
      <c r="N623">
        <v>4576</v>
      </c>
      <c r="O623" t="s">
        <v>17</v>
      </c>
    </row>
    <row r="624" spans="1:15" hidden="1" x14ac:dyDescent="0.25">
      <c r="A624" t="s">
        <v>1194</v>
      </c>
      <c r="B624" t="s">
        <v>1205</v>
      </c>
      <c r="C624" t="e">
        <v>#NAME?</v>
      </c>
      <c r="D624" t="e">
        <v>#NAME?</v>
      </c>
      <c r="E624">
        <v>33346</v>
      </c>
      <c r="F624">
        <v>5</v>
      </c>
      <c r="G624">
        <v>3468</v>
      </c>
      <c r="H624" s="1">
        <v>46066</v>
      </c>
      <c r="I624" s="1">
        <v>46085</v>
      </c>
      <c r="J624" s="1">
        <v>46085</v>
      </c>
      <c r="K624" s="2">
        <v>0.4375</v>
      </c>
      <c r="M624" t="s">
        <v>1202</v>
      </c>
      <c r="N624">
        <v>4950</v>
      </c>
      <c r="O624" t="s">
        <v>17</v>
      </c>
    </row>
    <row r="625" spans="1:15" hidden="1" x14ac:dyDescent="0.25">
      <c r="A625" t="s">
        <v>781</v>
      </c>
      <c r="B625" t="s">
        <v>1206</v>
      </c>
      <c r="C625" t="e">
        <v>#NAME?</v>
      </c>
      <c r="D625" t="e">
        <v>#NAME?</v>
      </c>
      <c r="E625">
        <v>33264</v>
      </c>
      <c r="F625">
        <v>4</v>
      </c>
      <c r="G625">
        <v>3493</v>
      </c>
      <c r="H625" s="1">
        <v>46066</v>
      </c>
      <c r="I625" s="1">
        <v>46085</v>
      </c>
      <c r="J625" s="1">
        <v>46085</v>
      </c>
      <c r="K625" s="2">
        <v>0.4375</v>
      </c>
      <c r="M625" t="s">
        <v>1202</v>
      </c>
      <c r="N625">
        <v>3459</v>
      </c>
      <c r="O625" t="s">
        <v>17</v>
      </c>
    </row>
    <row r="626" spans="1:15" hidden="1" x14ac:dyDescent="0.25">
      <c r="A626" t="s">
        <v>1105</v>
      </c>
      <c r="B626" t="s">
        <v>1207</v>
      </c>
      <c r="C626" t="e">
        <v>#NAME?</v>
      </c>
      <c r="D626" t="e">
        <v>#NAME?</v>
      </c>
      <c r="E626">
        <v>72279</v>
      </c>
      <c r="F626">
        <v>8</v>
      </c>
      <c r="G626">
        <v>7589</v>
      </c>
      <c r="H626" s="1">
        <v>46066</v>
      </c>
      <c r="I626" s="1">
        <v>46085</v>
      </c>
      <c r="J626" s="1">
        <v>46085</v>
      </c>
      <c r="K626" s="2">
        <v>0.4375</v>
      </c>
      <c r="M626" t="s">
        <v>1202</v>
      </c>
      <c r="N626">
        <v>8486</v>
      </c>
      <c r="O626" t="s">
        <v>17</v>
      </c>
    </row>
    <row r="627" spans="1:15" hidden="1" x14ac:dyDescent="0.25">
      <c r="A627" t="s">
        <v>1208</v>
      </c>
      <c r="B627" t="s">
        <v>1209</v>
      </c>
      <c r="C627" t="e">
        <v>#NAME?</v>
      </c>
      <c r="D627" t="e">
        <v>#NAME?</v>
      </c>
      <c r="E627">
        <v>74964</v>
      </c>
      <c r="F627">
        <v>12</v>
      </c>
      <c r="G627">
        <v>9071</v>
      </c>
      <c r="H627" s="1">
        <v>46062</v>
      </c>
      <c r="I627" s="1">
        <v>46085</v>
      </c>
      <c r="J627" s="1">
        <v>46085</v>
      </c>
      <c r="K627" s="2">
        <v>0.45833333333333331</v>
      </c>
      <c r="M627" t="s">
        <v>1210</v>
      </c>
      <c r="N627">
        <v>2539</v>
      </c>
      <c r="O627" t="s">
        <v>17</v>
      </c>
    </row>
    <row r="628" spans="1:15" hidden="1" x14ac:dyDescent="0.25">
      <c r="A628" t="s">
        <v>1211</v>
      </c>
      <c r="B628" t="s">
        <v>1212</v>
      </c>
      <c r="C628" t="e">
        <v>#NAME?</v>
      </c>
      <c r="D628" t="e">
        <v>#NAME?</v>
      </c>
      <c r="E628">
        <v>36356</v>
      </c>
      <c r="F628">
        <v>5</v>
      </c>
      <c r="G628">
        <v>3745</v>
      </c>
      <c r="H628" s="1">
        <v>46062</v>
      </c>
      <c r="I628" s="1">
        <v>46085</v>
      </c>
      <c r="J628" s="1">
        <v>46085</v>
      </c>
      <c r="K628" s="2">
        <v>0.45833333333333331</v>
      </c>
      <c r="M628" t="s">
        <v>1210</v>
      </c>
      <c r="N628">
        <v>3640</v>
      </c>
      <c r="O628" t="s">
        <v>17</v>
      </c>
    </row>
    <row r="629" spans="1:15" hidden="1" x14ac:dyDescent="0.25">
      <c r="A629" t="s">
        <v>1211</v>
      </c>
      <c r="B629" t="s">
        <v>1213</v>
      </c>
      <c r="C629" t="e">
        <v>#NAME?</v>
      </c>
      <c r="D629" t="e">
        <v>#NAME?</v>
      </c>
      <c r="E629">
        <v>27244</v>
      </c>
      <c r="F629">
        <v>5</v>
      </c>
      <c r="G629">
        <v>3814</v>
      </c>
      <c r="H629" s="1">
        <v>46062</v>
      </c>
      <c r="I629" s="1">
        <v>46085</v>
      </c>
      <c r="J629" s="1">
        <v>46085</v>
      </c>
      <c r="K629" s="2">
        <v>0.45833333333333331</v>
      </c>
      <c r="M629" t="s">
        <v>1210</v>
      </c>
      <c r="N629">
        <v>3684</v>
      </c>
      <c r="O629" t="s">
        <v>17</v>
      </c>
    </row>
    <row r="630" spans="1:15" hidden="1" x14ac:dyDescent="0.25">
      <c r="A630" t="s">
        <v>1208</v>
      </c>
      <c r="B630" t="s">
        <v>1214</v>
      </c>
      <c r="C630" t="e">
        <v>#NAME?</v>
      </c>
      <c r="D630" t="e">
        <v>#NAME?</v>
      </c>
      <c r="E630">
        <v>23858</v>
      </c>
      <c r="F630">
        <v>5</v>
      </c>
      <c r="G630">
        <v>3340</v>
      </c>
      <c r="H630" s="1">
        <v>46062</v>
      </c>
      <c r="I630" s="1">
        <v>46085</v>
      </c>
      <c r="J630" s="1">
        <v>46085</v>
      </c>
      <c r="K630" s="2">
        <v>0.47916666666666669</v>
      </c>
      <c r="M630" t="s">
        <v>1210</v>
      </c>
      <c r="N630">
        <v>3224</v>
      </c>
      <c r="O630" t="s">
        <v>17</v>
      </c>
    </row>
    <row r="631" spans="1:15" hidden="1" x14ac:dyDescent="0.25">
      <c r="A631" t="s">
        <v>1215</v>
      </c>
      <c r="B631" t="s">
        <v>1216</v>
      </c>
      <c r="C631" t="e">
        <v>#NAME?</v>
      </c>
      <c r="D631" t="e">
        <v>#NAME?</v>
      </c>
      <c r="E631">
        <v>49629</v>
      </c>
      <c r="F631">
        <v>8</v>
      </c>
      <c r="G631">
        <v>6005</v>
      </c>
      <c r="H631" s="1">
        <v>46062</v>
      </c>
      <c r="I631" s="1">
        <v>46085</v>
      </c>
      <c r="J631" s="1">
        <v>46085</v>
      </c>
      <c r="K631" s="2">
        <v>0.47916666666666669</v>
      </c>
      <c r="M631" t="s">
        <v>1210</v>
      </c>
      <c r="N631">
        <v>5959</v>
      </c>
      <c r="O631" t="s">
        <v>17</v>
      </c>
    </row>
    <row r="632" spans="1:15" hidden="1" x14ac:dyDescent="0.25">
      <c r="A632" t="s">
        <v>1215</v>
      </c>
      <c r="B632" t="s">
        <v>1217</v>
      </c>
      <c r="C632" t="e">
        <v>#NAME?</v>
      </c>
      <c r="D632" t="e">
        <v>#NAME?</v>
      </c>
      <c r="E632">
        <v>34863</v>
      </c>
      <c r="F632">
        <v>6</v>
      </c>
      <c r="G632">
        <v>4218</v>
      </c>
      <c r="H632" s="1">
        <v>46062</v>
      </c>
      <c r="I632" s="1">
        <v>46085</v>
      </c>
      <c r="J632" s="1">
        <v>46085</v>
      </c>
      <c r="K632" s="2">
        <v>0.47916666666666669</v>
      </c>
      <c r="M632" t="s">
        <v>1190</v>
      </c>
      <c r="N632">
        <v>4188</v>
      </c>
      <c r="O632" t="s">
        <v>17</v>
      </c>
    </row>
    <row r="633" spans="1:15" hidden="1" x14ac:dyDescent="0.25">
      <c r="A633" t="s">
        <v>1218</v>
      </c>
      <c r="B633" t="s">
        <v>1219</v>
      </c>
      <c r="C633" t="e">
        <v>#NAME?</v>
      </c>
      <c r="D633" t="e">
        <v>#NAME?</v>
      </c>
      <c r="E633">
        <v>26389</v>
      </c>
      <c r="F633">
        <v>6</v>
      </c>
      <c r="G633">
        <v>4169</v>
      </c>
      <c r="H633" s="1">
        <v>46062</v>
      </c>
      <c r="I633" s="1">
        <v>46085</v>
      </c>
      <c r="J633" s="1">
        <v>46085</v>
      </c>
      <c r="K633" s="2">
        <v>0.5</v>
      </c>
      <c r="M633" t="s">
        <v>1190</v>
      </c>
      <c r="N633">
        <v>41082</v>
      </c>
      <c r="O633" t="s">
        <v>17</v>
      </c>
    </row>
    <row r="634" spans="1:15" hidden="1" x14ac:dyDescent="0.25">
      <c r="A634" t="s">
        <v>1218</v>
      </c>
      <c r="B634" t="s">
        <v>1220</v>
      </c>
      <c r="C634" t="e">
        <v>#NAME?</v>
      </c>
      <c r="D634" t="e">
        <v>#NAME?</v>
      </c>
      <c r="E634">
        <v>43755</v>
      </c>
      <c r="F634">
        <v>6</v>
      </c>
      <c r="G634">
        <v>4507</v>
      </c>
      <c r="H634" s="1">
        <v>46062</v>
      </c>
      <c r="I634" s="1">
        <v>46085</v>
      </c>
      <c r="J634" s="1">
        <v>46085</v>
      </c>
      <c r="K634" s="2">
        <v>0.5</v>
      </c>
      <c r="M634" t="s">
        <v>1190</v>
      </c>
      <c r="N634">
        <v>6609</v>
      </c>
      <c r="O634" t="s">
        <v>17</v>
      </c>
    </row>
    <row r="635" spans="1:15" hidden="1" x14ac:dyDescent="0.25">
      <c r="A635" t="s">
        <v>1221</v>
      </c>
      <c r="B635" t="s">
        <v>1222</v>
      </c>
      <c r="C635" t="e">
        <v>#NAME?</v>
      </c>
      <c r="D635" t="e">
        <v>#NAME?</v>
      </c>
      <c r="E635">
        <v>45972</v>
      </c>
      <c r="F635">
        <v>6</v>
      </c>
      <c r="G635">
        <v>4735</v>
      </c>
      <c r="H635" s="1">
        <v>46062</v>
      </c>
      <c r="I635" s="1">
        <v>46085</v>
      </c>
      <c r="J635" s="1">
        <v>46085</v>
      </c>
      <c r="K635" s="2">
        <v>0.5</v>
      </c>
      <c r="M635" t="s">
        <v>1190</v>
      </c>
      <c r="N635">
        <v>4601</v>
      </c>
      <c r="O635" t="s">
        <v>17</v>
      </c>
    </row>
    <row r="636" spans="1:15" hidden="1" x14ac:dyDescent="0.25">
      <c r="A636" t="s">
        <v>1221</v>
      </c>
      <c r="B636" t="s">
        <v>1223</v>
      </c>
      <c r="C636" t="e">
        <v>#NAME?</v>
      </c>
      <c r="D636" t="e">
        <v>#NAME?</v>
      </c>
      <c r="E636">
        <v>33989</v>
      </c>
      <c r="F636">
        <v>6</v>
      </c>
      <c r="G636">
        <v>4249</v>
      </c>
      <c r="H636" s="1">
        <v>46062</v>
      </c>
      <c r="I636" s="1">
        <v>46085</v>
      </c>
      <c r="J636" s="1">
        <v>46085</v>
      </c>
      <c r="K636" s="2">
        <v>0.5</v>
      </c>
      <c r="M636" t="s">
        <v>1190</v>
      </c>
      <c r="N636">
        <v>4082</v>
      </c>
      <c r="O636" t="s">
        <v>17</v>
      </c>
    </row>
    <row r="637" spans="1:15" hidden="1" x14ac:dyDescent="0.25">
      <c r="A637" t="s">
        <v>1224</v>
      </c>
      <c r="B637" t="s">
        <v>1225</v>
      </c>
      <c r="C637" t="e">
        <v>#NAME?</v>
      </c>
      <c r="D637" t="e">
        <v>#NAME?</v>
      </c>
      <c r="E637">
        <v>32045</v>
      </c>
      <c r="F637">
        <v>5</v>
      </c>
      <c r="G637">
        <v>4807</v>
      </c>
      <c r="H637" s="1">
        <v>46066</v>
      </c>
      <c r="I637" s="1">
        <v>46085</v>
      </c>
      <c r="J637" s="1">
        <v>46085</v>
      </c>
      <c r="K637" s="2">
        <v>0.5625</v>
      </c>
      <c r="M637" t="s">
        <v>1193</v>
      </c>
      <c r="N637">
        <v>3464</v>
      </c>
      <c r="O637" t="s">
        <v>17</v>
      </c>
    </row>
    <row r="638" spans="1:15" hidden="1" x14ac:dyDescent="0.25">
      <c r="A638" t="s">
        <v>1226</v>
      </c>
      <c r="B638" t="s">
        <v>1227</v>
      </c>
      <c r="C638" t="e">
        <v>#NAME?</v>
      </c>
      <c r="D638" t="e">
        <v>#NAME?</v>
      </c>
      <c r="E638">
        <v>52753</v>
      </c>
      <c r="F638">
        <v>13</v>
      </c>
      <c r="G638">
        <v>9548</v>
      </c>
      <c r="H638" s="1">
        <v>46066</v>
      </c>
      <c r="I638" s="1">
        <v>46085</v>
      </c>
      <c r="J638" s="1">
        <v>46085</v>
      </c>
      <c r="K638" s="2">
        <v>0.375</v>
      </c>
      <c r="M638" t="s">
        <v>1193</v>
      </c>
      <c r="N638">
        <v>8873</v>
      </c>
      <c r="O638" t="s">
        <v>17</v>
      </c>
    </row>
    <row r="639" spans="1:15" hidden="1" x14ac:dyDescent="0.25">
      <c r="A639" t="s">
        <v>1228</v>
      </c>
      <c r="B639" t="s">
        <v>1229</v>
      </c>
      <c r="C639" t="e">
        <v>#NAME?</v>
      </c>
      <c r="D639" t="e">
        <v>#NAME?</v>
      </c>
      <c r="E639">
        <v>25028</v>
      </c>
      <c r="F639">
        <v>6</v>
      </c>
      <c r="G639">
        <v>4530</v>
      </c>
      <c r="H639" s="1">
        <v>46066</v>
      </c>
      <c r="I639" s="1">
        <v>46085</v>
      </c>
      <c r="J639" s="1">
        <v>46085</v>
      </c>
      <c r="K639" s="2">
        <v>0.39583333333333331</v>
      </c>
      <c r="M639" t="s">
        <v>1230</v>
      </c>
      <c r="N639">
        <v>4210</v>
      </c>
      <c r="O639" t="s">
        <v>17</v>
      </c>
    </row>
    <row r="640" spans="1:15" hidden="1" x14ac:dyDescent="0.25">
      <c r="A640" t="s">
        <v>1231</v>
      </c>
      <c r="B640" t="s">
        <v>1232</v>
      </c>
      <c r="C640" t="e">
        <v>#NAME?</v>
      </c>
      <c r="D640" t="e">
        <v>#NAME?</v>
      </c>
      <c r="E640">
        <v>23904</v>
      </c>
      <c r="F640">
        <v>4</v>
      </c>
      <c r="G640">
        <v>5570</v>
      </c>
      <c r="H640" s="1">
        <v>46066</v>
      </c>
      <c r="I640" s="1">
        <v>46085</v>
      </c>
      <c r="J640" s="1">
        <v>46085</v>
      </c>
      <c r="K640" s="2">
        <v>0.39583333333333331</v>
      </c>
      <c r="M640" t="s">
        <v>1165</v>
      </c>
      <c r="N640">
        <v>4878</v>
      </c>
      <c r="O640" t="s">
        <v>17</v>
      </c>
    </row>
    <row r="641" spans="1:15" hidden="1" x14ac:dyDescent="0.25">
      <c r="A641" t="s">
        <v>1233</v>
      </c>
      <c r="B641" t="s">
        <v>1234</v>
      </c>
      <c r="C641" t="e">
        <v>#NAME?</v>
      </c>
      <c r="D641" t="e">
        <v>#NAME?</v>
      </c>
      <c r="E641">
        <v>29368</v>
      </c>
      <c r="F641">
        <v>7</v>
      </c>
      <c r="G641">
        <v>5874</v>
      </c>
      <c r="H641" s="1">
        <v>46057</v>
      </c>
      <c r="I641" s="1">
        <v>46085</v>
      </c>
      <c r="J641" s="1">
        <v>46085</v>
      </c>
      <c r="K641" s="2">
        <v>0.4375</v>
      </c>
      <c r="M641" t="s">
        <v>1165</v>
      </c>
      <c r="N641">
        <v>4996</v>
      </c>
      <c r="O641" t="s">
        <v>17</v>
      </c>
    </row>
    <row r="642" spans="1:15" hidden="1" x14ac:dyDescent="0.25">
      <c r="A642" t="s">
        <v>1140</v>
      </c>
      <c r="B642" t="s">
        <v>1235</v>
      </c>
      <c r="C642" t="e">
        <v>#NAME?</v>
      </c>
      <c r="D642" t="e">
        <v>#NAME?</v>
      </c>
      <c r="E642">
        <v>41937</v>
      </c>
      <c r="F642">
        <v>7</v>
      </c>
      <c r="G642">
        <v>13168</v>
      </c>
      <c r="H642" s="1">
        <v>46066</v>
      </c>
      <c r="I642" s="1">
        <v>46085</v>
      </c>
      <c r="J642" s="1">
        <v>46085</v>
      </c>
      <c r="K642" s="2"/>
      <c r="M642" t="s">
        <v>1024</v>
      </c>
      <c r="N642">
        <v>12627</v>
      </c>
      <c r="O642" t="s">
        <v>17</v>
      </c>
    </row>
    <row r="643" spans="1:15" hidden="1" x14ac:dyDescent="0.25">
      <c r="A643" t="s">
        <v>1236</v>
      </c>
      <c r="B643" t="s">
        <v>1237</v>
      </c>
      <c r="C643" t="e">
        <v>#NAME?</v>
      </c>
      <c r="D643" t="e">
        <v>#NAME?</v>
      </c>
      <c r="E643">
        <v>48553</v>
      </c>
      <c r="F643">
        <v>9</v>
      </c>
      <c r="G643">
        <v>9711</v>
      </c>
      <c r="H643" s="1">
        <v>46066</v>
      </c>
      <c r="I643" s="1">
        <v>46085</v>
      </c>
      <c r="J643" s="1">
        <v>46085</v>
      </c>
      <c r="K643" s="2"/>
      <c r="M643" t="s">
        <v>1024</v>
      </c>
      <c r="N643">
        <v>9186</v>
      </c>
      <c r="O643" t="s">
        <v>17</v>
      </c>
    </row>
    <row r="644" spans="1:15" hidden="1" x14ac:dyDescent="0.25">
      <c r="A644" t="s">
        <v>1238</v>
      </c>
      <c r="B644" t="s">
        <v>1239</v>
      </c>
      <c r="C644" t="e">
        <v>#NAME?</v>
      </c>
      <c r="D644" t="e">
        <v>#NAME?</v>
      </c>
      <c r="E644">
        <v>23700</v>
      </c>
      <c r="F644">
        <v>3</v>
      </c>
      <c r="G644">
        <v>2015</v>
      </c>
      <c r="H644" s="1">
        <v>46066</v>
      </c>
      <c r="I644" s="1">
        <v>46085</v>
      </c>
      <c r="J644" s="1">
        <v>46085</v>
      </c>
      <c r="K644" s="2"/>
      <c r="M644" t="s">
        <v>1024</v>
      </c>
      <c r="N644">
        <v>1918</v>
      </c>
      <c r="O644" t="s">
        <v>17</v>
      </c>
    </row>
    <row r="645" spans="1:15" hidden="1" x14ac:dyDescent="0.25">
      <c r="A645" t="s">
        <v>831</v>
      </c>
      <c r="B645" t="s">
        <v>1240</v>
      </c>
      <c r="C645" t="e">
        <v>#NAME?</v>
      </c>
      <c r="D645" t="e">
        <v>#NAME?</v>
      </c>
      <c r="E645">
        <v>62397</v>
      </c>
      <c r="F645">
        <v>9</v>
      </c>
      <c r="G645">
        <v>7488</v>
      </c>
      <c r="H645" s="1">
        <v>46066</v>
      </c>
      <c r="I645" s="1">
        <v>46085</v>
      </c>
      <c r="J645" s="1">
        <v>46086</v>
      </c>
      <c r="K645" s="2">
        <v>0.39583333333333331</v>
      </c>
      <c r="M645" t="s">
        <v>1241</v>
      </c>
      <c r="N645">
        <v>7367</v>
      </c>
      <c r="O645" t="s">
        <v>17</v>
      </c>
    </row>
    <row r="646" spans="1:15" hidden="1" x14ac:dyDescent="0.25">
      <c r="A646" t="s">
        <v>1191</v>
      </c>
      <c r="B646" t="s">
        <v>1242</v>
      </c>
      <c r="C646" t="e">
        <v>#NAME?</v>
      </c>
      <c r="D646" t="e">
        <v>#NAME?</v>
      </c>
      <c r="E646">
        <v>33116</v>
      </c>
      <c r="F646">
        <v>5</v>
      </c>
      <c r="G646">
        <v>3477</v>
      </c>
      <c r="H646" s="1">
        <v>46066</v>
      </c>
      <c r="I646" s="1">
        <v>46085</v>
      </c>
      <c r="J646" s="1">
        <v>46086</v>
      </c>
      <c r="K646" s="2">
        <v>0.39583333333333331</v>
      </c>
      <c r="M646" t="s">
        <v>1241</v>
      </c>
      <c r="N646">
        <v>3446</v>
      </c>
      <c r="O646" t="s">
        <v>17</v>
      </c>
    </row>
    <row r="647" spans="1:15" hidden="1" x14ac:dyDescent="0.25">
      <c r="A647" t="s">
        <v>1243</v>
      </c>
      <c r="B647" t="s">
        <v>1244</v>
      </c>
      <c r="C647" t="e">
        <v>#NAME?</v>
      </c>
      <c r="D647" t="e">
        <v>#NAME?</v>
      </c>
      <c r="E647">
        <v>24273</v>
      </c>
      <c r="F647">
        <v>4</v>
      </c>
      <c r="G647">
        <v>3010</v>
      </c>
      <c r="H647" s="1">
        <v>46066</v>
      </c>
      <c r="I647" s="1">
        <v>46085</v>
      </c>
      <c r="J647" s="1">
        <v>46086</v>
      </c>
      <c r="K647" s="2">
        <v>0.54166666666666663</v>
      </c>
      <c r="M647" t="s">
        <v>1168</v>
      </c>
      <c r="N647">
        <v>2817</v>
      </c>
      <c r="O647" t="s">
        <v>17</v>
      </c>
    </row>
    <row r="648" spans="1:15" hidden="1" x14ac:dyDescent="0.25">
      <c r="A648" t="s">
        <v>1245</v>
      </c>
      <c r="B648" t="s">
        <v>1246</v>
      </c>
      <c r="C648" t="e">
        <v>#NAME?</v>
      </c>
      <c r="D648" t="e">
        <v>#NAME?</v>
      </c>
      <c r="E648">
        <v>33628</v>
      </c>
      <c r="F648">
        <v>5</v>
      </c>
      <c r="G648">
        <v>4035</v>
      </c>
      <c r="H648" s="1">
        <v>46066</v>
      </c>
      <c r="I648" s="1">
        <v>46085</v>
      </c>
      <c r="J648" s="1">
        <v>46086</v>
      </c>
      <c r="K648" s="2">
        <v>0.54166666666666663</v>
      </c>
      <c r="M648" t="s">
        <v>1247</v>
      </c>
      <c r="N648">
        <v>3835</v>
      </c>
      <c r="O648" t="s">
        <v>17</v>
      </c>
    </row>
    <row r="649" spans="1:15" hidden="1" x14ac:dyDescent="0.25">
      <c r="A649" t="s">
        <v>1248</v>
      </c>
      <c r="B649" t="s">
        <v>1249</v>
      </c>
      <c r="C649" t="e">
        <v>#NAME?</v>
      </c>
      <c r="D649" t="e">
        <v>#NAME?</v>
      </c>
      <c r="E649">
        <v>48482</v>
      </c>
      <c r="F649">
        <v>6</v>
      </c>
      <c r="G649">
        <v>4848</v>
      </c>
      <c r="H649" s="1">
        <v>46066</v>
      </c>
      <c r="I649" s="1">
        <v>46086</v>
      </c>
      <c r="J649" s="1">
        <v>46085</v>
      </c>
      <c r="K649" s="2">
        <v>0.45833333333333331</v>
      </c>
      <c r="M649" t="s">
        <v>1193</v>
      </c>
      <c r="N649">
        <v>4655</v>
      </c>
      <c r="O649" t="s">
        <v>17</v>
      </c>
    </row>
    <row r="650" spans="1:15" hidden="1" x14ac:dyDescent="0.25">
      <c r="A650" t="s">
        <v>1250</v>
      </c>
      <c r="B650" t="s">
        <v>1251</v>
      </c>
      <c r="C650" t="e">
        <v>#NAME?</v>
      </c>
      <c r="D650" t="e">
        <v>#NAME?</v>
      </c>
      <c r="E650">
        <v>30009</v>
      </c>
      <c r="F650">
        <v>9</v>
      </c>
      <c r="G650">
        <v>5102</v>
      </c>
      <c r="H650" s="1">
        <v>46066</v>
      </c>
      <c r="I650" s="1">
        <v>46086</v>
      </c>
      <c r="J650" s="1">
        <v>46086</v>
      </c>
      <c r="K650" s="2">
        <v>0.35416666666666669</v>
      </c>
      <c r="M650" t="s">
        <v>1252</v>
      </c>
      <c r="N650">
        <v>4373</v>
      </c>
      <c r="O650" t="s">
        <v>17</v>
      </c>
    </row>
    <row r="651" spans="1:15" hidden="1" x14ac:dyDescent="0.25">
      <c r="A651" t="s">
        <v>1253</v>
      </c>
      <c r="B651" t="s">
        <v>1254</v>
      </c>
      <c r="C651" t="e">
        <v>#NAME?</v>
      </c>
      <c r="D651" t="e">
        <v>#NAME?</v>
      </c>
      <c r="E651">
        <v>33591</v>
      </c>
      <c r="F651">
        <v>10</v>
      </c>
      <c r="G651">
        <v>4703</v>
      </c>
      <c r="H651" s="1">
        <v>46066</v>
      </c>
      <c r="I651" s="1">
        <v>46086</v>
      </c>
      <c r="J651" s="1">
        <v>46086</v>
      </c>
      <c r="K651" s="2">
        <v>0.35416666666666669</v>
      </c>
      <c r="M651" t="s">
        <v>1252</v>
      </c>
      <c r="N651">
        <v>4892</v>
      </c>
      <c r="O651" t="s">
        <v>17</v>
      </c>
    </row>
    <row r="652" spans="1:15" hidden="1" x14ac:dyDescent="0.25">
      <c r="A652" t="s">
        <v>1255</v>
      </c>
      <c r="B652" t="s">
        <v>1256</v>
      </c>
      <c r="C652" t="e">
        <v>#NAME?</v>
      </c>
      <c r="D652" t="e">
        <v>#NAME?</v>
      </c>
      <c r="E652">
        <v>27898</v>
      </c>
      <c r="F652">
        <v>9</v>
      </c>
      <c r="G652">
        <v>4185</v>
      </c>
      <c r="H652" s="1">
        <v>46066</v>
      </c>
      <c r="I652" s="1">
        <v>46086</v>
      </c>
      <c r="J652" s="1">
        <v>46086</v>
      </c>
      <c r="K652" s="2">
        <v>0.35416666666666669</v>
      </c>
      <c r="M652" t="s">
        <v>1252</v>
      </c>
      <c r="N652">
        <v>4060</v>
      </c>
      <c r="O652" t="s">
        <v>17</v>
      </c>
    </row>
    <row r="653" spans="1:15" hidden="1" x14ac:dyDescent="0.25">
      <c r="A653" t="s">
        <v>1257</v>
      </c>
      <c r="B653" t="s">
        <v>1258</v>
      </c>
      <c r="C653" t="e">
        <v>#NAME?</v>
      </c>
      <c r="D653" t="e">
        <v>#NAME?</v>
      </c>
      <c r="E653">
        <v>47775</v>
      </c>
      <c r="F653">
        <v>7</v>
      </c>
      <c r="G653">
        <v>6211</v>
      </c>
      <c r="H653" s="1">
        <v>46066</v>
      </c>
      <c r="I653" s="1">
        <v>46086</v>
      </c>
      <c r="J653" s="1">
        <v>46086</v>
      </c>
      <c r="K653" s="2">
        <v>0.47916666666666669</v>
      </c>
      <c r="M653" t="s">
        <v>1193</v>
      </c>
      <c r="N653">
        <v>4711</v>
      </c>
      <c r="O653" t="s">
        <v>17</v>
      </c>
    </row>
    <row r="654" spans="1:15" hidden="1" x14ac:dyDescent="0.25">
      <c r="A654" t="s">
        <v>1259</v>
      </c>
      <c r="B654" t="s">
        <v>1260</v>
      </c>
      <c r="C654" t="e">
        <v>#NAME?</v>
      </c>
      <c r="D654" t="e">
        <v>#NAME?</v>
      </c>
      <c r="E654">
        <v>27050</v>
      </c>
      <c r="F654">
        <v>4</v>
      </c>
      <c r="G654">
        <v>3354</v>
      </c>
      <c r="H654" s="1">
        <v>46066</v>
      </c>
      <c r="I654" s="1">
        <v>46086</v>
      </c>
      <c r="J654" s="1">
        <v>46086</v>
      </c>
      <c r="K654" s="2"/>
      <c r="M654" t="s">
        <v>1261</v>
      </c>
      <c r="N654">
        <v>3315</v>
      </c>
      <c r="O654" t="s">
        <v>17</v>
      </c>
    </row>
    <row r="655" spans="1:15" hidden="1" x14ac:dyDescent="0.25">
      <c r="A655" t="s">
        <v>1262</v>
      </c>
      <c r="B655" t="s">
        <v>1263</v>
      </c>
      <c r="C655" t="e">
        <v>#NAME?</v>
      </c>
      <c r="D655" t="e">
        <v>#NAME?</v>
      </c>
      <c r="E655">
        <v>36492</v>
      </c>
      <c r="F655">
        <v>6</v>
      </c>
      <c r="G655">
        <v>4124</v>
      </c>
      <c r="H655" s="1">
        <v>46066</v>
      </c>
      <c r="I655" s="1">
        <v>46086</v>
      </c>
      <c r="J655" s="1">
        <v>46086</v>
      </c>
      <c r="K655" s="2"/>
      <c r="M655" t="s">
        <v>1261</v>
      </c>
      <c r="N655">
        <v>4291</v>
      </c>
      <c r="O655" t="s">
        <v>17</v>
      </c>
    </row>
    <row r="656" spans="1:15" hidden="1" x14ac:dyDescent="0.25">
      <c r="A656" t="s">
        <v>1154</v>
      </c>
      <c r="B656" t="s">
        <v>1264</v>
      </c>
      <c r="C656" t="e">
        <v>#NAME?</v>
      </c>
      <c r="D656" t="e">
        <v>#NAME?</v>
      </c>
      <c r="E656">
        <v>35095</v>
      </c>
      <c r="F656">
        <v>5</v>
      </c>
      <c r="G656">
        <v>4562</v>
      </c>
      <c r="H656" s="1">
        <v>46066</v>
      </c>
      <c r="I656" s="1">
        <v>46086</v>
      </c>
      <c r="J656" s="1">
        <v>46086</v>
      </c>
      <c r="K656" s="2"/>
      <c r="M656" t="s">
        <v>1261</v>
      </c>
      <c r="N656">
        <v>3387040</v>
      </c>
      <c r="O656" t="s">
        <v>17</v>
      </c>
    </row>
    <row r="657" spans="1:15" hidden="1" x14ac:dyDescent="0.25">
      <c r="A657" t="s">
        <v>1265</v>
      </c>
      <c r="B657" t="s">
        <v>1266</v>
      </c>
      <c r="C657" t="e">
        <v>#NAME?</v>
      </c>
      <c r="D657" t="e">
        <v>#NAME?</v>
      </c>
      <c r="E657">
        <v>37862</v>
      </c>
      <c r="F657">
        <v>6</v>
      </c>
      <c r="G657">
        <v>4695</v>
      </c>
      <c r="H657" s="1">
        <v>46066</v>
      </c>
      <c r="I657" s="1">
        <v>46086</v>
      </c>
      <c r="J657" s="1">
        <v>46086</v>
      </c>
      <c r="K657" s="2"/>
      <c r="M657" t="s">
        <v>1261</v>
      </c>
      <c r="N657">
        <v>4462</v>
      </c>
      <c r="O657" t="s">
        <v>17</v>
      </c>
    </row>
    <row r="658" spans="1:15" hidden="1" x14ac:dyDescent="0.25">
      <c r="A658" t="s">
        <v>1267</v>
      </c>
      <c r="B658" t="s">
        <v>1268</v>
      </c>
      <c r="C658" t="e">
        <v>#NAME?</v>
      </c>
      <c r="D658" t="e">
        <v>#NAME?</v>
      </c>
      <c r="E658">
        <v>33261</v>
      </c>
      <c r="F658">
        <v>5</v>
      </c>
      <c r="G658">
        <v>5322</v>
      </c>
      <c r="H658" s="1">
        <v>46066</v>
      </c>
      <c r="I658" s="1">
        <v>46086</v>
      </c>
      <c r="J658" s="1">
        <v>46086</v>
      </c>
      <c r="K658" s="2"/>
      <c r="M658" t="s">
        <v>1269</v>
      </c>
      <c r="N658">
        <v>5434</v>
      </c>
      <c r="O658" t="s">
        <v>17</v>
      </c>
    </row>
    <row r="659" spans="1:15" hidden="1" x14ac:dyDescent="0.25">
      <c r="A659" t="s">
        <v>1270</v>
      </c>
      <c r="B659" t="s">
        <v>1271</v>
      </c>
      <c r="C659" t="e">
        <v>#NAME?</v>
      </c>
      <c r="D659" t="e">
        <v>#NAME?</v>
      </c>
      <c r="E659">
        <v>33075</v>
      </c>
      <c r="F659">
        <v>6</v>
      </c>
      <c r="G659">
        <v>4333</v>
      </c>
      <c r="H659" s="1">
        <v>46066</v>
      </c>
      <c r="I659" s="1">
        <v>46087</v>
      </c>
      <c r="J659" s="1">
        <v>46084</v>
      </c>
      <c r="K659" s="2">
        <v>0.39583333333333331</v>
      </c>
      <c r="M659" t="s">
        <v>1134</v>
      </c>
      <c r="N659">
        <v>4710</v>
      </c>
      <c r="O659" t="s">
        <v>17</v>
      </c>
    </row>
    <row r="660" spans="1:15" hidden="1" x14ac:dyDescent="0.25">
      <c r="A660" t="s">
        <v>1079</v>
      </c>
      <c r="B660" t="s">
        <v>1272</v>
      </c>
      <c r="C660" t="e">
        <v>#NAME?</v>
      </c>
      <c r="D660" t="e">
        <v>#NAME?</v>
      </c>
      <c r="E660">
        <v>32304</v>
      </c>
      <c r="F660">
        <v>6</v>
      </c>
      <c r="G660">
        <v>2132</v>
      </c>
      <c r="H660" s="1">
        <v>46066</v>
      </c>
      <c r="I660" s="1">
        <v>46087</v>
      </c>
      <c r="J660" s="1">
        <v>46084</v>
      </c>
      <c r="K660" s="2">
        <v>0.39583333333333331</v>
      </c>
      <c r="M660" t="s">
        <v>1134</v>
      </c>
      <c r="N660">
        <v>2419</v>
      </c>
      <c r="O660" t="s">
        <v>17</v>
      </c>
    </row>
    <row r="661" spans="1:15" hidden="1" x14ac:dyDescent="0.25">
      <c r="A661" t="s">
        <v>1273</v>
      </c>
      <c r="B661" t="s">
        <v>1274</v>
      </c>
      <c r="C661" t="e">
        <v>#NAME?</v>
      </c>
      <c r="D661" t="e">
        <v>#NAME?</v>
      </c>
      <c r="E661">
        <v>23676</v>
      </c>
      <c r="F661">
        <v>4</v>
      </c>
      <c r="G661">
        <v>1444</v>
      </c>
      <c r="H661" s="1">
        <v>46066</v>
      </c>
      <c r="I661" s="1">
        <v>46087</v>
      </c>
      <c r="J661" s="1">
        <v>46084</v>
      </c>
      <c r="K661" s="2">
        <v>0.39583333333333331</v>
      </c>
      <c r="M661" t="s">
        <v>1275</v>
      </c>
      <c r="N661">
        <v>1543</v>
      </c>
      <c r="O661" t="s">
        <v>17</v>
      </c>
    </row>
    <row r="662" spans="1:15" hidden="1" x14ac:dyDescent="0.25">
      <c r="A662" t="s">
        <v>1276</v>
      </c>
      <c r="B662" t="s">
        <v>1277</v>
      </c>
      <c r="C662" t="e">
        <v>#NAME?</v>
      </c>
      <c r="D662" t="e">
        <v>#NAME?</v>
      </c>
      <c r="E662">
        <v>33004</v>
      </c>
      <c r="F662">
        <v>6</v>
      </c>
      <c r="G662">
        <v>2640</v>
      </c>
      <c r="H662" s="1">
        <v>46066</v>
      </c>
      <c r="I662" s="1">
        <v>46087</v>
      </c>
      <c r="J662" s="1">
        <v>46084</v>
      </c>
      <c r="K662" s="2">
        <v>0.39583333333333331</v>
      </c>
      <c r="M662" t="s">
        <v>1278</v>
      </c>
      <c r="N662">
        <v>3169</v>
      </c>
      <c r="O662" t="s">
        <v>17</v>
      </c>
    </row>
    <row r="663" spans="1:15" hidden="1" x14ac:dyDescent="0.25">
      <c r="A663" t="s">
        <v>1279</v>
      </c>
      <c r="B663" t="s">
        <v>1280</v>
      </c>
      <c r="C663" t="e">
        <v>#NAME?</v>
      </c>
      <c r="D663" t="e">
        <v>#NAME?</v>
      </c>
      <c r="E663">
        <v>44859</v>
      </c>
      <c r="F663">
        <v>11</v>
      </c>
      <c r="G663">
        <v>8119</v>
      </c>
      <c r="H663" s="1">
        <v>46066</v>
      </c>
      <c r="I663" s="1">
        <v>46087</v>
      </c>
      <c r="J663" s="1">
        <v>46085</v>
      </c>
      <c r="K663" s="2">
        <v>0.41666666666666669</v>
      </c>
      <c r="M663" t="s">
        <v>1230</v>
      </c>
      <c r="N663">
        <v>7537</v>
      </c>
      <c r="O663" t="s">
        <v>17</v>
      </c>
    </row>
    <row r="664" spans="1:15" hidden="1" x14ac:dyDescent="0.25">
      <c r="A664" t="s">
        <v>1281</v>
      </c>
      <c r="B664" t="s">
        <v>1282</v>
      </c>
      <c r="C664" t="e">
        <v>#NAME?</v>
      </c>
      <c r="D664" t="e">
        <v>#NAME?</v>
      </c>
      <c r="E664">
        <v>38558</v>
      </c>
      <c r="F664">
        <v>7</v>
      </c>
      <c r="G664">
        <v>8483</v>
      </c>
      <c r="H664" s="1">
        <v>46066</v>
      </c>
      <c r="I664" s="1">
        <v>46087</v>
      </c>
      <c r="J664" s="1">
        <v>46085</v>
      </c>
      <c r="K664" s="2">
        <v>0.41666666666666669</v>
      </c>
      <c r="M664" t="s">
        <v>1230</v>
      </c>
      <c r="N664">
        <v>7951</v>
      </c>
      <c r="O664" t="s">
        <v>17</v>
      </c>
    </row>
    <row r="665" spans="1:15" hidden="1" x14ac:dyDescent="0.25">
      <c r="A665" t="s">
        <v>1283</v>
      </c>
      <c r="B665" t="s">
        <v>1284</v>
      </c>
      <c r="C665" t="e">
        <v>#NAME?</v>
      </c>
      <c r="D665" t="e">
        <v>#NAME?</v>
      </c>
      <c r="E665">
        <v>24437</v>
      </c>
      <c r="F665">
        <v>5</v>
      </c>
      <c r="G665">
        <v>5132</v>
      </c>
      <c r="H665" s="1">
        <v>46066</v>
      </c>
      <c r="I665" s="1">
        <v>46087</v>
      </c>
      <c r="J665" s="1">
        <v>46085</v>
      </c>
      <c r="K665" s="2">
        <v>0.4375</v>
      </c>
      <c r="M665" t="s">
        <v>1230</v>
      </c>
      <c r="N665">
        <v>4888</v>
      </c>
      <c r="O665" t="s">
        <v>17</v>
      </c>
    </row>
    <row r="666" spans="1:15" hidden="1" x14ac:dyDescent="0.25">
      <c r="A666" t="s">
        <v>1285</v>
      </c>
      <c r="B666" t="s">
        <v>1286</v>
      </c>
      <c r="C666" t="e">
        <v>#NAME?</v>
      </c>
      <c r="D666" t="e">
        <v>#NAME?</v>
      </c>
      <c r="E666">
        <v>35004</v>
      </c>
      <c r="F666">
        <v>6</v>
      </c>
      <c r="G666">
        <v>5706</v>
      </c>
      <c r="H666" s="1">
        <v>46066</v>
      </c>
      <c r="I666" s="1">
        <v>46087</v>
      </c>
      <c r="J666" s="1">
        <v>46085</v>
      </c>
      <c r="K666" s="2">
        <v>0.47916666666666669</v>
      </c>
      <c r="M666" t="s">
        <v>1165</v>
      </c>
      <c r="N666">
        <v>5533</v>
      </c>
      <c r="O666" t="s">
        <v>17</v>
      </c>
    </row>
    <row r="667" spans="1:15" hidden="1" x14ac:dyDescent="0.25">
      <c r="A667" t="s">
        <v>1287</v>
      </c>
      <c r="B667" t="s">
        <v>1288</v>
      </c>
      <c r="C667" t="e">
        <v>#NAME?</v>
      </c>
      <c r="D667" t="e">
        <v>#NAME?</v>
      </c>
      <c r="E667">
        <v>41361</v>
      </c>
      <c r="F667">
        <v>7</v>
      </c>
      <c r="G667">
        <v>7859</v>
      </c>
      <c r="H667" s="1">
        <v>46066</v>
      </c>
      <c r="I667" s="1">
        <v>46087</v>
      </c>
      <c r="J667" s="1">
        <v>46086</v>
      </c>
      <c r="K667" s="2">
        <v>0.45833333333333331</v>
      </c>
      <c r="M667" t="s">
        <v>1241</v>
      </c>
      <c r="N667">
        <v>8440</v>
      </c>
      <c r="O667" t="s">
        <v>17</v>
      </c>
    </row>
    <row r="668" spans="1:15" hidden="1" x14ac:dyDescent="0.25">
      <c r="A668" t="s">
        <v>185</v>
      </c>
      <c r="B668" t="s">
        <v>1289</v>
      </c>
      <c r="C668" t="e">
        <v>#NAME?</v>
      </c>
      <c r="D668" t="e">
        <v>#NAME?</v>
      </c>
      <c r="E668">
        <v>38308</v>
      </c>
      <c r="F668">
        <v>6</v>
      </c>
      <c r="G668">
        <v>4750</v>
      </c>
      <c r="H668" s="1">
        <v>46066</v>
      </c>
      <c r="I668" s="1">
        <v>46087</v>
      </c>
      <c r="J668" s="1">
        <v>46087</v>
      </c>
      <c r="K668" s="2">
        <v>0.45833333333333331</v>
      </c>
      <c r="M668" t="s">
        <v>1290</v>
      </c>
      <c r="N668">
        <v>4523</v>
      </c>
      <c r="O668" t="s">
        <v>17</v>
      </c>
    </row>
    <row r="669" spans="1:15" hidden="1" x14ac:dyDescent="0.25">
      <c r="A669" t="s">
        <v>1243</v>
      </c>
      <c r="B669" t="s">
        <v>1291</v>
      </c>
      <c r="C669" t="e">
        <v>#NAME?</v>
      </c>
      <c r="D669" t="e">
        <v>#NAME?</v>
      </c>
      <c r="E669">
        <v>40217</v>
      </c>
      <c r="F669">
        <v>6</v>
      </c>
      <c r="G669">
        <v>4987</v>
      </c>
      <c r="H669" s="1">
        <v>46066</v>
      </c>
      <c r="I669" s="1">
        <v>46087</v>
      </c>
      <c r="J669" s="1">
        <v>46087</v>
      </c>
      <c r="K669" s="2">
        <v>0.5</v>
      </c>
      <c r="M669" t="s">
        <v>1292</v>
      </c>
      <c r="N669">
        <v>4580</v>
      </c>
      <c r="O669" t="s">
        <v>17</v>
      </c>
    </row>
    <row r="670" spans="1:15" hidden="1" x14ac:dyDescent="0.25">
      <c r="A670" t="s">
        <v>542</v>
      </c>
      <c r="B670" t="s">
        <v>1293</v>
      </c>
      <c r="C670" t="e">
        <v>#NAME?</v>
      </c>
      <c r="D670" t="e">
        <v>#NAME?</v>
      </c>
      <c r="E670">
        <v>36659</v>
      </c>
      <c r="F670">
        <v>6</v>
      </c>
      <c r="G670">
        <v>4546</v>
      </c>
      <c r="H670" s="1">
        <v>46066</v>
      </c>
      <c r="I670" s="1">
        <v>46087</v>
      </c>
      <c r="J670" s="1">
        <v>46087</v>
      </c>
      <c r="K670" s="2">
        <v>0.5625</v>
      </c>
      <c r="M670" t="s">
        <v>1292</v>
      </c>
      <c r="N670">
        <v>4328</v>
      </c>
      <c r="O670" t="s">
        <v>17</v>
      </c>
    </row>
    <row r="671" spans="1:15" hidden="1" x14ac:dyDescent="0.25">
      <c r="A671" t="s">
        <v>164</v>
      </c>
      <c r="B671" t="s">
        <v>1294</v>
      </c>
      <c r="C671" t="e">
        <v>#NAME?</v>
      </c>
      <c r="D671" t="e">
        <v>#NAME?</v>
      </c>
      <c r="E671">
        <v>37923</v>
      </c>
      <c r="F671">
        <v>6</v>
      </c>
      <c r="G671">
        <v>4702</v>
      </c>
      <c r="H671" s="1">
        <v>46066</v>
      </c>
      <c r="I671" s="1">
        <v>46087</v>
      </c>
      <c r="J671" s="1">
        <v>46087</v>
      </c>
      <c r="K671" s="2">
        <v>0.5625</v>
      </c>
      <c r="L671" t="s">
        <v>20</v>
      </c>
      <c r="M671" t="s">
        <v>1290</v>
      </c>
      <c r="N671">
        <v>4404</v>
      </c>
      <c r="O671" t="s">
        <v>17</v>
      </c>
    </row>
    <row r="672" spans="1:15" hidden="1" x14ac:dyDescent="0.25">
      <c r="A672" t="s">
        <v>1295</v>
      </c>
      <c r="B672" t="s">
        <v>1296</v>
      </c>
      <c r="C672" t="e">
        <v>#NAME?</v>
      </c>
      <c r="D672" t="e">
        <v>#NAME?</v>
      </c>
      <c r="E672">
        <v>26525</v>
      </c>
      <c r="F672">
        <v>5</v>
      </c>
      <c r="G672">
        <v>10822</v>
      </c>
      <c r="H672" s="1">
        <v>46066</v>
      </c>
      <c r="I672" s="1">
        <v>46087</v>
      </c>
      <c r="J672" s="1">
        <v>46087</v>
      </c>
      <c r="K672" s="2">
        <v>0.58333333333333337</v>
      </c>
      <c r="M672" t="s">
        <v>1297</v>
      </c>
      <c r="N672">
        <v>10034</v>
      </c>
      <c r="O672" t="s">
        <v>17</v>
      </c>
    </row>
    <row r="673" spans="1:15" hidden="1" x14ac:dyDescent="0.25">
      <c r="A673" t="s">
        <v>1298</v>
      </c>
      <c r="B673" t="s">
        <v>1299</v>
      </c>
      <c r="C673" t="e">
        <v>#NAME?</v>
      </c>
      <c r="D673" t="e">
        <v>#NAME?</v>
      </c>
      <c r="E673">
        <v>37856</v>
      </c>
      <c r="F673">
        <v>9</v>
      </c>
      <c r="G673">
        <v>6549</v>
      </c>
      <c r="H673" s="1">
        <v>46066</v>
      </c>
      <c r="I673" s="1">
        <v>46087</v>
      </c>
      <c r="J673" s="1">
        <v>46087</v>
      </c>
      <c r="K673" s="2">
        <v>0.45833333333333331</v>
      </c>
      <c r="M673" t="s">
        <v>1292</v>
      </c>
      <c r="N673">
        <v>6530</v>
      </c>
      <c r="O673" t="s">
        <v>17</v>
      </c>
    </row>
    <row r="674" spans="1:15" hidden="1" x14ac:dyDescent="0.25">
      <c r="A674" t="s">
        <v>1160</v>
      </c>
      <c r="B674" t="s">
        <v>1300</v>
      </c>
      <c r="C674" t="e">
        <v>#NAME?</v>
      </c>
      <c r="D674" t="e">
        <v>#NAME?</v>
      </c>
      <c r="E674">
        <v>38483</v>
      </c>
      <c r="F674">
        <v>5</v>
      </c>
      <c r="G674">
        <v>4041</v>
      </c>
      <c r="H674" s="1">
        <v>46066</v>
      </c>
      <c r="I674" s="1">
        <v>46087</v>
      </c>
      <c r="J674" s="1">
        <v>46087</v>
      </c>
      <c r="K674" s="2">
        <v>0.54166666666666663</v>
      </c>
      <c r="M674" t="s">
        <v>1292</v>
      </c>
      <c r="N674">
        <v>3775</v>
      </c>
      <c r="O674" t="s">
        <v>17</v>
      </c>
    </row>
    <row r="675" spans="1:15" hidden="1" x14ac:dyDescent="0.25">
      <c r="A675" t="s">
        <v>1087</v>
      </c>
      <c r="B675" t="s">
        <v>1301</v>
      </c>
      <c r="C675" t="e">
        <v>#NAME?</v>
      </c>
      <c r="D675" t="e">
        <v>#NAME?</v>
      </c>
      <c r="E675">
        <v>50148</v>
      </c>
      <c r="F675">
        <v>9</v>
      </c>
      <c r="G675">
        <v>3410</v>
      </c>
      <c r="H675" s="1">
        <v>46066</v>
      </c>
      <c r="I675" s="1">
        <v>46090</v>
      </c>
      <c r="J675" s="1">
        <v>46090</v>
      </c>
      <c r="K675" s="2">
        <v>0.39583333333333331</v>
      </c>
      <c r="M675" t="s">
        <v>1302</v>
      </c>
      <c r="N675">
        <v>6310</v>
      </c>
      <c r="O675" t="s">
        <v>17</v>
      </c>
    </row>
    <row r="676" spans="1:15" hidden="1" x14ac:dyDescent="0.25">
      <c r="A676" t="s">
        <v>1303</v>
      </c>
      <c r="B676" t="s">
        <v>1304</v>
      </c>
      <c r="C676" t="e">
        <v>#NAME?</v>
      </c>
      <c r="D676" t="e">
        <v>#NAME?</v>
      </c>
      <c r="E676">
        <v>36873</v>
      </c>
      <c r="F676">
        <v>6</v>
      </c>
      <c r="G676">
        <v>4388</v>
      </c>
      <c r="H676" s="1">
        <v>46066</v>
      </c>
      <c r="I676" s="1">
        <v>46090</v>
      </c>
      <c r="J676" s="1">
        <v>46090</v>
      </c>
      <c r="K676" s="2">
        <v>0.41666666666666669</v>
      </c>
      <c r="M676" t="s">
        <v>1305</v>
      </c>
      <c r="N676">
        <v>4282</v>
      </c>
      <c r="O676" t="s">
        <v>17</v>
      </c>
    </row>
    <row r="677" spans="1:15" hidden="1" x14ac:dyDescent="0.25">
      <c r="A677" t="s">
        <v>1096</v>
      </c>
      <c r="B677" t="s">
        <v>1306</v>
      </c>
      <c r="C677" t="e">
        <v>#NAME?</v>
      </c>
      <c r="D677" t="e">
        <v>#NAME?</v>
      </c>
      <c r="E677">
        <v>31574</v>
      </c>
      <c r="F677">
        <v>5</v>
      </c>
      <c r="G677">
        <v>3947</v>
      </c>
      <c r="H677" s="1">
        <v>46066</v>
      </c>
      <c r="I677" s="1">
        <v>46090</v>
      </c>
      <c r="J677" s="1">
        <v>46090</v>
      </c>
      <c r="K677" s="2">
        <v>0.4375</v>
      </c>
      <c r="M677" t="s">
        <v>1307</v>
      </c>
      <c r="N677">
        <v>3728</v>
      </c>
      <c r="O677" t="s">
        <v>17</v>
      </c>
    </row>
    <row r="678" spans="1:15" hidden="1" x14ac:dyDescent="0.25">
      <c r="A678" t="s">
        <v>1065</v>
      </c>
      <c r="B678" t="s">
        <v>1308</v>
      </c>
      <c r="C678" t="e">
        <v>#NAME?</v>
      </c>
      <c r="D678" t="e">
        <v>#NAME?</v>
      </c>
      <c r="E678">
        <v>33331</v>
      </c>
      <c r="F678">
        <v>5</v>
      </c>
      <c r="G678">
        <v>4133</v>
      </c>
      <c r="H678" s="1">
        <v>46066</v>
      </c>
      <c r="I678" s="1">
        <v>46090</v>
      </c>
      <c r="J678" s="1">
        <v>46090</v>
      </c>
      <c r="K678" s="2">
        <v>0.4375</v>
      </c>
      <c r="M678" t="s">
        <v>1307</v>
      </c>
      <c r="N678">
        <v>3935</v>
      </c>
      <c r="O678" t="s">
        <v>17</v>
      </c>
    </row>
    <row r="679" spans="1:15" hidden="1" x14ac:dyDescent="0.25">
      <c r="A679" t="s">
        <v>708</v>
      </c>
      <c r="B679" t="s">
        <v>1309</v>
      </c>
      <c r="C679" t="e">
        <v>#NAME?</v>
      </c>
      <c r="D679" t="e">
        <v>#NAME?</v>
      </c>
      <c r="E679">
        <v>32995</v>
      </c>
      <c r="F679">
        <v>5</v>
      </c>
      <c r="G679">
        <v>4124</v>
      </c>
      <c r="H679" s="1">
        <v>46066</v>
      </c>
      <c r="I679" s="1">
        <v>46090</v>
      </c>
      <c r="J679" s="1">
        <v>46090</v>
      </c>
      <c r="K679" s="2">
        <v>0.4375</v>
      </c>
      <c r="M679" t="s">
        <v>1307</v>
      </c>
      <c r="N679">
        <v>3896</v>
      </c>
      <c r="O679" t="s">
        <v>17</v>
      </c>
    </row>
    <row r="680" spans="1:15" hidden="1" x14ac:dyDescent="0.25">
      <c r="A680" t="s">
        <v>667</v>
      </c>
      <c r="B680" t="s">
        <v>1310</v>
      </c>
      <c r="C680" t="e">
        <v>#NAME?</v>
      </c>
      <c r="D680" t="e">
        <v>#NAME?</v>
      </c>
      <c r="E680">
        <v>45370</v>
      </c>
      <c r="F680">
        <v>5</v>
      </c>
      <c r="G680">
        <v>4356</v>
      </c>
      <c r="H680" s="1">
        <v>46066</v>
      </c>
      <c r="I680" s="1">
        <v>46090</v>
      </c>
      <c r="J680" s="1">
        <v>46090</v>
      </c>
      <c r="K680" s="2">
        <v>0.41666666666666669</v>
      </c>
      <c r="M680" t="s">
        <v>1305</v>
      </c>
      <c r="N680">
        <v>5357</v>
      </c>
      <c r="O680" t="s">
        <v>17</v>
      </c>
    </row>
    <row r="681" spans="1:15" hidden="1" x14ac:dyDescent="0.25">
      <c r="A681" t="s">
        <v>189</v>
      </c>
      <c r="B681" t="s">
        <v>1311</v>
      </c>
      <c r="C681" t="e">
        <v>#NAME?</v>
      </c>
      <c r="D681" t="e">
        <v>#NAME?</v>
      </c>
      <c r="E681">
        <v>35210</v>
      </c>
      <c r="F681">
        <v>7</v>
      </c>
      <c r="G681">
        <v>4225</v>
      </c>
      <c r="H681" s="1">
        <v>46066</v>
      </c>
      <c r="I681" s="1">
        <v>46090</v>
      </c>
      <c r="J681" s="1">
        <v>46090</v>
      </c>
      <c r="K681" s="2">
        <v>0.4375</v>
      </c>
      <c r="M681" t="s">
        <v>1307</v>
      </c>
      <c r="N681">
        <v>4155</v>
      </c>
      <c r="O681" t="s">
        <v>17</v>
      </c>
    </row>
    <row r="682" spans="1:15" hidden="1" x14ac:dyDescent="0.25">
      <c r="A682" t="s">
        <v>1312</v>
      </c>
      <c r="B682" t="s">
        <v>1313</v>
      </c>
      <c r="C682" t="e">
        <v>#NAME?</v>
      </c>
      <c r="D682" t="e">
        <v>#NAME?</v>
      </c>
      <c r="E682">
        <v>30834</v>
      </c>
      <c r="F682">
        <v>5</v>
      </c>
      <c r="G682">
        <v>4008</v>
      </c>
      <c r="H682" s="1">
        <v>46066</v>
      </c>
      <c r="I682" s="1">
        <v>46090</v>
      </c>
      <c r="J682" s="1">
        <v>46090</v>
      </c>
      <c r="K682" s="2">
        <v>0.4375</v>
      </c>
      <c r="M682" t="s">
        <v>1307</v>
      </c>
      <c r="N682">
        <v>3641</v>
      </c>
      <c r="O682" t="s">
        <v>17</v>
      </c>
    </row>
    <row r="683" spans="1:15" hidden="1" x14ac:dyDescent="0.25">
      <c r="A683" t="s">
        <v>1314</v>
      </c>
      <c r="B683" t="s">
        <v>1315</v>
      </c>
      <c r="C683" t="e">
        <v>#NAME?</v>
      </c>
      <c r="D683" t="e">
        <v>#NAME?</v>
      </c>
      <c r="E683">
        <v>33558</v>
      </c>
      <c r="F683">
        <v>6</v>
      </c>
      <c r="G683">
        <v>5034</v>
      </c>
      <c r="H683" s="1">
        <v>46066</v>
      </c>
      <c r="I683" s="1">
        <v>46090</v>
      </c>
      <c r="J683" s="1">
        <v>46092</v>
      </c>
      <c r="K683" s="2">
        <v>0.375</v>
      </c>
      <c r="M683" t="s">
        <v>1316</v>
      </c>
      <c r="N683">
        <v>4547</v>
      </c>
      <c r="O683" t="s">
        <v>17</v>
      </c>
    </row>
    <row r="684" spans="1:15" hidden="1" x14ac:dyDescent="0.25">
      <c r="A684" t="s">
        <v>1262</v>
      </c>
      <c r="B684" t="s">
        <v>1317</v>
      </c>
      <c r="C684" t="e">
        <v>#NAME?</v>
      </c>
      <c r="D684" t="e">
        <v>#NAME?</v>
      </c>
      <c r="E684">
        <v>33100</v>
      </c>
      <c r="F684">
        <v>5</v>
      </c>
      <c r="G684">
        <v>4303</v>
      </c>
      <c r="H684" s="1">
        <v>46066</v>
      </c>
      <c r="I684" s="1">
        <v>46090</v>
      </c>
      <c r="J684" s="1">
        <v>46092</v>
      </c>
      <c r="K684" s="2">
        <v>0.375</v>
      </c>
      <c r="M684" t="s">
        <v>1316</v>
      </c>
      <c r="N684">
        <v>3983</v>
      </c>
      <c r="O684" t="s">
        <v>17</v>
      </c>
    </row>
    <row r="685" spans="1:15" hidden="1" x14ac:dyDescent="0.25">
      <c r="A685" t="s">
        <v>1314</v>
      </c>
      <c r="B685" t="s">
        <v>1318</v>
      </c>
      <c r="C685" t="e">
        <v>#NAME?</v>
      </c>
      <c r="D685" t="e">
        <v>#NAME?</v>
      </c>
      <c r="E685">
        <v>31346</v>
      </c>
      <c r="F685">
        <v>5</v>
      </c>
      <c r="G685">
        <v>3887</v>
      </c>
      <c r="H685" s="1">
        <v>46066</v>
      </c>
      <c r="I685" s="1">
        <v>46090</v>
      </c>
      <c r="J685" s="1">
        <v>46092</v>
      </c>
      <c r="K685" s="2">
        <v>0.375</v>
      </c>
      <c r="M685" t="s">
        <v>1316</v>
      </c>
      <c r="N685">
        <v>3772</v>
      </c>
      <c r="O685" t="s">
        <v>17</v>
      </c>
    </row>
    <row r="686" spans="1:15" hidden="1" x14ac:dyDescent="0.25">
      <c r="A686" t="s">
        <v>1319</v>
      </c>
      <c r="B686" t="s">
        <v>1320</v>
      </c>
      <c r="C686" t="e">
        <v>#NAME?</v>
      </c>
      <c r="D686" t="e">
        <v>#NAME?</v>
      </c>
      <c r="E686">
        <v>33925</v>
      </c>
      <c r="F686">
        <v>8</v>
      </c>
      <c r="G686">
        <v>6140</v>
      </c>
      <c r="H686" s="1">
        <v>46066</v>
      </c>
      <c r="I686" s="1">
        <v>46090</v>
      </c>
      <c r="J686" s="1">
        <v>46090</v>
      </c>
      <c r="K686" s="2">
        <v>0.41666666666666669</v>
      </c>
      <c r="M686" t="s">
        <v>1305</v>
      </c>
      <c r="N686">
        <v>5908</v>
      </c>
      <c r="O686" t="s">
        <v>17</v>
      </c>
    </row>
    <row r="687" spans="1:15" hidden="1" x14ac:dyDescent="0.25">
      <c r="A687" t="s">
        <v>1321</v>
      </c>
      <c r="B687" t="s">
        <v>1322</v>
      </c>
      <c r="C687" t="e">
        <v>#NAME?</v>
      </c>
      <c r="D687" t="e">
        <v>#NAME?</v>
      </c>
      <c r="E687">
        <v>37045</v>
      </c>
      <c r="F687">
        <v>7</v>
      </c>
      <c r="G687">
        <v>8113</v>
      </c>
      <c r="H687" s="1">
        <v>46066</v>
      </c>
      <c r="I687" s="1">
        <v>46090</v>
      </c>
      <c r="J687" s="1">
        <v>46090</v>
      </c>
      <c r="K687" s="2">
        <v>0.41666666666666669</v>
      </c>
      <c r="M687" t="s">
        <v>1305</v>
      </c>
      <c r="N687">
        <v>7338</v>
      </c>
      <c r="O687" t="s">
        <v>17</v>
      </c>
    </row>
    <row r="688" spans="1:15" hidden="1" x14ac:dyDescent="0.25">
      <c r="A688" t="s">
        <v>1319</v>
      </c>
      <c r="B688" t="s">
        <v>1323</v>
      </c>
      <c r="C688" t="e">
        <v>#NAME?</v>
      </c>
      <c r="D688" t="e">
        <v>#NAME?</v>
      </c>
      <c r="E688">
        <v>84897</v>
      </c>
      <c r="F688">
        <v>12</v>
      </c>
      <c r="G688">
        <v>10527</v>
      </c>
      <c r="H688" s="1">
        <v>46066</v>
      </c>
      <c r="I688" s="1">
        <v>46090</v>
      </c>
      <c r="J688" s="1">
        <v>46092</v>
      </c>
      <c r="K688" s="2">
        <v>0.375</v>
      </c>
      <c r="M688" t="s">
        <v>1316</v>
      </c>
      <c r="N688">
        <v>9770</v>
      </c>
      <c r="O688" t="s">
        <v>17</v>
      </c>
    </row>
    <row r="689" spans="1:15" hidden="1" x14ac:dyDescent="0.25">
      <c r="A689" t="s">
        <v>1270</v>
      </c>
      <c r="B689" t="s">
        <v>1324</v>
      </c>
      <c r="C689" t="e">
        <v>#NAME?</v>
      </c>
      <c r="D689" t="e">
        <v>#NAME?</v>
      </c>
      <c r="E689">
        <v>33404</v>
      </c>
      <c r="F689">
        <v>5</v>
      </c>
      <c r="G689">
        <v>3207</v>
      </c>
      <c r="H689" s="1">
        <v>46066</v>
      </c>
      <c r="I689" s="1">
        <v>46090</v>
      </c>
      <c r="J689" s="1">
        <v>46090</v>
      </c>
      <c r="K689" s="2">
        <v>0.39583333333333331</v>
      </c>
      <c r="M689" t="s">
        <v>1302</v>
      </c>
      <c r="N689">
        <v>3932</v>
      </c>
      <c r="O689" t="s">
        <v>17</v>
      </c>
    </row>
    <row r="690" spans="1:15" hidden="1" x14ac:dyDescent="0.25">
      <c r="A690" t="s">
        <v>1325</v>
      </c>
      <c r="B690" t="s">
        <v>1326</v>
      </c>
      <c r="C690" t="e">
        <v>#NAME?</v>
      </c>
      <c r="D690" t="e">
        <v>#NAME?</v>
      </c>
      <c r="E690">
        <v>23798</v>
      </c>
      <c r="F690">
        <v>4</v>
      </c>
      <c r="G690">
        <v>2975</v>
      </c>
      <c r="H690" s="1">
        <v>46066</v>
      </c>
      <c r="I690" s="1">
        <v>46090</v>
      </c>
      <c r="J690" s="1">
        <v>46090</v>
      </c>
      <c r="K690" s="2">
        <v>0.39583333333333331</v>
      </c>
      <c r="M690" t="s">
        <v>1302</v>
      </c>
      <c r="N690" s="3">
        <v>3047</v>
      </c>
      <c r="O690" t="s">
        <v>17</v>
      </c>
    </row>
    <row r="691" spans="1:15" hidden="1" x14ac:dyDescent="0.25">
      <c r="A691" t="s">
        <v>1279</v>
      </c>
      <c r="B691" t="s">
        <v>1327</v>
      </c>
      <c r="C691" t="e">
        <v>#NAME?</v>
      </c>
      <c r="D691" t="e">
        <v>#NAME?</v>
      </c>
      <c r="E691">
        <v>49714</v>
      </c>
      <c r="F691">
        <v>9</v>
      </c>
      <c r="G691">
        <v>4773</v>
      </c>
      <c r="H691" s="1">
        <v>46066</v>
      </c>
      <c r="I691" s="1">
        <v>46090</v>
      </c>
      <c r="J691" s="1">
        <v>46090</v>
      </c>
      <c r="K691" s="2">
        <v>0.39583333333333331</v>
      </c>
      <c r="M691" t="s">
        <v>1302</v>
      </c>
      <c r="N691">
        <v>4600</v>
      </c>
      <c r="O691" t="s">
        <v>17</v>
      </c>
    </row>
    <row r="692" spans="1:15" hidden="1" x14ac:dyDescent="0.25">
      <c r="A692" t="s">
        <v>1328</v>
      </c>
      <c r="B692" t="s">
        <v>1329</v>
      </c>
      <c r="C692" t="e">
        <v>#NAME?</v>
      </c>
      <c r="D692" t="e">
        <v>#NAME?</v>
      </c>
      <c r="E692">
        <v>30378</v>
      </c>
      <c r="F692">
        <v>5</v>
      </c>
      <c r="G692">
        <v>3645</v>
      </c>
      <c r="H692" s="1">
        <v>46066</v>
      </c>
      <c r="I692" s="1">
        <v>46090</v>
      </c>
      <c r="J692" s="1">
        <v>46090</v>
      </c>
      <c r="K692" s="2">
        <v>0.39583333333333331</v>
      </c>
      <c r="M692" t="s">
        <v>1302</v>
      </c>
      <c r="N692">
        <v>3842</v>
      </c>
      <c r="O692" t="s">
        <v>17</v>
      </c>
    </row>
    <row r="693" spans="1:15" hidden="1" x14ac:dyDescent="0.25">
      <c r="A693" t="s">
        <v>1330</v>
      </c>
      <c r="B693" t="s">
        <v>1331</v>
      </c>
      <c r="C693" t="e">
        <v>#NAME?</v>
      </c>
      <c r="D693" t="e">
        <v>#NAME?</v>
      </c>
      <c r="E693">
        <v>34257</v>
      </c>
      <c r="F693">
        <v>5</v>
      </c>
      <c r="G693">
        <v>4453</v>
      </c>
      <c r="H693" s="1">
        <v>46066</v>
      </c>
      <c r="I693" s="1">
        <v>46090</v>
      </c>
      <c r="J693" s="1">
        <v>46090</v>
      </c>
      <c r="K693" s="2">
        <v>0.39583333333333331</v>
      </c>
      <c r="M693" t="s">
        <v>1302</v>
      </c>
      <c r="N693">
        <v>4229</v>
      </c>
      <c r="O693" t="s">
        <v>17</v>
      </c>
    </row>
    <row r="694" spans="1:15" hidden="1" x14ac:dyDescent="0.25">
      <c r="A694" t="s">
        <v>1332</v>
      </c>
      <c r="B694" t="s">
        <v>1333</v>
      </c>
      <c r="C694" t="e">
        <v>#NAME?</v>
      </c>
      <c r="D694" t="e">
        <v>#NAME?</v>
      </c>
      <c r="E694">
        <v>23715</v>
      </c>
      <c r="F694">
        <v>3</v>
      </c>
      <c r="G694">
        <v>2395</v>
      </c>
      <c r="H694" s="1">
        <v>46078</v>
      </c>
      <c r="I694" s="1">
        <v>46091</v>
      </c>
      <c r="J694" s="1">
        <v>46091</v>
      </c>
      <c r="K694" s="2">
        <v>0.58333333333333337</v>
      </c>
      <c r="M694" t="s">
        <v>1334</v>
      </c>
      <c r="N694">
        <v>2365</v>
      </c>
      <c r="O694" t="s">
        <v>17</v>
      </c>
    </row>
    <row r="695" spans="1:15" hidden="1" x14ac:dyDescent="0.25">
      <c r="A695" t="s">
        <v>1332</v>
      </c>
      <c r="B695" t="s">
        <v>1335</v>
      </c>
      <c r="C695" t="e">
        <v>#NAME?</v>
      </c>
      <c r="D695" t="e">
        <v>#NAME?</v>
      </c>
      <c r="E695">
        <v>37497</v>
      </c>
      <c r="F695">
        <v>6</v>
      </c>
      <c r="G695">
        <v>4500</v>
      </c>
      <c r="H695" s="1">
        <v>46078</v>
      </c>
      <c r="I695" s="1">
        <v>46091</v>
      </c>
      <c r="J695" s="1">
        <v>46091</v>
      </c>
      <c r="K695" s="2">
        <v>0.58333333333333337</v>
      </c>
      <c r="M695" t="s">
        <v>1334</v>
      </c>
      <c r="N695">
        <v>2374</v>
      </c>
      <c r="O695" t="s">
        <v>17</v>
      </c>
    </row>
    <row r="696" spans="1:15" hidden="1" x14ac:dyDescent="0.25">
      <c r="A696" t="s">
        <v>819</v>
      </c>
      <c r="B696" t="s">
        <v>1336</v>
      </c>
      <c r="C696" t="e">
        <v>#NAME?</v>
      </c>
      <c r="D696" t="e">
        <v>#NAME?</v>
      </c>
      <c r="E696">
        <v>33064</v>
      </c>
      <c r="F696">
        <v>5</v>
      </c>
      <c r="G696">
        <v>5952</v>
      </c>
      <c r="H696" s="1">
        <v>46094</v>
      </c>
      <c r="I696" s="1">
        <v>46091</v>
      </c>
      <c r="J696" s="1">
        <v>46091</v>
      </c>
      <c r="K696" s="2">
        <v>0.375</v>
      </c>
      <c r="M696" t="s">
        <v>1337</v>
      </c>
      <c r="N696">
        <v>3904</v>
      </c>
      <c r="O696" t="s">
        <v>17</v>
      </c>
    </row>
    <row r="697" spans="1:15" hidden="1" x14ac:dyDescent="0.25">
      <c r="A697" t="s">
        <v>1338</v>
      </c>
      <c r="B697" t="s">
        <v>1339</v>
      </c>
      <c r="C697" t="e">
        <v>#NAME?</v>
      </c>
      <c r="D697" t="e">
        <v>#NAME?</v>
      </c>
      <c r="E697">
        <v>28338</v>
      </c>
      <c r="F697">
        <v>5</v>
      </c>
      <c r="G697">
        <v>3684</v>
      </c>
      <c r="H697" s="1">
        <v>46066</v>
      </c>
      <c r="I697" s="1">
        <v>46091</v>
      </c>
      <c r="J697" s="1">
        <v>46091</v>
      </c>
      <c r="K697" s="2">
        <v>0.375</v>
      </c>
      <c r="M697" t="s">
        <v>1337</v>
      </c>
      <c r="N697">
        <v>3460</v>
      </c>
      <c r="O697" t="s">
        <v>17</v>
      </c>
    </row>
    <row r="698" spans="1:15" hidden="1" x14ac:dyDescent="0.25">
      <c r="A698" t="s">
        <v>1340</v>
      </c>
      <c r="B698" t="s">
        <v>1341</v>
      </c>
      <c r="C698" t="e">
        <v>#NAME?</v>
      </c>
      <c r="D698" t="e">
        <v>#NAME?</v>
      </c>
      <c r="E698">
        <v>23889</v>
      </c>
      <c r="F698">
        <v>4</v>
      </c>
      <c r="G698">
        <v>3106</v>
      </c>
      <c r="H698" s="1">
        <v>46066</v>
      </c>
      <c r="I698" s="1">
        <v>46091</v>
      </c>
      <c r="J698" s="1">
        <v>46091</v>
      </c>
      <c r="K698" s="2">
        <v>0.375</v>
      </c>
      <c r="M698" t="s">
        <v>1337</v>
      </c>
      <c r="N698">
        <v>2822</v>
      </c>
      <c r="O698" t="s">
        <v>17</v>
      </c>
    </row>
    <row r="699" spans="1:15" hidden="1" x14ac:dyDescent="0.25">
      <c r="A699" t="s">
        <v>1017</v>
      </c>
      <c r="B699" t="s">
        <v>1342</v>
      </c>
      <c r="C699" t="e">
        <v>#NAME?</v>
      </c>
      <c r="D699" t="e">
        <v>#NAME?</v>
      </c>
      <c r="E699">
        <v>45512</v>
      </c>
      <c r="F699">
        <v>8</v>
      </c>
      <c r="G699">
        <v>6190</v>
      </c>
      <c r="H699" s="1">
        <v>46066</v>
      </c>
      <c r="I699" s="1">
        <v>46092</v>
      </c>
      <c r="J699" s="1">
        <v>46092</v>
      </c>
      <c r="K699" s="2">
        <v>0.33333333333333331</v>
      </c>
      <c r="M699" t="s">
        <v>1343</v>
      </c>
      <c r="N699">
        <v>6013</v>
      </c>
      <c r="O699" t="s">
        <v>17</v>
      </c>
    </row>
    <row r="700" spans="1:15" hidden="1" x14ac:dyDescent="0.25">
      <c r="A700" t="s">
        <v>1344</v>
      </c>
      <c r="B700" t="s">
        <v>1345</v>
      </c>
      <c r="C700" t="e">
        <v>#NAME?</v>
      </c>
      <c r="D700" t="e">
        <v>#NAME?</v>
      </c>
      <c r="E700">
        <v>49338</v>
      </c>
      <c r="F700">
        <v>9</v>
      </c>
      <c r="G700">
        <v>6414</v>
      </c>
      <c r="H700" s="1">
        <v>46066</v>
      </c>
      <c r="I700" s="1">
        <v>46092</v>
      </c>
      <c r="J700" s="1">
        <v>46092</v>
      </c>
      <c r="K700" s="2">
        <v>0.33333333333333331</v>
      </c>
      <c r="M700" t="s">
        <v>1343</v>
      </c>
      <c r="N700">
        <v>6023</v>
      </c>
      <c r="O700" t="s">
        <v>17</v>
      </c>
    </row>
    <row r="701" spans="1:15" hidden="1" x14ac:dyDescent="0.25">
      <c r="A701" t="s">
        <v>1344</v>
      </c>
      <c r="B701" t="s">
        <v>1346</v>
      </c>
      <c r="C701" t="e">
        <v>#NAME?</v>
      </c>
      <c r="D701" t="e">
        <v>#NAME?</v>
      </c>
      <c r="E701">
        <v>27004</v>
      </c>
      <c r="F701">
        <v>5</v>
      </c>
      <c r="G701">
        <v>3511</v>
      </c>
      <c r="H701" s="1">
        <v>46066</v>
      </c>
      <c r="I701" s="1">
        <v>46091</v>
      </c>
      <c r="J701" s="1">
        <v>46091</v>
      </c>
      <c r="K701" s="2">
        <v>0.375</v>
      </c>
      <c r="M701" t="s">
        <v>1337</v>
      </c>
      <c r="N701">
        <v>3511</v>
      </c>
      <c r="O701" t="s">
        <v>17</v>
      </c>
    </row>
    <row r="702" spans="1:15" hidden="1" x14ac:dyDescent="0.25">
      <c r="A702" t="s">
        <v>1347</v>
      </c>
      <c r="B702" t="s">
        <v>1348</v>
      </c>
      <c r="C702" t="e">
        <v>#NAME?</v>
      </c>
      <c r="D702" t="e">
        <v>#NAME?</v>
      </c>
      <c r="E702">
        <v>24258</v>
      </c>
      <c r="F702">
        <v>4</v>
      </c>
      <c r="G702">
        <v>3396</v>
      </c>
      <c r="H702" s="1">
        <v>46066</v>
      </c>
      <c r="I702" s="1">
        <v>46091</v>
      </c>
      <c r="J702" s="1">
        <v>46091</v>
      </c>
      <c r="K702" s="2">
        <v>0.41666666666666669</v>
      </c>
      <c r="M702" t="s">
        <v>1349</v>
      </c>
      <c r="N702">
        <v>3891</v>
      </c>
      <c r="O702" t="s">
        <v>17</v>
      </c>
    </row>
    <row r="703" spans="1:15" hidden="1" x14ac:dyDescent="0.25">
      <c r="A703" t="s">
        <v>1347</v>
      </c>
      <c r="B703" t="s">
        <v>1350</v>
      </c>
      <c r="C703" t="e">
        <v>#NAME?</v>
      </c>
      <c r="D703" t="e">
        <v>#NAME?</v>
      </c>
      <c r="E703">
        <v>38399</v>
      </c>
      <c r="F703">
        <v>5</v>
      </c>
      <c r="G703">
        <v>3456</v>
      </c>
      <c r="H703" s="1">
        <v>46066</v>
      </c>
      <c r="I703" s="1">
        <v>46091</v>
      </c>
      <c r="J703" s="1">
        <v>46091</v>
      </c>
      <c r="K703" s="2">
        <v>0.41666666666666669</v>
      </c>
      <c r="M703" t="s">
        <v>1349</v>
      </c>
      <c r="N703">
        <v>5237</v>
      </c>
      <c r="O703" t="s">
        <v>17</v>
      </c>
    </row>
    <row r="704" spans="1:15" hidden="1" x14ac:dyDescent="0.25">
      <c r="A704" t="s">
        <v>702</v>
      </c>
      <c r="B704" t="s">
        <v>1351</v>
      </c>
      <c r="C704" t="e">
        <v>#NAME?</v>
      </c>
      <c r="D704" t="e">
        <v>#NAME?</v>
      </c>
      <c r="E704">
        <v>33146</v>
      </c>
      <c r="F704">
        <v>6</v>
      </c>
      <c r="G704">
        <v>4906</v>
      </c>
      <c r="H704" s="1">
        <v>46066</v>
      </c>
      <c r="I704" s="1">
        <v>46092</v>
      </c>
      <c r="J704" s="1">
        <v>46092</v>
      </c>
      <c r="K704" s="2">
        <v>0.33333333333333331</v>
      </c>
      <c r="M704" t="s">
        <v>1343</v>
      </c>
      <c r="N704">
        <v>4872</v>
      </c>
      <c r="O704" t="s">
        <v>17</v>
      </c>
    </row>
    <row r="705" spans="1:15" hidden="1" x14ac:dyDescent="0.25">
      <c r="A705" t="s">
        <v>1156</v>
      </c>
      <c r="B705" t="s">
        <v>1352</v>
      </c>
      <c r="C705" t="e">
        <v>#NAME?</v>
      </c>
      <c r="D705" t="e">
        <v>#NAME?</v>
      </c>
      <c r="E705">
        <v>24543</v>
      </c>
      <c r="F705">
        <v>4</v>
      </c>
      <c r="G705">
        <v>3681</v>
      </c>
      <c r="H705" s="1">
        <v>46066</v>
      </c>
      <c r="I705" s="1">
        <v>46091</v>
      </c>
      <c r="J705" s="1">
        <v>46091</v>
      </c>
      <c r="K705" s="2">
        <v>0.41666666666666669</v>
      </c>
      <c r="M705" t="s">
        <v>1349</v>
      </c>
      <c r="N705">
        <v>3453</v>
      </c>
      <c r="O705" t="s">
        <v>17</v>
      </c>
    </row>
    <row r="706" spans="1:15" hidden="1" x14ac:dyDescent="0.25">
      <c r="A706" t="s">
        <v>1353</v>
      </c>
      <c r="B706" t="s">
        <v>1354</v>
      </c>
      <c r="C706" t="e">
        <v>#NAME?</v>
      </c>
      <c r="D706" t="e">
        <v>#NAME?</v>
      </c>
      <c r="E706">
        <v>50337</v>
      </c>
      <c r="F706">
        <v>6</v>
      </c>
      <c r="G706">
        <v>5285</v>
      </c>
      <c r="H706" s="1">
        <v>46066</v>
      </c>
      <c r="I706" s="1">
        <v>46092</v>
      </c>
      <c r="J706" s="1">
        <v>46092</v>
      </c>
      <c r="K706" s="2">
        <v>0.33333333333333331</v>
      </c>
      <c r="M706" t="s">
        <v>1343</v>
      </c>
      <c r="N706">
        <v>5238</v>
      </c>
      <c r="O706" t="s">
        <v>17</v>
      </c>
    </row>
    <row r="707" spans="1:15" hidden="1" x14ac:dyDescent="0.25">
      <c r="A707" t="s">
        <v>1283</v>
      </c>
      <c r="B707" t="s">
        <v>1355</v>
      </c>
      <c r="C707" t="e">
        <v>#NAME?</v>
      </c>
      <c r="D707" t="e">
        <v>#NAME?</v>
      </c>
      <c r="E707">
        <v>48444</v>
      </c>
      <c r="F707">
        <v>12</v>
      </c>
      <c r="G707">
        <v>8381</v>
      </c>
      <c r="H707" s="1">
        <v>46066</v>
      </c>
      <c r="I707" s="1">
        <v>46091</v>
      </c>
      <c r="J707" s="1">
        <v>46091</v>
      </c>
      <c r="K707" s="2">
        <v>0.375</v>
      </c>
      <c r="M707" t="s">
        <v>1337</v>
      </c>
      <c r="N707">
        <v>8919</v>
      </c>
      <c r="O707" t="s">
        <v>17</v>
      </c>
    </row>
    <row r="708" spans="1:15" hidden="1" x14ac:dyDescent="0.25">
      <c r="A708" t="s">
        <v>1085</v>
      </c>
      <c r="B708" t="s">
        <v>1356</v>
      </c>
      <c r="C708" t="e">
        <v>#NAME?</v>
      </c>
      <c r="D708" t="e">
        <v>#NAME?</v>
      </c>
      <c r="E708">
        <v>35815</v>
      </c>
      <c r="F708">
        <v>6</v>
      </c>
      <c r="G708">
        <v>4978</v>
      </c>
      <c r="H708" s="1">
        <v>46066</v>
      </c>
      <c r="I708" s="1">
        <v>46091</v>
      </c>
      <c r="J708" s="1">
        <v>46091</v>
      </c>
      <c r="K708" s="2">
        <v>0.41666666666666669</v>
      </c>
      <c r="M708" t="s">
        <v>1349</v>
      </c>
      <c r="N708">
        <v>5041</v>
      </c>
      <c r="O708" t="s">
        <v>17</v>
      </c>
    </row>
    <row r="709" spans="1:15" hidden="1" x14ac:dyDescent="0.25">
      <c r="A709" t="s">
        <v>1357</v>
      </c>
      <c r="B709" t="s">
        <v>1358</v>
      </c>
      <c r="C709" t="e">
        <v>#NAME?</v>
      </c>
      <c r="D709" t="e">
        <v>#NAME?</v>
      </c>
      <c r="E709">
        <v>33298</v>
      </c>
      <c r="F709">
        <v>6</v>
      </c>
      <c r="G709">
        <v>4762</v>
      </c>
      <c r="H709" s="1">
        <v>46066</v>
      </c>
      <c r="I709" s="1">
        <v>46091</v>
      </c>
      <c r="J709" s="1">
        <v>46091</v>
      </c>
      <c r="K709" s="2">
        <v>0.41666666666666669</v>
      </c>
      <c r="M709" t="s">
        <v>1349</v>
      </c>
      <c r="N709">
        <v>4619</v>
      </c>
      <c r="O709" t="s">
        <v>17</v>
      </c>
    </row>
    <row r="710" spans="1:15" hidden="1" x14ac:dyDescent="0.25">
      <c r="A710" t="s">
        <v>1022</v>
      </c>
      <c r="B710" t="s">
        <v>1359</v>
      </c>
      <c r="C710" t="e">
        <v>#NAME?</v>
      </c>
      <c r="D710" t="e">
        <v>#NAME?</v>
      </c>
      <c r="E710">
        <v>34449</v>
      </c>
      <c r="F710">
        <v>6</v>
      </c>
      <c r="G710">
        <v>4685</v>
      </c>
      <c r="H710" s="1">
        <v>46066</v>
      </c>
      <c r="I710" s="1">
        <v>46091</v>
      </c>
      <c r="J710" s="1">
        <v>46091</v>
      </c>
      <c r="K710" s="2">
        <v>0.45833333333333331</v>
      </c>
      <c r="M710" t="s">
        <v>1360</v>
      </c>
      <c r="N710">
        <v>4767</v>
      </c>
      <c r="O710" t="s">
        <v>17</v>
      </c>
    </row>
    <row r="711" spans="1:15" hidden="1" x14ac:dyDescent="0.25">
      <c r="A711" t="s">
        <v>1330</v>
      </c>
      <c r="B711" t="s">
        <v>1361</v>
      </c>
      <c r="C711" t="e">
        <v>#NAME?</v>
      </c>
      <c r="D711" t="e">
        <v>#NAME?</v>
      </c>
      <c r="E711">
        <v>40477</v>
      </c>
      <c r="F711">
        <v>7</v>
      </c>
      <c r="G711">
        <v>6072</v>
      </c>
      <c r="H711" s="1">
        <v>46066</v>
      </c>
      <c r="I711" s="1">
        <v>46091</v>
      </c>
      <c r="J711" s="1">
        <v>46091</v>
      </c>
      <c r="K711" s="2">
        <v>0.45833333333333331</v>
      </c>
      <c r="M711" t="s">
        <v>1360</v>
      </c>
      <c r="N711">
        <v>5728</v>
      </c>
      <c r="O711" t="s">
        <v>17</v>
      </c>
    </row>
    <row r="712" spans="1:15" hidden="1" x14ac:dyDescent="0.25">
      <c r="A712" t="s">
        <v>1362</v>
      </c>
      <c r="B712" t="s">
        <v>1363</v>
      </c>
      <c r="C712" t="e">
        <v>#NAME?</v>
      </c>
      <c r="D712" t="e">
        <v>#NAME?</v>
      </c>
      <c r="E712">
        <v>31544</v>
      </c>
      <c r="F712">
        <v>4</v>
      </c>
      <c r="G712">
        <v>3249</v>
      </c>
      <c r="H712" s="1">
        <v>46066</v>
      </c>
      <c r="I712" s="1">
        <v>46092</v>
      </c>
      <c r="J712" s="1">
        <v>46092</v>
      </c>
      <c r="K712" s="2">
        <v>0.33333333333333331</v>
      </c>
      <c r="M712" t="s">
        <v>1343</v>
      </c>
      <c r="N712">
        <v>3155</v>
      </c>
      <c r="O712" t="s">
        <v>17</v>
      </c>
    </row>
    <row r="713" spans="1:15" hidden="1" x14ac:dyDescent="0.25">
      <c r="A713" t="s">
        <v>1150</v>
      </c>
      <c r="B713" t="s">
        <v>1364</v>
      </c>
      <c r="C713" t="e">
        <v>#NAME?</v>
      </c>
      <c r="D713" t="e">
        <v>#NAME?</v>
      </c>
      <c r="E713">
        <v>34749</v>
      </c>
      <c r="F713">
        <v>6</v>
      </c>
      <c r="G713">
        <v>6290</v>
      </c>
      <c r="H713" s="1">
        <v>46066</v>
      </c>
      <c r="I713" s="1">
        <v>46091</v>
      </c>
      <c r="J713" s="1">
        <v>46091</v>
      </c>
      <c r="K713" s="2">
        <v>0.45833333333333331</v>
      </c>
      <c r="M713" t="s">
        <v>1360</v>
      </c>
      <c r="N713">
        <v>6325</v>
      </c>
      <c r="O713" t="s">
        <v>17</v>
      </c>
    </row>
    <row r="714" spans="1:15" hidden="1" x14ac:dyDescent="0.25">
      <c r="A714" t="s">
        <v>1265</v>
      </c>
      <c r="B714" t="s">
        <v>1365</v>
      </c>
      <c r="C714" t="e">
        <v>#NAME?</v>
      </c>
      <c r="D714" t="e">
        <v>#NAME?</v>
      </c>
      <c r="E714">
        <v>31489</v>
      </c>
      <c r="F714">
        <v>6</v>
      </c>
      <c r="G714">
        <v>5700</v>
      </c>
      <c r="H714" s="1">
        <v>46066</v>
      </c>
      <c r="I714" s="1">
        <v>46091</v>
      </c>
      <c r="J714" s="1">
        <v>46091</v>
      </c>
      <c r="K714" s="2">
        <v>0.45833333333333331</v>
      </c>
      <c r="M714" t="s">
        <v>1360</v>
      </c>
      <c r="N714">
        <v>5700</v>
      </c>
      <c r="O714" t="s">
        <v>17</v>
      </c>
    </row>
    <row r="715" spans="1:15" hidden="1" x14ac:dyDescent="0.25">
      <c r="A715" t="s">
        <v>1366</v>
      </c>
      <c r="B715" t="s">
        <v>1367</v>
      </c>
      <c r="C715" t="e">
        <v>#NAME?</v>
      </c>
      <c r="D715" t="e">
        <v>#NAME?</v>
      </c>
      <c r="E715">
        <v>24018</v>
      </c>
      <c r="F715">
        <v>3</v>
      </c>
      <c r="G715">
        <v>889</v>
      </c>
      <c r="H715" s="1">
        <v>46066</v>
      </c>
      <c r="I715" s="1">
        <v>46092</v>
      </c>
      <c r="J715" s="1">
        <v>46092</v>
      </c>
      <c r="K715" s="2">
        <v>0.58333333333333337</v>
      </c>
      <c r="M715" t="s">
        <v>1368</v>
      </c>
      <c r="N715">
        <v>1260</v>
      </c>
      <c r="O715" t="s">
        <v>17</v>
      </c>
    </row>
    <row r="716" spans="1:15" hidden="1" x14ac:dyDescent="0.25">
      <c r="A716" t="s">
        <v>1369</v>
      </c>
      <c r="B716" t="s">
        <v>1370</v>
      </c>
      <c r="C716" t="e">
        <v>#NAME?</v>
      </c>
      <c r="D716" t="e">
        <v>#NAME?</v>
      </c>
      <c r="E716">
        <v>40673</v>
      </c>
      <c r="F716">
        <v>5</v>
      </c>
      <c r="G716">
        <v>4271</v>
      </c>
      <c r="H716" s="1">
        <v>46066</v>
      </c>
      <c r="I716" s="1">
        <v>46097</v>
      </c>
      <c r="J716" s="1">
        <v>46097</v>
      </c>
      <c r="K716" s="2">
        <v>0.58333333333333337</v>
      </c>
      <c r="M716" t="s">
        <v>1371</v>
      </c>
      <c r="N716">
        <v>4200</v>
      </c>
      <c r="O716" t="s">
        <v>17</v>
      </c>
    </row>
    <row r="717" spans="1:15" hidden="1" x14ac:dyDescent="0.25">
      <c r="A717" t="s">
        <v>263</v>
      </c>
      <c r="B717" t="s">
        <v>1372</v>
      </c>
      <c r="C717" t="e">
        <v>#NAME?</v>
      </c>
      <c r="D717" t="e">
        <v>#NAME?</v>
      </c>
      <c r="E717">
        <v>33301</v>
      </c>
      <c r="F717">
        <v>5</v>
      </c>
      <c r="G717">
        <v>4329</v>
      </c>
      <c r="H717" s="1">
        <v>46066</v>
      </c>
      <c r="I717" s="1">
        <v>46093</v>
      </c>
      <c r="J717" s="1">
        <v>46093</v>
      </c>
      <c r="K717" s="2">
        <v>0.33333333333333331</v>
      </c>
      <c r="M717" t="s">
        <v>1373</v>
      </c>
      <c r="N717">
        <v>3266</v>
      </c>
      <c r="O717" t="s">
        <v>17</v>
      </c>
    </row>
    <row r="718" spans="1:15" hidden="1" x14ac:dyDescent="0.25">
      <c r="A718" t="s">
        <v>385</v>
      </c>
      <c r="B718" t="s">
        <v>1374</v>
      </c>
      <c r="C718" t="e">
        <v>#NAME?</v>
      </c>
      <c r="D718" t="e">
        <v>#NAME?</v>
      </c>
      <c r="E718">
        <v>35373</v>
      </c>
      <c r="F718">
        <v>4</v>
      </c>
      <c r="G718">
        <v>3537</v>
      </c>
      <c r="H718" s="1">
        <v>46066</v>
      </c>
      <c r="I718" s="1">
        <v>46097</v>
      </c>
      <c r="J718" s="1">
        <v>46097</v>
      </c>
      <c r="K718" s="2">
        <v>0.45833333333333331</v>
      </c>
      <c r="M718" t="s">
        <v>1375</v>
      </c>
      <c r="N718">
        <v>3538</v>
      </c>
      <c r="O718" t="s">
        <v>17</v>
      </c>
    </row>
    <row r="719" spans="1:15" hidden="1" x14ac:dyDescent="0.25">
      <c r="A719" t="s">
        <v>1376</v>
      </c>
      <c r="B719" t="s">
        <v>1377</v>
      </c>
      <c r="C719" t="e">
        <v>#NAME?</v>
      </c>
      <c r="D719" t="e">
        <v>#NAME?</v>
      </c>
      <c r="E719">
        <v>51072</v>
      </c>
      <c r="F719">
        <v>8</v>
      </c>
      <c r="G719">
        <v>3830</v>
      </c>
      <c r="H719" s="1">
        <v>46066</v>
      </c>
      <c r="I719" s="1">
        <v>46097</v>
      </c>
      <c r="J719" s="1">
        <v>46097</v>
      </c>
      <c r="K719" s="2">
        <v>0.33333333333333331</v>
      </c>
      <c r="M719" t="s">
        <v>1378</v>
      </c>
      <c r="N719">
        <v>4233</v>
      </c>
      <c r="O719" t="s">
        <v>17</v>
      </c>
    </row>
    <row r="720" spans="1:15" hidden="1" x14ac:dyDescent="0.25">
      <c r="A720" t="s">
        <v>1379</v>
      </c>
      <c r="B720" t="s">
        <v>1380</v>
      </c>
      <c r="C720" t="e">
        <v>#NAME?</v>
      </c>
      <c r="D720" t="e">
        <v>#NAME?</v>
      </c>
      <c r="E720">
        <v>59845</v>
      </c>
      <c r="F720">
        <v>8</v>
      </c>
      <c r="G720">
        <v>6284</v>
      </c>
      <c r="H720" s="1">
        <v>46066</v>
      </c>
      <c r="I720" s="1">
        <v>46093</v>
      </c>
      <c r="J720" s="1">
        <v>46093</v>
      </c>
      <c r="K720" s="2">
        <v>0.33333333333333331</v>
      </c>
      <c r="M720" t="s">
        <v>1373</v>
      </c>
      <c r="N720">
        <v>6106</v>
      </c>
      <c r="O720" t="s">
        <v>17</v>
      </c>
    </row>
    <row r="721" spans="1:15" hidden="1" x14ac:dyDescent="0.25">
      <c r="A721" t="s">
        <v>1231</v>
      </c>
      <c r="B721" t="s">
        <v>1381</v>
      </c>
      <c r="C721" t="e">
        <v>#NAME?</v>
      </c>
      <c r="D721" t="e">
        <v>#NAME?</v>
      </c>
      <c r="E721">
        <v>40128</v>
      </c>
      <c r="F721">
        <v>5</v>
      </c>
      <c r="G721">
        <v>3732</v>
      </c>
      <c r="H721" s="1">
        <v>46066</v>
      </c>
      <c r="I721" s="1">
        <v>46092</v>
      </c>
      <c r="J721" s="1">
        <v>46092</v>
      </c>
      <c r="K721" s="2">
        <v>0.41666666666666669</v>
      </c>
      <c r="M721" t="s">
        <v>1382</v>
      </c>
      <c r="N721">
        <v>4896</v>
      </c>
      <c r="O721" t="s">
        <v>17</v>
      </c>
    </row>
    <row r="722" spans="1:15" hidden="1" x14ac:dyDescent="0.25">
      <c r="A722" t="s">
        <v>1376</v>
      </c>
      <c r="B722" t="s">
        <v>1383</v>
      </c>
      <c r="C722" t="e">
        <v>#NAME?</v>
      </c>
      <c r="D722" t="e">
        <v>#NAME?</v>
      </c>
      <c r="E722">
        <v>24501</v>
      </c>
      <c r="F722">
        <v>4</v>
      </c>
      <c r="G722">
        <v>3185</v>
      </c>
      <c r="H722" s="1">
        <v>46066</v>
      </c>
      <c r="I722" s="1">
        <v>46094</v>
      </c>
      <c r="J722" s="1">
        <v>46094</v>
      </c>
      <c r="K722" s="2">
        <v>0.45833333333333331</v>
      </c>
      <c r="M722" t="s">
        <v>1384</v>
      </c>
      <c r="N722">
        <v>8100</v>
      </c>
      <c r="O722" t="s">
        <v>17</v>
      </c>
    </row>
    <row r="723" spans="1:15" hidden="1" x14ac:dyDescent="0.25">
      <c r="A723" t="s">
        <v>1083</v>
      </c>
      <c r="B723" t="s">
        <v>1385</v>
      </c>
      <c r="C723" t="e">
        <v>#NAME?</v>
      </c>
      <c r="D723" t="e">
        <v>#NAME?</v>
      </c>
      <c r="E723">
        <v>33074</v>
      </c>
      <c r="F723">
        <v>5</v>
      </c>
      <c r="G723">
        <v>4101</v>
      </c>
      <c r="H723" s="1">
        <v>46066</v>
      </c>
      <c r="I723" s="1">
        <v>46097</v>
      </c>
      <c r="J723" s="1">
        <v>46097</v>
      </c>
      <c r="K723" s="2">
        <v>0.33333333333333331</v>
      </c>
      <c r="M723" t="s">
        <v>630</v>
      </c>
      <c r="N723">
        <v>3978</v>
      </c>
      <c r="O723" t="s">
        <v>17</v>
      </c>
    </row>
    <row r="724" spans="1:15" x14ac:dyDescent="0.25">
      <c r="A724" t="s">
        <v>1238</v>
      </c>
      <c r="B724" t="s">
        <v>1386</v>
      </c>
      <c r="C724" t="e">
        <v>#NAME?</v>
      </c>
      <c r="D724" t="e">
        <v>#NAME?</v>
      </c>
      <c r="E724">
        <v>46245</v>
      </c>
      <c r="F724" s="48">
        <v>7</v>
      </c>
      <c r="G724">
        <v>6012</v>
      </c>
      <c r="H724" s="1">
        <v>46066</v>
      </c>
      <c r="I724" s="1">
        <v>46097</v>
      </c>
      <c r="J724" s="1">
        <v>46097</v>
      </c>
      <c r="K724" s="2">
        <v>0.33333333333333331</v>
      </c>
      <c r="M724" t="s">
        <v>630</v>
      </c>
      <c r="N724">
        <v>5327</v>
      </c>
      <c r="O724" t="s">
        <v>17</v>
      </c>
    </row>
    <row r="725" spans="1:15" x14ac:dyDescent="0.25">
      <c r="A725" t="s">
        <v>1387</v>
      </c>
      <c r="B725" t="s">
        <v>1388</v>
      </c>
      <c r="C725" t="e">
        <v>#NAME?</v>
      </c>
      <c r="D725" t="e">
        <v>#NAME?</v>
      </c>
      <c r="E725">
        <v>30333</v>
      </c>
      <c r="F725" s="48">
        <v>6</v>
      </c>
      <c r="G725">
        <v>3792</v>
      </c>
      <c r="H725" s="1">
        <v>46066</v>
      </c>
      <c r="I725" s="1">
        <v>46092</v>
      </c>
      <c r="J725" s="1">
        <v>46092</v>
      </c>
      <c r="K725" s="2">
        <v>0.58333333333333337</v>
      </c>
      <c r="M725" t="s">
        <v>1368</v>
      </c>
      <c r="N725">
        <v>4755</v>
      </c>
      <c r="O725" t="s">
        <v>17</v>
      </c>
    </row>
    <row r="726" spans="1:15" hidden="1" x14ac:dyDescent="0.25">
      <c r="A726" t="s">
        <v>1281</v>
      </c>
      <c r="B726" t="s">
        <v>1389</v>
      </c>
      <c r="C726" t="e">
        <v>#NAME?</v>
      </c>
      <c r="D726" t="e">
        <v>#NAME?</v>
      </c>
      <c r="E726">
        <v>34270</v>
      </c>
      <c r="F726">
        <v>6</v>
      </c>
      <c r="G726">
        <v>4901</v>
      </c>
      <c r="H726" s="1">
        <v>46066</v>
      </c>
      <c r="I726" s="1">
        <v>46092</v>
      </c>
      <c r="J726" s="1">
        <v>46092</v>
      </c>
      <c r="K726" s="2">
        <v>0.5</v>
      </c>
      <c r="M726" t="s">
        <v>1368</v>
      </c>
      <c r="N726">
        <v>3690</v>
      </c>
      <c r="O726" t="s">
        <v>17</v>
      </c>
    </row>
    <row r="727" spans="1:15" hidden="1" x14ac:dyDescent="0.25">
      <c r="A727" t="s">
        <v>1148</v>
      </c>
      <c r="B727" t="s">
        <v>1390</v>
      </c>
      <c r="C727" t="e">
        <v>#NAME?</v>
      </c>
      <c r="D727" t="e">
        <v>#NAME?</v>
      </c>
      <c r="E727">
        <v>44459</v>
      </c>
      <c r="F727">
        <v>7</v>
      </c>
      <c r="G727">
        <v>5335</v>
      </c>
      <c r="H727" s="1">
        <v>46066</v>
      </c>
      <c r="I727" s="1">
        <v>46092</v>
      </c>
      <c r="J727" s="1">
        <v>46092</v>
      </c>
      <c r="K727" s="2">
        <v>0.58333333333333337</v>
      </c>
      <c r="M727" t="s">
        <v>1368</v>
      </c>
      <c r="N727">
        <v>2521</v>
      </c>
      <c r="O727" t="s">
        <v>17</v>
      </c>
    </row>
    <row r="728" spans="1:15" hidden="1" x14ac:dyDescent="0.25">
      <c r="A728" t="s">
        <v>1391</v>
      </c>
      <c r="B728" t="s">
        <v>1392</v>
      </c>
      <c r="C728" t="e">
        <v>#NAME?</v>
      </c>
      <c r="D728" t="e">
        <v>#NAME?</v>
      </c>
      <c r="E728">
        <v>42475</v>
      </c>
      <c r="F728">
        <v>7</v>
      </c>
      <c r="G728">
        <v>6074</v>
      </c>
      <c r="H728" s="1">
        <v>46066</v>
      </c>
      <c r="I728" s="1">
        <v>46092</v>
      </c>
      <c r="J728" s="1">
        <v>46092</v>
      </c>
      <c r="K728" s="2">
        <v>0.5</v>
      </c>
      <c r="M728" t="s">
        <v>1368</v>
      </c>
      <c r="N728">
        <v>5967</v>
      </c>
      <c r="O728" t="s">
        <v>17</v>
      </c>
    </row>
    <row r="729" spans="1:15" hidden="1" x14ac:dyDescent="0.25">
      <c r="A729" t="s">
        <v>1391</v>
      </c>
      <c r="B729" t="s">
        <v>1393</v>
      </c>
      <c r="C729" t="e">
        <v>#NAME?</v>
      </c>
      <c r="D729" t="e">
        <v>#NAME?</v>
      </c>
      <c r="E729">
        <v>27168</v>
      </c>
      <c r="F729">
        <v>5</v>
      </c>
      <c r="G729">
        <v>3885</v>
      </c>
      <c r="H729" s="1">
        <v>46066</v>
      </c>
      <c r="I729" s="1">
        <v>46092</v>
      </c>
      <c r="J729" s="1">
        <v>46092</v>
      </c>
      <c r="K729" s="2">
        <v>0.45833333333333331</v>
      </c>
      <c r="M729" t="s">
        <v>1394</v>
      </c>
      <c r="N729">
        <v>3882</v>
      </c>
      <c r="O729" t="s">
        <v>17</v>
      </c>
    </row>
    <row r="730" spans="1:15" hidden="1" x14ac:dyDescent="0.25">
      <c r="A730" t="s">
        <v>1228</v>
      </c>
      <c r="B730" t="s">
        <v>1395</v>
      </c>
      <c r="C730" t="e">
        <v>#NAME?</v>
      </c>
      <c r="D730" t="e">
        <v>#NAME?</v>
      </c>
      <c r="E730">
        <v>36689</v>
      </c>
      <c r="F730">
        <v>6</v>
      </c>
      <c r="G730">
        <v>5247</v>
      </c>
      <c r="H730" s="1">
        <v>46066</v>
      </c>
      <c r="I730" s="1">
        <v>46092</v>
      </c>
      <c r="J730" s="1">
        <v>46092</v>
      </c>
      <c r="K730" s="2">
        <v>0.45833333333333331</v>
      </c>
      <c r="M730" t="s">
        <v>1396</v>
      </c>
      <c r="N730">
        <v>5197</v>
      </c>
      <c r="O730" t="s">
        <v>17</v>
      </c>
    </row>
    <row r="731" spans="1:15" hidden="1" x14ac:dyDescent="0.25">
      <c r="A731" t="s">
        <v>948</v>
      </c>
      <c r="B731" t="s">
        <v>1397</v>
      </c>
      <c r="C731" t="e">
        <v>#NAME?</v>
      </c>
      <c r="D731" t="e">
        <v>#NAME?</v>
      </c>
      <c r="E731">
        <v>36689</v>
      </c>
      <c r="F731">
        <v>7</v>
      </c>
      <c r="G731">
        <v>3669</v>
      </c>
      <c r="H731" s="1">
        <v>46066</v>
      </c>
      <c r="I731" s="1">
        <v>46092</v>
      </c>
      <c r="J731" s="1">
        <v>46092</v>
      </c>
      <c r="K731" s="2">
        <v>0.5</v>
      </c>
      <c r="M731" t="s">
        <v>1368</v>
      </c>
      <c r="N731">
        <v>4478</v>
      </c>
      <c r="O731" t="s">
        <v>17</v>
      </c>
    </row>
    <row r="732" spans="1:15" hidden="1" x14ac:dyDescent="0.25">
      <c r="A732" t="s">
        <v>1398</v>
      </c>
      <c r="B732" t="s">
        <v>1399</v>
      </c>
      <c r="C732" t="e">
        <v>#NAME?</v>
      </c>
      <c r="D732" t="e">
        <v>#NAME?</v>
      </c>
      <c r="E732">
        <v>51186</v>
      </c>
      <c r="F732">
        <v>6</v>
      </c>
      <c r="G732">
        <v>3583</v>
      </c>
      <c r="H732" s="1">
        <v>46066</v>
      </c>
      <c r="I732" s="1">
        <v>46094</v>
      </c>
      <c r="J732" s="1">
        <v>46094</v>
      </c>
      <c r="K732" s="2">
        <v>0.45833333333333331</v>
      </c>
      <c r="M732" t="s">
        <v>1384</v>
      </c>
      <c r="N732">
        <v>6050</v>
      </c>
      <c r="O732" t="s">
        <v>17</v>
      </c>
    </row>
    <row r="733" spans="1:15" hidden="1" x14ac:dyDescent="0.25">
      <c r="A733" t="s">
        <v>1398</v>
      </c>
      <c r="B733" t="s">
        <v>1400</v>
      </c>
      <c r="C733" t="e">
        <v>#NAME?</v>
      </c>
      <c r="D733" t="e">
        <v>#NAME?</v>
      </c>
      <c r="E733">
        <v>24573</v>
      </c>
      <c r="F733">
        <v>3</v>
      </c>
      <c r="G733">
        <v>1474</v>
      </c>
      <c r="H733" s="1">
        <v>46066</v>
      </c>
      <c r="I733" s="1">
        <v>46092</v>
      </c>
      <c r="J733" s="1">
        <v>46092</v>
      </c>
      <c r="K733" s="2">
        <v>0.58333333333333337</v>
      </c>
      <c r="M733" t="s">
        <v>1368</v>
      </c>
      <c r="N733">
        <v>2403</v>
      </c>
      <c r="O733" t="s">
        <v>17</v>
      </c>
    </row>
    <row r="734" spans="1:15" hidden="1" x14ac:dyDescent="0.25">
      <c r="A734" t="s">
        <v>1357</v>
      </c>
      <c r="B734" t="s">
        <v>1401</v>
      </c>
      <c r="C734" t="e">
        <v>#NAME?</v>
      </c>
      <c r="D734" t="e">
        <v>#NAME?</v>
      </c>
      <c r="E734">
        <v>35289</v>
      </c>
      <c r="F734">
        <v>6</v>
      </c>
      <c r="G734">
        <v>7728</v>
      </c>
      <c r="H734" s="1">
        <v>46066</v>
      </c>
      <c r="I734" s="1">
        <v>46097</v>
      </c>
      <c r="J734" s="1">
        <v>46097</v>
      </c>
      <c r="K734" s="2">
        <v>0.58333333333333337</v>
      </c>
      <c r="M734" t="s">
        <v>1371</v>
      </c>
      <c r="N734">
        <v>6711</v>
      </c>
      <c r="O734" t="s">
        <v>17</v>
      </c>
    </row>
    <row r="735" spans="1:15" hidden="1" x14ac:dyDescent="0.25">
      <c r="A735" t="s">
        <v>1236</v>
      </c>
      <c r="B735" t="s">
        <v>1402</v>
      </c>
      <c r="C735" t="e">
        <v>#NAME?</v>
      </c>
      <c r="D735" t="e">
        <v>#NAME?</v>
      </c>
      <c r="E735">
        <v>37765</v>
      </c>
      <c r="F735">
        <v>6</v>
      </c>
      <c r="G735">
        <v>5400</v>
      </c>
      <c r="H735" s="1">
        <v>46066</v>
      </c>
      <c r="I735" s="1">
        <v>46092</v>
      </c>
      <c r="J735" s="1">
        <v>46092</v>
      </c>
      <c r="K735" s="2">
        <v>0.45833333333333331</v>
      </c>
      <c r="M735" t="s">
        <v>1394</v>
      </c>
      <c r="N735">
        <v>5218</v>
      </c>
      <c r="O735" t="s">
        <v>17</v>
      </c>
    </row>
    <row r="736" spans="1:15" hidden="1" x14ac:dyDescent="0.25">
      <c r="A736" t="s">
        <v>945</v>
      </c>
      <c r="B736" t="s">
        <v>1403</v>
      </c>
      <c r="C736" t="e">
        <v>#NAME?</v>
      </c>
      <c r="D736" t="e">
        <v>#NAME?</v>
      </c>
      <c r="E736">
        <v>33177</v>
      </c>
      <c r="F736">
        <v>6</v>
      </c>
      <c r="G736">
        <v>4744</v>
      </c>
      <c r="H736" s="1">
        <v>46066</v>
      </c>
      <c r="I736" s="1">
        <v>46092</v>
      </c>
      <c r="J736" s="1">
        <v>46092</v>
      </c>
      <c r="K736" s="2">
        <v>0.45833333333333331</v>
      </c>
      <c r="M736" t="s">
        <v>1396</v>
      </c>
      <c r="N736">
        <v>4690</v>
      </c>
      <c r="O736" t="s">
        <v>17</v>
      </c>
    </row>
    <row r="737" spans="1:15" hidden="1" x14ac:dyDescent="0.25">
      <c r="A737" t="s">
        <v>1081</v>
      </c>
      <c r="B737" t="s">
        <v>1404</v>
      </c>
      <c r="C737" t="e">
        <v>#NAME?</v>
      </c>
      <c r="D737" t="e">
        <v>#NAME?</v>
      </c>
      <c r="E737">
        <v>43543</v>
      </c>
      <c r="F737">
        <v>5</v>
      </c>
      <c r="G737">
        <v>4572</v>
      </c>
      <c r="H737" s="1">
        <v>46066</v>
      </c>
      <c r="I737" s="1">
        <v>46092</v>
      </c>
      <c r="J737" s="1">
        <v>46092</v>
      </c>
      <c r="K737" s="2">
        <v>0.45833333333333331</v>
      </c>
      <c r="M737" t="s">
        <v>1394</v>
      </c>
      <c r="N737">
        <v>4448</v>
      </c>
      <c r="O737" t="s">
        <v>17</v>
      </c>
    </row>
    <row r="738" spans="1:15" hidden="1" x14ac:dyDescent="0.25">
      <c r="A738" t="s">
        <v>1405</v>
      </c>
      <c r="B738" t="s">
        <v>1406</v>
      </c>
      <c r="C738" t="e">
        <v>#NAME?</v>
      </c>
      <c r="D738" t="e">
        <v>#NAME?</v>
      </c>
      <c r="E738">
        <v>24482</v>
      </c>
      <c r="F738">
        <v>3</v>
      </c>
      <c r="G738">
        <v>2571</v>
      </c>
      <c r="H738" s="1">
        <v>46066</v>
      </c>
      <c r="I738" s="1">
        <v>46092</v>
      </c>
      <c r="J738" s="1">
        <v>46092</v>
      </c>
      <c r="K738" s="2">
        <v>0.41666666666666669</v>
      </c>
      <c r="M738" t="s">
        <v>1382</v>
      </c>
      <c r="N738">
        <v>2401</v>
      </c>
      <c r="O738" t="s">
        <v>17</v>
      </c>
    </row>
    <row r="739" spans="1:15" hidden="1" x14ac:dyDescent="0.25">
      <c r="A739" t="s">
        <v>1407</v>
      </c>
      <c r="B739" t="s">
        <v>1408</v>
      </c>
      <c r="C739" t="e">
        <v>#NAME?</v>
      </c>
      <c r="D739" t="e">
        <v>#NAME?</v>
      </c>
      <c r="E739">
        <v>26164</v>
      </c>
      <c r="F739">
        <v>5</v>
      </c>
      <c r="G739">
        <v>3741</v>
      </c>
      <c r="H739" s="1">
        <v>46066</v>
      </c>
      <c r="I739" s="1">
        <v>46092</v>
      </c>
      <c r="J739" s="1">
        <v>46092</v>
      </c>
      <c r="K739" s="2">
        <v>0.5</v>
      </c>
      <c r="M739" t="s">
        <v>1368</v>
      </c>
      <c r="N739">
        <v>3988</v>
      </c>
      <c r="O739" t="s">
        <v>17</v>
      </c>
    </row>
    <row r="740" spans="1:15" hidden="1" x14ac:dyDescent="0.25">
      <c r="A740" t="s">
        <v>1407</v>
      </c>
      <c r="B740" t="s">
        <v>1409</v>
      </c>
      <c r="C740" t="e">
        <v>#NAME?</v>
      </c>
      <c r="D740" t="e">
        <v>#NAME?</v>
      </c>
      <c r="E740">
        <v>37620</v>
      </c>
      <c r="F740">
        <v>5</v>
      </c>
      <c r="G740">
        <v>6094</v>
      </c>
      <c r="H740" s="1">
        <v>46066</v>
      </c>
      <c r="I740" s="1">
        <v>46092</v>
      </c>
      <c r="J740" s="1">
        <v>46092</v>
      </c>
      <c r="K740" s="2">
        <v>0.5</v>
      </c>
      <c r="M740" t="s">
        <v>1368</v>
      </c>
      <c r="N740">
        <v>3988</v>
      </c>
      <c r="O740" t="s">
        <v>17</v>
      </c>
    </row>
    <row r="741" spans="1:15" hidden="1" x14ac:dyDescent="0.25">
      <c r="A741" t="s">
        <v>1328</v>
      </c>
      <c r="B741" t="s">
        <v>1410</v>
      </c>
      <c r="C741" t="e">
        <v>#NAME?</v>
      </c>
      <c r="D741" t="e">
        <v>#NAME?</v>
      </c>
      <c r="E741">
        <v>33298</v>
      </c>
      <c r="F741">
        <v>6</v>
      </c>
      <c r="G741">
        <v>4662</v>
      </c>
      <c r="H741" s="1">
        <v>46066</v>
      </c>
      <c r="I741" s="1">
        <v>46092</v>
      </c>
      <c r="J741" s="1">
        <v>46092</v>
      </c>
      <c r="K741" s="2">
        <v>0.58333333333333337</v>
      </c>
      <c r="M741" t="s">
        <v>1368</v>
      </c>
      <c r="N741">
        <v>4707</v>
      </c>
      <c r="O741" t="s">
        <v>17</v>
      </c>
    </row>
    <row r="742" spans="1:15" hidden="1" x14ac:dyDescent="0.25">
      <c r="A742" t="s">
        <v>1411</v>
      </c>
      <c r="B742" t="s">
        <v>1412</v>
      </c>
      <c r="C742" t="e">
        <v>#NAME?</v>
      </c>
      <c r="D742" t="e">
        <v>#NAME?</v>
      </c>
      <c r="E742">
        <v>44195</v>
      </c>
      <c r="F742">
        <v>7</v>
      </c>
      <c r="G742">
        <v>3757</v>
      </c>
      <c r="H742" s="1">
        <v>46066</v>
      </c>
      <c r="I742" s="1">
        <v>46092</v>
      </c>
      <c r="J742" s="1">
        <v>46092</v>
      </c>
      <c r="K742" s="2">
        <v>0.41666666666666669</v>
      </c>
      <c r="M742" t="s">
        <v>1382</v>
      </c>
      <c r="N742">
        <v>5040</v>
      </c>
      <c r="O742" t="s">
        <v>17</v>
      </c>
    </row>
    <row r="743" spans="1:15" hidden="1" x14ac:dyDescent="0.25">
      <c r="A743" t="s">
        <v>1379</v>
      </c>
      <c r="B743" t="s">
        <v>1413</v>
      </c>
      <c r="C743" t="e">
        <v>#NAME?</v>
      </c>
      <c r="D743" t="e">
        <v>#NAME?</v>
      </c>
      <c r="E743">
        <v>29727</v>
      </c>
      <c r="F743">
        <v>5</v>
      </c>
      <c r="G743">
        <v>9364</v>
      </c>
      <c r="H743" s="1">
        <v>46066</v>
      </c>
      <c r="I743" s="1">
        <v>46092</v>
      </c>
      <c r="J743" s="1">
        <v>46092</v>
      </c>
      <c r="K743" s="2">
        <v>0.41666666666666669</v>
      </c>
      <c r="M743" t="s">
        <v>1382</v>
      </c>
      <c r="N743">
        <v>7500</v>
      </c>
      <c r="O743" t="s">
        <v>17</v>
      </c>
    </row>
    <row r="744" spans="1:15" hidden="1" x14ac:dyDescent="0.25">
      <c r="A744" t="s">
        <v>1414</v>
      </c>
      <c r="B744" t="s">
        <v>1415</v>
      </c>
      <c r="C744" t="e">
        <v>#NAME?</v>
      </c>
      <c r="D744" t="e">
        <v>#NAME?</v>
      </c>
      <c r="E744">
        <v>36129</v>
      </c>
      <c r="F744">
        <v>4</v>
      </c>
      <c r="G744">
        <v>3613</v>
      </c>
      <c r="H744" s="1">
        <v>46094</v>
      </c>
      <c r="I744" s="1">
        <v>46097</v>
      </c>
      <c r="J744" s="1">
        <v>46097</v>
      </c>
      <c r="K744" s="2">
        <v>0.33333333333333331</v>
      </c>
      <c r="M744" t="s">
        <v>1416</v>
      </c>
      <c r="N744">
        <v>3552</v>
      </c>
      <c r="O744" t="s">
        <v>17</v>
      </c>
    </row>
    <row r="745" spans="1:15" hidden="1" x14ac:dyDescent="0.25">
      <c r="A745" t="s">
        <v>183</v>
      </c>
      <c r="B745" t="s">
        <v>1417</v>
      </c>
      <c r="C745" t="e">
        <v>#NAME?</v>
      </c>
      <c r="D745" t="e">
        <v>#NAME?</v>
      </c>
      <c r="E745">
        <v>26457</v>
      </c>
      <c r="F745">
        <v>3</v>
      </c>
      <c r="G745">
        <v>2778</v>
      </c>
      <c r="H745" s="1">
        <v>46066</v>
      </c>
      <c r="I745" s="1">
        <v>46094</v>
      </c>
      <c r="J745" s="1">
        <v>46094</v>
      </c>
      <c r="K745" s="2">
        <v>0.33333333333333331</v>
      </c>
      <c r="M745" t="s">
        <v>1418</v>
      </c>
      <c r="N745">
        <v>2646</v>
      </c>
      <c r="O745" t="s">
        <v>17</v>
      </c>
    </row>
    <row r="746" spans="1:15" hidden="1" x14ac:dyDescent="0.25">
      <c r="A746" t="s">
        <v>540</v>
      </c>
      <c r="B746" t="s">
        <v>1419</v>
      </c>
      <c r="C746" t="e">
        <v>#NAME?</v>
      </c>
      <c r="D746" t="e">
        <v>#NAME?</v>
      </c>
      <c r="E746">
        <v>38044</v>
      </c>
      <c r="F746">
        <v>5</v>
      </c>
      <c r="G746">
        <v>2929</v>
      </c>
      <c r="H746" s="1">
        <v>46066</v>
      </c>
      <c r="I746" s="1">
        <v>46097</v>
      </c>
      <c r="J746" s="1">
        <v>46097</v>
      </c>
      <c r="K746" s="2">
        <v>0.33333333333333331</v>
      </c>
      <c r="M746" t="s">
        <v>1416</v>
      </c>
      <c r="N746">
        <v>3732</v>
      </c>
      <c r="O746" t="s">
        <v>17</v>
      </c>
    </row>
    <row r="747" spans="1:15" hidden="1" x14ac:dyDescent="0.25">
      <c r="A747" t="s">
        <v>1420</v>
      </c>
      <c r="B747" t="s">
        <v>1421</v>
      </c>
      <c r="C747" t="e">
        <v>#NAME?</v>
      </c>
      <c r="D747" t="e">
        <v>#NAME?</v>
      </c>
      <c r="E747">
        <v>44028</v>
      </c>
      <c r="F747">
        <v>5</v>
      </c>
      <c r="G747">
        <v>4403</v>
      </c>
      <c r="H747" s="1">
        <v>46066</v>
      </c>
      <c r="I747" s="1">
        <v>46094</v>
      </c>
      <c r="J747" s="1">
        <v>46094</v>
      </c>
      <c r="K747" s="2">
        <v>0.33333333333333331</v>
      </c>
      <c r="M747" t="s">
        <v>1418</v>
      </c>
      <c r="N747">
        <v>4314</v>
      </c>
      <c r="O747" t="s">
        <v>17</v>
      </c>
    </row>
    <row r="748" spans="1:15" hidden="1" x14ac:dyDescent="0.25">
      <c r="A748" t="s">
        <v>1145</v>
      </c>
      <c r="B748" t="s">
        <v>1422</v>
      </c>
      <c r="C748" t="e">
        <v>#NAME?</v>
      </c>
      <c r="D748" t="e">
        <v>#NAME?</v>
      </c>
      <c r="E748">
        <v>39559</v>
      </c>
      <c r="F748">
        <v>7</v>
      </c>
      <c r="G748">
        <v>3956</v>
      </c>
      <c r="H748" s="1">
        <v>46066</v>
      </c>
      <c r="I748" s="1">
        <v>46094</v>
      </c>
      <c r="J748" s="1">
        <v>46094</v>
      </c>
      <c r="K748" s="2">
        <v>0.33333333333333331</v>
      </c>
      <c r="M748" t="s">
        <v>1418</v>
      </c>
      <c r="N748">
        <v>5226</v>
      </c>
      <c r="O748" t="s">
        <v>17</v>
      </c>
    </row>
    <row r="749" spans="1:15" hidden="1" x14ac:dyDescent="0.25">
      <c r="A749" t="s">
        <v>1423</v>
      </c>
      <c r="B749" t="s">
        <v>1424</v>
      </c>
      <c r="C749" t="e">
        <v>#NAME?</v>
      </c>
      <c r="D749" t="e">
        <v>#NAME?</v>
      </c>
      <c r="E749">
        <v>29635</v>
      </c>
      <c r="F749">
        <v>4</v>
      </c>
      <c r="G749">
        <v>3112</v>
      </c>
      <c r="H749" s="1">
        <v>46066</v>
      </c>
      <c r="I749" s="1">
        <v>46093</v>
      </c>
      <c r="J749" s="1">
        <v>46093</v>
      </c>
      <c r="K749" s="2">
        <v>0.375</v>
      </c>
      <c r="N749">
        <v>2907</v>
      </c>
      <c r="O749" t="s">
        <v>17</v>
      </c>
    </row>
    <row r="750" spans="1:15" hidden="1" x14ac:dyDescent="0.25">
      <c r="A750" t="s">
        <v>1425</v>
      </c>
      <c r="B750" t="s">
        <v>1426</v>
      </c>
      <c r="C750" t="e">
        <v>#NAME?</v>
      </c>
      <c r="D750" t="e">
        <v>#NAME?</v>
      </c>
      <c r="E750">
        <v>36553</v>
      </c>
      <c r="F750">
        <v>6</v>
      </c>
      <c r="G750">
        <v>3838</v>
      </c>
      <c r="H750" s="1">
        <v>46066</v>
      </c>
      <c r="I750" s="1">
        <v>46094</v>
      </c>
      <c r="J750" s="1">
        <v>46097</v>
      </c>
      <c r="K750" s="2">
        <v>0.33333333333333331</v>
      </c>
      <c r="M750" t="s">
        <v>1427</v>
      </c>
      <c r="N750">
        <v>3584</v>
      </c>
      <c r="O750" t="s">
        <v>17</v>
      </c>
    </row>
    <row r="751" spans="1:15" hidden="1" x14ac:dyDescent="0.25">
      <c r="A751" t="s">
        <v>1259</v>
      </c>
      <c r="B751" t="s">
        <v>1428</v>
      </c>
      <c r="C751" t="e">
        <v>#NAME?</v>
      </c>
      <c r="D751" t="e">
        <v>#NAME?</v>
      </c>
      <c r="E751">
        <v>46457</v>
      </c>
      <c r="F751">
        <v>8</v>
      </c>
      <c r="G751">
        <v>6736</v>
      </c>
      <c r="H751" s="1">
        <v>46066</v>
      </c>
      <c r="I751" s="1">
        <v>46093</v>
      </c>
      <c r="J751" s="1">
        <v>46093</v>
      </c>
      <c r="K751" s="2">
        <v>0.41666666666666669</v>
      </c>
      <c r="M751" t="s">
        <v>1429</v>
      </c>
      <c r="N751">
        <v>7407</v>
      </c>
      <c r="O751" t="s">
        <v>17</v>
      </c>
    </row>
    <row r="752" spans="1:15" hidden="1" x14ac:dyDescent="0.25">
      <c r="A752" t="s">
        <v>1142</v>
      </c>
      <c r="B752" t="s">
        <v>1430</v>
      </c>
      <c r="C752" t="e">
        <v>#NAME?</v>
      </c>
      <c r="D752" t="e">
        <v>#NAME?</v>
      </c>
      <c r="E752">
        <v>31181</v>
      </c>
      <c r="F752">
        <v>8</v>
      </c>
      <c r="G752">
        <v>5644</v>
      </c>
      <c r="H752" s="1">
        <v>46066</v>
      </c>
      <c r="I752" s="1">
        <v>46094</v>
      </c>
      <c r="J752" s="1">
        <v>46094</v>
      </c>
      <c r="K752" s="2">
        <v>0.375</v>
      </c>
      <c r="M752" t="s">
        <v>1431</v>
      </c>
      <c r="N752">
        <v>5298</v>
      </c>
      <c r="O752" t="s">
        <v>17</v>
      </c>
    </row>
    <row r="753" spans="1:15" hidden="1" x14ac:dyDescent="0.25">
      <c r="A753" t="s">
        <v>1432</v>
      </c>
      <c r="B753" t="s">
        <v>1433</v>
      </c>
      <c r="C753" t="e">
        <v>#NAME?</v>
      </c>
      <c r="D753" t="e">
        <v>#NAME?</v>
      </c>
      <c r="E753">
        <v>39180</v>
      </c>
      <c r="F753">
        <v>5</v>
      </c>
      <c r="G753">
        <v>3761</v>
      </c>
      <c r="H753" s="1">
        <v>46066</v>
      </c>
      <c r="I753" s="1">
        <v>46097</v>
      </c>
      <c r="J753" s="1">
        <v>46097</v>
      </c>
      <c r="K753" s="2">
        <v>0.33333333333333331</v>
      </c>
      <c r="M753" t="s">
        <v>1416</v>
      </c>
      <c r="N753">
        <v>3997</v>
      </c>
      <c r="O753" t="s">
        <v>17</v>
      </c>
    </row>
    <row r="754" spans="1:15" hidden="1" x14ac:dyDescent="0.25">
      <c r="A754" t="s">
        <v>846</v>
      </c>
      <c r="B754" t="s">
        <v>1434</v>
      </c>
      <c r="C754" t="e">
        <v>#NAME?</v>
      </c>
      <c r="D754" t="e">
        <v>#NAME?</v>
      </c>
      <c r="E754">
        <v>34267</v>
      </c>
      <c r="F754">
        <v>4</v>
      </c>
      <c r="G754">
        <v>3598</v>
      </c>
      <c r="H754" s="1">
        <v>46066</v>
      </c>
      <c r="I754" s="1">
        <v>46094</v>
      </c>
      <c r="J754" s="1">
        <v>46097</v>
      </c>
      <c r="K754" s="2">
        <v>0.41666666666666669</v>
      </c>
      <c r="M754" t="s">
        <v>911</v>
      </c>
      <c r="N754">
        <v>3427</v>
      </c>
      <c r="O754" t="s">
        <v>17</v>
      </c>
    </row>
    <row r="755" spans="1:15" hidden="1" x14ac:dyDescent="0.25">
      <c r="A755" t="s">
        <v>1435</v>
      </c>
      <c r="B755" t="s">
        <v>1436</v>
      </c>
      <c r="C755" t="e">
        <v>#NAME?</v>
      </c>
      <c r="D755" t="e">
        <v>#NAME?</v>
      </c>
      <c r="E755">
        <v>40566</v>
      </c>
      <c r="F755">
        <v>7</v>
      </c>
      <c r="G755">
        <v>5152</v>
      </c>
      <c r="H755" s="1">
        <v>46066</v>
      </c>
      <c r="I755" s="1">
        <v>46093</v>
      </c>
      <c r="J755" s="1">
        <v>46093</v>
      </c>
      <c r="K755" s="2">
        <v>0.375</v>
      </c>
      <c r="M755" t="s">
        <v>1437</v>
      </c>
      <c r="N755">
        <v>5119</v>
      </c>
      <c r="O755" t="s">
        <v>17</v>
      </c>
    </row>
    <row r="756" spans="1:15" hidden="1" x14ac:dyDescent="0.25">
      <c r="A756" t="s">
        <v>1273</v>
      </c>
      <c r="B756" t="s">
        <v>1438</v>
      </c>
      <c r="C756" t="e">
        <v>#NAME?</v>
      </c>
      <c r="D756" t="e">
        <v>#NAME?</v>
      </c>
      <c r="E756">
        <v>35992</v>
      </c>
      <c r="F756">
        <v>4</v>
      </c>
      <c r="G756">
        <v>2735</v>
      </c>
      <c r="H756" s="1">
        <v>46066</v>
      </c>
      <c r="I756" s="1">
        <v>46094</v>
      </c>
      <c r="J756" s="1">
        <v>46094</v>
      </c>
      <c r="K756" s="2">
        <v>0.41666666666666669</v>
      </c>
      <c r="M756" t="s">
        <v>1439</v>
      </c>
      <c r="N756">
        <v>4704</v>
      </c>
      <c r="O756" t="s">
        <v>17</v>
      </c>
    </row>
    <row r="757" spans="1:15" hidden="1" x14ac:dyDescent="0.25">
      <c r="A757" t="s">
        <v>1285</v>
      </c>
      <c r="B757" t="s">
        <v>1440</v>
      </c>
      <c r="C757" t="e">
        <v>#NAME?</v>
      </c>
      <c r="D757" t="e">
        <v>#NAME?</v>
      </c>
      <c r="E757">
        <v>46649</v>
      </c>
      <c r="F757">
        <v>8</v>
      </c>
      <c r="G757">
        <v>6344</v>
      </c>
      <c r="H757" s="1">
        <v>46066</v>
      </c>
      <c r="I757" s="1">
        <v>46097</v>
      </c>
      <c r="J757" s="1">
        <v>46097</v>
      </c>
      <c r="K757" s="2">
        <v>0.33333333333333331</v>
      </c>
      <c r="M757" t="s">
        <v>1416</v>
      </c>
      <c r="N757">
        <v>5412</v>
      </c>
      <c r="O757" t="s">
        <v>17</v>
      </c>
    </row>
    <row r="758" spans="1:15" hidden="1" x14ac:dyDescent="0.25">
      <c r="A758" t="s">
        <v>1441</v>
      </c>
      <c r="B758" t="s">
        <v>1442</v>
      </c>
      <c r="C758" t="e">
        <v>#NAME?</v>
      </c>
      <c r="D758" t="e">
        <v>#NAME?</v>
      </c>
      <c r="E758">
        <v>29625</v>
      </c>
      <c r="F758">
        <v>7</v>
      </c>
      <c r="G758">
        <v>5244</v>
      </c>
      <c r="H758" s="1">
        <v>46066</v>
      </c>
      <c r="I758" s="1">
        <v>46094</v>
      </c>
      <c r="J758" s="1">
        <v>46094</v>
      </c>
      <c r="K758" s="2">
        <v>0.375</v>
      </c>
      <c r="M758" t="s">
        <v>1431</v>
      </c>
      <c r="N758">
        <v>4725</v>
      </c>
      <c r="O758" t="s">
        <v>17</v>
      </c>
    </row>
    <row r="759" spans="1:15" hidden="1" x14ac:dyDescent="0.25">
      <c r="A759" t="s">
        <v>1298</v>
      </c>
      <c r="B759" t="s">
        <v>1443</v>
      </c>
      <c r="C759" t="e">
        <v>#NAME?</v>
      </c>
      <c r="D759" t="e">
        <v>#NAME?</v>
      </c>
      <c r="E759">
        <v>26804</v>
      </c>
      <c r="F759">
        <v>5</v>
      </c>
      <c r="G759">
        <v>5120</v>
      </c>
      <c r="H759" s="1">
        <v>46066</v>
      </c>
      <c r="I759" s="1">
        <v>46094</v>
      </c>
      <c r="J759" s="1">
        <v>46094</v>
      </c>
      <c r="K759" s="2">
        <v>0.375</v>
      </c>
      <c r="M759" t="s">
        <v>1431</v>
      </c>
      <c r="N759">
        <v>2681</v>
      </c>
      <c r="O759" t="s">
        <v>17</v>
      </c>
    </row>
    <row r="760" spans="1:15" hidden="1" x14ac:dyDescent="0.25">
      <c r="A760" t="s">
        <v>1444</v>
      </c>
      <c r="B760" t="s">
        <v>1445</v>
      </c>
      <c r="C760" t="e">
        <v>#NAME?</v>
      </c>
      <c r="D760" t="e">
        <v>#NAME?</v>
      </c>
      <c r="E760">
        <v>48117</v>
      </c>
      <c r="F760">
        <v>8</v>
      </c>
      <c r="G760">
        <v>5533</v>
      </c>
      <c r="H760" s="1">
        <v>46066</v>
      </c>
      <c r="I760" s="1">
        <v>46093</v>
      </c>
      <c r="J760" s="1">
        <v>46093</v>
      </c>
      <c r="K760" s="2">
        <v>0.41666666666666669</v>
      </c>
      <c r="M760" t="s">
        <v>1429</v>
      </c>
      <c r="N760">
        <v>6595</v>
      </c>
      <c r="O760" t="s">
        <v>17</v>
      </c>
    </row>
    <row r="761" spans="1:15" hidden="1" x14ac:dyDescent="0.25">
      <c r="A761" t="s">
        <v>1295</v>
      </c>
      <c r="B761" t="s">
        <v>1446</v>
      </c>
      <c r="C761" t="e">
        <v>#NAME?</v>
      </c>
      <c r="D761" t="e">
        <v>#NAME?</v>
      </c>
      <c r="E761">
        <v>41840</v>
      </c>
      <c r="F761">
        <v>7</v>
      </c>
      <c r="G761">
        <v>9163</v>
      </c>
      <c r="H761" s="1">
        <v>46066</v>
      </c>
      <c r="I761" s="1">
        <v>46094</v>
      </c>
      <c r="J761" s="1">
        <v>46094</v>
      </c>
      <c r="K761" s="2">
        <v>0.375</v>
      </c>
      <c r="M761" t="s">
        <v>1431</v>
      </c>
      <c r="N761">
        <v>6622</v>
      </c>
      <c r="O761" t="s">
        <v>17</v>
      </c>
    </row>
    <row r="762" spans="1:15" hidden="1" x14ac:dyDescent="0.25">
      <c r="A762" t="s">
        <v>1447</v>
      </c>
      <c r="B762" t="s">
        <v>1448</v>
      </c>
      <c r="C762" t="e">
        <v>#NAME?</v>
      </c>
      <c r="D762" t="e">
        <v>#NAME?</v>
      </c>
      <c r="E762">
        <v>48730</v>
      </c>
      <c r="F762">
        <v>6</v>
      </c>
      <c r="G762">
        <v>8771</v>
      </c>
      <c r="H762" s="1">
        <v>46066</v>
      </c>
      <c r="I762" s="1">
        <v>46094</v>
      </c>
      <c r="J762" s="1">
        <v>46094</v>
      </c>
      <c r="K762" s="2">
        <v>0.33333333333333331</v>
      </c>
      <c r="M762" t="s">
        <v>1418</v>
      </c>
      <c r="N762">
        <v>4873</v>
      </c>
      <c r="O762" t="s">
        <v>17</v>
      </c>
    </row>
    <row r="763" spans="1:15" hidden="1" x14ac:dyDescent="0.25">
      <c r="A763" t="s">
        <v>1449</v>
      </c>
      <c r="B763" t="s">
        <v>1450</v>
      </c>
      <c r="C763" t="e">
        <v>#NAME?</v>
      </c>
      <c r="D763" t="e">
        <v>#NAME?</v>
      </c>
      <c r="E763">
        <v>31711</v>
      </c>
      <c r="F763">
        <v>4</v>
      </c>
      <c r="G763">
        <v>2442</v>
      </c>
      <c r="H763" s="1">
        <v>46066</v>
      </c>
      <c r="I763" s="1">
        <v>46094</v>
      </c>
      <c r="J763" s="1">
        <v>46093</v>
      </c>
      <c r="K763" s="2">
        <v>0.41666666666666669</v>
      </c>
      <c r="N763">
        <v>3110</v>
      </c>
      <c r="O763" t="s">
        <v>17</v>
      </c>
    </row>
    <row r="764" spans="1:15" hidden="1" x14ac:dyDescent="0.25">
      <c r="A764" t="s">
        <v>1387</v>
      </c>
      <c r="B764" t="s">
        <v>1451</v>
      </c>
      <c r="C764" t="e">
        <v>#NAME?</v>
      </c>
      <c r="D764" t="e">
        <v>#NAME?</v>
      </c>
      <c r="E764">
        <v>45595</v>
      </c>
      <c r="F764">
        <v>8</v>
      </c>
      <c r="G764">
        <v>5243</v>
      </c>
      <c r="H764" s="1">
        <v>46066</v>
      </c>
      <c r="I764" s="1">
        <v>46093</v>
      </c>
      <c r="J764" s="1">
        <v>46094</v>
      </c>
      <c r="K764" s="2">
        <v>0.41666666666666669</v>
      </c>
      <c r="M764" t="s">
        <v>766</v>
      </c>
      <c r="N764">
        <v>6677</v>
      </c>
      <c r="O764" t="s">
        <v>17</v>
      </c>
    </row>
    <row r="765" spans="1:15" hidden="1" x14ac:dyDescent="0.25">
      <c r="A765" t="s">
        <v>1452</v>
      </c>
      <c r="B765" t="s">
        <v>1453</v>
      </c>
      <c r="C765" t="e">
        <v>#NAME?</v>
      </c>
      <c r="D765" t="e">
        <v>#NAME?</v>
      </c>
      <c r="E765">
        <v>36176</v>
      </c>
      <c r="F765">
        <v>4</v>
      </c>
      <c r="G765">
        <v>2786</v>
      </c>
      <c r="H765" s="1">
        <v>46066</v>
      </c>
      <c r="I765" s="1">
        <v>46094</v>
      </c>
      <c r="J765" s="1">
        <v>46094</v>
      </c>
      <c r="K765" s="2">
        <v>0.41666666666666669</v>
      </c>
      <c r="M765" t="s">
        <v>1439</v>
      </c>
      <c r="N765">
        <v>3548</v>
      </c>
      <c r="O765" t="s">
        <v>17</v>
      </c>
    </row>
    <row r="766" spans="1:15" hidden="1" x14ac:dyDescent="0.25">
      <c r="A766" t="s">
        <v>1444</v>
      </c>
      <c r="B766" t="s">
        <v>1454</v>
      </c>
      <c r="C766" t="e">
        <v>#NAME?</v>
      </c>
      <c r="D766" t="e">
        <v>#NAME?</v>
      </c>
      <c r="E766">
        <v>40873</v>
      </c>
      <c r="F766">
        <v>5</v>
      </c>
      <c r="G766">
        <v>3147</v>
      </c>
      <c r="H766" s="1">
        <v>46066</v>
      </c>
      <c r="I766" s="1">
        <v>46094</v>
      </c>
      <c r="J766" s="1">
        <v>46094</v>
      </c>
      <c r="K766" s="2">
        <v>0.41666666666666669</v>
      </c>
      <c r="M766" t="s">
        <v>1439</v>
      </c>
      <c r="N766">
        <v>4826</v>
      </c>
      <c r="O766" t="s">
        <v>17</v>
      </c>
    </row>
    <row r="767" spans="1:15" hidden="1" x14ac:dyDescent="0.25">
      <c r="A767" t="s">
        <v>1449</v>
      </c>
      <c r="B767" t="s">
        <v>1455</v>
      </c>
      <c r="C767" t="e">
        <v>#NAME?</v>
      </c>
      <c r="D767" t="e">
        <v>#NAME?</v>
      </c>
      <c r="E767">
        <v>49807</v>
      </c>
      <c r="F767">
        <v>6</v>
      </c>
      <c r="G767">
        <v>3835</v>
      </c>
      <c r="H767" s="1">
        <v>46066</v>
      </c>
      <c r="I767" s="1">
        <v>46094</v>
      </c>
      <c r="J767" s="1">
        <v>46093</v>
      </c>
      <c r="K767" s="2">
        <v>0.41666666666666669</v>
      </c>
      <c r="M767" t="s">
        <v>1373</v>
      </c>
      <c r="N767">
        <v>5515</v>
      </c>
      <c r="O767" t="s">
        <v>17</v>
      </c>
    </row>
    <row r="768" spans="1:15" hidden="1" x14ac:dyDescent="0.25">
      <c r="A768" t="s">
        <v>1456</v>
      </c>
      <c r="B768" t="s">
        <v>1457</v>
      </c>
      <c r="C768" t="e">
        <v>#NAME?</v>
      </c>
      <c r="D768" t="e">
        <v>#NAME?</v>
      </c>
      <c r="E768">
        <v>23849</v>
      </c>
      <c r="F768">
        <v>3</v>
      </c>
      <c r="G768">
        <v>1908</v>
      </c>
      <c r="H768" s="1">
        <v>46066</v>
      </c>
      <c r="I768" s="1">
        <v>46094</v>
      </c>
      <c r="J768" s="1">
        <v>46094</v>
      </c>
      <c r="K768" s="2">
        <v>0.41666666666666669</v>
      </c>
      <c r="M768" t="s">
        <v>1439</v>
      </c>
      <c r="N768">
        <v>2713</v>
      </c>
      <c r="O768" t="s">
        <v>17</v>
      </c>
    </row>
    <row r="769" spans="1:15" hidden="1" x14ac:dyDescent="0.25">
      <c r="A769" t="s">
        <v>1321</v>
      </c>
      <c r="B769" t="s">
        <v>1458</v>
      </c>
      <c r="C769" t="e">
        <v>#NAME?</v>
      </c>
      <c r="D769" t="e">
        <v>#NAME?</v>
      </c>
      <c r="E769">
        <v>64102</v>
      </c>
      <c r="F769">
        <v>11</v>
      </c>
      <c r="G769">
        <v>16474</v>
      </c>
      <c r="H769" s="1">
        <v>46066</v>
      </c>
      <c r="I769" s="1">
        <v>46093</v>
      </c>
      <c r="J769" s="1">
        <v>46093</v>
      </c>
      <c r="K769" s="2">
        <v>0.35416666666666669</v>
      </c>
      <c r="N769">
        <v>15385</v>
      </c>
      <c r="O769" t="s">
        <v>17</v>
      </c>
    </row>
    <row r="770" spans="1:15" hidden="1" x14ac:dyDescent="0.25">
      <c r="A770" t="s">
        <v>813</v>
      </c>
      <c r="B770" t="s">
        <v>1459</v>
      </c>
      <c r="C770" t="e">
        <v>#NAME?</v>
      </c>
      <c r="D770" t="e">
        <v>#NAME?</v>
      </c>
      <c r="E770">
        <v>28138</v>
      </c>
      <c r="F770">
        <v>3</v>
      </c>
      <c r="G770">
        <v>1182</v>
      </c>
      <c r="H770" s="1">
        <v>46066</v>
      </c>
      <c r="I770" s="1">
        <v>46097</v>
      </c>
      <c r="J770" s="1">
        <v>46097</v>
      </c>
      <c r="K770" s="2">
        <v>0.45833333333333331</v>
      </c>
      <c r="M770" t="s">
        <v>1375</v>
      </c>
      <c r="N770">
        <v>1183</v>
      </c>
      <c r="O770" t="s">
        <v>17</v>
      </c>
    </row>
    <row r="771" spans="1:15" hidden="1" x14ac:dyDescent="0.25">
      <c r="A771" t="s">
        <v>1460</v>
      </c>
      <c r="B771" t="s">
        <v>1461</v>
      </c>
      <c r="C771" t="e">
        <v>#NAME?</v>
      </c>
      <c r="D771" t="e">
        <v>#NAME?</v>
      </c>
      <c r="E771">
        <v>36644</v>
      </c>
      <c r="F771">
        <v>6</v>
      </c>
      <c r="G771">
        <v>3664</v>
      </c>
      <c r="H771" s="1">
        <v>46066</v>
      </c>
      <c r="I771" s="1">
        <v>46098</v>
      </c>
      <c r="J771" s="1">
        <v>46098</v>
      </c>
      <c r="K771" s="2">
        <v>0.45833333333333331</v>
      </c>
      <c r="M771" t="s">
        <v>1462</v>
      </c>
      <c r="N771">
        <v>1543</v>
      </c>
      <c r="O771" t="s">
        <v>17</v>
      </c>
    </row>
    <row r="772" spans="1:15" hidden="1" x14ac:dyDescent="0.25">
      <c r="A772" t="s">
        <v>1463</v>
      </c>
      <c r="B772" t="s">
        <v>1464</v>
      </c>
      <c r="C772" t="e">
        <v>#NAME?</v>
      </c>
      <c r="D772" t="e">
        <v>#NAME?</v>
      </c>
      <c r="E772">
        <v>50989</v>
      </c>
      <c r="F772">
        <v>6</v>
      </c>
      <c r="G772">
        <v>5150</v>
      </c>
      <c r="H772" s="1">
        <v>46066</v>
      </c>
      <c r="I772" s="1">
        <v>46094</v>
      </c>
      <c r="J772" s="1">
        <v>46094</v>
      </c>
      <c r="K772" s="2">
        <v>0.35416666666666669</v>
      </c>
      <c r="M772" t="s">
        <v>1465</v>
      </c>
      <c r="N772">
        <v>5361</v>
      </c>
      <c r="O772" t="s">
        <v>17</v>
      </c>
    </row>
    <row r="773" spans="1:15" hidden="1" x14ac:dyDescent="0.25">
      <c r="A773" t="s">
        <v>167</v>
      </c>
      <c r="B773" t="s">
        <v>1466</v>
      </c>
      <c r="C773" t="e">
        <v>#NAME?</v>
      </c>
      <c r="D773" t="e">
        <v>#NAME?</v>
      </c>
      <c r="E773">
        <v>33116</v>
      </c>
      <c r="F773">
        <v>2</v>
      </c>
      <c r="G773">
        <v>1656</v>
      </c>
      <c r="H773" s="1">
        <v>46066</v>
      </c>
      <c r="I773" s="1">
        <v>46097</v>
      </c>
      <c r="J773" s="1">
        <v>46097</v>
      </c>
      <c r="K773" s="2">
        <v>0.45833333333333331</v>
      </c>
      <c r="M773" t="s">
        <v>1375</v>
      </c>
      <c r="N773">
        <v>1325</v>
      </c>
      <c r="O773" t="s">
        <v>17</v>
      </c>
    </row>
    <row r="774" spans="1:15" hidden="1" x14ac:dyDescent="0.25">
      <c r="A774" t="s">
        <v>197</v>
      </c>
      <c r="B774" t="s">
        <v>1467</v>
      </c>
      <c r="C774" t="e">
        <v>#NAME?</v>
      </c>
      <c r="D774" t="e">
        <v>#NAME?</v>
      </c>
      <c r="E774">
        <v>30847</v>
      </c>
      <c r="F774">
        <v>5</v>
      </c>
      <c r="G774">
        <v>4195</v>
      </c>
      <c r="H774" s="1">
        <v>46066</v>
      </c>
      <c r="I774" s="1">
        <v>46097</v>
      </c>
      <c r="J774" s="1">
        <v>46097</v>
      </c>
      <c r="K774" s="2">
        <v>0.41666666666666669</v>
      </c>
      <c r="M774" t="s">
        <v>1468</v>
      </c>
      <c r="N774">
        <v>4013</v>
      </c>
      <c r="O774" t="s">
        <v>17</v>
      </c>
    </row>
    <row r="775" spans="1:15" hidden="1" x14ac:dyDescent="0.25">
      <c r="A775" t="s">
        <v>1469</v>
      </c>
      <c r="B775" t="s">
        <v>1470</v>
      </c>
      <c r="C775" t="e">
        <v>#NAME?</v>
      </c>
      <c r="D775" t="e">
        <v>#NAME?</v>
      </c>
      <c r="E775">
        <v>29590</v>
      </c>
      <c r="F775">
        <v>5</v>
      </c>
      <c r="G775">
        <v>3107</v>
      </c>
      <c r="H775" s="1">
        <v>46066</v>
      </c>
      <c r="I775" s="1">
        <v>46097</v>
      </c>
      <c r="J775" s="1">
        <v>46097</v>
      </c>
      <c r="K775" s="2">
        <v>0.41666666666666669</v>
      </c>
      <c r="M775" t="s">
        <v>1468</v>
      </c>
      <c r="N775">
        <v>4310</v>
      </c>
      <c r="O775" t="s">
        <v>17</v>
      </c>
    </row>
    <row r="776" spans="1:15" hidden="1" x14ac:dyDescent="0.25">
      <c r="A776" t="s">
        <v>1471</v>
      </c>
      <c r="B776" t="s">
        <v>1472</v>
      </c>
      <c r="C776" t="e">
        <v>#NAME?</v>
      </c>
      <c r="D776" t="e">
        <v>#NAME?</v>
      </c>
      <c r="E776">
        <v>45654</v>
      </c>
      <c r="F776">
        <v>7</v>
      </c>
      <c r="G776">
        <v>4794</v>
      </c>
      <c r="H776" s="1">
        <v>46066</v>
      </c>
      <c r="I776" s="1">
        <v>46097</v>
      </c>
      <c r="J776" s="1">
        <v>46097</v>
      </c>
      <c r="K776" s="2">
        <v>0.41666666666666669</v>
      </c>
      <c r="M776" t="s">
        <v>1468</v>
      </c>
      <c r="N776">
        <v>5301</v>
      </c>
      <c r="O776" t="s">
        <v>17</v>
      </c>
    </row>
    <row r="777" spans="1:15" hidden="1" x14ac:dyDescent="0.25">
      <c r="A777" t="s">
        <v>1014</v>
      </c>
      <c r="B777" t="s">
        <v>1473</v>
      </c>
      <c r="C777" t="e">
        <v>#NAME?</v>
      </c>
      <c r="D777" t="e">
        <v>#NAME?</v>
      </c>
      <c r="E777">
        <v>27910</v>
      </c>
      <c r="F777">
        <v>4</v>
      </c>
      <c r="G777">
        <v>2456</v>
      </c>
      <c r="H777" s="1">
        <v>46066</v>
      </c>
      <c r="I777" s="1">
        <v>46097</v>
      </c>
      <c r="J777" s="1">
        <v>46097</v>
      </c>
      <c r="K777" s="2">
        <v>0.45833333333333331</v>
      </c>
      <c r="M777" t="s">
        <v>1375</v>
      </c>
      <c r="N777">
        <v>1175</v>
      </c>
      <c r="O777" t="s">
        <v>17</v>
      </c>
    </row>
    <row r="778" spans="1:15" hidden="1" x14ac:dyDescent="0.25">
      <c r="A778" t="s">
        <v>1474</v>
      </c>
      <c r="B778" t="s">
        <v>1475</v>
      </c>
      <c r="C778" t="e">
        <v>#NAME?</v>
      </c>
      <c r="D778" t="e">
        <v>#NAME?</v>
      </c>
      <c r="E778">
        <v>23753</v>
      </c>
      <c r="F778">
        <v>4</v>
      </c>
      <c r="G778">
        <v>5582</v>
      </c>
      <c r="H778" s="1">
        <v>46066</v>
      </c>
      <c r="I778" s="1">
        <v>46097</v>
      </c>
      <c r="J778" s="1">
        <v>46097</v>
      </c>
      <c r="K778" s="2">
        <v>0.58333333333333337</v>
      </c>
      <c r="M778" t="s">
        <v>1371</v>
      </c>
      <c r="N778">
        <v>5580</v>
      </c>
      <c r="O778" t="s">
        <v>17</v>
      </c>
    </row>
    <row r="779" spans="1:15" x14ac:dyDescent="0.25">
      <c r="A779" t="s">
        <v>1362</v>
      </c>
      <c r="B779" t="s">
        <v>1476</v>
      </c>
      <c r="C779" t="e">
        <v>#NAME?</v>
      </c>
      <c r="D779" t="e">
        <v>#NAME?</v>
      </c>
      <c r="E779">
        <v>33070</v>
      </c>
      <c r="F779" s="48">
        <v>5</v>
      </c>
      <c r="G779">
        <v>4101</v>
      </c>
      <c r="H779" s="1">
        <v>46066</v>
      </c>
      <c r="I779" s="1">
        <v>46094</v>
      </c>
      <c r="J779" s="1">
        <v>46094</v>
      </c>
      <c r="K779" s="2">
        <v>0.35416666666666669</v>
      </c>
      <c r="M779" t="s">
        <v>1465</v>
      </c>
      <c r="N779">
        <v>3968</v>
      </c>
      <c r="O779" t="s">
        <v>17</v>
      </c>
    </row>
    <row r="780" spans="1:15" hidden="1" x14ac:dyDescent="0.25">
      <c r="A780" t="s">
        <v>1435</v>
      </c>
      <c r="B780" t="s">
        <v>1477</v>
      </c>
      <c r="C780" t="e">
        <v>#NAME?</v>
      </c>
      <c r="D780" t="e">
        <v>#NAME?</v>
      </c>
      <c r="E780">
        <v>23768</v>
      </c>
      <c r="F780">
        <v>4</v>
      </c>
      <c r="G780">
        <v>6940</v>
      </c>
      <c r="H780" s="1">
        <v>46066</v>
      </c>
      <c r="I780" s="1">
        <v>46097</v>
      </c>
      <c r="J780" s="1">
        <v>46097</v>
      </c>
      <c r="K780" s="2">
        <v>0.41666666666666669</v>
      </c>
      <c r="M780" t="s">
        <v>1468</v>
      </c>
      <c r="N780">
        <v>6658</v>
      </c>
      <c r="O780" t="s">
        <v>17</v>
      </c>
    </row>
    <row r="781" spans="1:15" hidden="1" x14ac:dyDescent="0.25">
      <c r="A781" t="s">
        <v>1287</v>
      </c>
      <c r="B781" t="s">
        <v>1478</v>
      </c>
      <c r="C781" t="e">
        <v>#NAME?</v>
      </c>
      <c r="D781" t="e">
        <v>#NAME?</v>
      </c>
      <c r="E781">
        <v>67904</v>
      </c>
      <c r="F781">
        <v>8</v>
      </c>
      <c r="G781">
        <v>5432</v>
      </c>
      <c r="H781" s="1">
        <v>46066</v>
      </c>
      <c r="I781" s="1">
        <v>46094</v>
      </c>
      <c r="J781" s="1">
        <v>46097</v>
      </c>
      <c r="K781" s="2">
        <v>0.4375</v>
      </c>
      <c r="M781" t="s">
        <v>1479</v>
      </c>
      <c r="N781">
        <v>6991</v>
      </c>
      <c r="O781" t="s">
        <v>17</v>
      </c>
    </row>
    <row r="782" spans="1:15" hidden="1" x14ac:dyDescent="0.25">
      <c r="A782" t="s">
        <v>1480</v>
      </c>
      <c r="B782" t="s">
        <v>1481</v>
      </c>
      <c r="C782" t="e">
        <v>#NAME?</v>
      </c>
      <c r="D782" t="e">
        <v>#NAME?</v>
      </c>
      <c r="E782">
        <v>115538</v>
      </c>
      <c r="F782">
        <v>20</v>
      </c>
      <c r="G782">
        <v>19641</v>
      </c>
      <c r="H782" s="1">
        <v>46066</v>
      </c>
      <c r="I782" s="1">
        <v>46094</v>
      </c>
      <c r="J782" s="1">
        <v>46094</v>
      </c>
      <c r="K782" s="2">
        <v>0.4375</v>
      </c>
      <c r="M782" t="s">
        <v>1482</v>
      </c>
      <c r="N782">
        <v>22688</v>
      </c>
      <c r="O782" t="s">
        <v>17</v>
      </c>
    </row>
    <row r="783" spans="1:15" hidden="1" x14ac:dyDescent="0.25">
      <c r="A783" t="s">
        <v>1452</v>
      </c>
      <c r="B783" t="s">
        <v>1483</v>
      </c>
      <c r="C783" t="e">
        <v>#NAME?</v>
      </c>
      <c r="D783" t="e">
        <v>#NAME?</v>
      </c>
      <c r="E783">
        <v>33074</v>
      </c>
      <c r="F783">
        <v>6</v>
      </c>
      <c r="G783">
        <v>5292</v>
      </c>
      <c r="H783" s="1">
        <v>46066</v>
      </c>
      <c r="I783" s="1">
        <v>46099</v>
      </c>
      <c r="J783" s="1">
        <v>46099</v>
      </c>
      <c r="K783" s="2">
        <v>0.58333333333333337</v>
      </c>
      <c r="M783" t="s">
        <v>1484</v>
      </c>
      <c r="N783">
        <v>3511</v>
      </c>
      <c r="O783" t="s">
        <v>17</v>
      </c>
    </row>
    <row r="784" spans="1:15" hidden="1" x14ac:dyDescent="0.25">
      <c r="A784" t="s">
        <v>1485</v>
      </c>
      <c r="B784" t="s">
        <v>1486</v>
      </c>
      <c r="C784" t="e">
        <v>#NAME?</v>
      </c>
      <c r="D784" t="e">
        <v>#NAME?</v>
      </c>
      <c r="E784">
        <v>27747</v>
      </c>
      <c r="F784">
        <v>3</v>
      </c>
      <c r="G784">
        <v>2081</v>
      </c>
      <c r="H784" s="1">
        <v>46066</v>
      </c>
      <c r="I784" s="1">
        <v>46094</v>
      </c>
      <c r="J784" s="1">
        <v>46094</v>
      </c>
      <c r="K784" s="2">
        <v>0.35416666666666669</v>
      </c>
      <c r="M784" t="s">
        <v>1465</v>
      </c>
      <c r="N784">
        <v>2323</v>
      </c>
      <c r="O784" t="s">
        <v>17</v>
      </c>
    </row>
    <row r="785" spans="1:15" hidden="1" x14ac:dyDescent="0.25">
      <c r="A785" t="s">
        <v>1366</v>
      </c>
      <c r="B785" t="s">
        <v>1487</v>
      </c>
      <c r="C785" t="e">
        <v>#NAME?</v>
      </c>
      <c r="D785" t="e">
        <v>#NAME?</v>
      </c>
      <c r="E785">
        <v>35528</v>
      </c>
      <c r="F785">
        <v>4</v>
      </c>
      <c r="G785">
        <v>2522</v>
      </c>
      <c r="H785" s="1">
        <v>46066</v>
      </c>
      <c r="I785" s="1">
        <v>46094</v>
      </c>
      <c r="J785" s="1">
        <v>46094</v>
      </c>
      <c r="K785" s="2">
        <v>0.35416666666666669</v>
      </c>
      <c r="M785" t="s">
        <v>1465</v>
      </c>
      <c r="N785">
        <v>3417</v>
      </c>
      <c r="O785" t="s">
        <v>17</v>
      </c>
    </row>
    <row r="786" spans="1:15" hidden="1" x14ac:dyDescent="0.25">
      <c r="A786" t="s">
        <v>1447</v>
      </c>
      <c r="B786" t="s">
        <v>1488</v>
      </c>
      <c r="C786" t="e">
        <v>#NAME?</v>
      </c>
      <c r="D786" t="e">
        <v>#NAME?</v>
      </c>
      <c r="E786">
        <v>138771</v>
      </c>
      <c r="F786">
        <v>22</v>
      </c>
      <c r="G786">
        <v>27754</v>
      </c>
      <c r="H786" s="1">
        <v>46066</v>
      </c>
      <c r="I786" s="1">
        <v>46097</v>
      </c>
      <c r="J786" s="1">
        <v>46097</v>
      </c>
      <c r="K786" s="2">
        <v>0.375</v>
      </c>
      <c r="M786" t="s">
        <v>1489</v>
      </c>
      <c r="N786">
        <v>19012</v>
      </c>
      <c r="O786" t="s">
        <v>17</v>
      </c>
    </row>
    <row r="787" spans="1:15" hidden="1" x14ac:dyDescent="0.25">
      <c r="A787" t="s">
        <v>1490</v>
      </c>
      <c r="B787" t="s">
        <v>1491</v>
      </c>
      <c r="C787" t="e">
        <v>#NAME?</v>
      </c>
      <c r="D787" t="e">
        <v>#NAME?</v>
      </c>
      <c r="E787">
        <v>94909</v>
      </c>
      <c r="F787">
        <v>11</v>
      </c>
      <c r="G787">
        <v>11959</v>
      </c>
      <c r="H787" s="1">
        <v>46066</v>
      </c>
      <c r="I787" s="1">
        <v>46097</v>
      </c>
      <c r="J787" s="1">
        <v>46098</v>
      </c>
      <c r="K787" s="2">
        <v>0.58333333333333337</v>
      </c>
      <c r="M787" t="s">
        <v>1492</v>
      </c>
      <c r="N787">
        <v>9797</v>
      </c>
      <c r="O787" t="s">
        <v>17</v>
      </c>
    </row>
    <row r="788" spans="1:15" hidden="1" x14ac:dyDescent="0.25">
      <c r="A788" t="s">
        <v>1485</v>
      </c>
      <c r="B788" t="s">
        <v>1493</v>
      </c>
      <c r="C788" t="e">
        <v>#NAME?</v>
      </c>
      <c r="D788" t="e">
        <v>#NAME?</v>
      </c>
      <c r="E788">
        <v>36525</v>
      </c>
      <c r="F788">
        <v>4</v>
      </c>
      <c r="G788">
        <v>2739</v>
      </c>
      <c r="H788" s="1">
        <v>46066</v>
      </c>
      <c r="I788" s="1">
        <v>46094</v>
      </c>
      <c r="J788" s="1">
        <v>46094</v>
      </c>
      <c r="K788" s="2">
        <v>0.35416666666666669</v>
      </c>
      <c r="M788" t="s">
        <v>1465</v>
      </c>
      <c r="N788">
        <v>3660</v>
      </c>
      <c r="O788" t="s">
        <v>17</v>
      </c>
    </row>
    <row r="789" spans="1:15" hidden="1" x14ac:dyDescent="0.25">
      <c r="A789" t="s">
        <v>1076</v>
      </c>
      <c r="B789" t="s">
        <v>1494</v>
      </c>
      <c r="C789" t="e">
        <v>#NAME?</v>
      </c>
      <c r="D789" t="e">
        <v>#NAME?</v>
      </c>
      <c r="E789">
        <v>61336</v>
      </c>
      <c r="F789">
        <v>15</v>
      </c>
      <c r="G789">
        <v>11102</v>
      </c>
      <c r="H789" s="1">
        <v>46066</v>
      </c>
      <c r="I789" s="1">
        <v>46094</v>
      </c>
      <c r="J789" s="1">
        <v>46097</v>
      </c>
      <c r="K789" s="2">
        <v>0.4375</v>
      </c>
      <c r="M789" t="s">
        <v>1495</v>
      </c>
      <c r="N789">
        <v>10328</v>
      </c>
      <c r="O789" t="s">
        <v>17</v>
      </c>
    </row>
    <row r="790" spans="1:15" hidden="1" x14ac:dyDescent="0.25">
      <c r="A790" t="s">
        <v>1353</v>
      </c>
      <c r="B790" t="s">
        <v>1496</v>
      </c>
      <c r="C790" t="e">
        <v>#NAME?</v>
      </c>
      <c r="D790" t="e">
        <v>#NAME?</v>
      </c>
      <c r="E790">
        <v>29664</v>
      </c>
      <c r="F790">
        <v>5</v>
      </c>
      <c r="G790">
        <v>7624</v>
      </c>
      <c r="H790" s="1">
        <v>46066</v>
      </c>
      <c r="I790" s="1">
        <v>46094</v>
      </c>
      <c r="J790" s="1">
        <v>46097</v>
      </c>
      <c r="K790" s="2">
        <v>0.4375</v>
      </c>
      <c r="M790" t="s">
        <v>1479</v>
      </c>
      <c r="N790">
        <v>6362</v>
      </c>
      <c r="O790" t="s">
        <v>17</v>
      </c>
    </row>
    <row r="791" spans="1:15" hidden="1" x14ac:dyDescent="0.25">
      <c r="A791" t="s">
        <v>841</v>
      </c>
      <c r="B791" t="s">
        <v>1497</v>
      </c>
      <c r="C791" t="e">
        <v>#NAME?</v>
      </c>
      <c r="D791" t="e">
        <v>#NAME?</v>
      </c>
      <c r="E791">
        <v>45836</v>
      </c>
      <c r="F791">
        <v>7</v>
      </c>
      <c r="G791">
        <v>5684</v>
      </c>
      <c r="H791" s="1">
        <v>46066</v>
      </c>
      <c r="I791" s="1">
        <v>46094</v>
      </c>
      <c r="J791" s="1">
        <v>46094</v>
      </c>
      <c r="K791" s="2">
        <v>0.35416666666666669</v>
      </c>
      <c r="M791" t="s">
        <v>1465</v>
      </c>
      <c r="N791">
        <v>5508</v>
      </c>
      <c r="O791" t="s">
        <v>17</v>
      </c>
    </row>
    <row r="792" spans="1:15" hidden="1" x14ac:dyDescent="0.25">
      <c r="A792" t="s">
        <v>1411</v>
      </c>
      <c r="B792" t="s">
        <v>1498</v>
      </c>
      <c r="C792" t="e">
        <v>#NAME?</v>
      </c>
      <c r="D792" t="e">
        <v>#NAME?</v>
      </c>
      <c r="E792">
        <v>26273</v>
      </c>
      <c r="F792">
        <v>5</v>
      </c>
      <c r="G792">
        <v>2759</v>
      </c>
      <c r="H792" s="1">
        <v>46066</v>
      </c>
      <c r="I792" s="1">
        <v>46097</v>
      </c>
      <c r="J792" s="1">
        <v>46097</v>
      </c>
      <c r="K792" s="2">
        <v>0.58333333333333337</v>
      </c>
      <c r="M792" t="s">
        <v>1371</v>
      </c>
      <c r="N792">
        <v>2681</v>
      </c>
      <c r="O792" t="s">
        <v>17</v>
      </c>
    </row>
    <row r="793" spans="1:15" hidden="1" x14ac:dyDescent="0.25">
      <c r="A793" t="s">
        <v>1499</v>
      </c>
      <c r="B793" t="s">
        <v>1500</v>
      </c>
      <c r="C793" t="e">
        <v>#NAME?</v>
      </c>
      <c r="D793" t="e">
        <v>#NAME?</v>
      </c>
      <c r="E793">
        <v>38089</v>
      </c>
      <c r="F793">
        <v>7</v>
      </c>
      <c r="G793">
        <v>4875</v>
      </c>
      <c r="H793" s="1">
        <v>46066</v>
      </c>
      <c r="I793" s="1">
        <v>46098</v>
      </c>
      <c r="J793" s="1">
        <v>46098</v>
      </c>
      <c r="K793" s="2">
        <v>0.45833333333333331</v>
      </c>
      <c r="M793" t="s">
        <v>1462</v>
      </c>
      <c r="N793">
        <v>3809</v>
      </c>
      <c r="O793" t="s">
        <v>17</v>
      </c>
    </row>
    <row r="794" spans="1:15" hidden="1" x14ac:dyDescent="0.25">
      <c r="A794" t="s">
        <v>1405</v>
      </c>
      <c r="B794" t="s">
        <v>1501</v>
      </c>
      <c r="C794" t="e">
        <v>#NAME?</v>
      </c>
      <c r="D794" t="e">
        <v>#NAME?</v>
      </c>
      <c r="E794">
        <v>43937</v>
      </c>
      <c r="F794">
        <v>7</v>
      </c>
      <c r="G794">
        <v>6283</v>
      </c>
      <c r="H794" s="1">
        <v>46066</v>
      </c>
      <c r="I794" s="1">
        <v>46097</v>
      </c>
      <c r="J794" s="1">
        <v>46097</v>
      </c>
      <c r="K794" s="2">
        <v>0.39583333333333331</v>
      </c>
      <c r="M794" t="s">
        <v>1489</v>
      </c>
      <c r="N794">
        <v>6106</v>
      </c>
      <c r="O794" t="s">
        <v>17</v>
      </c>
    </row>
    <row r="795" spans="1:15" hidden="1" x14ac:dyDescent="0.25">
      <c r="A795" t="s">
        <v>1502</v>
      </c>
      <c r="B795" t="s">
        <v>1503</v>
      </c>
      <c r="C795" t="e">
        <v>#NAME?</v>
      </c>
      <c r="D795" t="e">
        <v>#NAME?</v>
      </c>
      <c r="E795">
        <v>44853</v>
      </c>
      <c r="F795">
        <v>5</v>
      </c>
      <c r="G795">
        <v>5158</v>
      </c>
      <c r="H795" s="1">
        <v>46066</v>
      </c>
      <c r="I795" s="1">
        <v>46097</v>
      </c>
      <c r="J795" s="1">
        <v>46097</v>
      </c>
      <c r="K795" s="2">
        <v>0.41666666666666669</v>
      </c>
      <c r="M795" t="s">
        <v>1468</v>
      </c>
      <c r="N795">
        <v>5058</v>
      </c>
      <c r="O795" t="s">
        <v>17</v>
      </c>
    </row>
    <row r="796" spans="1:15" hidden="1" x14ac:dyDescent="0.25">
      <c r="A796" t="s">
        <v>1499</v>
      </c>
      <c r="B796" t="s">
        <v>1504</v>
      </c>
      <c r="C796" t="e">
        <v>#NAME?</v>
      </c>
      <c r="D796" t="e">
        <v>#NAME?</v>
      </c>
      <c r="E796">
        <v>62528</v>
      </c>
      <c r="F796">
        <v>11</v>
      </c>
      <c r="G796">
        <v>26262</v>
      </c>
      <c r="H796" s="1">
        <v>46066</v>
      </c>
      <c r="I796" s="1">
        <v>46097</v>
      </c>
      <c r="J796" s="1">
        <v>46097</v>
      </c>
      <c r="K796" s="2">
        <v>0.5</v>
      </c>
      <c r="M796" t="s">
        <v>1505</v>
      </c>
      <c r="N796">
        <v>20524</v>
      </c>
      <c r="O796" t="s">
        <v>17</v>
      </c>
    </row>
    <row r="797" spans="1:15" hidden="1" x14ac:dyDescent="0.25">
      <c r="A797" t="s">
        <v>1506</v>
      </c>
      <c r="B797" t="s">
        <v>1507</v>
      </c>
      <c r="C797" t="e">
        <v>#NAME?</v>
      </c>
      <c r="D797" t="e">
        <v>#NAME?</v>
      </c>
      <c r="E797">
        <v>35088</v>
      </c>
      <c r="F797">
        <v>12</v>
      </c>
      <c r="G797">
        <v>9018</v>
      </c>
      <c r="H797" s="1">
        <v>46092</v>
      </c>
      <c r="I797" s="1">
        <v>46099</v>
      </c>
      <c r="J797" s="1">
        <v>46099</v>
      </c>
      <c r="K797" s="2">
        <v>0.33333333333333331</v>
      </c>
      <c r="M797" t="s">
        <v>1484</v>
      </c>
      <c r="N797">
        <v>8355</v>
      </c>
      <c r="O797" t="s">
        <v>17</v>
      </c>
    </row>
    <row r="798" spans="1:15" hidden="1" x14ac:dyDescent="0.25">
      <c r="A798" t="s">
        <v>1508</v>
      </c>
      <c r="B798" t="s">
        <v>1509</v>
      </c>
      <c r="C798" t="e">
        <v>#NAME?</v>
      </c>
      <c r="D798" t="e">
        <v>#NAME?</v>
      </c>
      <c r="E798">
        <v>24092</v>
      </c>
      <c r="F798">
        <v>4</v>
      </c>
      <c r="G798">
        <v>4361</v>
      </c>
      <c r="H798" s="1">
        <v>46066</v>
      </c>
      <c r="I798" s="1">
        <v>46097</v>
      </c>
      <c r="J798" s="1">
        <v>46097</v>
      </c>
      <c r="K798" s="2">
        <v>0.45833333333333331</v>
      </c>
      <c r="M798" t="s">
        <v>1375</v>
      </c>
      <c r="N798">
        <v>2364</v>
      </c>
      <c r="O798" t="s">
        <v>17</v>
      </c>
    </row>
    <row r="799" spans="1:15" hidden="1" x14ac:dyDescent="0.25">
      <c r="A799" t="s">
        <v>1510</v>
      </c>
      <c r="B799" t="s">
        <v>1511</v>
      </c>
      <c r="C799" t="e">
        <v>#NAME?</v>
      </c>
      <c r="D799" t="e">
        <v>#NAME?</v>
      </c>
      <c r="E799" s="4">
        <v>37863</v>
      </c>
      <c r="F799">
        <v>5</v>
      </c>
      <c r="G799">
        <v>2158</v>
      </c>
      <c r="H799" s="1">
        <v>46099</v>
      </c>
      <c r="I799" s="1">
        <v>46107</v>
      </c>
      <c r="J799" s="1">
        <v>46107</v>
      </c>
      <c r="K799" s="2">
        <v>0.375</v>
      </c>
      <c r="M799" t="s">
        <v>911</v>
      </c>
      <c r="N799">
        <v>3208</v>
      </c>
      <c r="O799" t="s">
        <v>17</v>
      </c>
    </row>
    <row r="800" spans="1:15" hidden="1" x14ac:dyDescent="0.25">
      <c r="A800" t="s">
        <v>1510</v>
      </c>
      <c r="B800" t="s">
        <v>1512</v>
      </c>
      <c r="C800" t="e">
        <v>#NAME?</v>
      </c>
      <c r="D800" t="e">
        <v>#NAME?</v>
      </c>
      <c r="E800" s="4">
        <v>33507</v>
      </c>
      <c r="F800">
        <v>4</v>
      </c>
      <c r="G800" t="e">
        <v>#NAME?</v>
      </c>
      <c r="H800" s="1">
        <v>46099</v>
      </c>
      <c r="I800" s="1">
        <v>46107</v>
      </c>
      <c r="J800" s="1">
        <v>46107</v>
      </c>
      <c r="K800" s="2">
        <v>0.375</v>
      </c>
      <c r="M800" t="s">
        <v>911</v>
      </c>
      <c r="N800">
        <v>4291</v>
      </c>
      <c r="O800" t="s">
        <v>17</v>
      </c>
    </row>
    <row r="801" spans="1:15" x14ac:dyDescent="0.25">
      <c r="A801" t="s">
        <v>1513</v>
      </c>
      <c r="B801" t="s">
        <v>1514</v>
      </c>
      <c r="C801">
        <v>2</v>
      </c>
      <c r="D801" t="s">
        <v>1515</v>
      </c>
      <c r="E801" s="4">
        <v>48512</v>
      </c>
      <c r="F801">
        <v>0</v>
      </c>
      <c r="G801">
        <v>4415</v>
      </c>
      <c r="H801" s="1"/>
      <c r="I801" s="1"/>
      <c r="J801" s="1"/>
      <c r="K801" s="2"/>
    </row>
    <row r="802" spans="1:15" x14ac:dyDescent="0.25">
      <c r="A802" t="s">
        <v>1516</v>
      </c>
      <c r="B802" t="s">
        <v>1517</v>
      </c>
      <c r="C802">
        <v>2</v>
      </c>
      <c r="D802" t="s">
        <v>1515</v>
      </c>
      <c r="E802" s="4">
        <v>46497</v>
      </c>
      <c r="F802">
        <v>0</v>
      </c>
      <c r="G802">
        <v>3720</v>
      </c>
      <c r="H802" s="1"/>
      <c r="I802" s="1"/>
      <c r="J802" s="1"/>
      <c r="K802" s="2"/>
    </row>
    <row r="803" spans="1:15" x14ac:dyDescent="0.25">
      <c r="A803" t="s">
        <v>1518</v>
      </c>
      <c r="B803" t="s">
        <v>1519</v>
      </c>
      <c r="C803">
        <v>5</v>
      </c>
      <c r="D803" t="s">
        <v>1520</v>
      </c>
      <c r="E803" s="4">
        <v>38286</v>
      </c>
      <c r="F803">
        <v>0</v>
      </c>
      <c r="G803">
        <v>3063</v>
      </c>
      <c r="H803" s="1"/>
      <c r="I803" s="1"/>
      <c r="J803" s="1"/>
      <c r="K803" s="2"/>
    </row>
    <row r="804" spans="1:15" x14ac:dyDescent="0.25">
      <c r="A804" t="s">
        <v>1521</v>
      </c>
      <c r="B804" t="s">
        <v>1522</v>
      </c>
      <c r="C804">
        <v>10</v>
      </c>
      <c r="D804" t="s">
        <v>1523</v>
      </c>
      <c r="E804" s="4">
        <v>35419</v>
      </c>
      <c r="F804" s="48">
        <v>5</v>
      </c>
      <c r="G804">
        <v>2479</v>
      </c>
      <c r="H804" s="1"/>
      <c r="I804" s="1">
        <v>46189</v>
      </c>
      <c r="J804" s="1">
        <v>46189</v>
      </c>
      <c r="K804" s="2">
        <v>0.66666666666666663</v>
      </c>
      <c r="M804" t="s">
        <v>1524</v>
      </c>
      <c r="O804" t="s">
        <v>17</v>
      </c>
    </row>
    <row r="805" spans="1:15" x14ac:dyDescent="0.25">
      <c r="A805" t="s">
        <v>1513</v>
      </c>
      <c r="B805" t="s">
        <v>1525</v>
      </c>
      <c r="C805">
        <v>11</v>
      </c>
      <c r="D805" t="s">
        <v>1526</v>
      </c>
      <c r="E805" s="4">
        <v>35891</v>
      </c>
      <c r="F805">
        <v>0</v>
      </c>
      <c r="G805">
        <v>10014</v>
      </c>
      <c r="H805" s="1"/>
      <c r="I805" s="1"/>
      <c r="J805" s="1"/>
      <c r="K805" s="2"/>
    </row>
    <row r="806" spans="1:15" hidden="1" x14ac:dyDescent="0.25">
      <c r="A806" t="s">
        <v>1527</v>
      </c>
      <c r="B806" t="s">
        <v>1528</v>
      </c>
      <c r="C806">
        <v>14</v>
      </c>
      <c r="D806" t="s">
        <v>1529</v>
      </c>
      <c r="E806" s="4">
        <v>25455</v>
      </c>
      <c r="F806">
        <v>6</v>
      </c>
      <c r="G806">
        <v>2851</v>
      </c>
      <c r="H806" s="1"/>
      <c r="I806" s="1">
        <v>46189</v>
      </c>
      <c r="J806" s="1">
        <v>46189</v>
      </c>
      <c r="K806" s="2">
        <v>0.64583333333333337</v>
      </c>
      <c r="O806" t="s">
        <v>17</v>
      </c>
    </row>
    <row r="807" spans="1:15" x14ac:dyDescent="0.25">
      <c r="A807" t="s">
        <v>1521</v>
      </c>
      <c r="B807" t="s">
        <v>1530</v>
      </c>
      <c r="C807">
        <v>15</v>
      </c>
      <c r="D807" t="s">
        <v>1531</v>
      </c>
      <c r="E807" s="4">
        <v>33443</v>
      </c>
      <c r="F807" s="48">
        <v>10</v>
      </c>
      <c r="G807">
        <v>5117</v>
      </c>
      <c r="H807" s="1"/>
      <c r="I807" s="1">
        <v>46189</v>
      </c>
      <c r="J807" s="1">
        <v>46189</v>
      </c>
      <c r="K807" s="2">
        <v>0.66666666666666663</v>
      </c>
      <c r="M807" t="s">
        <v>1524</v>
      </c>
      <c r="O807" t="s">
        <v>17</v>
      </c>
    </row>
    <row r="808" spans="1:15" x14ac:dyDescent="0.25">
      <c r="A808" t="s">
        <v>404</v>
      </c>
      <c r="B808" t="s">
        <v>1532</v>
      </c>
      <c r="C808">
        <v>21</v>
      </c>
      <c r="D808" t="s">
        <v>1533</v>
      </c>
      <c r="E808" s="4">
        <v>23632</v>
      </c>
      <c r="F808" s="48">
        <v>6</v>
      </c>
      <c r="G808">
        <v>2978</v>
      </c>
      <c r="H808" s="1"/>
      <c r="I808" s="1"/>
      <c r="J808" s="1">
        <v>46065</v>
      </c>
      <c r="K808" s="2">
        <v>0.54166666666666663</v>
      </c>
      <c r="N808">
        <v>2978</v>
      </c>
      <c r="O808" t="s">
        <v>17</v>
      </c>
    </row>
  </sheetData>
  <autoFilter ref="A1:O808">
    <filterColumn colId="5">
      <filters blank="1"/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Y807"/>
  <sheetViews>
    <sheetView topLeftCell="N1" zoomScale="130" zoomScaleNormal="130" workbookViewId="0">
      <selection activeCell="V16" sqref="V16"/>
    </sheetView>
  </sheetViews>
  <sheetFormatPr defaultRowHeight="15" x14ac:dyDescent="0.25"/>
  <cols>
    <col min="1" max="2" width="27" style="5" bestFit="1" customWidth="1"/>
    <col min="3" max="3" width="19.85546875" style="5" customWidth="1"/>
    <col min="4" max="4" width="41.28515625" style="6" customWidth="1"/>
    <col min="5" max="5" width="44.7109375" style="6" hidden="1" customWidth="1"/>
    <col min="6" max="6" width="49.28515625" style="6" customWidth="1"/>
    <col min="7" max="7" width="35.42578125" style="6" customWidth="1"/>
    <col min="8" max="8" width="23.85546875" style="5" customWidth="1"/>
    <col min="9" max="9" width="17.5703125" style="5" customWidth="1"/>
    <col min="10" max="10" width="12.28515625" style="6" customWidth="1"/>
    <col min="11" max="11" width="19.42578125" style="6" customWidth="1"/>
    <col min="12" max="12" width="13.42578125" style="6" customWidth="1"/>
    <col min="13" max="13" width="47.85546875" style="6" customWidth="1"/>
    <col min="14" max="14" width="11.7109375" style="6" customWidth="1"/>
    <col min="15" max="15" width="12.85546875" style="6" customWidth="1"/>
    <col min="16" max="16" width="15.28515625" style="5" customWidth="1"/>
    <col min="17" max="17" width="20.7109375" style="6" customWidth="1"/>
    <col min="18" max="18" width="21.5703125" style="6" customWidth="1"/>
    <col min="19" max="19" width="15.28515625" style="7" customWidth="1"/>
    <col min="20" max="20" width="16.28515625" style="5" customWidth="1"/>
    <col min="21" max="21" width="21.28515625" style="5" customWidth="1"/>
    <col min="22" max="22" width="23" style="6" customWidth="1"/>
    <col min="23" max="23" width="20.5703125" style="6" customWidth="1"/>
    <col min="24" max="24" width="20.5703125" style="30" customWidth="1"/>
    <col min="25" max="25" width="10.42578125" style="6" customWidth="1"/>
    <col min="26" max="16384" width="9.140625" style="6"/>
  </cols>
  <sheetData>
    <row r="1" spans="1:25" x14ac:dyDescent="0.25">
      <c r="A1" s="8" t="s">
        <v>4486</v>
      </c>
      <c r="B1" s="8" t="s">
        <v>4486</v>
      </c>
      <c r="C1" s="8" t="s">
        <v>1534</v>
      </c>
      <c r="D1" s="9" t="s">
        <v>1535</v>
      </c>
      <c r="E1" s="9" t="s">
        <v>1536</v>
      </c>
      <c r="F1" s="9" t="s">
        <v>1537</v>
      </c>
      <c r="G1" s="9" t="s">
        <v>1538</v>
      </c>
      <c r="H1" s="8" t="s">
        <v>1539</v>
      </c>
      <c r="I1" s="8" t="s">
        <v>1540</v>
      </c>
      <c r="J1" s="9" t="s">
        <v>1541</v>
      </c>
      <c r="K1" s="9" t="s">
        <v>1542</v>
      </c>
      <c r="L1" s="9" t="s">
        <v>1543</v>
      </c>
      <c r="M1" s="9" t="s">
        <v>1544</v>
      </c>
      <c r="N1" s="9" t="s">
        <v>1545</v>
      </c>
      <c r="O1" s="9" t="s">
        <v>1546</v>
      </c>
      <c r="P1" s="8" t="s">
        <v>1547</v>
      </c>
      <c r="Q1" s="9" t="s">
        <v>1548</v>
      </c>
      <c r="R1" s="9" t="s">
        <v>1549</v>
      </c>
      <c r="S1" s="8" t="s">
        <v>2</v>
      </c>
      <c r="T1" s="8" t="s">
        <v>1550</v>
      </c>
      <c r="U1" s="8" t="s">
        <v>1551</v>
      </c>
      <c r="V1" s="9" t="s">
        <v>1552</v>
      </c>
      <c r="W1" s="9" t="s">
        <v>1553</v>
      </c>
      <c r="X1" s="28" t="s">
        <v>4485</v>
      </c>
      <c r="Y1" s="6" t="s">
        <v>5587</v>
      </c>
    </row>
    <row r="2" spans="1:25" ht="15" customHeight="1" x14ac:dyDescent="0.25">
      <c r="A2" s="10" t="str">
        <f>CONCATENATE(LEFT(C2,12),"-",RIGHT(C2,2),"_",TEXT(X2,"ddmmaaaa"),"_",COUNTIF($C$2:C2,C2))</f>
        <v>249063420001-33_26022026_1</v>
      </c>
      <c r="B2" s="10" t="str">
        <f>CONCATENATE(LEFT(C2,12),"-",RIGHT(C2,2),"_",COUNTIF($C$2:C2,C2))</f>
        <v>249063420001-33_1</v>
      </c>
      <c r="C2" s="10" t="s">
        <v>1554</v>
      </c>
      <c r="D2" s="10" t="s">
        <v>406</v>
      </c>
      <c r="E2" s="10" t="s">
        <v>1555</v>
      </c>
      <c r="F2" s="10" t="s">
        <v>931</v>
      </c>
      <c r="G2" s="10" t="s">
        <v>1556</v>
      </c>
      <c r="H2" s="11" t="s">
        <v>1557</v>
      </c>
      <c r="I2" s="11" t="s">
        <v>1558</v>
      </c>
      <c r="J2" s="10" t="s">
        <v>1559</v>
      </c>
      <c r="K2" s="10" t="s">
        <v>1560</v>
      </c>
      <c r="L2" s="10" t="s">
        <v>1561</v>
      </c>
      <c r="M2" s="10" t="s">
        <v>931</v>
      </c>
      <c r="N2" s="10">
        <v>32</v>
      </c>
      <c r="O2" s="11">
        <v>93</v>
      </c>
      <c r="P2" s="11">
        <v>9.2999999999999999E-2</v>
      </c>
      <c r="Q2" s="10" t="s">
        <v>1562</v>
      </c>
      <c r="R2" s="10">
        <v>80</v>
      </c>
      <c r="S2" s="12">
        <v>1</v>
      </c>
      <c r="T2" s="13">
        <v>72259</v>
      </c>
      <c r="U2" s="14">
        <v>6720.0869999999995</v>
      </c>
      <c r="V2" s="10">
        <v>4.2</v>
      </c>
      <c r="W2" s="15">
        <v>303487.8</v>
      </c>
      <c r="X2" s="29">
        <f>VLOOKUP($F2,Agendamento!$B:$J,9,0)</f>
        <v>46079</v>
      </c>
      <c r="Y2" s="6">
        <f>COUNTIF(Analise!F:F,'Obras e Acervos'!H2)</f>
        <v>1</v>
      </c>
    </row>
    <row r="3" spans="1:25" ht="15" customHeight="1" x14ac:dyDescent="0.25">
      <c r="A3" s="10" t="str">
        <f>CONCATENATE(LEFT(C3,12),"-",RIGHT(C3,2),"_",TEXT(X3,"ddmmaaaa"),"_",COUNTIF($C$2:C3,C3))</f>
        <v>330363230001-94_28012026_1</v>
      </c>
      <c r="B3" s="10" t="str">
        <f>CONCATENATE(LEFT(C3,12),"-",RIGHT(C3,2),"_",COUNTIF($C$2:C3,C3))</f>
        <v>330363230001-94_1</v>
      </c>
      <c r="C3" s="10" t="s">
        <v>1563</v>
      </c>
      <c r="D3" s="10" t="s">
        <v>89</v>
      </c>
      <c r="E3" s="10" t="s">
        <v>1555</v>
      </c>
      <c r="F3" s="10" t="s">
        <v>90</v>
      </c>
      <c r="G3" s="10" t="s">
        <v>1564</v>
      </c>
      <c r="H3" s="11" t="s">
        <v>1565</v>
      </c>
      <c r="I3" s="11" t="s">
        <v>1566</v>
      </c>
      <c r="J3" s="10" t="s">
        <v>1559</v>
      </c>
      <c r="K3" s="10" t="s">
        <v>1560</v>
      </c>
      <c r="L3" s="10" t="s">
        <v>1561</v>
      </c>
      <c r="M3" s="10" t="s">
        <v>90</v>
      </c>
      <c r="N3" s="10">
        <v>32</v>
      </c>
      <c r="O3" s="11">
        <v>96</v>
      </c>
      <c r="P3" s="11">
        <v>9.6000000000000002E-2</v>
      </c>
      <c r="Q3" s="10" t="s">
        <v>1562</v>
      </c>
      <c r="R3" s="10">
        <v>75</v>
      </c>
      <c r="S3" s="12">
        <v>1</v>
      </c>
      <c r="T3" s="13">
        <v>60776</v>
      </c>
      <c r="U3" s="14">
        <v>5834.4960000000001</v>
      </c>
      <c r="V3" s="10">
        <v>4.4400000000000004</v>
      </c>
      <c r="W3" s="15">
        <v>269845.44</v>
      </c>
      <c r="X3" s="29">
        <f>VLOOKUP($F3,Agendamento!$B:$J,9,0)</f>
        <v>46050</v>
      </c>
      <c r="Y3" s="6">
        <f>COUNTIF(Analise!F:F,'Obras e Acervos'!H3)</f>
        <v>1</v>
      </c>
    </row>
    <row r="4" spans="1:25" ht="15" customHeight="1" x14ac:dyDescent="0.25">
      <c r="A4" s="10" t="str">
        <f>CONCATENATE(LEFT(C4,12),"-",RIGHT(C4,2),"_",TEXT(X4,"ddmmaaaa"),"_",COUNTIF($C$2:C4,C4))</f>
        <v>280395150001-14_02032026_1</v>
      </c>
      <c r="B4" s="10" t="str">
        <f>CONCATENATE(LEFT(C4,12),"-",RIGHT(C4,2),"_",COUNTIF($C$2:C4,C4))</f>
        <v>280395150001-14_1</v>
      </c>
      <c r="C4" s="10" t="s">
        <v>1567</v>
      </c>
      <c r="D4" s="10" t="s">
        <v>1043</v>
      </c>
      <c r="E4" s="10" t="s">
        <v>1555</v>
      </c>
      <c r="F4" s="10" t="s">
        <v>1067</v>
      </c>
      <c r="G4" s="10"/>
      <c r="H4" s="11" t="s">
        <v>1568</v>
      </c>
      <c r="I4" s="11" t="s">
        <v>1569</v>
      </c>
      <c r="J4" s="10" t="s">
        <v>1559</v>
      </c>
      <c r="K4" s="10" t="s">
        <v>1560</v>
      </c>
      <c r="L4" s="10" t="s">
        <v>1561</v>
      </c>
      <c r="M4" s="10" t="s">
        <v>1067</v>
      </c>
      <c r="N4" s="10">
        <v>28</v>
      </c>
      <c r="O4" s="11">
        <v>96</v>
      </c>
      <c r="P4" s="11">
        <v>9.6000000000000002E-2</v>
      </c>
      <c r="Q4" s="10" t="s">
        <v>1562</v>
      </c>
      <c r="R4" s="10">
        <v>80</v>
      </c>
      <c r="S4" s="12">
        <v>1</v>
      </c>
      <c r="T4" s="13">
        <v>50065</v>
      </c>
      <c r="U4" s="14">
        <v>4806.24</v>
      </c>
      <c r="V4" s="10">
        <v>4.2699999999999996</v>
      </c>
      <c r="W4" s="15">
        <v>213777.55</v>
      </c>
      <c r="X4" s="29">
        <f>VLOOKUP($F4,Agendamento!$B:$J,9,0)</f>
        <v>46083</v>
      </c>
      <c r="Y4" s="6">
        <f>COUNTIF(Analise!F:F,'Obras e Acervos'!H4)</f>
        <v>1</v>
      </c>
    </row>
    <row r="5" spans="1:25" ht="15" customHeight="1" x14ac:dyDescent="0.25">
      <c r="A5" s="10" t="str">
        <f>CONCATENATE(LEFT(C5,12),"-",RIGHT(C5,2),"_",TEXT(X5,"ddmmaaaa"),"_",COUNTIF($C$2:C5,C5))</f>
        <v>421578060001-38_11032026_1</v>
      </c>
      <c r="B5" s="10" t="str">
        <f>CONCATENATE(LEFT(C5,12),"-",RIGHT(C5,2),"_",COUNTIF($C$2:C5,C5))</f>
        <v>421578060001-38_1</v>
      </c>
      <c r="C5" s="10" t="s">
        <v>1570</v>
      </c>
      <c r="D5" s="10" t="s">
        <v>1344</v>
      </c>
      <c r="E5" s="10" t="s">
        <v>1555</v>
      </c>
      <c r="F5" s="10" t="s">
        <v>1345</v>
      </c>
      <c r="G5" s="10" t="s">
        <v>1571</v>
      </c>
      <c r="H5" s="11" t="s">
        <v>1572</v>
      </c>
      <c r="I5" s="11" t="s">
        <v>1573</v>
      </c>
      <c r="J5" s="10" t="s">
        <v>1559</v>
      </c>
      <c r="K5" s="10" t="s">
        <v>1560</v>
      </c>
      <c r="L5" s="10" t="s">
        <v>1561</v>
      </c>
      <c r="M5" s="10" t="s">
        <v>1345</v>
      </c>
      <c r="N5" s="10">
        <v>44</v>
      </c>
      <c r="O5" s="11">
        <v>130</v>
      </c>
      <c r="P5" s="11">
        <v>0.13</v>
      </c>
      <c r="Q5" s="10" t="s">
        <v>1562</v>
      </c>
      <c r="R5" s="10">
        <v>80</v>
      </c>
      <c r="S5" s="12">
        <v>1</v>
      </c>
      <c r="T5" s="13">
        <v>49338</v>
      </c>
      <c r="U5" s="14">
        <v>6413.9400000000005</v>
      </c>
      <c r="V5" s="10">
        <v>5.84</v>
      </c>
      <c r="W5" s="15">
        <v>288133.92</v>
      </c>
      <c r="X5" s="29">
        <f>VLOOKUP($F5,Agendamento!$B:$J,9,0)</f>
        <v>46092</v>
      </c>
      <c r="Y5" s="6">
        <f>COUNTIF(Analise!F:F,'Obras e Acervos'!H5)</f>
        <v>1</v>
      </c>
    </row>
    <row r="6" spans="1:25" ht="15" customHeight="1" x14ac:dyDescent="0.25">
      <c r="A6" s="10" t="str">
        <f>CONCATENATE(LEFT(C6,12),"-",RIGHT(C6,2),"_",TEXT(X6,"ddmmaaaa"),"_",COUNTIF($C$2:C6,C6))</f>
        <v>330363230001-94_30012026_2</v>
      </c>
      <c r="B6" s="10" t="str">
        <f>CONCATENATE(LEFT(C6,12),"-",RIGHT(C6,2),"_",COUNTIF($C$2:C6,C6))</f>
        <v>330363230001-94_2</v>
      </c>
      <c r="C6" s="10" t="s">
        <v>1563</v>
      </c>
      <c r="D6" s="10" t="s">
        <v>89</v>
      </c>
      <c r="E6" s="10" t="s">
        <v>1574</v>
      </c>
      <c r="F6" s="10" t="s">
        <v>106</v>
      </c>
      <c r="G6" s="10" t="s">
        <v>1575</v>
      </c>
      <c r="H6" s="11" t="s">
        <v>1576</v>
      </c>
      <c r="I6" s="11" t="s">
        <v>1577</v>
      </c>
      <c r="J6" s="10" t="s">
        <v>1559</v>
      </c>
      <c r="K6" s="10" t="s">
        <v>1560</v>
      </c>
      <c r="L6" s="10" t="s">
        <v>1578</v>
      </c>
      <c r="M6" s="10" t="s">
        <v>106</v>
      </c>
      <c r="N6" s="10">
        <v>56</v>
      </c>
      <c r="O6" s="11">
        <v>147</v>
      </c>
      <c r="P6" s="11">
        <v>0.14699999999999999</v>
      </c>
      <c r="Q6" s="10" t="s">
        <v>1562</v>
      </c>
      <c r="R6" s="10">
        <v>75</v>
      </c>
      <c r="S6" s="12">
        <v>19</v>
      </c>
      <c r="T6" s="13">
        <v>25861</v>
      </c>
      <c r="U6" s="14">
        <v>3801.567</v>
      </c>
      <c r="V6" s="10">
        <v>4.45</v>
      </c>
      <c r="W6" s="15">
        <v>261753.45</v>
      </c>
      <c r="X6" s="29">
        <f>VLOOKUP($F6,Agendamento!$B:$J,9,0)</f>
        <v>46052</v>
      </c>
      <c r="Y6" s="6">
        <f>COUNTIF(Analise!F:F,'Obras e Acervos'!H6)</f>
        <v>1</v>
      </c>
    </row>
    <row r="7" spans="1:25" ht="15" customHeight="1" x14ac:dyDescent="0.25">
      <c r="A7" s="10" t="str">
        <f>CONCATENATE(LEFT(C7,12),"-",RIGHT(C7,2),"_",TEXT(X7,"ddmmaaaa"),"_",COUNTIF($C$2:C7,C7))</f>
        <v>114065460001-63_25022026_1</v>
      </c>
      <c r="B7" s="10" t="str">
        <f>CONCATENATE(LEFT(C7,12),"-",RIGHT(C7,2),"_",COUNTIF($C$2:C7,C7))</f>
        <v>114065460001-63_1</v>
      </c>
      <c r="C7" s="10" t="s">
        <v>1579</v>
      </c>
      <c r="D7" s="10" t="s">
        <v>857</v>
      </c>
      <c r="E7" s="10" t="s">
        <v>1555</v>
      </c>
      <c r="F7" s="10" t="s">
        <v>858</v>
      </c>
      <c r="G7" s="10" t="s">
        <v>1580</v>
      </c>
      <c r="H7" s="11" t="s">
        <v>1581</v>
      </c>
      <c r="I7" s="11" t="s">
        <v>1582</v>
      </c>
      <c r="J7" s="10" t="s">
        <v>1559</v>
      </c>
      <c r="K7" s="10" t="s">
        <v>1560</v>
      </c>
      <c r="L7" s="10" t="s">
        <v>1561</v>
      </c>
      <c r="M7" s="10" t="s">
        <v>858</v>
      </c>
      <c r="N7" s="10">
        <v>32</v>
      </c>
      <c r="O7" s="11">
        <v>105</v>
      </c>
      <c r="P7" s="11">
        <v>0.105</v>
      </c>
      <c r="Q7" s="10" t="s">
        <v>1562</v>
      </c>
      <c r="R7" s="10">
        <v>80</v>
      </c>
      <c r="S7" s="12">
        <v>1</v>
      </c>
      <c r="T7" s="13">
        <v>49913</v>
      </c>
      <c r="U7" s="14">
        <v>5240.8649999999998</v>
      </c>
      <c r="V7" s="10">
        <v>4.72</v>
      </c>
      <c r="W7" s="15">
        <v>235589.36</v>
      </c>
      <c r="X7" s="29">
        <f>VLOOKUP($F7,Agendamento!$B:$J,9,0)</f>
        <v>46078</v>
      </c>
      <c r="Y7" s="6">
        <f>COUNTIF(Analise!F:F,'Obras e Acervos'!H7)</f>
        <v>1</v>
      </c>
    </row>
    <row r="8" spans="1:25" ht="15" customHeight="1" x14ac:dyDescent="0.25">
      <c r="A8" s="10" t="str">
        <f>CONCATENATE(LEFT(C8,12),"-",RIGHT(C8,2),"_",TEXT(X8,"ddmmaaaa"),"_",COUNTIF($C$2:C8,C8))</f>
        <v>410757770001-00_29012026_1</v>
      </c>
      <c r="B8" s="10" t="str">
        <f>CONCATENATE(LEFT(C8,12),"-",RIGHT(C8,2),"_",COUNTIF($C$2:C8,C8))</f>
        <v>410757770001-00_1</v>
      </c>
      <c r="C8" s="10" t="s">
        <v>1583</v>
      </c>
      <c r="D8" s="10" t="s">
        <v>5892</v>
      </c>
      <c r="E8" s="10" t="s">
        <v>1555</v>
      </c>
      <c r="F8" s="10" t="s">
        <v>101</v>
      </c>
      <c r="G8" s="10" t="s">
        <v>1584</v>
      </c>
      <c r="H8" s="11" t="s">
        <v>1585</v>
      </c>
      <c r="I8" s="11" t="s">
        <v>1586</v>
      </c>
      <c r="J8" s="10" t="s">
        <v>1559</v>
      </c>
      <c r="K8" s="10" t="s">
        <v>1560</v>
      </c>
      <c r="L8" s="10" t="s">
        <v>1561</v>
      </c>
      <c r="M8" s="10" t="s">
        <v>6170</v>
      </c>
      <c r="N8" s="10">
        <v>48</v>
      </c>
      <c r="O8" s="11">
        <v>115</v>
      </c>
      <c r="P8" s="11">
        <v>0.115</v>
      </c>
      <c r="Q8" s="10" t="s">
        <v>1562</v>
      </c>
      <c r="R8" s="10">
        <v>80</v>
      </c>
      <c r="S8" s="12">
        <v>1</v>
      </c>
      <c r="T8" s="13">
        <v>76774</v>
      </c>
      <c r="U8" s="14">
        <v>8829.01</v>
      </c>
      <c r="V8" s="10">
        <v>5.56</v>
      </c>
      <c r="W8" s="15">
        <v>426863.43999999994</v>
      </c>
      <c r="X8" s="29">
        <f>VLOOKUP($F8,Agendamento!$B:$J,9,0)</f>
        <v>46051</v>
      </c>
      <c r="Y8" s="6">
        <f>COUNTIF(Analise!F:F,'Obras e Acervos'!H8)</f>
        <v>1</v>
      </c>
    </row>
    <row r="9" spans="1:25" ht="15" customHeight="1" x14ac:dyDescent="0.25">
      <c r="A9" s="10" t="str">
        <f>CONCATENATE(LEFT(C9,12),"-",RIGHT(C9,2),"_",TEXT(X9,"ddmmaaaa"),"_",COUNTIF($C$2:C9,C9))</f>
        <v>040929430001-42_02032026_1</v>
      </c>
      <c r="B9" s="10" t="str">
        <f>CONCATENATE(LEFT(C9,12),"-",RIGHT(C9,2),"_",COUNTIF($C$2:C9,C9))</f>
        <v>040929430001-42_1</v>
      </c>
      <c r="C9" s="10" t="s">
        <v>1587</v>
      </c>
      <c r="D9" s="10" t="s">
        <v>5893</v>
      </c>
      <c r="E9" s="10" t="s">
        <v>1555</v>
      </c>
      <c r="F9" s="10" t="s">
        <v>1086</v>
      </c>
      <c r="G9" s="10" t="s">
        <v>1588</v>
      </c>
      <c r="H9" s="11" t="s">
        <v>1589</v>
      </c>
      <c r="I9" s="11" t="s">
        <v>1590</v>
      </c>
      <c r="J9" s="10" t="s">
        <v>1559</v>
      </c>
      <c r="K9" s="10" t="s">
        <v>1560</v>
      </c>
      <c r="L9" s="10" t="s">
        <v>1561</v>
      </c>
      <c r="M9" s="10" t="s">
        <v>1086</v>
      </c>
      <c r="N9" s="10">
        <v>36</v>
      </c>
      <c r="O9" s="11">
        <v>112</v>
      </c>
      <c r="P9" s="11">
        <v>0.112</v>
      </c>
      <c r="Q9" s="10" t="s">
        <v>1562</v>
      </c>
      <c r="R9" s="10">
        <v>80</v>
      </c>
      <c r="S9" s="12">
        <v>1</v>
      </c>
      <c r="T9" s="13">
        <v>52201</v>
      </c>
      <c r="U9" s="14">
        <v>5846.5119999999997</v>
      </c>
      <c r="V9" s="10">
        <v>4.9800000000000004</v>
      </c>
      <c r="W9" s="15">
        <v>259960.98</v>
      </c>
      <c r="X9" s="29">
        <f>VLOOKUP($F9,Agendamento!$B:$J,9,0)</f>
        <v>46083</v>
      </c>
      <c r="Y9" s="6">
        <f>COUNTIF(Analise!F:F,'Obras e Acervos'!H9)</f>
        <v>1</v>
      </c>
    </row>
    <row r="10" spans="1:25" ht="15" customHeight="1" x14ac:dyDescent="0.25">
      <c r="A10" s="10" t="str">
        <f>CONCATENATE(LEFT(C10,12),"-",RIGHT(C10,2),"_",TEXT(X10,"ddmmaaaa"),"_",COUNTIF($C$2:C10,C10))</f>
        <v>012974670001-08_12032026_1</v>
      </c>
      <c r="B10" s="10" t="str">
        <f>CONCATENATE(LEFT(C10,12),"-",RIGHT(C10,2),"_",COUNTIF($C$2:C10,C10))</f>
        <v>012974670001-08_1</v>
      </c>
      <c r="C10" s="10" t="s">
        <v>1591</v>
      </c>
      <c r="D10" s="10" t="s">
        <v>5894</v>
      </c>
      <c r="E10" s="10" t="s">
        <v>1555</v>
      </c>
      <c r="F10" s="10" t="s">
        <v>1455</v>
      </c>
      <c r="G10" s="10" t="s">
        <v>1592</v>
      </c>
      <c r="H10" s="11" t="s">
        <v>1593</v>
      </c>
      <c r="I10" s="11" t="s">
        <v>1594</v>
      </c>
      <c r="J10" s="10" t="s">
        <v>1559</v>
      </c>
      <c r="K10" s="10" t="s">
        <v>1560</v>
      </c>
      <c r="L10" s="10" t="s">
        <v>1561</v>
      </c>
      <c r="M10" s="10" t="s">
        <v>6171</v>
      </c>
      <c r="N10" s="10">
        <v>32</v>
      </c>
      <c r="O10" s="11">
        <v>77</v>
      </c>
      <c r="P10" s="11">
        <v>7.6999999999999999E-2</v>
      </c>
      <c r="Q10" s="10" t="s">
        <v>1562</v>
      </c>
      <c r="R10" s="10">
        <v>80</v>
      </c>
      <c r="S10" s="12">
        <v>1</v>
      </c>
      <c r="T10" s="13">
        <v>49807</v>
      </c>
      <c r="U10" s="14">
        <v>3835.1390000000001</v>
      </c>
      <c r="V10" s="10">
        <v>4.72</v>
      </c>
      <c r="W10" s="15">
        <v>235089.03999999998</v>
      </c>
      <c r="X10" s="29">
        <f>VLOOKUP($F10,Agendamento!$B:$J,9,0)</f>
        <v>46093</v>
      </c>
      <c r="Y10" s="6">
        <f>COUNTIF(Analise!F:F,'Obras e Acervos'!H10)</f>
        <v>1</v>
      </c>
    </row>
    <row r="11" spans="1:25" ht="15" customHeight="1" x14ac:dyDescent="0.25">
      <c r="A11" s="10" t="str">
        <f>CONCATENATE(LEFT(C11,12),"-",RIGHT(C11,2),"_",TEXT(X11,"ddmmaaaa"),"_",COUNTIF($C$2:C11,C11))</f>
        <v>155950140001-72_13032026_1</v>
      </c>
      <c r="B11" s="10" t="str">
        <f>CONCATENATE(LEFT(C11,12),"-",RIGHT(C11,2),"_",COUNTIF($C$2:C11,C11))</f>
        <v>155950140001-72_1</v>
      </c>
      <c r="C11" s="10" t="s">
        <v>1595</v>
      </c>
      <c r="D11" s="10" t="s">
        <v>5895</v>
      </c>
      <c r="E11" s="10" t="s">
        <v>1555</v>
      </c>
      <c r="F11" s="10" t="s">
        <v>1464</v>
      </c>
      <c r="G11" s="10" t="s">
        <v>1596</v>
      </c>
      <c r="H11" s="11" t="s">
        <v>1597</v>
      </c>
      <c r="I11" s="11" t="s">
        <v>1598</v>
      </c>
      <c r="J11" s="10" t="s">
        <v>1559</v>
      </c>
      <c r="K11" s="10" t="s">
        <v>1560</v>
      </c>
      <c r="L11" s="10" t="s">
        <v>1561</v>
      </c>
      <c r="M11" s="10" t="s">
        <v>6172</v>
      </c>
      <c r="N11" s="10">
        <v>32</v>
      </c>
      <c r="O11" s="11">
        <v>101</v>
      </c>
      <c r="P11" s="11">
        <v>0.10100000000000001</v>
      </c>
      <c r="Q11" s="10" t="s">
        <v>1599</v>
      </c>
      <c r="R11" s="10">
        <v>80</v>
      </c>
      <c r="S11" s="12">
        <v>1</v>
      </c>
      <c r="T11" s="13">
        <v>50989</v>
      </c>
      <c r="U11" s="14">
        <v>5149.8890000000001</v>
      </c>
      <c r="V11" s="10">
        <v>4.63</v>
      </c>
      <c r="W11" s="15">
        <v>236079.07</v>
      </c>
      <c r="X11" s="29">
        <f>VLOOKUP($F11,Agendamento!$B:$J,9,0)</f>
        <v>46094</v>
      </c>
      <c r="Y11" s="6">
        <f>COUNTIF(Analise!F:F,'Obras e Acervos'!H11)</f>
        <v>1</v>
      </c>
    </row>
    <row r="12" spans="1:25" ht="15" customHeight="1" x14ac:dyDescent="0.25">
      <c r="A12" s="10" t="str">
        <f>CONCATENATE(LEFT(C12,12),"-",RIGHT(C12,2),"_",TEXT(X12,"ddmmaaaa"),"_",COUNTIF($C$2:C12,C12))</f>
        <v>087310590001-61_24022026_1</v>
      </c>
      <c r="B12" s="10" t="str">
        <f>CONCATENATE(LEFT(C12,12),"-",RIGHT(C12,2),"_",COUNTIF($C$2:C12,C12))</f>
        <v>087310590001-61_1</v>
      </c>
      <c r="C12" s="10" t="s">
        <v>1600</v>
      </c>
      <c r="D12" s="10" t="s">
        <v>733</v>
      </c>
      <c r="E12" s="10" t="s">
        <v>1555</v>
      </c>
      <c r="F12" s="10" t="s">
        <v>828</v>
      </c>
      <c r="G12" s="10" t="s">
        <v>1601</v>
      </c>
      <c r="H12" s="11" t="s">
        <v>1602</v>
      </c>
      <c r="I12" s="11" t="s">
        <v>1603</v>
      </c>
      <c r="J12" s="10" t="s">
        <v>1559</v>
      </c>
      <c r="K12" s="10" t="s">
        <v>1560</v>
      </c>
      <c r="L12" s="10" t="s">
        <v>1561</v>
      </c>
      <c r="M12" s="10" t="s">
        <v>828</v>
      </c>
      <c r="N12" s="10">
        <v>40</v>
      </c>
      <c r="O12" s="11">
        <v>121</v>
      </c>
      <c r="P12" s="11">
        <v>0.121</v>
      </c>
      <c r="Q12" s="10" t="s">
        <v>1562</v>
      </c>
      <c r="R12" s="10">
        <v>80</v>
      </c>
      <c r="S12" s="12">
        <v>1</v>
      </c>
      <c r="T12" s="13">
        <v>51459</v>
      </c>
      <c r="U12" s="14">
        <v>6226.5389999999998</v>
      </c>
      <c r="V12" s="10">
        <v>5.35</v>
      </c>
      <c r="W12" s="15">
        <v>275305.64999999997</v>
      </c>
      <c r="X12" s="29">
        <f>VLOOKUP($F12,Agendamento!$B:$J,9,0)</f>
        <v>46077</v>
      </c>
      <c r="Y12" s="6">
        <f>COUNTIF(Analise!F:F,'Obras e Acervos'!H12)</f>
        <v>1</v>
      </c>
    </row>
    <row r="13" spans="1:25" ht="15" customHeight="1" x14ac:dyDescent="0.25">
      <c r="A13" s="10" t="str">
        <f>CONCATENATE(LEFT(C13,12),"-",RIGHT(C13,2),"_",TEXT(X13,"ddmmaaaa"),"_",COUNTIF($C$2:C13,C13))</f>
        <v>612599580001-96_11022026_1</v>
      </c>
      <c r="B13" s="10" t="str">
        <f>CONCATENATE(LEFT(C13,12),"-",RIGHT(C13,2),"_",COUNTIF($C$2:C13,C13))</f>
        <v>612599580001-96_1</v>
      </c>
      <c r="C13" s="10" t="s">
        <v>1604</v>
      </c>
      <c r="D13" s="10" t="s">
        <v>309</v>
      </c>
      <c r="E13" s="10" t="s">
        <v>1555</v>
      </c>
      <c r="F13" s="10" t="s">
        <v>311</v>
      </c>
      <c r="G13" s="10" t="s">
        <v>1605</v>
      </c>
      <c r="H13" s="11" t="s">
        <v>1606</v>
      </c>
      <c r="I13" s="11" t="s">
        <v>1607</v>
      </c>
      <c r="J13" s="10" t="s">
        <v>1559</v>
      </c>
      <c r="K13" s="10" t="s">
        <v>1560</v>
      </c>
      <c r="L13" s="10" t="s">
        <v>1561</v>
      </c>
      <c r="M13" s="10" t="s">
        <v>311</v>
      </c>
      <c r="N13" s="10">
        <v>40</v>
      </c>
      <c r="O13" s="11">
        <v>120</v>
      </c>
      <c r="P13" s="11">
        <v>0.12</v>
      </c>
      <c r="Q13" s="10" t="s">
        <v>1608</v>
      </c>
      <c r="R13" s="10">
        <v>80</v>
      </c>
      <c r="S13" s="12">
        <v>1</v>
      </c>
      <c r="T13" s="13">
        <v>54398</v>
      </c>
      <c r="U13" s="14">
        <v>6527.7599999999993</v>
      </c>
      <c r="V13" s="10">
        <v>4.28</v>
      </c>
      <c r="W13" s="15">
        <v>232823.44</v>
      </c>
      <c r="X13" s="29">
        <f>VLOOKUP($F13,Agendamento!$B:$J,9,0)</f>
        <v>46064</v>
      </c>
      <c r="Y13" s="6">
        <f>COUNTIF(Analise!F:F,'Obras e Acervos'!H13)</f>
        <v>1</v>
      </c>
    </row>
    <row r="14" spans="1:25" ht="15" customHeight="1" x14ac:dyDescent="0.25">
      <c r="A14" s="10" t="str">
        <f>CONCATENATE(LEFT(C14,12),"-",RIGHT(C14,2),"_",TEXT(X14,"ddmmaaaa"),"_",COUNTIF($C$2:C14,C14))</f>
        <v>436803710001-74_11032026_1</v>
      </c>
      <c r="B14" s="10" t="str">
        <f>CONCATENATE(LEFT(C14,12),"-",RIGHT(C14,2),"_",COUNTIF($C$2:C14,C14))</f>
        <v>436803710001-74_1</v>
      </c>
      <c r="C14" s="10" t="s">
        <v>1609</v>
      </c>
      <c r="D14" s="10" t="s">
        <v>5896</v>
      </c>
      <c r="E14" s="10" t="s">
        <v>1555</v>
      </c>
      <c r="F14" s="10" t="s">
        <v>1354</v>
      </c>
      <c r="G14" s="10" t="s">
        <v>1610</v>
      </c>
      <c r="H14" s="11" t="s">
        <v>1611</v>
      </c>
      <c r="I14" s="11" t="s">
        <v>1612</v>
      </c>
      <c r="J14" s="10" t="s">
        <v>1559</v>
      </c>
      <c r="K14" s="10" t="s">
        <v>1560</v>
      </c>
      <c r="L14" s="10" t="s">
        <v>1561</v>
      </c>
      <c r="M14" s="10" t="s">
        <v>1354</v>
      </c>
      <c r="N14" s="10">
        <v>32</v>
      </c>
      <c r="O14" s="11">
        <v>105</v>
      </c>
      <c r="P14" s="11">
        <v>0.105</v>
      </c>
      <c r="Q14" s="10" t="s">
        <v>1562</v>
      </c>
      <c r="R14" s="10">
        <v>80</v>
      </c>
      <c r="S14" s="12">
        <v>1</v>
      </c>
      <c r="T14" s="13">
        <v>50337</v>
      </c>
      <c r="U14" s="14">
        <v>5285.3850000000002</v>
      </c>
      <c r="V14" s="10">
        <v>4.6399999999999997</v>
      </c>
      <c r="W14" s="15">
        <v>233563.68</v>
      </c>
      <c r="X14" s="29">
        <f>VLOOKUP($F14,Agendamento!$B:$J,9,0)</f>
        <v>46092</v>
      </c>
      <c r="Y14" s="6">
        <f>COUNTIF(Analise!F:F,'Obras e Acervos'!H14)</f>
        <v>1</v>
      </c>
    </row>
    <row r="15" spans="1:25" ht="15" customHeight="1" x14ac:dyDescent="0.25">
      <c r="A15" s="10" t="str">
        <f>CONCATENATE(LEFT(C15,12),"-",RIGHT(C15,2),"_",TEXT(X15,"ddmmaaaa"),"_",COUNTIF($C$2:C15,C15))</f>
        <v>132061660001-00_25022026_1</v>
      </c>
      <c r="B15" s="10" t="str">
        <f>CONCATENATE(LEFT(C15,12),"-",RIGHT(C15,2),"_",COUNTIF($C$2:C15,C15))</f>
        <v>132061660001-00_1</v>
      </c>
      <c r="C15" s="10" t="s">
        <v>1613</v>
      </c>
      <c r="D15" s="10" t="s">
        <v>5897</v>
      </c>
      <c r="E15" s="10" t="s">
        <v>1555</v>
      </c>
      <c r="F15" s="10" t="s">
        <v>837</v>
      </c>
      <c r="G15" s="10" t="s">
        <v>1614</v>
      </c>
      <c r="H15" s="11" t="s">
        <v>1615</v>
      </c>
      <c r="I15" s="11" t="s">
        <v>1616</v>
      </c>
      <c r="J15" s="10" t="s">
        <v>1559</v>
      </c>
      <c r="K15" s="10" t="s">
        <v>1560</v>
      </c>
      <c r="L15" s="10" t="s">
        <v>1561</v>
      </c>
      <c r="M15" s="10" t="s">
        <v>837</v>
      </c>
      <c r="N15" s="10">
        <v>24</v>
      </c>
      <c r="O15" s="11">
        <v>82</v>
      </c>
      <c r="P15" s="11">
        <v>8.2000000000000003E-2</v>
      </c>
      <c r="Q15" s="10" t="s">
        <v>1562</v>
      </c>
      <c r="R15" s="10">
        <v>80</v>
      </c>
      <c r="S15" s="12">
        <v>1</v>
      </c>
      <c r="T15" s="13">
        <v>52049</v>
      </c>
      <c r="U15" s="14">
        <v>4268.018</v>
      </c>
      <c r="V15" s="10">
        <v>3.89</v>
      </c>
      <c r="W15" s="15">
        <v>202470.61000000002</v>
      </c>
      <c r="X15" s="29">
        <f>VLOOKUP($F15,Agendamento!$B:$J,9,0)</f>
        <v>46078</v>
      </c>
      <c r="Y15" s="6">
        <f>COUNTIF(Analise!F:F,'Obras e Acervos'!H15)</f>
        <v>1</v>
      </c>
    </row>
    <row r="16" spans="1:25" ht="15" customHeight="1" x14ac:dyDescent="0.25">
      <c r="A16" s="10" t="str">
        <f>CONCATENATE(LEFT(C16,12),"-",RIGHT(C16,2),"_",TEXT(X16,"ddmmaaaa"),"_",COUNTIF($C$2:C16,C16))</f>
        <v>051369630001-30_10022026_1</v>
      </c>
      <c r="B16" s="10" t="str">
        <f>CONCATENATE(LEFT(C16,12),"-",RIGHT(C16,2),"_",COUNTIF($C$2:C16,C16))</f>
        <v>051369630001-30_1</v>
      </c>
      <c r="C16" s="10" t="s">
        <v>1617</v>
      </c>
      <c r="D16" s="10" t="s">
        <v>246</v>
      </c>
      <c r="E16" s="10" t="s">
        <v>1555</v>
      </c>
      <c r="F16" s="10" t="s">
        <v>248</v>
      </c>
      <c r="G16" s="10" t="s">
        <v>1618</v>
      </c>
      <c r="H16" s="11" t="s">
        <v>1619</v>
      </c>
      <c r="I16" s="11" t="s">
        <v>1620</v>
      </c>
      <c r="J16" s="10" t="s">
        <v>1559</v>
      </c>
      <c r="K16" s="10" t="s">
        <v>1560</v>
      </c>
      <c r="L16" s="10" t="s">
        <v>1561</v>
      </c>
      <c r="M16" s="10" t="s">
        <v>248</v>
      </c>
      <c r="N16" s="10">
        <v>32</v>
      </c>
      <c r="O16" s="11">
        <v>103</v>
      </c>
      <c r="P16" s="11">
        <v>0.10299999999999999</v>
      </c>
      <c r="Q16" s="10" t="s">
        <v>1562</v>
      </c>
      <c r="R16" s="10">
        <v>80</v>
      </c>
      <c r="S16" s="12">
        <v>1</v>
      </c>
      <c r="T16" s="13">
        <v>58488</v>
      </c>
      <c r="U16" s="14">
        <v>6024.2639999999992</v>
      </c>
      <c r="V16" s="10">
        <v>4.54</v>
      </c>
      <c r="W16" s="15">
        <v>265535.52</v>
      </c>
      <c r="X16" s="29">
        <f>VLOOKUP($F16,Agendamento!$B:$J,9,0)</f>
        <v>46063</v>
      </c>
      <c r="Y16" s="6">
        <f>COUNTIF(Analise!F:F,'Obras e Acervos'!H16)</f>
        <v>1</v>
      </c>
    </row>
    <row r="17" spans="1:25" ht="15" customHeight="1" x14ac:dyDescent="0.25">
      <c r="A17" s="10" t="str">
        <f>CONCATENATE(LEFT(C17,12),"-",RIGHT(C17,2),"_",TEXT(X17,"ddmmaaaa"),"_",COUNTIF($C$2:C17,C17))</f>
        <v>334512790001-89_24022026_1</v>
      </c>
      <c r="B17" s="10" t="str">
        <f>CONCATENATE(LEFT(C17,12),"-",RIGHT(C17,2),"_",COUNTIF($C$2:C17,C17))</f>
        <v>334512790001-89_1</v>
      </c>
      <c r="C17" s="10" t="s">
        <v>1621</v>
      </c>
      <c r="D17" s="10" t="s">
        <v>5898</v>
      </c>
      <c r="E17" s="10" t="s">
        <v>1555</v>
      </c>
      <c r="F17" s="10" t="s">
        <v>827</v>
      </c>
      <c r="G17" s="10" t="s">
        <v>1622</v>
      </c>
      <c r="H17" s="11" t="s">
        <v>1623</v>
      </c>
      <c r="I17" s="11" t="s">
        <v>1624</v>
      </c>
      <c r="J17" s="10" t="s">
        <v>1559</v>
      </c>
      <c r="K17" s="10" t="s">
        <v>1560</v>
      </c>
      <c r="L17" s="10" t="s">
        <v>1561</v>
      </c>
      <c r="M17" s="10" t="s">
        <v>827</v>
      </c>
      <c r="N17" s="10">
        <v>32</v>
      </c>
      <c r="O17" s="11">
        <v>100</v>
      </c>
      <c r="P17" s="11">
        <v>0.1</v>
      </c>
      <c r="Q17" s="10" t="s">
        <v>1562</v>
      </c>
      <c r="R17" s="10">
        <v>80</v>
      </c>
      <c r="S17" s="12">
        <v>1</v>
      </c>
      <c r="T17" s="13">
        <v>54655</v>
      </c>
      <c r="U17" s="14">
        <v>5465.5</v>
      </c>
      <c r="V17" s="10">
        <v>4.58</v>
      </c>
      <c r="W17" s="15">
        <v>250319.9</v>
      </c>
      <c r="X17" s="29">
        <f>VLOOKUP($F17,Agendamento!$B:$J,9,0)</f>
        <v>46077</v>
      </c>
      <c r="Y17" s="6">
        <f>COUNTIF(Analise!F:F,'Obras e Acervos'!H17)</f>
        <v>1</v>
      </c>
    </row>
    <row r="18" spans="1:25" ht="15" customHeight="1" x14ac:dyDescent="0.25">
      <c r="A18" s="10" t="str">
        <f>CONCATENATE(LEFT(C18,12),"-",RIGHT(C18,2),"_",TEXT(X18,"ddmmaaaa"),"_",COUNTIF($C$2:C18,C18))</f>
        <v>864618520001-00_16022026_1</v>
      </c>
      <c r="B18" s="10" t="str">
        <f>CONCATENATE(LEFT(C18,12),"-",RIGHT(C18,2),"_",COUNTIF($C$2:C18,C18))</f>
        <v>864618520001-00_1</v>
      </c>
      <c r="C18" s="10" t="s">
        <v>1625</v>
      </c>
      <c r="D18" s="10" t="s">
        <v>527</v>
      </c>
      <c r="E18" s="10" t="s">
        <v>1555</v>
      </c>
      <c r="F18" s="10" t="s">
        <v>530</v>
      </c>
      <c r="G18" s="10" t="s">
        <v>1626</v>
      </c>
      <c r="H18" s="11" t="s">
        <v>1627</v>
      </c>
      <c r="I18" s="11" t="s">
        <v>1628</v>
      </c>
      <c r="J18" s="10" t="s">
        <v>1559</v>
      </c>
      <c r="K18" s="10" t="s">
        <v>1560</v>
      </c>
      <c r="L18" s="10" t="s">
        <v>1561</v>
      </c>
      <c r="M18" s="10" t="s">
        <v>1629</v>
      </c>
      <c r="N18" s="10">
        <v>80</v>
      </c>
      <c r="O18" s="11">
        <v>209</v>
      </c>
      <c r="P18" s="11">
        <v>0.20899999999999999</v>
      </c>
      <c r="Q18" s="10" t="s">
        <v>1562</v>
      </c>
      <c r="R18" s="10">
        <v>80</v>
      </c>
      <c r="S18" s="12">
        <v>1</v>
      </c>
      <c r="T18" s="13">
        <v>50307</v>
      </c>
      <c r="U18" s="14">
        <v>10514.163</v>
      </c>
      <c r="V18" s="10">
        <v>9.01</v>
      </c>
      <c r="W18" s="15">
        <v>453266.07</v>
      </c>
      <c r="X18" s="29">
        <f>VLOOKUP($F18,Agendamento!$B:$J,9,0)</f>
        <v>46069</v>
      </c>
      <c r="Y18" s="6">
        <f>COUNTIF(Analise!F:F,'Obras e Acervos'!H18)</f>
        <v>1</v>
      </c>
    </row>
    <row r="19" spans="1:25" ht="15" customHeight="1" x14ac:dyDescent="0.25">
      <c r="A19" s="10" t="str">
        <f>CONCATENATE(LEFT(C19,12),"-",RIGHT(C19,2),"_",TEXT(X19,"ddmmaaaa"),"_",COUNTIF($C$2:C19,C19))</f>
        <v>071150470001-40_24022026_1</v>
      </c>
      <c r="B19" s="10" t="str">
        <f>CONCATENATE(LEFT(C19,12),"-",RIGHT(C19,2),"_",COUNTIF($C$2:C19,C19))</f>
        <v>071150470001-40_1</v>
      </c>
      <c r="C19" s="10" t="s">
        <v>1630</v>
      </c>
      <c r="D19" s="10" t="s">
        <v>5899</v>
      </c>
      <c r="E19" s="10" t="s">
        <v>1555</v>
      </c>
      <c r="F19" s="10" t="s">
        <v>836</v>
      </c>
      <c r="G19" s="10" t="s">
        <v>1631</v>
      </c>
      <c r="H19" s="11" t="s">
        <v>1632</v>
      </c>
      <c r="I19" s="11" t="s">
        <v>1633</v>
      </c>
      <c r="J19" s="10" t="s">
        <v>1559</v>
      </c>
      <c r="K19" s="10" t="s">
        <v>1560</v>
      </c>
      <c r="L19" s="10" t="s">
        <v>1561</v>
      </c>
      <c r="M19" s="10" t="s">
        <v>836</v>
      </c>
      <c r="N19" s="10">
        <v>40</v>
      </c>
      <c r="O19" s="11">
        <v>125</v>
      </c>
      <c r="P19" s="11">
        <v>0.125</v>
      </c>
      <c r="Q19" s="10" t="s">
        <v>1562</v>
      </c>
      <c r="R19" s="10">
        <v>80</v>
      </c>
      <c r="S19" s="12">
        <v>1</v>
      </c>
      <c r="T19" s="13">
        <v>53534</v>
      </c>
      <c r="U19" s="14">
        <v>6691.75</v>
      </c>
      <c r="V19" s="10">
        <v>5.33</v>
      </c>
      <c r="W19" s="15">
        <v>285336.22000000003</v>
      </c>
      <c r="X19" s="29">
        <f>VLOOKUP($F19,Agendamento!$B:$J,9,0)</f>
        <v>46077</v>
      </c>
      <c r="Y19" s="6">
        <f>COUNTIF(Analise!F:F,'Obras e Acervos'!H19)</f>
        <v>1</v>
      </c>
    </row>
    <row r="20" spans="1:25" ht="15" customHeight="1" x14ac:dyDescent="0.25">
      <c r="A20" s="10" t="str">
        <f>CONCATENATE(LEFT(C20,12),"-",RIGHT(C20,2),"_",TEXT(X20,"ddmmaaaa"),"_",COUNTIF($C$2:C20,C20))</f>
        <v>401506850001-77_26012026_1</v>
      </c>
      <c r="B20" s="10" t="str">
        <f>CONCATENATE(LEFT(C20,12),"-",RIGHT(C20,2),"_",COUNTIF($C$2:C20,C20))</f>
        <v>401506850001-77_1</v>
      </c>
      <c r="C20" s="16" t="s">
        <v>1634</v>
      </c>
      <c r="D20" s="16" t="s">
        <v>5900</v>
      </c>
      <c r="E20" s="16" t="s">
        <v>1574</v>
      </c>
      <c r="F20" s="16" t="s">
        <v>34</v>
      </c>
      <c r="G20" s="16" t="s">
        <v>1635</v>
      </c>
      <c r="H20" s="16" t="s">
        <v>1636</v>
      </c>
      <c r="I20" s="16" t="s">
        <v>1637</v>
      </c>
      <c r="J20" s="16" t="s">
        <v>1559</v>
      </c>
      <c r="K20" s="16" t="s">
        <v>1560</v>
      </c>
      <c r="L20" s="16" t="s">
        <v>1578</v>
      </c>
      <c r="M20" s="10" t="s">
        <v>34</v>
      </c>
      <c r="N20" s="16">
        <v>32</v>
      </c>
      <c r="O20" s="16">
        <v>96</v>
      </c>
      <c r="P20" s="16">
        <v>9.6000000000000002E-2</v>
      </c>
      <c r="Q20" s="16" t="s">
        <v>1562</v>
      </c>
      <c r="R20" s="16">
        <v>75</v>
      </c>
      <c r="S20" s="17">
        <v>20</v>
      </c>
      <c r="T20" s="18">
        <v>63210</v>
      </c>
      <c r="U20" s="19">
        <v>6068.16</v>
      </c>
      <c r="V20" s="16">
        <v>6.34</v>
      </c>
      <c r="W20" s="20">
        <v>405202.08</v>
      </c>
      <c r="X20" s="29">
        <f>VLOOKUP($F20,Agendamento!$B:$J,9,0)</f>
        <v>46048</v>
      </c>
      <c r="Y20" s="6">
        <f>COUNTIF(Analise!F:F,'Obras e Acervos'!H20)</f>
        <v>1</v>
      </c>
    </row>
    <row r="21" spans="1:25" ht="15" customHeight="1" x14ac:dyDescent="0.25">
      <c r="A21" s="10" t="str">
        <f>CONCATENATE(LEFT(C21,12),"-",RIGHT(C21,2),"_",TEXT(X21,"ddmmaaaa"),"_",COUNTIF($C$2:C21,C21))</f>
        <v>436793700001-00_16032026_1</v>
      </c>
      <c r="B21" s="10" t="str">
        <f>CONCATENATE(LEFT(C21,12),"-",RIGHT(C21,2),"_",COUNTIF($C$2:C21,C21))</f>
        <v>436793700001-00_1</v>
      </c>
      <c r="C21" s="10" t="s">
        <v>1638</v>
      </c>
      <c r="D21" s="10" t="s">
        <v>5901</v>
      </c>
      <c r="E21" s="10" t="s">
        <v>1555</v>
      </c>
      <c r="F21" s="10" t="s">
        <v>1494</v>
      </c>
      <c r="G21" s="10" t="s">
        <v>1639</v>
      </c>
      <c r="H21" s="11" t="s">
        <v>1640</v>
      </c>
      <c r="I21" s="11" t="s">
        <v>1641</v>
      </c>
      <c r="J21" s="10" t="s">
        <v>1559</v>
      </c>
      <c r="K21" s="10" t="s">
        <v>1560</v>
      </c>
      <c r="L21" s="10" t="s">
        <v>1561</v>
      </c>
      <c r="M21" s="10" t="s">
        <v>1494</v>
      </c>
      <c r="N21" s="10">
        <v>64</v>
      </c>
      <c r="O21" s="11">
        <v>181</v>
      </c>
      <c r="P21" s="11">
        <v>0.18099999999999999</v>
      </c>
      <c r="Q21" s="10" t="s">
        <v>1562</v>
      </c>
      <c r="R21" s="10">
        <v>80</v>
      </c>
      <c r="S21" s="12">
        <v>1</v>
      </c>
      <c r="T21" s="13">
        <v>61336</v>
      </c>
      <c r="U21" s="14">
        <v>11101.815999999999</v>
      </c>
      <c r="V21" s="10">
        <v>7.44</v>
      </c>
      <c r="W21" s="15">
        <v>456339.84</v>
      </c>
      <c r="X21" s="29">
        <f>VLOOKUP($F21,Agendamento!$B:$J,9,0)</f>
        <v>46097</v>
      </c>
      <c r="Y21" s="6">
        <f>COUNTIF(Analise!F:F,'Obras e Acervos'!H21)</f>
        <v>1</v>
      </c>
    </row>
    <row r="22" spans="1:25" ht="15" customHeight="1" x14ac:dyDescent="0.25">
      <c r="A22" s="10" t="str">
        <f>CONCATENATE(LEFT(C22,12),"-",RIGHT(C22,2),"_",TEXT(X22,"ddmmaaaa"),"_",COUNTIF($C$2:C22,C22))</f>
        <v>174639630001-24_12022026_1</v>
      </c>
      <c r="B22" s="10" t="str">
        <f>CONCATENATE(LEFT(C22,12),"-",RIGHT(C22,2),"_",COUNTIF($C$2:C22,C22))</f>
        <v>174639630001-24_1</v>
      </c>
      <c r="C22" s="10" t="s">
        <v>1642</v>
      </c>
      <c r="D22" s="10" t="s">
        <v>5902</v>
      </c>
      <c r="E22" s="10" t="s">
        <v>1555</v>
      </c>
      <c r="F22" s="10" t="s">
        <v>403</v>
      </c>
      <c r="G22" s="10" t="s">
        <v>1643</v>
      </c>
      <c r="H22" s="11" t="s">
        <v>1644</v>
      </c>
      <c r="I22" s="11" t="s">
        <v>1645</v>
      </c>
      <c r="J22" s="10" t="s">
        <v>1559</v>
      </c>
      <c r="K22" s="10" t="s">
        <v>1560</v>
      </c>
      <c r="L22" s="10" t="s">
        <v>1561</v>
      </c>
      <c r="M22" s="10" t="s">
        <v>403</v>
      </c>
      <c r="N22" s="10">
        <v>48</v>
      </c>
      <c r="O22" s="11">
        <v>126</v>
      </c>
      <c r="P22" s="11">
        <v>0.126</v>
      </c>
      <c r="Q22" s="10" t="s">
        <v>1562</v>
      </c>
      <c r="R22" s="10">
        <v>75</v>
      </c>
      <c r="S22" s="12">
        <v>1</v>
      </c>
      <c r="T22" s="13">
        <v>57897</v>
      </c>
      <c r="U22" s="14">
        <v>7295.0219999999999</v>
      </c>
      <c r="V22" s="10">
        <v>5.88</v>
      </c>
      <c r="W22" s="15">
        <v>340434.36</v>
      </c>
      <c r="X22" s="29">
        <f>VLOOKUP($F22,Agendamento!$B:$J,9,0)</f>
        <v>46065</v>
      </c>
      <c r="Y22" s="6">
        <f>COUNTIF(Analise!F:F,'Obras e Acervos'!H22)</f>
        <v>1</v>
      </c>
    </row>
    <row r="23" spans="1:25" ht="15" customHeight="1" x14ac:dyDescent="0.25">
      <c r="A23" s="10" t="str">
        <f>CONCATENATE(LEFT(C23,12),"-",RIGHT(C23,2),"_",TEXT(X23,"ddmmaaaa"),"_",COUNTIF($C$2:C23,C23))</f>
        <v>094707630001-70_27022026_1</v>
      </c>
      <c r="B23" s="10" t="str">
        <f>CONCATENATE(LEFT(C23,12),"-",RIGHT(C23,2),"_",COUNTIF($C$2:C23,C23))</f>
        <v>094707630001-70_1</v>
      </c>
      <c r="C23" s="10" t="s">
        <v>1646</v>
      </c>
      <c r="D23" s="10" t="s">
        <v>5903</v>
      </c>
      <c r="E23" s="10" t="s">
        <v>1555</v>
      </c>
      <c r="F23" s="10" t="s">
        <v>952</v>
      </c>
      <c r="G23" s="10" t="s">
        <v>1647</v>
      </c>
      <c r="H23" s="11" t="s">
        <v>1648</v>
      </c>
      <c r="I23" s="11" t="s">
        <v>1649</v>
      </c>
      <c r="J23" s="10" t="s">
        <v>1559</v>
      </c>
      <c r="K23" s="10" t="s">
        <v>1560</v>
      </c>
      <c r="L23" s="10" t="s">
        <v>1561</v>
      </c>
      <c r="M23" s="10" t="s">
        <v>952</v>
      </c>
      <c r="N23" s="10">
        <v>40</v>
      </c>
      <c r="O23" s="11">
        <v>100</v>
      </c>
      <c r="P23" s="11">
        <v>0.1</v>
      </c>
      <c r="Q23" s="10" t="s">
        <v>1608</v>
      </c>
      <c r="R23" s="10">
        <v>80</v>
      </c>
      <c r="S23" s="12">
        <v>1</v>
      </c>
      <c r="T23" s="13">
        <v>49353</v>
      </c>
      <c r="U23" s="14">
        <v>4935.3</v>
      </c>
      <c r="V23" s="10">
        <v>4.41</v>
      </c>
      <c r="W23" s="15">
        <v>217646.73</v>
      </c>
      <c r="X23" s="29">
        <f>VLOOKUP($F23,Agendamento!$B:$J,9,0)</f>
        <v>46080</v>
      </c>
      <c r="Y23" s="6">
        <f>COUNTIF(Analise!F:F,'Obras e Acervos'!H23)</f>
        <v>1</v>
      </c>
    </row>
    <row r="24" spans="1:25" ht="15" customHeight="1" x14ac:dyDescent="0.25">
      <c r="A24" s="10" t="str">
        <f>CONCATENATE(LEFT(C24,12),"-",RIGHT(C24,2),"_",TEXT(X24,"ddmmaaaa"),"_",COUNTIF($C$2:C24,C24))</f>
        <v>192410260001-50_10032026_1</v>
      </c>
      <c r="B24" s="10" t="str">
        <f>CONCATENATE(LEFT(C24,12),"-",RIGHT(C24,2),"_",COUNTIF($C$2:C24,C24))</f>
        <v>192410260001-50_1</v>
      </c>
      <c r="C24" s="10" t="s">
        <v>1650</v>
      </c>
      <c r="D24" s="10" t="s">
        <v>5904</v>
      </c>
      <c r="E24" s="10" t="s">
        <v>1555</v>
      </c>
      <c r="F24" s="10" t="s">
        <v>1355</v>
      </c>
      <c r="G24" s="10" t="s">
        <v>1651</v>
      </c>
      <c r="H24" s="11" t="s">
        <v>1652</v>
      </c>
      <c r="I24" s="11" t="s">
        <v>1653</v>
      </c>
      <c r="J24" s="10" t="s">
        <v>1559</v>
      </c>
      <c r="K24" s="10" t="s">
        <v>1560</v>
      </c>
      <c r="L24" s="10" t="s">
        <v>1561</v>
      </c>
      <c r="M24" s="10" t="s">
        <v>6173</v>
      </c>
      <c r="N24" s="10">
        <v>64</v>
      </c>
      <c r="O24" s="11">
        <v>173</v>
      </c>
      <c r="P24" s="11">
        <v>0.17299999999999999</v>
      </c>
      <c r="Q24" s="10" t="s">
        <v>1562</v>
      </c>
      <c r="R24" s="10">
        <v>80</v>
      </c>
      <c r="S24" s="12">
        <v>1</v>
      </c>
      <c r="T24" s="13">
        <v>48444</v>
      </c>
      <c r="U24" s="14">
        <v>8380.8119999999999</v>
      </c>
      <c r="V24" s="10">
        <v>7.71</v>
      </c>
      <c r="W24" s="15">
        <v>373503.24</v>
      </c>
      <c r="X24" s="29">
        <f>VLOOKUP($F24,Agendamento!$B:$J,9,0)</f>
        <v>46091</v>
      </c>
      <c r="Y24" s="6">
        <f>COUNTIF(Analise!F:F,'Obras e Acervos'!H24)</f>
        <v>1</v>
      </c>
    </row>
    <row r="25" spans="1:25" ht="15" customHeight="1" x14ac:dyDescent="0.25">
      <c r="A25" s="10" t="str">
        <f>CONCATENATE(LEFT(C25,12),"-",RIGHT(C25,2),"_",TEXT(X25,"ddmmaaaa"),"_",COUNTIF($C$2:C25,C25))</f>
        <v>537814230001-52_30012026_1</v>
      </c>
      <c r="B25" s="10" t="str">
        <f>CONCATENATE(LEFT(C25,12),"-",RIGHT(C25,2),"_",COUNTIF($C$2:C25,C25))</f>
        <v>537814230001-52_1</v>
      </c>
      <c r="C25" s="10" t="s">
        <v>1654</v>
      </c>
      <c r="D25" s="10" t="s">
        <v>5905</v>
      </c>
      <c r="E25" s="10" t="s">
        <v>1555</v>
      </c>
      <c r="F25" s="10" t="s">
        <v>108</v>
      </c>
      <c r="G25" s="10" t="s">
        <v>1655</v>
      </c>
      <c r="H25" s="11" t="s">
        <v>1656</v>
      </c>
      <c r="I25" s="11" t="s">
        <v>1657</v>
      </c>
      <c r="J25" s="10" t="s">
        <v>1559</v>
      </c>
      <c r="K25" s="10" t="s">
        <v>1560</v>
      </c>
      <c r="L25" s="10" t="s">
        <v>1561</v>
      </c>
      <c r="M25" s="10" t="s">
        <v>108</v>
      </c>
      <c r="N25" s="10">
        <v>40</v>
      </c>
      <c r="O25" s="11">
        <v>185</v>
      </c>
      <c r="P25" s="11">
        <v>0.185</v>
      </c>
      <c r="Q25" s="10" t="s">
        <v>1599</v>
      </c>
      <c r="R25" s="10">
        <v>80</v>
      </c>
      <c r="S25" s="12">
        <v>1</v>
      </c>
      <c r="T25" s="13">
        <v>53413</v>
      </c>
      <c r="U25" s="14">
        <v>9881.4050000000007</v>
      </c>
      <c r="V25" s="10">
        <v>5.33</v>
      </c>
      <c r="W25" s="15">
        <v>284691.28999999998</v>
      </c>
      <c r="X25" s="29">
        <f>VLOOKUP($F25,Agendamento!$B:$J,9,0)</f>
        <v>46052</v>
      </c>
      <c r="Y25" s="6">
        <f>COUNTIF(Analise!F:F,'Obras e Acervos'!H25)</f>
        <v>1</v>
      </c>
    </row>
    <row r="26" spans="1:25" ht="15" customHeight="1" x14ac:dyDescent="0.25">
      <c r="A26" s="10" t="str">
        <f>CONCATENATE(LEFT(C26,12),"-",RIGHT(C26,2),"_",TEXT(X26,"ddmmaaaa"),"_",COUNTIF($C$2:C26,C26))</f>
        <v>610974320001-57_12022026_1</v>
      </c>
      <c r="B26" s="10" t="str">
        <f>CONCATENATE(LEFT(C26,12),"-",RIGHT(C26,2),"_",COUNTIF($C$2:C26,C26))</f>
        <v>610974320001-57_1</v>
      </c>
      <c r="C26" s="10" t="s">
        <v>1658</v>
      </c>
      <c r="D26" s="10" t="s">
        <v>5906</v>
      </c>
      <c r="E26" s="10" t="s">
        <v>1555</v>
      </c>
      <c r="F26" s="10" t="s">
        <v>346</v>
      </c>
      <c r="G26" s="10" t="s">
        <v>1659</v>
      </c>
      <c r="H26" s="11" t="s">
        <v>1660</v>
      </c>
      <c r="I26" s="11" t="s">
        <v>1661</v>
      </c>
      <c r="J26" s="10" t="s">
        <v>1559</v>
      </c>
      <c r="K26" s="10" t="s">
        <v>1560</v>
      </c>
      <c r="L26" s="10" t="s">
        <v>1561</v>
      </c>
      <c r="M26" s="10" t="s">
        <v>346</v>
      </c>
      <c r="N26" s="10">
        <v>56</v>
      </c>
      <c r="O26" s="11">
        <v>154</v>
      </c>
      <c r="P26" s="11">
        <v>0.154</v>
      </c>
      <c r="Q26" s="10" t="s">
        <v>1599</v>
      </c>
      <c r="R26" s="10">
        <v>80</v>
      </c>
      <c r="S26" s="12">
        <v>1</v>
      </c>
      <c r="T26" s="13">
        <v>131344</v>
      </c>
      <c r="U26" s="14">
        <v>20226.975999999999</v>
      </c>
      <c r="V26" s="10">
        <v>4.07</v>
      </c>
      <c r="W26" s="15">
        <v>534570.08000000007</v>
      </c>
      <c r="X26" s="29">
        <f>VLOOKUP($F26,Agendamento!$B:$J,9,0)</f>
        <v>46065</v>
      </c>
      <c r="Y26" s="6">
        <f>COUNTIF(Analise!F:F,'Obras e Acervos'!H26)</f>
        <v>1</v>
      </c>
    </row>
    <row r="27" spans="1:25" ht="15" customHeight="1" x14ac:dyDescent="0.25">
      <c r="A27" s="10" t="str">
        <f>CONCATENATE(LEFT(C27,12),"-",RIGHT(C27,2),"_",TEXT(X27,"ddmmaaaa"),"_",COUNTIF($C$2:C27,C27))</f>
        <v>436411330001-50_02032026_1</v>
      </c>
      <c r="B27" s="10" t="str">
        <f>CONCATENATE(LEFT(C27,12),"-",RIGHT(C27,2),"_",COUNTIF($C$2:C27,C27))</f>
        <v>436411330001-50_1</v>
      </c>
      <c r="C27" s="10" t="s">
        <v>1662</v>
      </c>
      <c r="D27" s="10" t="s">
        <v>1038</v>
      </c>
      <c r="E27" s="10" t="s">
        <v>1555</v>
      </c>
      <c r="F27" s="10" t="s">
        <v>1039</v>
      </c>
      <c r="G27" s="10" t="s">
        <v>1663</v>
      </c>
      <c r="H27" s="11" t="s">
        <v>1664</v>
      </c>
      <c r="I27" s="11" t="s">
        <v>1665</v>
      </c>
      <c r="J27" s="10" t="s">
        <v>1559</v>
      </c>
      <c r="K27" s="10" t="s">
        <v>1560</v>
      </c>
      <c r="L27" s="10" t="s">
        <v>1561</v>
      </c>
      <c r="M27" s="10" t="s">
        <v>6174</v>
      </c>
      <c r="N27" s="10">
        <v>52</v>
      </c>
      <c r="O27" s="11">
        <v>150</v>
      </c>
      <c r="P27" s="11">
        <v>0.15</v>
      </c>
      <c r="Q27" s="10" t="s">
        <v>1562</v>
      </c>
      <c r="R27" s="10">
        <v>80</v>
      </c>
      <c r="S27" s="12">
        <v>1</v>
      </c>
      <c r="T27" s="13">
        <v>53322</v>
      </c>
      <c r="U27" s="14">
        <v>7998.2999999999993</v>
      </c>
      <c r="V27" s="10">
        <v>6.43</v>
      </c>
      <c r="W27" s="15">
        <v>342860.45999999996</v>
      </c>
      <c r="X27" s="29">
        <f>VLOOKUP($F27,Agendamento!$B:$J,9,0)</f>
        <v>46083</v>
      </c>
      <c r="Y27" s="6">
        <f>COUNTIF(Analise!F:F,'Obras e Acervos'!H27)</f>
        <v>1</v>
      </c>
    </row>
    <row r="28" spans="1:25" ht="15" customHeight="1" x14ac:dyDescent="0.25">
      <c r="A28" s="10" t="str">
        <f>CONCATENATE(LEFT(C28,12),"-",RIGHT(C28,2),"_",TEXT(X28,"ddmmaaaa"),"_",COUNTIF($C$2:C28,C28))</f>
        <v>171921990001-08_02032026_1</v>
      </c>
      <c r="B28" s="10" t="str">
        <f>CONCATENATE(LEFT(C28,12),"-",RIGHT(C28,2),"_",COUNTIF($C$2:C28,C28))</f>
        <v>171921990001-08_1</v>
      </c>
      <c r="C28" s="10" t="s">
        <v>1666</v>
      </c>
      <c r="D28" s="10" t="s">
        <v>1040</v>
      </c>
      <c r="E28" s="10" t="s">
        <v>1555</v>
      </c>
      <c r="F28" s="10" t="s">
        <v>1041</v>
      </c>
      <c r="G28" s="10" t="s">
        <v>1667</v>
      </c>
      <c r="H28" s="11" t="s">
        <v>1668</v>
      </c>
      <c r="I28" s="11" t="s">
        <v>1669</v>
      </c>
      <c r="J28" s="10" t="s">
        <v>1559</v>
      </c>
      <c r="K28" s="10" t="s">
        <v>1560</v>
      </c>
      <c r="L28" s="10" t="s">
        <v>1561</v>
      </c>
      <c r="M28" s="10" t="s">
        <v>6175</v>
      </c>
      <c r="N28" s="10">
        <v>40</v>
      </c>
      <c r="O28" s="11">
        <v>150</v>
      </c>
      <c r="P28" s="11">
        <v>0.15</v>
      </c>
      <c r="Q28" s="10" t="s">
        <v>1562</v>
      </c>
      <c r="R28" s="10">
        <v>80</v>
      </c>
      <c r="S28" s="12">
        <v>1</v>
      </c>
      <c r="T28" s="13">
        <v>76153</v>
      </c>
      <c r="U28" s="14">
        <v>11422.949999999999</v>
      </c>
      <c r="V28" s="10">
        <v>4.8600000000000003</v>
      </c>
      <c r="W28" s="15">
        <v>370103.58</v>
      </c>
      <c r="X28" s="29">
        <f>VLOOKUP($F28,Agendamento!$B:$J,9,0)</f>
        <v>46083</v>
      </c>
      <c r="Y28" s="6">
        <f>COUNTIF(Analise!F:F,'Obras e Acervos'!H28)</f>
        <v>1</v>
      </c>
    </row>
    <row r="29" spans="1:25" ht="15" customHeight="1" x14ac:dyDescent="0.25">
      <c r="A29" s="10" t="str">
        <f>CONCATENATE(LEFT(C29,12),"-",RIGHT(C29,2),"_",TEXT(X29,"ddmmaaaa"),"_",COUNTIF($C$2:C29,C29))</f>
        <v>121827330001-73_12022026_1</v>
      </c>
      <c r="B29" s="10" t="str">
        <f>CONCATENATE(LEFT(C29,12),"-",RIGHT(C29,2),"_",COUNTIF($C$2:C29,C29))</f>
        <v>121827330001-73_1</v>
      </c>
      <c r="C29" s="10" t="s">
        <v>1670</v>
      </c>
      <c r="D29" s="10" t="s">
        <v>5907</v>
      </c>
      <c r="E29" s="10" t="s">
        <v>1555</v>
      </c>
      <c r="F29" s="10" t="s">
        <v>410</v>
      </c>
      <c r="G29" s="10" t="s">
        <v>1671</v>
      </c>
      <c r="H29" s="11" t="s">
        <v>1672</v>
      </c>
      <c r="I29" s="11" t="s">
        <v>1673</v>
      </c>
      <c r="J29" s="10" t="s">
        <v>1559</v>
      </c>
      <c r="K29" s="10" t="s">
        <v>1560</v>
      </c>
      <c r="L29" s="10" t="s">
        <v>1561</v>
      </c>
      <c r="M29" s="10" t="s">
        <v>6176</v>
      </c>
      <c r="N29" s="10">
        <v>24</v>
      </c>
      <c r="O29" s="11">
        <v>85</v>
      </c>
      <c r="P29" s="11">
        <v>8.5000000000000006E-2</v>
      </c>
      <c r="Q29" s="10" t="s">
        <v>1562</v>
      </c>
      <c r="R29" s="10">
        <v>80</v>
      </c>
      <c r="S29" s="12">
        <v>1</v>
      </c>
      <c r="T29" s="13">
        <v>63639</v>
      </c>
      <c r="U29" s="14">
        <v>5409.3150000000005</v>
      </c>
      <c r="V29" s="10">
        <v>3.58</v>
      </c>
      <c r="W29" s="15">
        <v>227827.62</v>
      </c>
      <c r="X29" s="29">
        <f>VLOOKUP($F29,Agendamento!$B:$J,9,0)</f>
        <v>46065</v>
      </c>
      <c r="Y29" s="6">
        <f>COUNTIF(Analise!F:F,'Obras e Acervos'!H29)</f>
        <v>1</v>
      </c>
    </row>
    <row r="30" spans="1:25" ht="15" customHeight="1" x14ac:dyDescent="0.25">
      <c r="A30" s="10" t="str">
        <f>CONCATENATE(LEFT(C30,12),"-",RIGHT(C30,2),"_",TEXT(X30,"ddmmaaaa"),"_",COUNTIF($C$2:C30,C30))</f>
        <v>040530930001-73_16022026_1</v>
      </c>
      <c r="B30" s="10" t="str">
        <f>CONCATENATE(LEFT(C30,12),"-",RIGHT(C30,2),"_",COUNTIF($C$2:C30,C30))</f>
        <v>040530930001-73_1</v>
      </c>
      <c r="C30" s="10" t="s">
        <v>1674</v>
      </c>
      <c r="D30" s="10" t="s">
        <v>5908</v>
      </c>
      <c r="E30" s="10" t="s">
        <v>1555</v>
      </c>
      <c r="F30" s="10" t="s">
        <v>520</v>
      </c>
      <c r="G30" s="10" t="s">
        <v>1675</v>
      </c>
      <c r="H30" s="11" t="s">
        <v>1676</v>
      </c>
      <c r="I30" s="11" t="s">
        <v>1677</v>
      </c>
      <c r="J30" s="10" t="s">
        <v>1559</v>
      </c>
      <c r="K30" s="10" t="s">
        <v>1560</v>
      </c>
      <c r="L30" s="10" t="s">
        <v>1561</v>
      </c>
      <c r="M30" s="10" t="s">
        <v>520</v>
      </c>
      <c r="N30" s="10">
        <v>36</v>
      </c>
      <c r="O30" s="11">
        <v>110</v>
      </c>
      <c r="P30" s="11">
        <v>0.11</v>
      </c>
      <c r="Q30" s="10" t="s">
        <v>1599</v>
      </c>
      <c r="R30" s="10">
        <v>80</v>
      </c>
      <c r="S30" s="12">
        <v>1</v>
      </c>
      <c r="T30" s="13">
        <v>55110</v>
      </c>
      <c r="U30" s="14">
        <v>6062.1</v>
      </c>
      <c r="V30" s="10">
        <v>4.9400000000000004</v>
      </c>
      <c r="W30" s="15">
        <v>272243.40000000002</v>
      </c>
      <c r="X30" s="29">
        <f>VLOOKUP($F30,Agendamento!$B:$J,9,0)</f>
        <v>46069</v>
      </c>
      <c r="Y30" s="6">
        <f>COUNTIF(Analise!F:F,'Obras e Acervos'!H30)</f>
        <v>1</v>
      </c>
    </row>
    <row r="31" spans="1:25" ht="15" customHeight="1" x14ac:dyDescent="0.25">
      <c r="A31" s="10" t="str">
        <f>CONCATENATE(LEFT(C31,12),"-",RIGHT(C31,2),"_",TEXT(X31,"ddmmaaaa"),"_",COUNTIF($C$2:C31,C31))</f>
        <v>253021220001-63_02032026_1</v>
      </c>
      <c r="B31" s="10" t="str">
        <f>CONCATENATE(LEFT(C31,12),"-",RIGHT(C31,2),"_",COUNTIF($C$2:C31,C31))</f>
        <v>253021220001-63_1</v>
      </c>
      <c r="C31" s="10" t="s">
        <v>1678</v>
      </c>
      <c r="D31" s="10" t="s">
        <v>5909</v>
      </c>
      <c r="E31" s="10" t="s">
        <v>1555</v>
      </c>
      <c r="F31" s="10" t="s">
        <v>1025</v>
      </c>
      <c r="G31" s="10" t="s">
        <v>1679</v>
      </c>
      <c r="H31" s="11" t="s">
        <v>1680</v>
      </c>
      <c r="I31" s="11" t="s">
        <v>1681</v>
      </c>
      <c r="J31" s="10" t="s">
        <v>1559</v>
      </c>
      <c r="K31" s="10" t="s">
        <v>1560</v>
      </c>
      <c r="L31" s="10" t="s">
        <v>1561</v>
      </c>
      <c r="M31" s="10" t="s">
        <v>1025</v>
      </c>
      <c r="N31" s="10">
        <v>24</v>
      </c>
      <c r="O31" s="11">
        <v>200</v>
      </c>
      <c r="P31" s="11">
        <v>0.2</v>
      </c>
      <c r="Q31" s="10" t="s">
        <v>1562</v>
      </c>
      <c r="R31" s="10">
        <v>80</v>
      </c>
      <c r="S31" s="12">
        <v>1</v>
      </c>
      <c r="T31" s="13">
        <v>165341</v>
      </c>
      <c r="U31" s="14">
        <v>33068.200000000004</v>
      </c>
      <c r="V31" s="10">
        <v>3.04</v>
      </c>
      <c r="W31" s="15">
        <v>502636.64</v>
      </c>
      <c r="X31" s="29">
        <f>VLOOKUP($F31,Agendamento!$B:$J,9,0)</f>
        <v>46083</v>
      </c>
      <c r="Y31" s="6">
        <f>COUNTIF(Analise!F:F,'Obras e Acervos'!H31)</f>
        <v>1</v>
      </c>
    </row>
    <row r="32" spans="1:25" ht="15" customHeight="1" x14ac:dyDescent="0.25">
      <c r="A32" s="10" t="str">
        <f>CONCATENATE(LEFT(C32,12),"-",RIGHT(C32,2),"_",TEXT(X32,"ddmmaaaa"),"_",COUNTIF($C$2:C32,C32))</f>
        <v>141602310001-77_11022026_1</v>
      </c>
      <c r="B32" s="10" t="str">
        <f>CONCATENATE(LEFT(C32,12),"-",RIGHT(C32,2),"_",COUNTIF($C$2:C32,C32))</f>
        <v>141602310001-77_1</v>
      </c>
      <c r="C32" s="10" t="s">
        <v>1682</v>
      </c>
      <c r="D32" s="10" t="s">
        <v>302</v>
      </c>
      <c r="E32" s="10" t="s">
        <v>1555</v>
      </c>
      <c r="F32" s="10" t="s">
        <v>303</v>
      </c>
      <c r="G32" s="10" t="s">
        <v>1683</v>
      </c>
      <c r="H32" s="11" t="s">
        <v>1684</v>
      </c>
      <c r="I32" s="11" t="s">
        <v>1685</v>
      </c>
      <c r="J32" s="10" t="s">
        <v>1559</v>
      </c>
      <c r="K32" s="10" t="s">
        <v>1560</v>
      </c>
      <c r="L32" s="10" t="s">
        <v>1561</v>
      </c>
      <c r="M32" s="10" t="s">
        <v>303</v>
      </c>
      <c r="N32" s="10">
        <v>36</v>
      </c>
      <c r="O32" s="11">
        <v>140</v>
      </c>
      <c r="P32" s="11">
        <v>0.14000000000000001</v>
      </c>
      <c r="Q32" s="10" t="s">
        <v>1562</v>
      </c>
      <c r="R32" s="10">
        <v>80</v>
      </c>
      <c r="S32" s="12">
        <v>1</v>
      </c>
      <c r="T32" s="13">
        <v>66396</v>
      </c>
      <c r="U32" s="14">
        <v>9295.44</v>
      </c>
      <c r="V32" s="10">
        <v>4.58</v>
      </c>
      <c r="W32" s="15">
        <v>304093.68</v>
      </c>
      <c r="X32" s="29">
        <f>VLOOKUP($F32,Agendamento!$B:$J,9,0)</f>
        <v>46064</v>
      </c>
      <c r="Y32" s="6">
        <f>COUNTIF(Analise!F:F,'Obras e Acervos'!H32)</f>
        <v>1</v>
      </c>
    </row>
    <row r="33" spans="1:25" ht="15" customHeight="1" x14ac:dyDescent="0.25">
      <c r="A33" s="10" t="str">
        <f>CONCATENATE(LEFT(C33,12),"-",RIGHT(C33,2),"_",TEXT(X33,"ddmmaaaa"),"_",COUNTIF($C$2:C33,C33))</f>
        <v>195105640001-00_13022026_1</v>
      </c>
      <c r="B33" s="10" t="str">
        <f>CONCATENATE(LEFT(C33,12),"-",RIGHT(C33,2),"_",COUNTIF($C$2:C33,C33))</f>
        <v>195105640001-00_1</v>
      </c>
      <c r="C33" s="10" t="s">
        <v>1686</v>
      </c>
      <c r="D33" s="10" t="s">
        <v>5910</v>
      </c>
      <c r="E33" s="10" t="s">
        <v>1555</v>
      </c>
      <c r="F33" s="10" t="s">
        <v>493</v>
      </c>
      <c r="G33" s="10" t="s">
        <v>1687</v>
      </c>
      <c r="H33" s="11" t="s">
        <v>1688</v>
      </c>
      <c r="I33" s="11" t="s">
        <v>1689</v>
      </c>
      <c r="J33" s="10" t="s">
        <v>1559</v>
      </c>
      <c r="K33" s="10" t="s">
        <v>1560</v>
      </c>
      <c r="L33" s="10" t="s">
        <v>1561</v>
      </c>
      <c r="M33" s="10" t="s">
        <v>493</v>
      </c>
      <c r="N33" s="10">
        <v>48</v>
      </c>
      <c r="O33" s="11">
        <v>150</v>
      </c>
      <c r="P33" s="11">
        <v>0.15</v>
      </c>
      <c r="Q33" s="10" t="s">
        <v>1562</v>
      </c>
      <c r="R33" s="10">
        <v>80</v>
      </c>
      <c r="S33" s="12">
        <v>1</v>
      </c>
      <c r="T33" s="13">
        <v>54246</v>
      </c>
      <c r="U33" s="14">
        <v>8136.9</v>
      </c>
      <c r="V33" s="10">
        <v>6.06</v>
      </c>
      <c r="W33" s="15">
        <v>328730.75999999995</v>
      </c>
      <c r="X33" s="29">
        <f>VLOOKUP($F33,Agendamento!$B:$J,9,0)</f>
        <v>46066</v>
      </c>
      <c r="Y33" s="6">
        <f>COUNTIF(Analise!F:F,'Obras e Acervos'!H33)</f>
        <v>1</v>
      </c>
    </row>
    <row r="34" spans="1:25" ht="15" customHeight="1" x14ac:dyDescent="0.25">
      <c r="A34" s="10" t="str">
        <f>CONCATENATE(LEFT(C34,12),"-",RIGHT(C34,2),"_",TEXT(X34,"ddmmaaaa"),"_",COUNTIF($C$2:C34,C34))</f>
        <v>043815860001-32_18022026_1</v>
      </c>
      <c r="B34" s="10" t="str">
        <f>CONCATENATE(LEFT(C34,12),"-",RIGHT(C34,2),"_",COUNTIF($C$2:C34,C34))</f>
        <v>043815860001-32_1</v>
      </c>
      <c r="C34" s="10" t="s">
        <v>1690</v>
      </c>
      <c r="D34" s="10" t="s">
        <v>5911</v>
      </c>
      <c r="E34" s="10" t="s">
        <v>1555</v>
      </c>
      <c r="F34" s="10" t="s">
        <v>576</v>
      </c>
      <c r="G34" s="10" t="s">
        <v>1691</v>
      </c>
      <c r="H34" s="11" t="s">
        <v>1692</v>
      </c>
      <c r="I34" s="11" t="s">
        <v>1693</v>
      </c>
      <c r="J34" s="10" t="s">
        <v>1559</v>
      </c>
      <c r="K34" s="10" t="s">
        <v>1560</v>
      </c>
      <c r="L34" s="10" t="s">
        <v>1561</v>
      </c>
      <c r="M34" s="10" t="s">
        <v>576</v>
      </c>
      <c r="N34" s="10">
        <v>32</v>
      </c>
      <c r="O34" s="11">
        <v>100</v>
      </c>
      <c r="P34" s="11">
        <v>0.1</v>
      </c>
      <c r="Q34" s="10" t="s">
        <v>1562</v>
      </c>
      <c r="R34" s="10">
        <v>80</v>
      </c>
      <c r="S34" s="12">
        <v>1</v>
      </c>
      <c r="T34" s="13">
        <v>64897</v>
      </c>
      <c r="U34" s="14">
        <v>6489.7000000000007</v>
      </c>
      <c r="V34" s="10">
        <v>4.26</v>
      </c>
      <c r="W34" s="15">
        <v>276461.21999999997</v>
      </c>
      <c r="X34" s="29">
        <f>VLOOKUP($F34,Agendamento!$B:$J,9,0)</f>
        <v>46071</v>
      </c>
      <c r="Y34" s="6">
        <f>COUNTIF(Analise!F:F,'Obras e Acervos'!H34)</f>
        <v>1</v>
      </c>
    </row>
    <row r="35" spans="1:25" ht="15" customHeight="1" x14ac:dyDescent="0.25">
      <c r="A35" s="10" t="str">
        <f>CONCATENATE(LEFT(C35,12),"-",RIGHT(C35,2),"_",TEXT(X35,"ddmmaaaa"),"_",COUNTIF($C$2:C35,C35))</f>
        <v>417706190001-62_11022026_1</v>
      </c>
      <c r="B35" s="10" t="str">
        <f>CONCATENATE(LEFT(C35,12),"-",RIGHT(C35,2),"_",COUNTIF($C$2:C35,C35))</f>
        <v>417706190001-62_1</v>
      </c>
      <c r="C35" s="10" t="s">
        <v>1694</v>
      </c>
      <c r="D35" s="10" t="s">
        <v>5912</v>
      </c>
      <c r="E35" s="10" t="s">
        <v>1555</v>
      </c>
      <c r="F35" s="10" t="s">
        <v>329</v>
      </c>
      <c r="G35" s="10" t="s">
        <v>1695</v>
      </c>
      <c r="H35" s="11" t="s">
        <v>1696</v>
      </c>
      <c r="I35" s="11" t="s">
        <v>1697</v>
      </c>
      <c r="J35" s="10" t="s">
        <v>1559</v>
      </c>
      <c r="K35" s="10" t="s">
        <v>1560</v>
      </c>
      <c r="L35" s="10" t="s">
        <v>1561</v>
      </c>
      <c r="M35" s="10" t="s">
        <v>329</v>
      </c>
      <c r="N35" s="10">
        <v>28</v>
      </c>
      <c r="O35" s="11">
        <v>93</v>
      </c>
      <c r="P35" s="11">
        <v>9.2999999999999999E-2</v>
      </c>
      <c r="Q35" s="10" t="s">
        <v>1562</v>
      </c>
      <c r="R35" s="10">
        <v>80</v>
      </c>
      <c r="S35" s="12">
        <v>1</v>
      </c>
      <c r="T35" s="13">
        <v>53640</v>
      </c>
      <c r="U35" s="14">
        <v>4988.5199999999995</v>
      </c>
      <c r="V35" s="10">
        <v>4.22</v>
      </c>
      <c r="W35" s="15">
        <v>226360.8</v>
      </c>
      <c r="X35" s="29">
        <f>VLOOKUP($F35,Agendamento!$B:$J,9,0)</f>
        <v>46064</v>
      </c>
      <c r="Y35" s="6">
        <f>COUNTIF(Analise!F:F,'Obras e Acervos'!H35)</f>
        <v>1</v>
      </c>
    </row>
    <row r="36" spans="1:25" ht="15" customHeight="1" x14ac:dyDescent="0.25">
      <c r="A36" s="10" t="str">
        <f>CONCATENATE(LEFT(C36,12),"-",RIGHT(C36,2),"_",TEXT(X36,"ddmmaaaa"),"_",COUNTIF($C$2:C36,C36))</f>
        <v>031412510001-84_13022026_1</v>
      </c>
      <c r="B36" s="10" t="str">
        <f>CONCATENATE(LEFT(C36,12),"-",RIGHT(C36,2),"_",COUNTIF($C$2:C36,C36))</f>
        <v>031412510001-84_1</v>
      </c>
      <c r="C36" s="10" t="s">
        <v>1698</v>
      </c>
      <c r="D36" s="10" t="s">
        <v>5913</v>
      </c>
      <c r="E36" s="10" t="s">
        <v>1555</v>
      </c>
      <c r="F36" s="10" t="s">
        <v>361</v>
      </c>
      <c r="G36" s="10" t="s">
        <v>1699</v>
      </c>
      <c r="H36" s="11" t="s">
        <v>1700</v>
      </c>
      <c r="I36" s="11" t="s">
        <v>1701</v>
      </c>
      <c r="J36" s="10" t="s">
        <v>1559</v>
      </c>
      <c r="K36" s="10" t="s">
        <v>1560</v>
      </c>
      <c r="L36" s="10" t="s">
        <v>1561</v>
      </c>
      <c r="M36" s="10" t="s">
        <v>361</v>
      </c>
      <c r="N36" s="10">
        <v>32</v>
      </c>
      <c r="O36" s="11">
        <v>100</v>
      </c>
      <c r="P36" s="11">
        <v>0.1</v>
      </c>
      <c r="Q36" s="10" t="s">
        <v>1562</v>
      </c>
      <c r="R36" s="10">
        <v>80</v>
      </c>
      <c r="S36" s="12">
        <v>1</v>
      </c>
      <c r="T36" s="13">
        <v>120330</v>
      </c>
      <c r="U36" s="14">
        <v>12033</v>
      </c>
      <c r="V36" s="10">
        <v>3.34</v>
      </c>
      <c r="W36" s="15">
        <v>401902.2</v>
      </c>
      <c r="X36" s="29">
        <f>VLOOKUP($F36,Agendamento!$B:$J,9,0)</f>
        <v>46066</v>
      </c>
      <c r="Y36" s="6">
        <f>COUNTIF(Analise!F:F,'Obras e Acervos'!H36)</f>
        <v>1</v>
      </c>
    </row>
    <row r="37" spans="1:25" ht="15" customHeight="1" x14ac:dyDescent="0.25">
      <c r="A37" s="10" t="str">
        <f>CONCATENATE(LEFT(C37,12),"-",RIGHT(C37,2),"_",TEXT(X37,"ddmmaaaa"),"_",COUNTIF($C$2:C37,C37))</f>
        <v>265521640001-15_03032026_1</v>
      </c>
      <c r="B37" s="10" t="str">
        <f>CONCATENATE(LEFT(C37,12),"-",RIGHT(C37,2),"_",COUNTIF($C$2:C37,C37))</f>
        <v>265521640001-15_1</v>
      </c>
      <c r="C37" s="10" t="s">
        <v>1702</v>
      </c>
      <c r="D37" s="10" t="s">
        <v>1121</v>
      </c>
      <c r="E37" s="10" t="s">
        <v>1555</v>
      </c>
      <c r="F37" s="10" t="s">
        <v>1122</v>
      </c>
      <c r="G37" s="10" t="s">
        <v>1703</v>
      </c>
      <c r="H37" s="11" t="s">
        <v>1704</v>
      </c>
      <c r="I37" s="11" t="s">
        <v>1705</v>
      </c>
      <c r="J37" s="10" t="s">
        <v>1559</v>
      </c>
      <c r="K37" s="10" t="s">
        <v>1560</v>
      </c>
      <c r="L37" s="10" t="s">
        <v>1561</v>
      </c>
      <c r="M37" s="10" t="s">
        <v>1122</v>
      </c>
      <c r="N37" s="10">
        <v>36</v>
      </c>
      <c r="O37" s="11">
        <v>120</v>
      </c>
      <c r="P37" s="11">
        <v>0.12</v>
      </c>
      <c r="Q37" s="10" t="s">
        <v>1562</v>
      </c>
      <c r="R37" s="10">
        <v>80</v>
      </c>
      <c r="S37" s="12">
        <v>1</v>
      </c>
      <c r="T37" s="13">
        <v>52701</v>
      </c>
      <c r="U37" s="14">
        <v>6324.12</v>
      </c>
      <c r="V37" s="10">
        <v>4.97</v>
      </c>
      <c r="W37" s="15">
        <v>261923.97</v>
      </c>
      <c r="X37" s="29">
        <f>VLOOKUP($F37,Agendamento!$B:$J,9,0)</f>
        <v>46084</v>
      </c>
      <c r="Y37" s="6">
        <f>COUNTIF(Analise!F:F,'Obras e Acervos'!H37)</f>
        <v>1</v>
      </c>
    </row>
    <row r="38" spans="1:25" ht="15" customHeight="1" x14ac:dyDescent="0.25">
      <c r="A38" s="10" t="str">
        <f>CONCATENATE(LEFT(C38,12),"-",RIGHT(C38,2),"_",TEXT(X38,"ddmmaaaa"),"_",COUNTIF($C$2:C38,C38))</f>
        <v>253189850001-29_17032026_1</v>
      </c>
      <c r="B38" s="10" t="str">
        <f>CONCATENATE(LEFT(C38,12),"-",RIGHT(C38,2),"_",COUNTIF($C$2:C38,C38))</f>
        <v>253189850001-29_1</v>
      </c>
      <c r="C38" s="10" t="s">
        <v>1706</v>
      </c>
      <c r="D38" s="10" t="s">
        <v>5914</v>
      </c>
      <c r="E38" s="10" t="s">
        <v>1555</v>
      </c>
      <c r="F38" s="10" t="s">
        <v>1491</v>
      </c>
      <c r="G38" s="10" t="s">
        <v>1707</v>
      </c>
      <c r="H38" s="11" t="s">
        <v>1708</v>
      </c>
      <c r="I38" s="11" t="s">
        <v>1709</v>
      </c>
      <c r="J38" s="10" t="s">
        <v>1559</v>
      </c>
      <c r="K38" s="10" t="s">
        <v>1560</v>
      </c>
      <c r="L38" s="10" t="s">
        <v>1561</v>
      </c>
      <c r="M38" s="10" t="s">
        <v>1491</v>
      </c>
      <c r="N38" s="10">
        <v>32</v>
      </c>
      <c r="O38" s="11">
        <v>126</v>
      </c>
      <c r="P38" s="11">
        <v>0.126</v>
      </c>
      <c r="Q38" s="10" t="s">
        <v>1562</v>
      </c>
      <c r="R38" s="10">
        <v>80</v>
      </c>
      <c r="S38" s="12">
        <v>1</v>
      </c>
      <c r="T38" s="13">
        <v>94909</v>
      </c>
      <c r="U38" s="14">
        <v>11958.534</v>
      </c>
      <c r="V38" s="10">
        <v>3.89</v>
      </c>
      <c r="W38" s="15">
        <v>369196.01</v>
      </c>
      <c r="X38" s="29">
        <f>VLOOKUP($F38,Agendamento!$B:$J,9,0)</f>
        <v>46098</v>
      </c>
      <c r="Y38" s="6">
        <f>COUNTIF(Analise!F:F,'Obras e Acervos'!H38)</f>
        <v>1</v>
      </c>
    </row>
    <row r="39" spans="1:25" ht="15" customHeight="1" x14ac:dyDescent="0.25">
      <c r="A39" s="10" t="str">
        <f>CONCATENATE(LEFT(C39,12),"-",RIGHT(C39,2),"_",TEXT(X39,"ddmmaaaa"),"_",COUNTIF($C$2:C39,C39))</f>
        <v>165817820001-30_12022026_1</v>
      </c>
      <c r="B39" s="10" t="str">
        <f>CONCATENATE(LEFT(C39,12),"-",RIGHT(C39,2),"_",COUNTIF($C$2:C39,C39))</f>
        <v>165817820001-30_1</v>
      </c>
      <c r="C39" s="10" t="s">
        <v>1710</v>
      </c>
      <c r="D39" s="10" t="s">
        <v>367</v>
      </c>
      <c r="E39" s="10" t="s">
        <v>1555</v>
      </c>
      <c r="F39" s="10" t="s">
        <v>371</v>
      </c>
      <c r="G39" s="10" t="s">
        <v>1711</v>
      </c>
      <c r="H39" s="11" t="s">
        <v>1712</v>
      </c>
      <c r="I39" s="11" t="s">
        <v>1713</v>
      </c>
      <c r="J39" s="10" t="s">
        <v>1559</v>
      </c>
      <c r="K39" s="10" t="s">
        <v>1560</v>
      </c>
      <c r="L39" s="10" t="s">
        <v>1561</v>
      </c>
      <c r="M39" s="10" t="s">
        <v>371</v>
      </c>
      <c r="N39" s="10">
        <v>36</v>
      </c>
      <c r="O39" s="11">
        <v>115</v>
      </c>
      <c r="P39" s="11">
        <v>0.115</v>
      </c>
      <c r="Q39" s="10" t="s">
        <v>1599</v>
      </c>
      <c r="R39" s="10">
        <v>80</v>
      </c>
      <c r="S39" s="12">
        <v>1</v>
      </c>
      <c r="T39" s="13">
        <v>48383</v>
      </c>
      <c r="U39" s="14">
        <v>5564.0450000000001</v>
      </c>
      <c r="V39" s="10">
        <v>5.1100000000000003</v>
      </c>
      <c r="W39" s="15">
        <v>247237.13</v>
      </c>
      <c r="X39" s="29">
        <f>VLOOKUP($F39,Agendamento!$B:$J,9,0)</f>
        <v>46065</v>
      </c>
      <c r="Y39" s="6">
        <f>COUNTIF(Analise!F:F,'Obras e Acervos'!H39)</f>
        <v>1</v>
      </c>
    </row>
    <row r="40" spans="1:25" ht="15" customHeight="1" x14ac:dyDescent="0.25">
      <c r="A40" s="10" t="str">
        <f>CONCATENATE(LEFT(C40,12),"-",RIGHT(C40,2),"_",TEXT(X40,"ddmmaaaa"),"_",COUNTIF($C$2:C40,C40))</f>
        <v>433991930001-08_04022026_1</v>
      </c>
      <c r="B40" s="10" t="str">
        <f>CONCATENATE(LEFT(C40,12),"-",RIGHT(C40,2),"_",COUNTIF($C$2:C40,C40))</f>
        <v>433991930001-08_1</v>
      </c>
      <c r="C40" s="10" t="s">
        <v>1714</v>
      </c>
      <c r="D40" s="10" t="s">
        <v>159</v>
      </c>
      <c r="E40" s="10" t="s">
        <v>1555</v>
      </c>
      <c r="F40" s="10" t="s">
        <v>160</v>
      </c>
      <c r="G40" s="10" t="s">
        <v>1715</v>
      </c>
      <c r="H40" s="11" t="s">
        <v>1716</v>
      </c>
      <c r="I40" s="11" t="s">
        <v>1717</v>
      </c>
      <c r="J40" s="10" t="s">
        <v>1559</v>
      </c>
      <c r="K40" s="10" t="s">
        <v>1560</v>
      </c>
      <c r="L40" s="10" t="s">
        <v>1561</v>
      </c>
      <c r="M40" s="10" t="s">
        <v>160</v>
      </c>
      <c r="N40" s="10">
        <v>32</v>
      </c>
      <c r="O40" s="11">
        <v>105</v>
      </c>
      <c r="P40" s="11">
        <v>0.105</v>
      </c>
      <c r="Q40" s="10" t="s">
        <v>1562</v>
      </c>
      <c r="R40" s="10">
        <v>80</v>
      </c>
      <c r="S40" s="12">
        <v>1</v>
      </c>
      <c r="T40" s="13">
        <v>73426</v>
      </c>
      <c r="U40" s="14">
        <v>7709.73</v>
      </c>
      <c r="V40" s="10">
        <v>4.2</v>
      </c>
      <c r="W40" s="15">
        <v>308389.2</v>
      </c>
      <c r="X40" s="29">
        <f>VLOOKUP($F40,Agendamento!$B:$J,9,0)</f>
        <v>46057</v>
      </c>
      <c r="Y40" s="6">
        <f>COUNTIF(Analise!F:F,'Obras e Acervos'!H40)</f>
        <v>1</v>
      </c>
    </row>
    <row r="41" spans="1:25" ht="15" customHeight="1" x14ac:dyDescent="0.25">
      <c r="A41" s="10" t="str">
        <f>CONCATENATE(LEFT(C41,12),"-",RIGHT(C41,2),"_",TEXT(X41,"ddmmaaaa"),"_",COUNTIF($C$2:C41,C41))</f>
        <v>380622820001-24_05032026_1</v>
      </c>
      <c r="B41" s="10" t="str">
        <f>CONCATENATE(LEFT(C41,12),"-",RIGHT(C41,2),"_",COUNTIF($C$2:C41,C41))</f>
        <v>380622820001-24_1</v>
      </c>
      <c r="C41" s="10" t="s">
        <v>1718</v>
      </c>
      <c r="D41" s="10" t="s">
        <v>5915</v>
      </c>
      <c r="E41" s="10" t="s">
        <v>1555</v>
      </c>
      <c r="F41" s="10" t="s">
        <v>1240</v>
      </c>
      <c r="G41" s="10" t="s">
        <v>1719</v>
      </c>
      <c r="H41" s="11" t="s">
        <v>1720</v>
      </c>
      <c r="I41" s="11" t="s">
        <v>1721</v>
      </c>
      <c r="J41" s="10" t="s">
        <v>1559</v>
      </c>
      <c r="K41" s="10" t="s">
        <v>1560</v>
      </c>
      <c r="L41" s="10" t="s">
        <v>1561</v>
      </c>
      <c r="M41" s="10" t="s">
        <v>1240</v>
      </c>
      <c r="N41" s="10">
        <v>40</v>
      </c>
      <c r="O41" s="11">
        <v>120</v>
      </c>
      <c r="P41" s="11">
        <v>0.12</v>
      </c>
      <c r="Q41" s="10" t="s">
        <v>1562</v>
      </c>
      <c r="R41" s="10">
        <v>80</v>
      </c>
      <c r="S41" s="12">
        <v>1</v>
      </c>
      <c r="T41" s="13">
        <v>62397</v>
      </c>
      <c r="U41" s="14">
        <v>7487.6399999999994</v>
      </c>
      <c r="V41" s="10">
        <v>5.23</v>
      </c>
      <c r="W41" s="15">
        <v>326336.31</v>
      </c>
      <c r="X41" s="29">
        <f>VLOOKUP($F41,Agendamento!$B:$J,9,0)</f>
        <v>46086</v>
      </c>
      <c r="Y41" s="6">
        <f>COUNTIF(Analise!F:F,'Obras e Acervos'!H41)</f>
        <v>1</v>
      </c>
    </row>
    <row r="42" spans="1:25" ht="15" customHeight="1" x14ac:dyDescent="0.25">
      <c r="A42" s="10" t="str">
        <f>CONCATENATE(LEFT(C42,12),"-",RIGHT(C42,2),"_",TEXT(X42,"ddmmaaaa"),"_",COUNTIF($C$2:C42,C42))</f>
        <v>249805720001-42_06022026_1</v>
      </c>
      <c r="B42" s="10" t="str">
        <f>CONCATENATE(LEFT(C42,12),"-",RIGHT(C42,2),"_",COUNTIF($C$2:C42,C42))</f>
        <v>249805720001-42_1</v>
      </c>
      <c r="C42" s="10" t="s">
        <v>1722</v>
      </c>
      <c r="D42" s="10" t="s">
        <v>202</v>
      </c>
      <c r="E42" s="10" t="s">
        <v>1555</v>
      </c>
      <c r="F42" s="10" t="s">
        <v>203</v>
      </c>
      <c r="G42" s="10" t="s">
        <v>1723</v>
      </c>
      <c r="H42" s="11" t="s">
        <v>1724</v>
      </c>
      <c r="I42" s="11" t="s">
        <v>1725</v>
      </c>
      <c r="J42" s="10" t="s">
        <v>1559</v>
      </c>
      <c r="K42" s="10" t="s">
        <v>1560</v>
      </c>
      <c r="L42" s="10" t="s">
        <v>1561</v>
      </c>
      <c r="M42" s="10" t="s">
        <v>203</v>
      </c>
      <c r="N42" s="10">
        <v>40</v>
      </c>
      <c r="O42" s="11">
        <v>124</v>
      </c>
      <c r="P42" s="11">
        <v>0.124</v>
      </c>
      <c r="Q42" s="10" t="s">
        <v>1562</v>
      </c>
      <c r="R42" s="10">
        <v>80</v>
      </c>
      <c r="S42" s="12">
        <v>2</v>
      </c>
      <c r="T42" s="13">
        <v>43589</v>
      </c>
      <c r="U42" s="14">
        <v>5405.0360000000001</v>
      </c>
      <c r="V42" s="10">
        <v>5.87</v>
      </c>
      <c r="W42" s="15">
        <v>255867.43</v>
      </c>
      <c r="X42" s="29">
        <f>VLOOKUP($F42,Agendamento!$B:$J,9,0)</f>
        <v>46059</v>
      </c>
      <c r="Y42" s="6">
        <f>COUNTIF(Analise!F:F,'Obras e Acervos'!H42)</f>
        <v>1</v>
      </c>
    </row>
    <row r="43" spans="1:25" ht="15" customHeight="1" x14ac:dyDescent="0.25">
      <c r="A43" s="10" t="str">
        <f>CONCATENATE(LEFT(C43,12),"-",RIGHT(C43,2),"_",TEXT(X43,"ddmmaaaa"),"_",COUNTIF($C$2:C43,C43))</f>
        <v>411286730001-09_24022026_1</v>
      </c>
      <c r="B43" s="10" t="str">
        <f>CONCATENATE(LEFT(C43,12),"-",RIGHT(C43,2),"_",COUNTIF($C$2:C43,C43))</f>
        <v>411286730001-09_1</v>
      </c>
      <c r="C43" s="10" t="s">
        <v>1726</v>
      </c>
      <c r="D43" s="10" t="s">
        <v>774</v>
      </c>
      <c r="E43" s="10" t="s">
        <v>1555</v>
      </c>
      <c r="F43" s="10" t="s">
        <v>835</v>
      </c>
      <c r="G43" s="10" t="s">
        <v>1727</v>
      </c>
      <c r="H43" s="11" t="s">
        <v>1728</v>
      </c>
      <c r="I43" s="11" t="s">
        <v>1729</v>
      </c>
      <c r="J43" s="10" t="s">
        <v>1559</v>
      </c>
      <c r="K43" s="10" t="s">
        <v>1560</v>
      </c>
      <c r="L43" s="10" t="s">
        <v>1561</v>
      </c>
      <c r="M43" s="10" t="s">
        <v>835</v>
      </c>
      <c r="N43" s="10">
        <v>40</v>
      </c>
      <c r="O43" s="11">
        <v>155</v>
      </c>
      <c r="P43" s="11">
        <v>0.155</v>
      </c>
      <c r="Q43" s="10" t="s">
        <v>1599</v>
      </c>
      <c r="R43" s="10">
        <v>80</v>
      </c>
      <c r="S43" s="12">
        <v>2</v>
      </c>
      <c r="T43" s="13">
        <v>47058</v>
      </c>
      <c r="U43" s="14">
        <v>7293.99</v>
      </c>
      <c r="V43" s="10">
        <v>5.8</v>
      </c>
      <c r="W43" s="15">
        <v>272936.39999999997</v>
      </c>
      <c r="X43" s="29">
        <f>VLOOKUP($F43,Agendamento!$B:$J,9,0)</f>
        <v>46077</v>
      </c>
      <c r="Y43" s="6">
        <f>COUNTIF(Analise!F:F,'Obras e Acervos'!H43)</f>
        <v>1</v>
      </c>
    </row>
    <row r="44" spans="1:25" ht="15" customHeight="1" x14ac:dyDescent="0.25">
      <c r="A44" s="10" t="str">
        <f>CONCATENATE(LEFT(C44,12),"-",RIGHT(C44,2),"_",TEXT(X44,"ddmmaaaa"),"_",COUNTIF($C$2:C44,C44))</f>
        <v>766598200009-09_12022026_1</v>
      </c>
      <c r="B44" s="10" t="str">
        <f>CONCATENATE(LEFT(C44,12),"-",RIGHT(C44,2),"_",COUNTIF($C$2:C44,C44))</f>
        <v>766598200009-09_1</v>
      </c>
      <c r="C44" s="10" t="s">
        <v>1730</v>
      </c>
      <c r="D44" s="10" t="s">
        <v>5916</v>
      </c>
      <c r="E44" s="10" t="s">
        <v>1555</v>
      </c>
      <c r="F44" s="10" t="s">
        <v>395</v>
      </c>
      <c r="G44" s="10" t="s">
        <v>1731</v>
      </c>
      <c r="H44" s="11" t="s">
        <v>1732</v>
      </c>
      <c r="I44" s="11" t="s">
        <v>1733</v>
      </c>
      <c r="J44" s="10" t="s">
        <v>1559</v>
      </c>
      <c r="K44" s="10" t="s">
        <v>1560</v>
      </c>
      <c r="L44" s="10" t="s">
        <v>1561</v>
      </c>
      <c r="M44" s="10" t="s">
        <v>395</v>
      </c>
      <c r="N44" s="10">
        <v>24</v>
      </c>
      <c r="O44" s="11">
        <v>77</v>
      </c>
      <c r="P44" s="11">
        <v>7.6999999999999999E-2</v>
      </c>
      <c r="Q44" s="10" t="s">
        <v>1562</v>
      </c>
      <c r="R44" s="10">
        <v>75</v>
      </c>
      <c r="S44" s="12">
        <v>2</v>
      </c>
      <c r="T44" s="13">
        <v>49997</v>
      </c>
      <c r="U44" s="14">
        <v>3849.7689999999998</v>
      </c>
      <c r="V44" s="10">
        <v>5.39</v>
      </c>
      <c r="W44" s="15">
        <v>269483.82999999996</v>
      </c>
      <c r="X44" s="29">
        <f>VLOOKUP($F44,Agendamento!$B:$J,9,0)</f>
        <v>46065</v>
      </c>
      <c r="Y44" s="6">
        <f>COUNTIF(Analise!F:F,'Obras e Acervos'!H44)</f>
        <v>1</v>
      </c>
    </row>
    <row r="45" spans="1:25" ht="15" customHeight="1" x14ac:dyDescent="0.25">
      <c r="A45" s="10" t="str">
        <f>CONCATENATE(LEFT(C45,12),"-",RIGHT(C45,2),"_",TEXT(X45,"ddmmaaaa"),"_",COUNTIF($C$2:C45,C45))</f>
        <v>260424370001-81_27022026_1</v>
      </c>
      <c r="B45" s="10" t="str">
        <f>CONCATENATE(LEFT(C45,12),"-",RIGHT(C45,2),"_",COUNTIF($C$2:C45,C45))</f>
        <v>260424370001-81_1</v>
      </c>
      <c r="C45" s="10" t="s">
        <v>1734</v>
      </c>
      <c r="D45" s="10" t="s">
        <v>5917</v>
      </c>
      <c r="E45" s="10" t="s">
        <v>1555</v>
      </c>
      <c r="F45" s="10" t="s">
        <v>1003</v>
      </c>
      <c r="G45" s="10" t="s">
        <v>1735</v>
      </c>
      <c r="H45" s="11" t="s">
        <v>1736</v>
      </c>
      <c r="I45" s="11" t="s">
        <v>1737</v>
      </c>
      <c r="J45" s="10" t="s">
        <v>1559</v>
      </c>
      <c r="K45" s="10" t="s">
        <v>1560</v>
      </c>
      <c r="L45" s="10" t="s">
        <v>1561</v>
      </c>
      <c r="M45" s="10" t="s">
        <v>1003</v>
      </c>
      <c r="N45" s="10">
        <v>32</v>
      </c>
      <c r="O45" s="11">
        <v>110</v>
      </c>
      <c r="P45" s="11">
        <v>0.11</v>
      </c>
      <c r="Q45" s="10" t="s">
        <v>1562</v>
      </c>
      <c r="R45" s="10">
        <v>80</v>
      </c>
      <c r="S45" s="12">
        <v>2</v>
      </c>
      <c r="T45" s="13">
        <v>44316</v>
      </c>
      <c r="U45" s="14">
        <v>4874.76</v>
      </c>
      <c r="V45" s="10">
        <v>5.07</v>
      </c>
      <c r="W45" s="15">
        <v>224682.12000000002</v>
      </c>
      <c r="X45" s="29">
        <f>VLOOKUP($F45,Agendamento!$B:$J,9,0)</f>
        <v>46080</v>
      </c>
      <c r="Y45" s="6">
        <f>COUNTIF(Analise!F:F,'Obras e Acervos'!H45)</f>
        <v>1</v>
      </c>
    </row>
    <row r="46" spans="1:25" ht="15" customHeight="1" x14ac:dyDescent="0.25">
      <c r="A46" s="10" t="str">
        <f>CONCATENATE(LEFT(C46,12),"-",RIGHT(C46,2),"_",TEXT(X46,"ddmmaaaa"),"_",COUNTIF($C$2:C46,C46))</f>
        <v>511657360001-50_16022026_1</v>
      </c>
      <c r="B46" s="10" t="str">
        <f>CONCATENATE(LEFT(C46,12),"-",RIGHT(C46,2),"_",COUNTIF($C$2:C46,C46))</f>
        <v>511657360001-50_1</v>
      </c>
      <c r="C46" s="10" t="s">
        <v>1738</v>
      </c>
      <c r="D46" s="10" t="s">
        <v>5918</v>
      </c>
      <c r="E46" s="10" t="s">
        <v>1555</v>
      </c>
      <c r="F46" s="10" t="s">
        <v>544</v>
      </c>
      <c r="G46" s="10" t="s">
        <v>1739</v>
      </c>
      <c r="H46" s="11" t="s">
        <v>1740</v>
      </c>
      <c r="I46" s="11" t="s">
        <v>1741</v>
      </c>
      <c r="J46" s="10" t="s">
        <v>1559</v>
      </c>
      <c r="K46" s="10" t="s">
        <v>1560</v>
      </c>
      <c r="L46" s="10" t="s">
        <v>1561</v>
      </c>
      <c r="M46" s="10" t="s">
        <v>544</v>
      </c>
      <c r="N46" s="10">
        <v>48</v>
      </c>
      <c r="O46" s="11">
        <v>165</v>
      </c>
      <c r="P46" s="11">
        <v>0.16500000000000001</v>
      </c>
      <c r="Q46" s="10" t="s">
        <v>1562</v>
      </c>
      <c r="R46" s="10">
        <v>75</v>
      </c>
      <c r="S46" s="12">
        <v>2</v>
      </c>
      <c r="T46" s="13">
        <v>50694</v>
      </c>
      <c r="U46" s="14">
        <v>8364.51</v>
      </c>
      <c r="V46" s="10">
        <v>5.96</v>
      </c>
      <c r="W46" s="15">
        <v>302136.24</v>
      </c>
      <c r="X46" s="29">
        <f>VLOOKUP($F46,Agendamento!$B:$J,9,0)</f>
        <v>46069</v>
      </c>
      <c r="Y46" s="6">
        <f>COUNTIF(Analise!F:F,'Obras e Acervos'!H46)</f>
        <v>1</v>
      </c>
    </row>
    <row r="47" spans="1:25" ht="15" customHeight="1" x14ac:dyDescent="0.25">
      <c r="A47" s="10" t="str">
        <f>CONCATENATE(LEFT(C47,12),"-",RIGHT(C47,2),"_",TEXT(X47,"ddmmaaaa"),"_",COUNTIF($C$2:C47,C47))</f>
        <v>573033560001-11_11032026_1</v>
      </c>
      <c r="B47" s="10" t="str">
        <f>CONCATENATE(LEFT(C47,12),"-",RIGHT(C47,2),"_",COUNTIF($C$2:C47,C47))</f>
        <v>573033560001-11_1</v>
      </c>
      <c r="C47" s="10" t="s">
        <v>1742</v>
      </c>
      <c r="D47" s="10" t="s">
        <v>5919</v>
      </c>
      <c r="E47" s="10" t="s">
        <v>1555</v>
      </c>
      <c r="F47" s="10" t="s">
        <v>1412</v>
      </c>
      <c r="G47" s="10" t="s">
        <v>1743</v>
      </c>
      <c r="H47" s="11" t="s">
        <v>1744</v>
      </c>
      <c r="I47" s="11" t="s">
        <v>1745</v>
      </c>
      <c r="J47" s="10" t="s">
        <v>1559</v>
      </c>
      <c r="K47" s="10" t="s">
        <v>1560</v>
      </c>
      <c r="L47" s="10" t="s">
        <v>1561</v>
      </c>
      <c r="M47" s="10" t="s">
        <v>1412</v>
      </c>
      <c r="N47" s="10">
        <v>40</v>
      </c>
      <c r="O47" s="11">
        <v>85</v>
      </c>
      <c r="P47" s="11">
        <v>8.5000000000000006E-2</v>
      </c>
      <c r="Q47" s="10" t="s">
        <v>1562</v>
      </c>
      <c r="R47" s="10">
        <v>80</v>
      </c>
      <c r="S47" s="12">
        <v>2</v>
      </c>
      <c r="T47" s="13">
        <v>44195</v>
      </c>
      <c r="U47" s="14">
        <v>3756.5750000000003</v>
      </c>
      <c r="V47" s="10">
        <v>5.85</v>
      </c>
      <c r="W47" s="15">
        <v>258540.74999999997</v>
      </c>
      <c r="X47" s="29">
        <f>VLOOKUP($F47,Agendamento!$B:$J,9,0)</f>
        <v>46092</v>
      </c>
      <c r="Y47" s="6">
        <f>COUNTIF(Analise!F:F,'Obras e Acervos'!H47)</f>
        <v>1</v>
      </c>
    </row>
    <row r="48" spans="1:25" ht="15" customHeight="1" x14ac:dyDescent="0.25">
      <c r="A48" s="10" t="str">
        <f>CONCATENATE(LEFT(C48,12),"-",RIGHT(C48,2),"_",TEXT(X48,"ddmmaaaa"),"_",COUNTIF($C$2:C48,C48))</f>
        <v>332237370001-22_13032026_1</v>
      </c>
      <c r="B48" s="10" t="str">
        <f>CONCATENATE(LEFT(C48,12),"-",RIGHT(C48,2),"_",COUNTIF($C$2:C48,C48))</f>
        <v>332237370001-22_1</v>
      </c>
      <c r="C48" s="10" t="s">
        <v>1746</v>
      </c>
      <c r="D48" s="10" t="s">
        <v>5920</v>
      </c>
      <c r="E48" s="10" t="s">
        <v>1555</v>
      </c>
      <c r="F48" s="10" t="s">
        <v>1421</v>
      </c>
      <c r="G48" s="10" t="s">
        <v>1747</v>
      </c>
      <c r="H48" s="11" t="s">
        <v>1748</v>
      </c>
      <c r="I48" s="11" t="s">
        <v>1749</v>
      </c>
      <c r="J48" s="10" t="s">
        <v>1559</v>
      </c>
      <c r="K48" s="10" t="s">
        <v>1560</v>
      </c>
      <c r="L48" s="10" t="s">
        <v>1561</v>
      </c>
      <c r="M48" s="10" t="s">
        <v>1421</v>
      </c>
      <c r="N48" s="10">
        <v>32</v>
      </c>
      <c r="O48" s="11">
        <v>100</v>
      </c>
      <c r="P48" s="11">
        <v>0.1</v>
      </c>
      <c r="Q48" s="10" t="s">
        <v>1599</v>
      </c>
      <c r="R48" s="10">
        <v>80</v>
      </c>
      <c r="S48" s="12">
        <v>2</v>
      </c>
      <c r="T48" s="13">
        <v>44028</v>
      </c>
      <c r="U48" s="14">
        <v>4402.8</v>
      </c>
      <c r="V48" s="10">
        <v>5.07</v>
      </c>
      <c r="W48" s="15">
        <v>223221.96000000002</v>
      </c>
      <c r="X48" s="29">
        <f>VLOOKUP($F48,Agendamento!$B:$J,9,0)</f>
        <v>46094</v>
      </c>
      <c r="Y48" s="6">
        <f>COUNTIF(Analise!F:F,'Obras e Acervos'!H48)</f>
        <v>1</v>
      </c>
    </row>
    <row r="49" spans="1:25" ht="15" customHeight="1" x14ac:dyDescent="0.25">
      <c r="A49" s="10" t="str">
        <f>CONCATENATE(LEFT(C49,12),"-",RIGHT(C49,2),"_",TEXT(X49,"ddmmaaaa"),"_",COUNTIF($C$2:C49,C49))</f>
        <v>487649550001-41_11032026_1</v>
      </c>
      <c r="B49" s="10" t="str">
        <f>CONCATENATE(LEFT(C49,12),"-",RIGHT(C49,2),"_",COUNTIF($C$2:C49,C49))</f>
        <v>487649550001-41_1</v>
      </c>
      <c r="C49" s="10" t="s">
        <v>1750</v>
      </c>
      <c r="D49" s="10" t="s">
        <v>5921</v>
      </c>
      <c r="E49" s="10" t="s">
        <v>1555</v>
      </c>
      <c r="F49" s="10" t="s">
        <v>1404</v>
      </c>
      <c r="G49" s="10" t="s">
        <v>1751</v>
      </c>
      <c r="H49" s="11" t="s">
        <v>1752</v>
      </c>
      <c r="I49" s="11" t="s">
        <v>1753</v>
      </c>
      <c r="J49" s="10" t="s">
        <v>1559</v>
      </c>
      <c r="K49" s="10" t="s">
        <v>1560</v>
      </c>
      <c r="L49" s="10" t="s">
        <v>1561</v>
      </c>
      <c r="M49" s="10" t="s">
        <v>1404</v>
      </c>
      <c r="N49" s="10">
        <v>32</v>
      </c>
      <c r="O49" s="11">
        <v>105</v>
      </c>
      <c r="P49" s="11">
        <v>0.105</v>
      </c>
      <c r="Q49" s="10" t="s">
        <v>1599</v>
      </c>
      <c r="R49" s="10">
        <v>80</v>
      </c>
      <c r="S49" s="12">
        <v>2</v>
      </c>
      <c r="T49" s="13">
        <v>43543</v>
      </c>
      <c r="U49" s="14">
        <v>4572.0149999999994</v>
      </c>
      <c r="V49" s="10">
        <v>5.08</v>
      </c>
      <c r="W49" s="15">
        <v>221198.44</v>
      </c>
      <c r="X49" s="29">
        <f>VLOOKUP($F49,Agendamento!$B:$J,9,0)</f>
        <v>46092</v>
      </c>
      <c r="Y49" s="6">
        <f>COUNTIF(Analise!F:F,'Obras e Acervos'!H49)</f>
        <v>1</v>
      </c>
    </row>
    <row r="50" spans="1:25" ht="15" customHeight="1" x14ac:dyDescent="0.25">
      <c r="A50" s="10" t="str">
        <f>CONCATENATE(LEFT(C50,12),"-",RIGHT(C50,2),"_",TEXT(X50,"ddmmaaaa"),"_",COUNTIF($C$2:C50,C50))</f>
        <v>056918200001-90_13022026_1</v>
      </c>
      <c r="B50" s="10" t="str">
        <f>CONCATENATE(LEFT(C50,12),"-",RIGHT(C50,2),"_",COUNTIF($C$2:C50,C50))</f>
        <v>056918200001-90_1</v>
      </c>
      <c r="C50" s="10" t="s">
        <v>1754</v>
      </c>
      <c r="D50" s="10" t="s">
        <v>5922</v>
      </c>
      <c r="E50" s="10" t="s">
        <v>1555</v>
      </c>
      <c r="F50" s="10" t="s">
        <v>454</v>
      </c>
      <c r="G50" s="10" t="s">
        <v>1755</v>
      </c>
      <c r="H50" s="11" t="s">
        <v>1756</v>
      </c>
      <c r="I50" s="11" t="s">
        <v>1757</v>
      </c>
      <c r="J50" s="10" t="s">
        <v>1559</v>
      </c>
      <c r="K50" s="10" t="s">
        <v>1560</v>
      </c>
      <c r="L50" s="10" t="s">
        <v>1561</v>
      </c>
      <c r="M50" s="10" t="s">
        <v>6177</v>
      </c>
      <c r="N50" s="10">
        <v>32</v>
      </c>
      <c r="O50" s="11">
        <v>95</v>
      </c>
      <c r="P50" s="11">
        <v>9.5000000000000001E-2</v>
      </c>
      <c r="Q50" s="10" t="s">
        <v>1562</v>
      </c>
      <c r="R50" s="10">
        <v>75</v>
      </c>
      <c r="S50" s="12">
        <v>2</v>
      </c>
      <c r="T50" s="13">
        <v>46619</v>
      </c>
      <c r="U50" s="14">
        <v>4428.8050000000003</v>
      </c>
      <c r="V50" s="10">
        <v>4.95</v>
      </c>
      <c r="W50" s="15">
        <v>230764.05000000002</v>
      </c>
      <c r="X50" s="29">
        <f>VLOOKUP($F50,Agendamento!$B:$J,9,0)</f>
        <v>46066</v>
      </c>
      <c r="Y50" s="6">
        <f>COUNTIF(Analise!F:F,'Obras e Acervos'!H50)</f>
        <v>1</v>
      </c>
    </row>
    <row r="51" spans="1:25" ht="15" customHeight="1" x14ac:dyDescent="0.25">
      <c r="A51" s="10" t="str">
        <f>CONCATENATE(LEFT(C51,12),"-",RIGHT(C51,2),"_",TEXT(X51,"ddmmaaaa"),"_",COUNTIF($C$2:C51,C51))</f>
        <v>146078900001-09_04032026_1</v>
      </c>
      <c r="B51" s="10" t="str">
        <f>CONCATENATE(LEFT(C51,12),"-",RIGHT(C51,2),"_",COUNTIF($C$2:C51,C51))</f>
        <v>146078900001-09_1</v>
      </c>
      <c r="C51" s="10" t="s">
        <v>1758</v>
      </c>
      <c r="D51" s="10" t="s">
        <v>1208</v>
      </c>
      <c r="E51" s="10" t="s">
        <v>1555</v>
      </c>
      <c r="F51" s="10" t="s">
        <v>1209</v>
      </c>
      <c r="G51" s="10" t="s">
        <v>1759</v>
      </c>
      <c r="H51" s="11" t="s">
        <v>1760</v>
      </c>
      <c r="I51" s="11" t="s">
        <v>1761</v>
      </c>
      <c r="J51" s="10" t="s">
        <v>1559</v>
      </c>
      <c r="K51" s="10" t="s">
        <v>1560</v>
      </c>
      <c r="L51" s="10" t="s">
        <v>1561</v>
      </c>
      <c r="M51" s="10" t="s">
        <v>1209</v>
      </c>
      <c r="N51" s="10">
        <v>40</v>
      </c>
      <c r="O51" s="11">
        <v>121</v>
      </c>
      <c r="P51" s="11">
        <v>0.121</v>
      </c>
      <c r="Q51" s="10" t="s">
        <v>1562</v>
      </c>
      <c r="R51" s="10">
        <v>80</v>
      </c>
      <c r="S51" s="12">
        <v>2</v>
      </c>
      <c r="T51" s="13">
        <v>74964</v>
      </c>
      <c r="U51" s="14">
        <v>9070.6440000000002</v>
      </c>
      <c r="V51" s="10">
        <v>4.88</v>
      </c>
      <c r="W51" s="15">
        <v>365824.32</v>
      </c>
      <c r="X51" s="29">
        <f>VLOOKUP($F51,Agendamento!$B:$J,9,0)</f>
        <v>46085</v>
      </c>
      <c r="Y51" s="6">
        <f>COUNTIF(Analise!F:F,'Obras e Acervos'!H51)</f>
        <v>1</v>
      </c>
    </row>
    <row r="52" spans="1:25" ht="15" customHeight="1" x14ac:dyDescent="0.25">
      <c r="A52" s="10" t="str">
        <f>CONCATENATE(LEFT(C52,12),"-",RIGHT(C52,2),"_",TEXT(X52,"ddmmaaaa"),"_",COUNTIF($C$2:C52,C52))</f>
        <v>104519100001-44_23012026_1</v>
      </c>
      <c r="B52" s="10" t="str">
        <f>CONCATENATE(LEFT(C52,12),"-",RIGHT(C52,2),"_",COUNTIF($C$2:C52,C52))</f>
        <v>104519100001-44_1</v>
      </c>
      <c r="C52" s="16" t="s">
        <v>1762</v>
      </c>
      <c r="D52" s="16" t="s">
        <v>5923</v>
      </c>
      <c r="E52" s="16" t="s">
        <v>1555</v>
      </c>
      <c r="F52" s="16" t="s">
        <v>22</v>
      </c>
      <c r="G52" s="16" t="s">
        <v>1763</v>
      </c>
      <c r="H52" s="16" t="s">
        <v>1764</v>
      </c>
      <c r="I52" s="16" t="s">
        <v>1765</v>
      </c>
      <c r="J52" s="16" t="s">
        <v>1559</v>
      </c>
      <c r="K52" s="16" t="s">
        <v>1560</v>
      </c>
      <c r="L52" s="16" t="s">
        <v>1561</v>
      </c>
      <c r="M52" s="10" t="s">
        <v>22</v>
      </c>
      <c r="N52" s="16">
        <v>40</v>
      </c>
      <c r="O52" s="16">
        <v>117</v>
      </c>
      <c r="P52" s="16">
        <v>0.11700000000000001</v>
      </c>
      <c r="Q52" s="16" t="s">
        <v>1562</v>
      </c>
      <c r="R52" s="16">
        <v>80</v>
      </c>
      <c r="S52" s="17">
        <v>2</v>
      </c>
      <c r="T52" s="18">
        <v>46437</v>
      </c>
      <c r="U52" s="19">
        <v>5433.1289999999999</v>
      </c>
      <c r="V52" s="16">
        <v>5.83</v>
      </c>
      <c r="W52" s="20">
        <v>270727.71000000002</v>
      </c>
      <c r="X52" s="29">
        <f>VLOOKUP($F52,Agendamento!$B:$J,9,0)</f>
        <v>46045</v>
      </c>
      <c r="Y52" s="6">
        <f>COUNTIF(Analise!F:F,'Obras e Acervos'!H52)</f>
        <v>1</v>
      </c>
    </row>
    <row r="53" spans="1:25" ht="15" customHeight="1" x14ac:dyDescent="0.25">
      <c r="A53" s="10" t="str">
        <f>CONCATENATE(LEFT(C53,12),"-",RIGHT(C53,2),"_",TEXT(X53,"ddmmaaaa"),"_",COUNTIF($C$2:C53,C53))</f>
        <v>174234570001-01_16032026_1</v>
      </c>
      <c r="B53" s="10" t="str">
        <f>CONCATENATE(LEFT(C53,12),"-",RIGHT(C53,2),"_",COUNTIF($C$2:C53,C53))</f>
        <v>174234570001-01_1</v>
      </c>
      <c r="C53" s="10" t="s">
        <v>1766</v>
      </c>
      <c r="D53" s="10" t="s">
        <v>1285</v>
      </c>
      <c r="E53" s="10" t="s">
        <v>1555</v>
      </c>
      <c r="F53" s="10" t="s">
        <v>1440</v>
      </c>
      <c r="G53" s="10" t="s">
        <v>1767</v>
      </c>
      <c r="H53" s="11" t="s">
        <v>1768</v>
      </c>
      <c r="I53" s="11" t="s">
        <v>1769</v>
      </c>
      <c r="J53" s="10" t="s">
        <v>1559</v>
      </c>
      <c r="K53" s="10" t="s">
        <v>1560</v>
      </c>
      <c r="L53" s="10" t="s">
        <v>1561</v>
      </c>
      <c r="M53" s="10" t="s">
        <v>1440</v>
      </c>
      <c r="N53" s="10">
        <v>44</v>
      </c>
      <c r="O53" s="11">
        <v>136</v>
      </c>
      <c r="P53" s="11">
        <v>0.13600000000000001</v>
      </c>
      <c r="Q53" s="10" t="s">
        <v>1599</v>
      </c>
      <c r="R53" s="10">
        <v>80</v>
      </c>
      <c r="S53" s="12">
        <v>2</v>
      </c>
      <c r="T53" s="13">
        <v>46649</v>
      </c>
      <c r="U53" s="14">
        <v>6344.2640000000001</v>
      </c>
      <c r="V53" s="10">
        <v>6.26</v>
      </c>
      <c r="W53" s="15">
        <v>292022.74</v>
      </c>
      <c r="X53" s="29">
        <f>VLOOKUP($F53,Agendamento!$B:$J,9,0)</f>
        <v>46097</v>
      </c>
      <c r="Y53" s="6">
        <f>COUNTIF(Analise!F:F,'Obras e Acervos'!H53)</f>
        <v>1</v>
      </c>
    </row>
    <row r="54" spans="1:25" ht="15" customHeight="1" x14ac:dyDescent="0.25">
      <c r="A54" s="10" t="str">
        <f>CONCATENATE(LEFT(C54,12),"-",RIGHT(C54,2),"_",TEXT(X54,"ddmmaaaa"),"_",COUNTIF($C$2:C54,C54))</f>
        <v>108502930001-50_05032026_1</v>
      </c>
      <c r="B54" s="10" t="str">
        <f>CONCATENATE(LEFT(C54,12),"-",RIGHT(C54,2),"_",COUNTIF($C$2:C54,C54))</f>
        <v>108502930001-50_1</v>
      </c>
      <c r="C54" s="10" t="s">
        <v>1770</v>
      </c>
      <c r="D54" s="10" t="s">
        <v>5924</v>
      </c>
      <c r="E54" s="10" t="s">
        <v>1555</v>
      </c>
      <c r="F54" s="10" t="s">
        <v>1167</v>
      </c>
      <c r="G54" s="10" t="s">
        <v>1771</v>
      </c>
      <c r="H54" s="11" t="s">
        <v>1772</v>
      </c>
      <c r="I54" s="11" t="s">
        <v>1773</v>
      </c>
      <c r="J54" s="10" t="s">
        <v>1559</v>
      </c>
      <c r="K54" s="10" t="s">
        <v>1560</v>
      </c>
      <c r="L54" s="10" t="s">
        <v>1561</v>
      </c>
      <c r="M54" s="10" t="s">
        <v>1167</v>
      </c>
      <c r="N54" s="10">
        <v>40</v>
      </c>
      <c r="O54" s="11">
        <v>100</v>
      </c>
      <c r="P54" s="11">
        <v>0.1</v>
      </c>
      <c r="Q54" s="10" t="s">
        <v>1562</v>
      </c>
      <c r="R54" s="10">
        <v>80</v>
      </c>
      <c r="S54" s="12">
        <v>2</v>
      </c>
      <c r="T54" s="13">
        <v>45119</v>
      </c>
      <c r="U54" s="14">
        <v>4511.9000000000005</v>
      </c>
      <c r="V54" s="10">
        <v>5.84</v>
      </c>
      <c r="W54" s="15">
        <v>263494.96000000002</v>
      </c>
      <c r="X54" s="29">
        <f>VLOOKUP($F54,Agendamento!$B:$J,9,0)</f>
        <v>46086</v>
      </c>
      <c r="Y54" s="6">
        <f>COUNTIF(Analise!F:F,'Obras e Acervos'!H54)</f>
        <v>1</v>
      </c>
    </row>
    <row r="55" spans="1:25" ht="15" customHeight="1" x14ac:dyDescent="0.25">
      <c r="A55" s="10" t="str">
        <f>CONCATENATE(LEFT(C55,12),"-",RIGHT(C55,2),"_",TEXT(X55,"ddmmaaaa"),"_",COUNTIF($C$2:C55,C55))</f>
        <v>438867580001-81_03022026_1</v>
      </c>
      <c r="B55" s="10" t="str">
        <f>CONCATENATE(LEFT(C55,12),"-",RIGHT(C55,2),"_",COUNTIF($C$2:C55,C55))</f>
        <v>438867580001-81_1</v>
      </c>
      <c r="C55" s="10" t="s">
        <v>1774</v>
      </c>
      <c r="D55" s="10" t="s">
        <v>5925</v>
      </c>
      <c r="E55" s="10" t="s">
        <v>1555</v>
      </c>
      <c r="F55" s="10" t="s">
        <v>145</v>
      </c>
      <c r="G55" s="10" t="s">
        <v>1775</v>
      </c>
      <c r="H55" s="11" t="s">
        <v>1776</v>
      </c>
      <c r="I55" s="11" t="s">
        <v>1777</v>
      </c>
      <c r="J55" s="10" t="s">
        <v>1559</v>
      </c>
      <c r="K55" s="10" t="s">
        <v>1560</v>
      </c>
      <c r="L55" s="10" t="s">
        <v>1561</v>
      </c>
      <c r="M55" s="10" t="s">
        <v>145</v>
      </c>
      <c r="N55" s="10">
        <v>36</v>
      </c>
      <c r="O55" s="11">
        <v>115</v>
      </c>
      <c r="P55" s="11">
        <v>0.115</v>
      </c>
      <c r="Q55" s="10" t="s">
        <v>1562</v>
      </c>
      <c r="R55" s="10">
        <v>80</v>
      </c>
      <c r="S55" s="12">
        <v>2</v>
      </c>
      <c r="T55" s="13">
        <v>43437</v>
      </c>
      <c r="U55" s="14">
        <v>4995.2550000000001</v>
      </c>
      <c r="V55" s="10">
        <v>5.48</v>
      </c>
      <c r="W55" s="15">
        <v>238034.76</v>
      </c>
      <c r="X55" s="29">
        <f>VLOOKUP($F55,Agendamento!$B:$J,9,0)</f>
        <v>46056</v>
      </c>
      <c r="Y55" s="6">
        <f>COUNTIF(Analise!F:F,'Obras e Acervos'!H55)</f>
        <v>1</v>
      </c>
    </row>
    <row r="56" spans="1:25" ht="15" customHeight="1" x14ac:dyDescent="0.25">
      <c r="A56" s="10" t="str">
        <f>CONCATENATE(LEFT(C56,12),"-",RIGHT(C56,2),"_",TEXT(X56,"ddmmaaaa"),"_",COUNTIF($C$2:C56,C56))</f>
        <v>356250060001-39_28012026_1</v>
      </c>
      <c r="B56" s="10" t="str">
        <f>CONCATENATE(LEFT(C56,12),"-",RIGHT(C56,2),"_",COUNTIF($C$2:C56,C56))</f>
        <v>356250060001-39_1</v>
      </c>
      <c r="C56" s="10" t="s">
        <v>1778</v>
      </c>
      <c r="D56" s="10" t="s">
        <v>84</v>
      </c>
      <c r="E56" s="10" t="s">
        <v>1555</v>
      </c>
      <c r="F56" s="10" t="s">
        <v>85</v>
      </c>
      <c r="G56" s="10" t="s">
        <v>1779</v>
      </c>
      <c r="H56" s="11" t="s">
        <v>1780</v>
      </c>
      <c r="I56" s="11" t="s">
        <v>1781</v>
      </c>
      <c r="J56" s="10" t="s">
        <v>1559</v>
      </c>
      <c r="K56" s="10" t="s">
        <v>1560</v>
      </c>
      <c r="L56" s="10" t="s">
        <v>1561</v>
      </c>
      <c r="M56" s="10" t="s">
        <v>85</v>
      </c>
      <c r="N56" s="10">
        <v>32</v>
      </c>
      <c r="O56" s="11">
        <v>96</v>
      </c>
      <c r="P56" s="11">
        <v>9.6000000000000002E-2</v>
      </c>
      <c r="Q56" s="10" t="s">
        <v>1562</v>
      </c>
      <c r="R56" s="10">
        <v>75</v>
      </c>
      <c r="S56" s="12">
        <v>1</v>
      </c>
      <c r="T56" s="13">
        <v>58821</v>
      </c>
      <c r="U56" s="14">
        <v>5646.8159999999998</v>
      </c>
      <c r="V56" s="10">
        <v>5.05</v>
      </c>
      <c r="W56" s="15">
        <v>226856.1</v>
      </c>
      <c r="X56" s="29">
        <f>VLOOKUP($F56,Agendamento!$B:$J,9,0)</f>
        <v>46050</v>
      </c>
      <c r="Y56" s="6">
        <f>COUNTIF(Analise!F:F,'Obras e Acervos'!H56)</f>
        <v>1</v>
      </c>
    </row>
    <row r="57" spans="1:25" ht="15" customHeight="1" x14ac:dyDescent="0.25">
      <c r="A57" s="10" t="str">
        <f>CONCATENATE(LEFT(C57,12),"-",RIGHT(C57,2),"_",TEXT(X57,"ddmmaaaa"),"_",COUNTIF($C$2:C57,C57))</f>
        <v>172430150001-83_12032026_1</v>
      </c>
      <c r="B57" s="10" t="str">
        <f>CONCATENATE(LEFT(C57,12),"-",RIGHT(C57,2),"_",COUNTIF($C$2:C57,C57))</f>
        <v>172430150001-83_1</v>
      </c>
      <c r="C57" s="10" t="s">
        <v>1782</v>
      </c>
      <c r="D57" s="10" t="s">
        <v>5926</v>
      </c>
      <c r="E57" s="10" t="s">
        <v>1555</v>
      </c>
      <c r="F57" s="10" t="s">
        <v>1380</v>
      </c>
      <c r="G57" s="10" t="s">
        <v>1783</v>
      </c>
      <c r="H57" s="11" t="s">
        <v>1784</v>
      </c>
      <c r="I57" s="11" t="s">
        <v>1785</v>
      </c>
      <c r="J57" s="10" t="s">
        <v>1559</v>
      </c>
      <c r="K57" s="10" t="s">
        <v>1560</v>
      </c>
      <c r="L57" s="10" t="s">
        <v>1561</v>
      </c>
      <c r="M57" s="10" t="s">
        <v>1380</v>
      </c>
      <c r="N57" s="10">
        <v>36</v>
      </c>
      <c r="O57" s="11">
        <v>105</v>
      </c>
      <c r="P57" s="11">
        <v>0.105</v>
      </c>
      <c r="Q57" s="10" t="s">
        <v>1562</v>
      </c>
      <c r="R57" s="10">
        <v>80</v>
      </c>
      <c r="S57" s="12">
        <v>2</v>
      </c>
      <c r="T57" s="13">
        <v>59845</v>
      </c>
      <c r="U57" s="14">
        <v>6283.7249999999995</v>
      </c>
      <c r="V57" s="10">
        <v>4.9000000000000004</v>
      </c>
      <c r="W57" s="15">
        <v>293240.5</v>
      </c>
      <c r="X57" s="29">
        <f>VLOOKUP($F57,Agendamento!$B:$J,9,0)</f>
        <v>46093</v>
      </c>
      <c r="Y57" s="6">
        <f>COUNTIF(Analise!F:F,'Obras e Acervos'!H57)</f>
        <v>1</v>
      </c>
    </row>
    <row r="58" spans="1:25" ht="15" customHeight="1" x14ac:dyDescent="0.25">
      <c r="A58" s="10" t="str">
        <f>CONCATENATE(LEFT(C58,12),"-",RIGHT(C58,2),"_",TEXT(X58,"ddmmaaaa"),"_",COUNTIF($C$2:C58,C58))</f>
        <v>413248950001-05_20022026_1</v>
      </c>
      <c r="B58" s="10" t="str">
        <f>CONCATENATE(LEFT(C58,12),"-",RIGHT(C58,2),"_",COUNTIF($C$2:C58,C58))</f>
        <v>413248950001-05_1</v>
      </c>
      <c r="C58" s="10" t="s">
        <v>1786</v>
      </c>
      <c r="D58" s="10" t="s">
        <v>5927</v>
      </c>
      <c r="E58" s="10" t="s">
        <v>1555</v>
      </c>
      <c r="F58" s="10" t="s">
        <v>653</v>
      </c>
      <c r="G58" s="10" t="s">
        <v>1787</v>
      </c>
      <c r="H58" s="11" t="s">
        <v>1788</v>
      </c>
      <c r="I58" s="11" t="s">
        <v>1789</v>
      </c>
      <c r="J58" s="10" t="s">
        <v>1559</v>
      </c>
      <c r="K58" s="10" t="s">
        <v>1560</v>
      </c>
      <c r="L58" s="10" t="s">
        <v>1561</v>
      </c>
      <c r="M58" s="10" t="s">
        <v>6178</v>
      </c>
      <c r="N58" s="10">
        <v>32</v>
      </c>
      <c r="O58" s="11">
        <v>123</v>
      </c>
      <c r="P58" s="11">
        <v>0.123</v>
      </c>
      <c r="Q58" s="10" t="s">
        <v>1599</v>
      </c>
      <c r="R58" s="10">
        <v>80</v>
      </c>
      <c r="S58" s="12">
        <v>2</v>
      </c>
      <c r="T58" s="13">
        <v>45058</v>
      </c>
      <c r="U58" s="14">
        <v>5542.134</v>
      </c>
      <c r="V58" s="10">
        <v>4.47</v>
      </c>
      <c r="W58" s="15">
        <v>201409.25999999998</v>
      </c>
      <c r="X58" s="29">
        <f>VLOOKUP($F58,Agendamento!$B:$J,9,0)</f>
        <v>46073</v>
      </c>
      <c r="Y58" s="6">
        <f>COUNTIF(Analise!F:F,'Obras e Acervos'!H58)</f>
        <v>1</v>
      </c>
    </row>
    <row r="59" spans="1:25" ht="15" customHeight="1" x14ac:dyDescent="0.25">
      <c r="A59" s="10" t="str">
        <f>CONCATENATE(LEFT(C59,12),"-",RIGHT(C59,2),"_",TEXT(X59,"ddmmaaaa"),"_",COUNTIF($C$2:C59,C59))</f>
        <v>333244840001-83_04022026_1</v>
      </c>
      <c r="B59" s="10" t="str">
        <f>CONCATENATE(LEFT(C59,12),"-",RIGHT(C59,2),"_",COUNTIF($C$2:C59,C59))</f>
        <v>333244840001-83_1</v>
      </c>
      <c r="C59" s="10" t="s">
        <v>1790</v>
      </c>
      <c r="D59" s="10" t="s">
        <v>5928</v>
      </c>
      <c r="E59" s="10" t="s">
        <v>1555</v>
      </c>
      <c r="F59" s="10" t="s">
        <v>149</v>
      </c>
      <c r="G59" s="10" t="s">
        <v>1791</v>
      </c>
      <c r="H59" s="11" t="s">
        <v>1792</v>
      </c>
      <c r="I59" s="11" t="s">
        <v>1793</v>
      </c>
      <c r="J59" s="10" t="s">
        <v>1559</v>
      </c>
      <c r="K59" s="10" t="s">
        <v>1560</v>
      </c>
      <c r="L59" s="10" t="s">
        <v>1561</v>
      </c>
      <c r="M59" s="10" t="s">
        <v>149</v>
      </c>
      <c r="N59" s="10">
        <v>24</v>
      </c>
      <c r="O59" s="11">
        <v>39</v>
      </c>
      <c r="P59" s="11">
        <v>3.9E-2</v>
      </c>
      <c r="Q59" s="10" t="s">
        <v>1608</v>
      </c>
      <c r="R59" s="10">
        <v>75</v>
      </c>
      <c r="S59" s="12">
        <v>2</v>
      </c>
      <c r="T59" s="13">
        <v>56587</v>
      </c>
      <c r="U59" s="14">
        <v>2206.893</v>
      </c>
      <c r="V59" s="10">
        <v>3.12</v>
      </c>
      <c r="W59" s="15">
        <v>176551.44</v>
      </c>
      <c r="X59" s="29">
        <f>VLOOKUP($F59,Agendamento!$B:$J,9,0)</f>
        <v>46057</v>
      </c>
      <c r="Y59" s="6">
        <f>COUNTIF(Analise!F:F,'Obras e Acervos'!H59)</f>
        <v>1</v>
      </c>
    </row>
    <row r="60" spans="1:25" ht="15" customHeight="1" x14ac:dyDescent="0.25">
      <c r="A60" s="10" t="str">
        <f>CONCATENATE(LEFT(C60,12),"-",RIGHT(C60,2),"_",TEXT(X60,"ddmmaaaa"),"_",COUNTIF($C$2:C60,C60))</f>
        <v>436797320001-62_24022026_1</v>
      </c>
      <c r="B60" s="10" t="str">
        <f>CONCATENATE(LEFT(C60,12),"-",RIGHT(C60,2),"_",COUNTIF($C$2:C60,C60))</f>
        <v>436797320001-62_1</v>
      </c>
      <c r="C60" s="10" t="s">
        <v>1794</v>
      </c>
      <c r="D60" s="10" t="s">
        <v>5929</v>
      </c>
      <c r="E60" s="10" t="s">
        <v>1555</v>
      </c>
      <c r="F60" s="10" t="s">
        <v>814</v>
      </c>
      <c r="G60" s="10" t="s">
        <v>1795</v>
      </c>
      <c r="H60" s="11" t="s">
        <v>1796</v>
      </c>
      <c r="I60" s="11" t="s">
        <v>1797</v>
      </c>
      <c r="J60" s="10" t="s">
        <v>1559</v>
      </c>
      <c r="K60" s="10" t="s">
        <v>1560</v>
      </c>
      <c r="L60" s="10" t="s">
        <v>1561</v>
      </c>
      <c r="M60" s="10" t="s">
        <v>814</v>
      </c>
      <c r="N60" s="10">
        <v>24</v>
      </c>
      <c r="O60" s="11">
        <v>86</v>
      </c>
      <c r="P60" s="11">
        <v>8.5999999999999993E-2</v>
      </c>
      <c r="Q60" s="10" t="s">
        <v>1562</v>
      </c>
      <c r="R60" s="10">
        <v>80</v>
      </c>
      <c r="S60" s="12">
        <v>2</v>
      </c>
      <c r="T60" s="13">
        <v>48497</v>
      </c>
      <c r="U60" s="14">
        <v>4170.7419999999993</v>
      </c>
      <c r="V60" s="10">
        <v>3.99</v>
      </c>
      <c r="W60" s="15">
        <v>193503.03</v>
      </c>
      <c r="X60" s="29">
        <f>VLOOKUP($F60,Agendamento!$B:$J,9,0)</f>
        <v>46077</v>
      </c>
      <c r="Y60" s="6">
        <f>COUNTIF(Analise!F:F,'Obras e Acervos'!H60)</f>
        <v>1</v>
      </c>
    </row>
    <row r="61" spans="1:25" ht="15" customHeight="1" x14ac:dyDescent="0.25">
      <c r="A61" s="10" t="str">
        <f>CONCATENATE(LEFT(C61,12),"-",RIGHT(C61,2),"_",TEXT(X61,"ddmmaaaa"),"_",COUNTIF($C$2:C61,C61))</f>
        <v>367157170001-67_04032026_1</v>
      </c>
      <c r="B61" s="10" t="str">
        <f>CONCATENATE(LEFT(C61,12),"-",RIGHT(C61,2),"_",COUNTIF($C$2:C61,C61))</f>
        <v>367157170001-67_1</v>
      </c>
      <c r="C61" s="10" t="s">
        <v>1798</v>
      </c>
      <c r="D61" s="10" t="s">
        <v>1248</v>
      </c>
      <c r="E61" s="10" t="s">
        <v>1555</v>
      </c>
      <c r="F61" s="10" t="s">
        <v>1249</v>
      </c>
      <c r="G61" s="10" t="s">
        <v>1799</v>
      </c>
      <c r="H61" s="11" t="s">
        <v>1800</v>
      </c>
      <c r="I61" s="11" t="s">
        <v>1801</v>
      </c>
      <c r="J61" s="10" t="s">
        <v>1559</v>
      </c>
      <c r="K61" s="10" t="s">
        <v>1560</v>
      </c>
      <c r="L61" s="10" t="s">
        <v>1561</v>
      </c>
      <c r="M61" s="10" t="s">
        <v>1249</v>
      </c>
      <c r="N61" s="10">
        <v>28</v>
      </c>
      <c r="O61" s="11">
        <v>100</v>
      </c>
      <c r="P61" s="11">
        <v>0.1</v>
      </c>
      <c r="Q61" s="10" t="s">
        <v>1562</v>
      </c>
      <c r="R61" s="10">
        <v>80</v>
      </c>
      <c r="S61" s="12">
        <v>2</v>
      </c>
      <c r="T61" s="13">
        <v>48482</v>
      </c>
      <c r="U61" s="14">
        <v>4848.2</v>
      </c>
      <c r="V61" s="10">
        <v>4.43</v>
      </c>
      <c r="W61" s="15">
        <v>214775.25999999998</v>
      </c>
      <c r="X61" s="29">
        <f>VLOOKUP($F61,Agendamento!$B:$J,9,0)</f>
        <v>46085</v>
      </c>
      <c r="Y61" s="6">
        <f>COUNTIF(Analise!F:F,'Obras e Acervos'!H61)</f>
        <v>1</v>
      </c>
    </row>
    <row r="62" spans="1:25" ht="15" customHeight="1" x14ac:dyDescent="0.25">
      <c r="A62" s="10" t="str">
        <f>CONCATENATE(LEFT(C62,12),"-",RIGHT(C62,2),"_",TEXT(X62,"ddmmaaaa"),"_",COUNTIF($C$2:C62,C62))</f>
        <v>421504930001-96_30012026_1</v>
      </c>
      <c r="B62" s="10" t="str">
        <f>CONCATENATE(LEFT(C62,12),"-",RIGHT(C62,2),"_",COUNTIF($C$2:C62,C62))</f>
        <v>421504930001-96_1</v>
      </c>
      <c r="C62" s="10" t="s">
        <v>1802</v>
      </c>
      <c r="D62" s="10" t="s">
        <v>5930</v>
      </c>
      <c r="E62" s="10" t="s">
        <v>1555</v>
      </c>
      <c r="F62" s="10" t="s">
        <v>115</v>
      </c>
      <c r="G62" s="10" t="s">
        <v>1803</v>
      </c>
      <c r="H62" s="11" t="s">
        <v>1804</v>
      </c>
      <c r="I62" s="11" t="s">
        <v>1805</v>
      </c>
      <c r="J62" s="10" t="s">
        <v>1559</v>
      </c>
      <c r="K62" s="10" t="s">
        <v>1560</v>
      </c>
      <c r="L62" s="10" t="s">
        <v>1561</v>
      </c>
      <c r="M62" s="10" t="s">
        <v>115</v>
      </c>
      <c r="N62" s="10">
        <v>44</v>
      </c>
      <c r="O62" s="11">
        <v>121</v>
      </c>
      <c r="P62" s="11">
        <v>0.121</v>
      </c>
      <c r="Q62" s="10" t="s">
        <v>1562</v>
      </c>
      <c r="R62" s="10">
        <v>75</v>
      </c>
      <c r="S62" s="12">
        <v>2</v>
      </c>
      <c r="T62" s="13">
        <v>44785</v>
      </c>
      <c r="U62" s="14">
        <v>5418.9849999999997</v>
      </c>
      <c r="V62" s="10">
        <v>6.11</v>
      </c>
      <c r="W62" s="15">
        <v>273636.35000000003</v>
      </c>
      <c r="X62" s="29">
        <f>VLOOKUP($F62,Agendamento!$B:$J,9,0)</f>
        <v>46052</v>
      </c>
      <c r="Y62" s="6">
        <f>COUNTIF(Analise!F:F,'Obras e Acervos'!H62)</f>
        <v>1</v>
      </c>
    </row>
    <row r="63" spans="1:25" ht="15" customHeight="1" x14ac:dyDescent="0.25">
      <c r="A63" s="10" t="str">
        <f>CONCATENATE(LEFT(C63,12),"-",RIGHT(C63,2),"_",TEXT(X63,"ddmmaaaa"),"_",COUNTIF($C$2:C63,C63))</f>
        <v>438868800001-58_16032026_1</v>
      </c>
      <c r="B63" s="10" t="str">
        <f>CONCATENATE(LEFT(C63,12),"-",RIGHT(C63,2),"_",COUNTIF($C$2:C63,C63))</f>
        <v>438868800001-58_1</v>
      </c>
      <c r="C63" s="10" t="s">
        <v>1806</v>
      </c>
      <c r="D63" s="10" t="s">
        <v>5931</v>
      </c>
      <c r="E63" s="10" t="s">
        <v>1555</v>
      </c>
      <c r="F63" s="10" t="s">
        <v>1501</v>
      </c>
      <c r="G63" s="10" t="s">
        <v>1807</v>
      </c>
      <c r="H63" s="11" t="s">
        <v>1808</v>
      </c>
      <c r="I63" s="11" t="s">
        <v>1809</v>
      </c>
      <c r="J63" s="10" t="s">
        <v>1559</v>
      </c>
      <c r="K63" s="10" t="s">
        <v>1560</v>
      </c>
      <c r="L63" s="10" t="s">
        <v>1561</v>
      </c>
      <c r="M63" s="10" t="s">
        <v>1501</v>
      </c>
      <c r="N63" s="10">
        <v>48</v>
      </c>
      <c r="O63" s="11">
        <v>143</v>
      </c>
      <c r="P63" s="11">
        <v>0.14299999999999999</v>
      </c>
      <c r="Q63" s="10" t="s">
        <v>1562</v>
      </c>
      <c r="R63" s="10">
        <v>80</v>
      </c>
      <c r="S63" s="12">
        <v>2</v>
      </c>
      <c r="T63" s="13">
        <v>43937</v>
      </c>
      <c r="U63" s="14">
        <v>6282.9909999999991</v>
      </c>
      <c r="V63" s="10">
        <v>6.66</v>
      </c>
      <c r="W63" s="15">
        <v>292620.42</v>
      </c>
      <c r="X63" s="29">
        <f>VLOOKUP($F63,Agendamento!$B:$J,9,0)</f>
        <v>46097</v>
      </c>
      <c r="Y63" s="6">
        <f>COUNTIF(Analise!F:F,'Obras e Acervos'!H63)</f>
        <v>1</v>
      </c>
    </row>
    <row r="64" spans="1:25" ht="15" customHeight="1" x14ac:dyDescent="0.25">
      <c r="A64" s="10" t="str">
        <f>CONCATENATE(LEFT(C64,12),"-",RIGHT(C64,2),"_",TEXT(X64,"ddmmaaaa"),"_",COUNTIF($C$2:C64,C64))</f>
        <v>435968440001-50_02032026_1</v>
      </c>
      <c r="B64" s="10" t="str">
        <f>CONCATENATE(LEFT(C64,12),"-",RIGHT(C64,2),"_",COUNTIF($C$2:C64,C64))</f>
        <v>435968440001-50_1</v>
      </c>
      <c r="C64" s="10" t="s">
        <v>1810</v>
      </c>
      <c r="D64" s="10" t="s">
        <v>1070</v>
      </c>
      <c r="E64" s="10" t="s">
        <v>1555</v>
      </c>
      <c r="F64" s="10" t="s">
        <v>1071</v>
      </c>
      <c r="G64" s="10" t="s">
        <v>1811</v>
      </c>
      <c r="H64" s="11" t="s">
        <v>1812</v>
      </c>
      <c r="I64" s="11" t="s">
        <v>1813</v>
      </c>
      <c r="J64" s="10" t="s">
        <v>1559</v>
      </c>
      <c r="K64" s="10" t="s">
        <v>1560</v>
      </c>
      <c r="L64" s="10" t="s">
        <v>1561</v>
      </c>
      <c r="M64" s="10" t="s">
        <v>1071</v>
      </c>
      <c r="N64" s="10">
        <v>48</v>
      </c>
      <c r="O64" s="11">
        <v>143</v>
      </c>
      <c r="P64" s="11">
        <v>0.14299999999999999</v>
      </c>
      <c r="Q64" s="10" t="s">
        <v>1562</v>
      </c>
      <c r="R64" s="10">
        <v>80</v>
      </c>
      <c r="S64" s="12">
        <v>2</v>
      </c>
      <c r="T64" s="13">
        <v>44937</v>
      </c>
      <c r="U64" s="14">
        <v>6425.9909999999991</v>
      </c>
      <c r="V64" s="10">
        <v>6.62</v>
      </c>
      <c r="W64" s="15">
        <v>297482.94</v>
      </c>
      <c r="X64" s="29">
        <f>VLOOKUP($F64,Agendamento!$B:$J,9,0)</f>
        <v>46083</v>
      </c>
      <c r="Y64" s="6">
        <f>COUNTIF(Analise!F:F,'Obras e Acervos'!H64)</f>
        <v>1</v>
      </c>
    </row>
    <row r="65" spans="1:25" ht="15" customHeight="1" x14ac:dyDescent="0.25">
      <c r="A65" s="10" t="str">
        <f>CONCATENATE(LEFT(C65,12),"-",RIGHT(C65,2),"_",TEXT(X65,"ddmmaaaa"),"_",COUNTIF($C$2:C65,C65))</f>
        <v>056623970001-09_03022026_1</v>
      </c>
      <c r="B65" s="10" t="str">
        <f>CONCATENATE(LEFT(C65,12),"-",RIGHT(C65,2),"_",COUNTIF($C$2:C65,C65))</f>
        <v>056623970001-09_1</v>
      </c>
      <c r="C65" s="10" t="s">
        <v>1814</v>
      </c>
      <c r="D65" s="10" t="s">
        <v>5932</v>
      </c>
      <c r="E65" s="10" t="s">
        <v>1555</v>
      </c>
      <c r="F65" s="10" t="s">
        <v>136</v>
      </c>
      <c r="G65" s="10" t="s">
        <v>1815</v>
      </c>
      <c r="H65" s="11" t="s">
        <v>1816</v>
      </c>
      <c r="I65" s="11" t="s">
        <v>1817</v>
      </c>
      <c r="J65" s="10" t="s">
        <v>1559</v>
      </c>
      <c r="K65" s="10" t="s">
        <v>1560</v>
      </c>
      <c r="L65" s="10" t="s">
        <v>1561</v>
      </c>
      <c r="M65" s="10" t="s">
        <v>6179</v>
      </c>
      <c r="N65" s="10">
        <v>32</v>
      </c>
      <c r="O65" s="11">
        <v>88</v>
      </c>
      <c r="P65" s="11">
        <v>8.7999999999999995E-2</v>
      </c>
      <c r="Q65" s="10" t="s">
        <v>1562</v>
      </c>
      <c r="R65" s="10">
        <v>80</v>
      </c>
      <c r="S65" s="12">
        <v>2</v>
      </c>
      <c r="T65" s="13">
        <v>47300</v>
      </c>
      <c r="U65" s="43">
        <v>4162.3999999999996</v>
      </c>
      <c r="V65" s="10">
        <v>5.0199999999999996</v>
      </c>
      <c r="W65" s="15">
        <v>237445.99999999997</v>
      </c>
      <c r="X65" s="29">
        <f>VLOOKUP($F65,Agendamento!$B:$J,9,0)</f>
        <v>46056</v>
      </c>
      <c r="Y65" s="6">
        <f>COUNTIF(Analise!F:F,'Obras e Acervos'!H65)</f>
        <v>1</v>
      </c>
    </row>
    <row r="66" spans="1:25" ht="15" customHeight="1" x14ac:dyDescent="0.25">
      <c r="A66" s="10" t="str">
        <f>CONCATENATE(LEFT(C66,12),"-",RIGHT(C66,2),"_",TEXT(X66,"ddmmaaaa"),"_",COUNTIF($C$2:C66,C66))</f>
        <v>172241710001-05_26022026_1</v>
      </c>
      <c r="B66" s="10" t="str">
        <f>CONCATENATE(LEFT(C66,12),"-",RIGHT(C66,2),"_",COUNTIF($C$2:C66,C66))</f>
        <v>172241710001-05_1</v>
      </c>
      <c r="C66" s="10" t="s">
        <v>1818</v>
      </c>
      <c r="D66" s="10" t="s">
        <v>568</v>
      </c>
      <c r="E66" s="10" t="s">
        <v>1555</v>
      </c>
      <c r="F66" s="10" t="s">
        <v>928</v>
      </c>
      <c r="G66" s="10" t="s">
        <v>1819</v>
      </c>
      <c r="H66" s="11" t="s">
        <v>1820</v>
      </c>
      <c r="I66" s="11" t="s">
        <v>1821</v>
      </c>
      <c r="J66" s="10" t="s">
        <v>1559</v>
      </c>
      <c r="K66" s="10" t="s">
        <v>1560</v>
      </c>
      <c r="L66" s="10" t="s">
        <v>1561</v>
      </c>
      <c r="M66" s="10" t="s">
        <v>928</v>
      </c>
      <c r="N66" s="10">
        <v>36</v>
      </c>
      <c r="O66" s="11">
        <v>110</v>
      </c>
      <c r="P66" s="11">
        <v>0.11</v>
      </c>
      <c r="Q66" s="10" t="s">
        <v>1562</v>
      </c>
      <c r="R66" s="10">
        <v>80</v>
      </c>
      <c r="S66" s="12">
        <v>2</v>
      </c>
      <c r="T66" s="13">
        <v>46119</v>
      </c>
      <c r="U66" s="14">
        <v>5073.09</v>
      </c>
      <c r="V66" s="10">
        <v>5.43</v>
      </c>
      <c r="W66" s="15">
        <v>250426.16999999998</v>
      </c>
      <c r="X66" s="29">
        <f>VLOOKUP($F66,Agendamento!$B:$J,9,0)</f>
        <v>46079</v>
      </c>
      <c r="Y66" s="6">
        <f>COUNTIF(Analise!F:F,'Obras e Acervos'!H66)</f>
        <v>1</v>
      </c>
    </row>
    <row r="67" spans="1:25" ht="15" customHeight="1" x14ac:dyDescent="0.25">
      <c r="A67" s="10" t="str">
        <f>CONCATENATE(LEFT(C67,12),"-",RIGHT(C67,2),"_",TEXT(X67,"ddmmaaaa"),"_",COUNTIF($C$2:C67,C67))</f>
        <v>324554550001-98_20022026_1</v>
      </c>
      <c r="B67" s="10" t="str">
        <f>CONCATENATE(LEFT(C67,12),"-",RIGHT(C67,2),"_",COUNTIF($C$2:C67,C67))</f>
        <v>324554550001-98_1</v>
      </c>
      <c r="C67" s="10" t="s">
        <v>1822</v>
      </c>
      <c r="D67" s="10" t="s">
        <v>661</v>
      </c>
      <c r="E67" s="10" t="s">
        <v>1555</v>
      </c>
      <c r="F67" s="10" t="s">
        <v>662</v>
      </c>
      <c r="G67" s="10" t="s">
        <v>1823</v>
      </c>
      <c r="H67" s="11" t="s">
        <v>1824</v>
      </c>
      <c r="I67" s="11" t="s">
        <v>1825</v>
      </c>
      <c r="J67" s="10" t="s">
        <v>1559</v>
      </c>
      <c r="K67" s="10" t="s">
        <v>1560</v>
      </c>
      <c r="L67" s="10" t="s">
        <v>1561</v>
      </c>
      <c r="M67" s="10" t="s">
        <v>662</v>
      </c>
      <c r="N67" s="10">
        <v>60</v>
      </c>
      <c r="O67" s="11">
        <v>172</v>
      </c>
      <c r="P67" s="11">
        <v>0.17199999999999999</v>
      </c>
      <c r="Q67" s="10" t="s">
        <v>1562</v>
      </c>
      <c r="R67" s="10">
        <v>80</v>
      </c>
      <c r="S67" s="12">
        <v>2</v>
      </c>
      <c r="T67" s="13">
        <v>50588</v>
      </c>
      <c r="U67" s="14">
        <v>8701.1359999999986</v>
      </c>
      <c r="V67" s="10">
        <v>7.19</v>
      </c>
      <c r="W67" s="15">
        <v>363727.72000000003</v>
      </c>
      <c r="X67" s="29">
        <f>VLOOKUP($F67,Agendamento!$B:$J,9,0)</f>
        <v>46073</v>
      </c>
      <c r="Y67" s="6">
        <f>COUNTIF(Analise!F:F,'Obras e Acervos'!H67)</f>
        <v>1</v>
      </c>
    </row>
    <row r="68" spans="1:25" ht="15" customHeight="1" x14ac:dyDescent="0.25">
      <c r="A68" s="10" t="str">
        <f>CONCATENATE(LEFT(C68,12),"-",RIGHT(C68,2),"_",TEXT(X68,"ddmmaaaa"),"_",COUNTIF($C$2:C68,C68))</f>
        <v>404984990001-23_24022026_1</v>
      </c>
      <c r="B68" s="10" t="str">
        <f>CONCATENATE(LEFT(C68,12),"-",RIGHT(C68,2),"_",COUNTIF($C$2:C68,C68))</f>
        <v>404984990001-23_1</v>
      </c>
      <c r="C68" s="10" t="s">
        <v>1826</v>
      </c>
      <c r="D68" s="10" t="s">
        <v>819</v>
      </c>
      <c r="E68" s="10" t="s">
        <v>1555</v>
      </c>
      <c r="F68" s="10" t="s">
        <v>820</v>
      </c>
      <c r="G68" s="10" t="s">
        <v>1827</v>
      </c>
      <c r="H68" s="11" t="s">
        <v>1828</v>
      </c>
      <c r="I68" s="11" t="s">
        <v>1829</v>
      </c>
      <c r="J68" s="10" t="s">
        <v>1559</v>
      </c>
      <c r="K68" s="10" t="s">
        <v>1560</v>
      </c>
      <c r="L68" s="10" t="s">
        <v>1561</v>
      </c>
      <c r="M68" s="10" t="s">
        <v>820</v>
      </c>
      <c r="N68" s="10">
        <v>48</v>
      </c>
      <c r="O68" s="11">
        <v>220</v>
      </c>
      <c r="P68" s="11">
        <v>0.22</v>
      </c>
      <c r="Q68" s="10" t="s">
        <v>1562</v>
      </c>
      <c r="R68" s="10">
        <v>80</v>
      </c>
      <c r="S68" s="12">
        <v>2</v>
      </c>
      <c r="T68" s="13">
        <v>45331</v>
      </c>
      <c r="U68" s="14">
        <v>9972.82</v>
      </c>
      <c r="V68" s="10">
        <v>6.62</v>
      </c>
      <c r="W68" s="15">
        <v>300091.22000000003</v>
      </c>
      <c r="X68" s="29">
        <f>VLOOKUP($F68,Agendamento!$B:$J,9,0)</f>
        <v>46077</v>
      </c>
      <c r="Y68" s="6">
        <f>COUNTIF(Analise!F:F,'Obras e Acervos'!H68)</f>
        <v>1</v>
      </c>
    </row>
    <row r="69" spans="1:25" ht="15" customHeight="1" x14ac:dyDescent="0.25">
      <c r="A69" s="10" t="str">
        <f>CONCATENATE(LEFT(C69,12),"-",RIGHT(C69,2),"_",TEXT(X69,"ddmmaaaa"),"_",COUNTIF($C$2:C69,C69))</f>
        <v>044692800001-32_06022026_1</v>
      </c>
      <c r="B69" s="10" t="str">
        <f>CONCATENATE(LEFT(C69,12),"-",RIGHT(C69,2),"_",COUNTIF($C$2:C69,C69))</f>
        <v>044692800001-32_1</v>
      </c>
      <c r="C69" s="10" t="s">
        <v>1830</v>
      </c>
      <c r="D69" s="10" t="s">
        <v>5933</v>
      </c>
      <c r="E69" s="10" t="s">
        <v>1555</v>
      </c>
      <c r="F69" s="10" t="s">
        <v>192</v>
      </c>
      <c r="G69" s="10" t="s">
        <v>1831</v>
      </c>
      <c r="H69" s="11" t="s">
        <v>1832</v>
      </c>
      <c r="I69" s="11" t="s">
        <v>1833</v>
      </c>
      <c r="J69" s="10" t="s">
        <v>1559</v>
      </c>
      <c r="K69" s="10" t="s">
        <v>1560</v>
      </c>
      <c r="L69" s="10" t="s">
        <v>1561</v>
      </c>
      <c r="M69" s="10" t="s">
        <v>192</v>
      </c>
      <c r="N69" s="10">
        <v>24</v>
      </c>
      <c r="O69" s="11">
        <v>82</v>
      </c>
      <c r="P69" s="11">
        <v>8.2000000000000003E-2</v>
      </c>
      <c r="Q69" s="10" t="s">
        <v>1599</v>
      </c>
      <c r="R69" s="10">
        <v>80</v>
      </c>
      <c r="S69" s="12">
        <v>2</v>
      </c>
      <c r="T69" s="13">
        <v>43377</v>
      </c>
      <c r="U69" s="14">
        <v>3556.9140000000002</v>
      </c>
      <c r="V69" s="10">
        <v>4.3499999999999996</v>
      </c>
      <c r="W69" s="15">
        <v>188689.94999999998</v>
      </c>
      <c r="X69" s="29">
        <f>VLOOKUP($F69,Agendamento!$B:$J,9,0)</f>
        <v>46059</v>
      </c>
      <c r="Y69" s="6">
        <f>COUNTIF(Analise!F:F,'Obras e Acervos'!H69)</f>
        <v>1</v>
      </c>
    </row>
    <row r="70" spans="1:25" ht="15" customHeight="1" x14ac:dyDescent="0.25">
      <c r="A70" s="10" t="str">
        <f>CONCATENATE(LEFT(C70,12),"-",RIGHT(C70,2),"_",TEXT(X70,"ddmmaaaa"),"_",COUNTIF($C$2:C70,C70))</f>
        <v>205132880001-05_20022026_1</v>
      </c>
      <c r="B70" s="10" t="str">
        <f>CONCATENATE(LEFT(C70,12),"-",RIGHT(C70,2),"_",COUNTIF($C$2:C70,C70))</f>
        <v>205132880001-05_1</v>
      </c>
      <c r="C70" s="10" t="s">
        <v>1834</v>
      </c>
      <c r="D70" s="10" t="s">
        <v>634</v>
      </c>
      <c r="E70" s="10" t="s">
        <v>1555</v>
      </c>
      <c r="F70" s="10" t="s">
        <v>635</v>
      </c>
      <c r="G70" s="10" t="s">
        <v>1835</v>
      </c>
      <c r="H70" s="11" t="s">
        <v>1836</v>
      </c>
      <c r="I70" s="11" t="s">
        <v>1837</v>
      </c>
      <c r="J70" s="10" t="s">
        <v>1559</v>
      </c>
      <c r="K70" s="10" t="s">
        <v>1560</v>
      </c>
      <c r="L70" s="10" t="s">
        <v>1561</v>
      </c>
      <c r="M70" s="10" t="s">
        <v>635</v>
      </c>
      <c r="N70" s="10">
        <v>32</v>
      </c>
      <c r="O70" s="11">
        <v>103</v>
      </c>
      <c r="P70" s="11">
        <v>0.10299999999999999</v>
      </c>
      <c r="Q70" s="10" t="s">
        <v>1599</v>
      </c>
      <c r="R70" s="10">
        <v>80</v>
      </c>
      <c r="S70" s="12">
        <v>2</v>
      </c>
      <c r="T70" s="13">
        <v>43558</v>
      </c>
      <c r="U70" s="14">
        <v>4486.4740000000002</v>
      </c>
      <c r="V70" s="10">
        <v>5.08</v>
      </c>
      <c r="W70" s="15">
        <v>221274.64</v>
      </c>
      <c r="X70" s="29">
        <f>VLOOKUP($F70,Agendamento!$B:$J,9,0)</f>
        <v>46073</v>
      </c>
      <c r="Y70" s="6">
        <f>COUNTIF(Analise!F:F,'Obras e Acervos'!H70)</f>
        <v>1</v>
      </c>
    </row>
    <row r="71" spans="1:25" ht="15" customHeight="1" x14ac:dyDescent="0.25">
      <c r="A71" s="10" t="str">
        <f>CONCATENATE(LEFT(C71,12),"-",RIGHT(C71,2),"_",TEXT(X71,"ddmmaaaa"),"_",COUNTIF($C$2:C71,C71))</f>
        <v>434010560001-60_26022026_1</v>
      </c>
      <c r="B71" s="10" t="str">
        <f>CONCATENATE(LEFT(C71,12),"-",RIGHT(C71,2),"_",COUNTIF($C$2:C71,C71))</f>
        <v>434010560001-60_1</v>
      </c>
      <c r="C71" s="10" t="s">
        <v>1838</v>
      </c>
      <c r="D71" s="10" t="s">
        <v>923</v>
      </c>
      <c r="E71" s="10" t="s">
        <v>1555</v>
      </c>
      <c r="F71" s="10" t="s">
        <v>924</v>
      </c>
      <c r="G71" s="10" t="s">
        <v>1839</v>
      </c>
      <c r="H71" s="11" t="s">
        <v>1840</v>
      </c>
      <c r="I71" s="11" t="s">
        <v>1841</v>
      </c>
      <c r="J71" s="10" t="s">
        <v>1559</v>
      </c>
      <c r="K71" s="10" t="s">
        <v>1560</v>
      </c>
      <c r="L71" s="10" t="s">
        <v>1561</v>
      </c>
      <c r="M71" s="10" t="s">
        <v>924</v>
      </c>
      <c r="N71" s="10">
        <v>32</v>
      </c>
      <c r="O71" s="11">
        <v>115</v>
      </c>
      <c r="P71" s="11">
        <v>0.115</v>
      </c>
      <c r="Q71" s="10" t="s">
        <v>1562</v>
      </c>
      <c r="R71" s="10">
        <v>80</v>
      </c>
      <c r="S71" s="12">
        <v>2</v>
      </c>
      <c r="T71" s="13">
        <v>43149</v>
      </c>
      <c r="U71" s="14">
        <v>4962.1350000000002</v>
      </c>
      <c r="V71" s="10">
        <v>5.0999999999999996</v>
      </c>
      <c r="W71" s="15">
        <v>220059.9</v>
      </c>
      <c r="X71" s="29">
        <f>VLOOKUP($F71,Agendamento!$B:$J,9,0)</f>
        <v>46079</v>
      </c>
      <c r="Y71" s="6">
        <f>COUNTIF(Analise!F:F,'Obras e Acervos'!H71)</f>
        <v>1</v>
      </c>
    </row>
    <row r="72" spans="1:25" x14ac:dyDescent="0.25">
      <c r="A72" s="10" t="str">
        <f>CONCATENATE(LEFT(C72,12),"-",RIGHT(C72,2),"_",TEXT(X72,"ddmmaaaa"),"_",COUNTIF($C$2:C72,C72))</f>
        <v>481817540001-11_19022026_1</v>
      </c>
      <c r="B72" s="10" t="str">
        <f>CONCATENATE(LEFT(C72,12),"-",RIGHT(C72,2),"_",COUNTIF($C$2:C72,C72))</f>
        <v>481817540001-11_1</v>
      </c>
      <c r="C72" s="10" t="s">
        <v>1842</v>
      </c>
      <c r="D72" s="10" t="s">
        <v>5934</v>
      </c>
      <c r="E72" s="10" t="s">
        <v>1555</v>
      </c>
      <c r="F72" s="10" t="s">
        <v>610</v>
      </c>
      <c r="G72" s="10" t="s">
        <v>1843</v>
      </c>
      <c r="H72" s="11" t="s">
        <v>1844</v>
      </c>
      <c r="I72" s="11" t="s">
        <v>1845</v>
      </c>
      <c r="J72" s="10" t="s">
        <v>1559</v>
      </c>
      <c r="K72" s="10" t="s">
        <v>1560</v>
      </c>
      <c r="L72" s="10" t="s">
        <v>1561</v>
      </c>
      <c r="M72" s="10" t="s">
        <v>610</v>
      </c>
      <c r="N72" s="10">
        <v>40</v>
      </c>
      <c r="O72" s="11">
        <v>120</v>
      </c>
      <c r="P72" s="11">
        <v>0.12</v>
      </c>
      <c r="Q72" s="10" t="s">
        <v>1562</v>
      </c>
      <c r="R72" s="10">
        <v>80</v>
      </c>
      <c r="S72" s="12">
        <v>2</v>
      </c>
      <c r="T72" s="13">
        <v>52376</v>
      </c>
      <c r="U72" s="14">
        <v>6285.12</v>
      </c>
      <c r="V72" s="10">
        <v>5.34</v>
      </c>
      <c r="W72" s="15">
        <v>279687.83999999997</v>
      </c>
      <c r="X72" s="29">
        <f>VLOOKUP($F72,Agendamento!$B:$J,9,0)</f>
        <v>46072</v>
      </c>
      <c r="Y72" s="6">
        <f>COUNTIF(Analise!F:F,'Obras e Acervos'!H72)</f>
        <v>1</v>
      </c>
    </row>
    <row r="73" spans="1:25" ht="15" customHeight="1" x14ac:dyDescent="0.25">
      <c r="A73" s="10" t="str">
        <f>CONCATENATE(LEFT(C73,12),"-",RIGHT(C73,2),"_",TEXT(X73,"ddmmaaaa"),"_",COUNTIF($C$2:C73,C73))</f>
        <v>435964270001-07_03032026_1</v>
      </c>
      <c r="B73" s="10" t="str">
        <f>CONCATENATE(LEFT(C73,12),"-",RIGHT(C73,2),"_",COUNTIF($C$2:C73,C73))</f>
        <v>435964270001-07_1</v>
      </c>
      <c r="C73" s="10" t="s">
        <v>1846</v>
      </c>
      <c r="D73" s="10" t="s">
        <v>1093</v>
      </c>
      <c r="E73" s="10" t="s">
        <v>1555</v>
      </c>
      <c r="F73" s="10" t="s">
        <v>1094</v>
      </c>
      <c r="G73" s="10" t="s">
        <v>1847</v>
      </c>
      <c r="H73" s="11" t="s">
        <v>1848</v>
      </c>
      <c r="I73" s="11" t="s">
        <v>1849</v>
      </c>
      <c r="J73" s="10" t="s">
        <v>1559</v>
      </c>
      <c r="K73" s="10" t="s">
        <v>1560</v>
      </c>
      <c r="L73" s="10" t="s">
        <v>1561</v>
      </c>
      <c r="M73" s="10" t="s">
        <v>1094</v>
      </c>
      <c r="N73" s="10">
        <v>32</v>
      </c>
      <c r="O73" s="11">
        <v>105</v>
      </c>
      <c r="P73" s="11">
        <v>0.105</v>
      </c>
      <c r="Q73" s="10" t="s">
        <v>1562</v>
      </c>
      <c r="R73" s="10">
        <v>80</v>
      </c>
      <c r="S73" s="12">
        <v>2</v>
      </c>
      <c r="T73" s="13">
        <v>44846</v>
      </c>
      <c r="U73" s="14">
        <v>4708.83</v>
      </c>
      <c r="V73" s="10">
        <v>5.07</v>
      </c>
      <c r="W73" s="15">
        <v>227369.22</v>
      </c>
      <c r="X73" s="29">
        <f>VLOOKUP($F73,Agendamento!$B:$J,9,0)</f>
        <v>46084</v>
      </c>
      <c r="Y73" s="6">
        <f>COUNTIF(Analise!F:F,'Obras e Acervos'!H73)</f>
        <v>1</v>
      </c>
    </row>
    <row r="74" spans="1:25" ht="15" customHeight="1" x14ac:dyDescent="0.25">
      <c r="A74" s="10" t="str">
        <f>CONCATENATE(LEFT(C74,12),"-",RIGHT(C74,2),"_",TEXT(X74,"ddmmaaaa"),"_",COUNTIF($C$2:C74,C74))</f>
        <v>056993780001-49_27012026_1</v>
      </c>
      <c r="B74" s="10" t="str">
        <f>CONCATENATE(LEFT(C74,12),"-",RIGHT(C74,2),"_",COUNTIF($C$2:C74,C74))</f>
        <v>056993780001-49_1</v>
      </c>
      <c r="C74" s="21" t="s">
        <v>1850</v>
      </c>
      <c r="D74" s="10" t="s">
        <v>42</v>
      </c>
      <c r="E74" s="10" t="s">
        <v>1555</v>
      </c>
      <c r="F74" s="10" t="s">
        <v>45</v>
      </c>
      <c r="G74" s="10" t="s">
        <v>1851</v>
      </c>
      <c r="H74" s="22" t="s">
        <v>1852</v>
      </c>
      <c r="I74" s="27" t="s">
        <v>1853</v>
      </c>
      <c r="J74" s="10" t="s">
        <v>1559</v>
      </c>
      <c r="K74" s="10" t="s">
        <v>1560</v>
      </c>
      <c r="L74" s="10" t="s">
        <v>1561</v>
      </c>
      <c r="M74" s="10" t="s">
        <v>45</v>
      </c>
      <c r="N74" s="10">
        <v>40</v>
      </c>
      <c r="O74" s="11">
        <v>117</v>
      </c>
      <c r="P74" s="22">
        <v>0.11700000000000001</v>
      </c>
      <c r="Q74" s="10" t="s">
        <v>1562</v>
      </c>
      <c r="R74" s="10">
        <v>80</v>
      </c>
      <c r="S74" s="12">
        <v>7</v>
      </c>
      <c r="T74" s="23">
        <v>33601</v>
      </c>
      <c r="U74" s="24">
        <v>3931.317</v>
      </c>
      <c r="V74" s="10">
        <v>5.49</v>
      </c>
      <c r="W74" s="15">
        <v>263756.07</v>
      </c>
      <c r="X74" s="29">
        <f>VLOOKUP($F74,Agendamento!$B:$J,9,0)</f>
        <v>46049</v>
      </c>
      <c r="Y74" s="6">
        <f>COUNTIF(Analise!F:F,'Obras e Acervos'!H74)</f>
        <v>1</v>
      </c>
    </row>
    <row r="75" spans="1:25" ht="15" customHeight="1" x14ac:dyDescent="0.25">
      <c r="A75" s="10" t="str">
        <f>CONCATENATE(LEFT(C75,12),"-",RIGHT(C75,2),"_",TEXT(X75,"ddmmaaaa"),"_",COUNTIF($C$2:C75,C75))</f>
        <v>349425870001-70_00011900_1</v>
      </c>
      <c r="B75" s="10" t="str">
        <f>CONCATENATE(LEFT(C75,12),"-",RIGHT(C75,2),"_",COUNTIF($C$2:C75,C75))</f>
        <v>349425870001-70_1</v>
      </c>
      <c r="C75" s="10" t="s">
        <v>1854</v>
      </c>
      <c r="D75" s="10" t="s">
        <v>5935</v>
      </c>
      <c r="E75" s="10" t="s">
        <v>1555</v>
      </c>
      <c r="F75" s="10" t="s">
        <v>1514</v>
      </c>
      <c r="G75" s="10" t="s">
        <v>1855</v>
      </c>
      <c r="H75" s="11" t="s">
        <v>1856</v>
      </c>
      <c r="I75" s="11" t="s">
        <v>1857</v>
      </c>
      <c r="J75" s="10" t="s">
        <v>1559</v>
      </c>
      <c r="K75" s="10" t="s">
        <v>1560</v>
      </c>
      <c r="L75" s="10" t="s">
        <v>1561</v>
      </c>
      <c r="M75" s="10" t="s">
        <v>1514</v>
      </c>
      <c r="N75" s="10">
        <v>56</v>
      </c>
      <c r="O75" s="11">
        <v>91</v>
      </c>
      <c r="P75" s="11">
        <v>9.0999999999999998E-2</v>
      </c>
      <c r="Q75" s="10" t="s">
        <v>1562</v>
      </c>
      <c r="R75" s="10">
        <v>75</v>
      </c>
      <c r="S75" s="12">
        <v>2</v>
      </c>
      <c r="T75" s="13">
        <v>48512</v>
      </c>
      <c r="U75" s="14">
        <v>4414.5919999999996</v>
      </c>
      <c r="V75" s="10">
        <v>6.81</v>
      </c>
      <c r="W75" s="15">
        <v>330366.71999999997</v>
      </c>
      <c r="X75" s="29">
        <f>VLOOKUP($F75,Agendamento!$B:$J,9,0)</f>
        <v>0</v>
      </c>
      <c r="Y75" s="6">
        <f>COUNTIF(Analise!F:F,'Obras e Acervos'!H75)</f>
        <v>1</v>
      </c>
    </row>
    <row r="76" spans="1:25" ht="15" customHeight="1" x14ac:dyDescent="0.25">
      <c r="A76" s="10" t="str">
        <f>CONCATENATE(LEFT(C76,12),"-",RIGHT(C76,2),"_",TEXT(X76,"ddmmaaaa"),"_",COUNTIF($C$2:C76,C76))</f>
        <v>281400850001-22_27022026_1</v>
      </c>
      <c r="B76" s="10" t="str">
        <f>CONCATENATE(LEFT(C76,12),"-",RIGHT(C76,2),"_",COUNTIF($C$2:C76,C76))</f>
        <v>281400850001-22_1</v>
      </c>
      <c r="C76" s="10" t="s">
        <v>1858</v>
      </c>
      <c r="D76" s="10" t="s">
        <v>864</v>
      </c>
      <c r="E76" s="10" t="s">
        <v>1555</v>
      </c>
      <c r="F76" s="10" t="s">
        <v>980</v>
      </c>
      <c r="G76" s="10" t="s">
        <v>1859</v>
      </c>
      <c r="H76" s="11" t="s">
        <v>1860</v>
      </c>
      <c r="I76" s="11" t="s">
        <v>1861</v>
      </c>
      <c r="J76" s="10" t="s">
        <v>1559</v>
      </c>
      <c r="K76" s="10" t="s">
        <v>1560</v>
      </c>
      <c r="L76" s="10" t="s">
        <v>1561</v>
      </c>
      <c r="M76" s="10" t="s">
        <v>980</v>
      </c>
      <c r="N76" s="10">
        <v>36</v>
      </c>
      <c r="O76" s="11">
        <v>109</v>
      </c>
      <c r="P76" s="11">
        <v>0.109</v>
      </c>
      <c r="Q76" s="10" t="s">
        <v>1562</v>
      </c>
      <c r="R76" s="10">
        <v>80</v>
      </c>
      <c r="S76" s="12">
        <v>2</v>
      </c>
      <c r="T76" s="13">
        <v>57648</v>
      </c>
      <c r="U76" s="14">
        <v>6283.6319999999996</v>
      </c>
      <c r="V76" s="10">
        <v>4.91</v>
      </c>
      <c r="W76" s="15">
        <v>283051.68</v>
      </c>
      <c r="X76" s="29">
        <f>VLOOKUP($F76,Agendamento!$B:$J,9,0)</f>
        <v>46080</v>
      </c>
      <c r="Y76" s="6">
        <f>COUNTIF(Analise!F:F,'Obras e Acervos'!H76)</f>
        <v>1</v>
      </c>
    </row>
    <row r="77" spans="1:25" ht="15" customHeight="1" x14ac:dyDescent="0.25">
      <c r="A77" s="10" t="str">
        <f>CONCATENATE(LEFT(C77,12),"-",RIGHT(C77,2),"_",TEXT(X77,"ddmmaaaa"),"_",COUNTIF($C$2:C77,C77))</f>
        <v>170777540001-42_27022026_1</v>
      </c>
      <c r="B77" s="10" t="str">
        <f>CONCATENATE(LEFT(C77,12),"-",RIGHT(C77,2),"_",COUNTIF($C$2:C77,C77))</f>
        <v>170777540001-42_1</v>
      </c>
      <c r="C77" s="10" t="s">
        <v>1862</v>
      </c>
      <c r="D77" s="10" t="s">
        <v>171</v>
      </c>
      <c r="E77" s="10" t="s">
        <v>1555</v>
      </c>
      <c r="F77" s="10" t="s">
        <v>1172</v>
      </c>
      <c r="G77" s="10" t="s">
        <v>1863</v>
      </c>
      <c r="H77" s="11" t="s">
        <v>1864</v>
      </c>
      <c r="I77" s="11" t="s">
        <v>1865</v>
      </c>
      <c r="J77" s="10" t="s">
        <v>1559</v>
      </c>
      <c r="K77" s="10" t="s">
        <v>1560</v>
      </c>
      <c r="L77" s="10" t="s">
        <v>1561</v>
      </c>
      <c r="M77" s="10" t="s">
        <v>1172</v>
      </c>
      <c r="N77" s="10">
        <v>24</v>
      </c>
      <c r="O77" s="11">
        <v>85</v>
      </c>
      <c r="P77" s="11">
        <v>8.5000000000000006E-2</v>
      </c>
      <c r="Q77" s="10" t="s">
        <v>1562</v>
      </c>
      <c r="R77" s="10">
        <v>80</v>
      </c>
      <c r="S77" s="12">
        <v>2</v>
      </c>
      <c r="T77" s="13">
        <v>51633</v>
      </c>
      <c r="U77" s="14">
        <v>4388.8050000000003</v>
      </c>
      <c r="V77" s="10">
        <v>3.89</v>
      </c>
      <c r="W77" s="15">
        <v>200852.37</v>
      </c>
      <c r="X77" s="29">
        <f>VLOOKUP($F77,Agendamento!$B:$J,9,0)</f>
        <v>46080</v>
      </c>
      <c r="Y77" s="6">
        <f>COUNTIF(Analise!F:F,'Obras e Acervos'!H77)</f>
        <v>1</v>
      </c>
    </row>
    <row r="78" spans="1:25" ht="15" customHeight="1" x14ac:dyDescent="0.25">
      <c r="A78" s="10" t="str">
        <f>CONCATENATE(LEFT(C78,12),"-",RIGHT(C78,2),"_",TEXT(X78,"ddmmaaaa"),"_",COUNTIF($C$2:C78,C78))</f>
        <v>349426710001-93_00011900_1</v>
      </c>
      <c r="B78" s="10" t="str">
        <f>CONCATENATE(LEFT(C78,12),"-",RIGHT(C78,2),"_",COUNTIF($C$2:C78,C78))</f>
        <v>349426710001-93_1</v>
      </c>
      <c r="C78" s="10" t="s">
        <v>1866</v>
      </c>
      <c r="D78" s="10" t="s">
        <v>5936</v>
      </c>
      <c r="E78" s="10" t="s">
        <v>1555</v>
      </c>
      <c r="F78" s="10" t="s">
        <v>1517</v>
      </c>
      <c r="G78" s="10" t="s">
        <v>1867</v>
      </c>
      <c r="H78" s="11" t="s">
        <v>1868</v>
      </c>
      <c r="I78" s="11" t="s">
        <v>1869</v>
      </c>
      <c r="J78" s="10" t="s">
        <v>1559</v>
      </c>
      <c r="K78" s="10" t="s">
        <v>1560</v>
      </c>
      <c r="L78" s="10" t="s">
        <v>1561</v>
      </c>
      <c r="M78" s="10" t="s">
        <v>1517</v>
      </c>
      <c r="N78" s="10">
        <v>48</v>
      </c>
      <c r="O78" s="11">
        <v>80</v>
      </c>
      <c r="P78" s="11">
        <v>0.08</v>
      </c>
      <c r="Q78" s="10" t="s">
        <v>1562</v>
      </c>
      <c r="R78" s="10">
        <v>75</v>
      </c>
      <c r="S78" s="12">
        <v>2</v>
      </c>
      <c r="T78" s="13">
        <v>46497</v>
      </c>
      <c r="U78" s="14">
        <v>3719.76</v>
      </c>
      <c r="V78" s="10">
        <v>6.47</v>
      </c>
      <c r="W78" s="15">
        <v>300835.58999999997</v>
      </c>
      <c r="X78" s="29">
        <f>VLOOKUP($F78,Agendamento!$B:$J,9,0)</f>
        <v>0</v>
      </c>
      <c r="Y78" s="6">
        <f>COUNTIF(Analise!F:F,'Obras e Acervos'!H78)</f>
        <v>1</v>
      </c>
    </row>
    <row r="79" spans="1:25" ht="15" customHeight="1" x14ac:dyDescent="0.25">
      <c r="A79" s="10" t="str">
        <f>CONCATENATE(LEFT(C79,12),"-",RIGHT(C79,2),"_",TEXT(X79,"ddmmaaaa"),"_",COUNTIF($C$2:C79,C79))</f>
        <v>437333480001-09_27022026_1</v>
      </c>
      <c r="B79" s="10" t="str">
        <f>CONCATENATE(LEFT(C79,12),"-",RIGHT(C79,2),"_",COUNTIF($C$2:C79,C79))</f>
        <v>437333480001-09_1</v>
      </c>
      <c r="C79" s="10" t="s">
        <v>1870</v>
      </c>
      <c r="D79" s="10" t="s">
        <v>5937</v>
      </c>
      <c r="E79" s="10" t="s">
        <v>1555</v>
      </c>
      <c r="F79" s="10" t="s">
        <v>990</v>
      </c>
      <c r="G79" s="10" t="s">
        <v>1871</v>
      </c>
      <c r="H79" s="11" t="s">
        <v>1872</v>
      </c>
      <c r="I79" s="11" t="s">
        <v>1873</v>
      </c>
      <c r="J79" s="10" t="s">
        <v>1559</v>
      </c>
      <c r="K79" s="10" t="s">
        <v>1560</v>
      </c>
      <c r="L79" s="10" t="s">
        <v>1561</v>
      </c>
      <c r="M79" s="10" t="s">
        <v>990</v>
      </c>
      <c r="N79" s="10">
        <v>32</v>
      </c>
      <c r="O79" s="11">
        <v>76</v>
      </c>
      <c r="P79" s="11">
        <v>7.5999999999999998E-2</v>
      </c>
      <c r="Q79" s="10" t="s">
        <v>1562</v>
      </c>
      <c r="R79" s="10">
        <v>80</v>
      </c>
      <c r="S79" s="12">
        <v>2</v>
      </c>
      <c r="T79" s="13">
        <v>45467</v>
      </c>
      <c r="U79" s="14">
        <v>3455.4919999999997</v>
      </c>
      <c r="V79" s="10">
        <v>5.05</v>
      </c>
      <c r="W79" s="15">
        <v>229608.35</v>
      </c>
      <c r="X79" s="29">
        <f>VLOOKUP($F79,Agendamento!$B:$J,9,0)</f>
        <v>46080</v>
      </c>
      <c r="Y79" s="6">
        <f>COUNTIF(Analise!F:F,'Obras e Acervos'!H79)</f>
        <v>1</v>
      </c>
    </row>
    <row r="80" spans="1:25" ht="15" customHeight="1" x14ac:dyDescent="0.25">
      <c r="A80" s="10" t="str">
        <f>CONCATENATE(LEFT(C80,12),"-",RIGHT(C80,2),"_",TEXT(X80,"ddmmaaaa"),"_",COUNTIF($C$2:C80,C80))</f>
        <v>445512800001-00_04032026_1</v>
      </c>
      <c r="B80" s="10" t="str">
        <f>CONCATENATE(LEFT(C80,12),"-",RIGHT(C80,2),"_",COUNTIF($C$2:C80,C80))</f>
        <v>445512800001-00_1</v>
      </c>
      <c r="C80" s="10" t="s">
        <v>1874</v>
      </c>
      <c r="D80" s="10" t="s">
        <v>1218</v>
      </c>
      <c r="E80" s="10" t="s">
        <v>1555</v>
      </c>
      <c r="F80" s="10" t="s">
        <v>1220</v>
      </c>
      <c r="G80" s="10" t="s">
        <v>1875</v>
      </c>
      <c r="H80" s="11" t="s">
        <v>1876</v>
      </c>
      <c r="I80" s="11" t="s">
        <v>1877</v>
      </c>
      <c r="J80" s="10" t="s">
        <v>1559</v>
      </c>
      <c r="K80" s="10" t="s">
        <v>1560</v>
      </c>
      <c r="L80" s="10" t="s">
        <v>1561</v>
      </c>
      <c r="M80" s="10" t="s">
        <v>1220</v>
      </c>
      <c r="N80" s="10">
        <v>32</v>
      </c>
      <c r="O80" s="11">
        <v>103</v>
      </c>
      <c r="P80" s="11">
        <v>0.10299999999999999</v>
      </c>
      <c r="Q80" s="10" t="s">
        <v>1562</v>
      </c>
      <c r="R80" s="10">
        <v>80</v>
      </c>
      <c r="S80" s="12">
        <v>2</v>
      </c>
      <c r="T80" s="13">
        <v>43755</v>
      </c>
      <c r="U80" s="14">
        <v>4506.7649999999994</v>
      </c>
      <c r="V80" s="10">
        <v>5.08</v>
      </c>
      <c r="W80" s="15">
        <v>222275.4</v>
      </c>
      <c r="X80" s="29">
        <f>VLOOKUP($F80,Agendamento!$B:$J,9,0)</f>
        <v>46085</v>
      </c>
      <c r="Y80" s="6">
        <f>COUNTIF(Analise!F:F,'Obras e Acervos'!H80)</f>
        <v>1</v>
      </c>
    </row>
    <row r="81" spans="1:25" ht="15" customHeight="1" x14ac:dyDescent="0.25">
      <c r="A81" s="10" t="str">
        <f>CONCATENATE(LEFT(C81,12),"-",RIGHT(C81,2),"_",TEXT(X81,"ddmmaaaa"),"_",COUNTIF($C$2:C81,C81))</f>
        <v>048415830001-34_16022026_1</v>
      </c>
      <c r="B81" s="10" t="str">
        <f>CONCATENATE(LEFT(C81,12),"-",RIGHT(C81,2),"_",COUNTIF($C$2:C81,C81))</f>
        <v>048415830001-34_1</v>
      </c>
      <c r="C81" s="10" t="s">
        <v>1878</v>
      </c>
      <c r="D81" s="10" t="s">
        <v>5938</v>
      </c>
      <c r="E81" s="10" t="s">
        <v>1555</v>
      </c>
      <c r="F81" s="10" t="s">
        <v>505</v>
      </c>
      <c r="G81" s="10" t="s">
        <v>1879</v>
      </c>
      <c r="H81" s="11" t="s">
        <v>1880</v>
      </c>
      <c r="I81" s="11" t="s">
        <v>1881</v>
      </c>
      <c r="J81" s="10" t="s">
        <v>1559</v>
      </c>
      <c r="K81" s="10" t="s">
        <v>1560</v>
      </c>
      <c r="L81" s="10" t="s">
        <v>1561</v>
      </c>
      <c r="M81" s="10" t="s">
        <v>505</v>
      </c>
      <c r="N81" s="10">
        <v>40</v>
      </c>
      <c r="O81" s="11">
        <v>128</v>
      </c>
      <c r="P81" s="11">
        <v>0.128</v>
      </c>
      <c r="Q81" s="10" t="s">
        <v>1599</v>
      </c>
      <c r="R81" s="10">
        <v>80</v>
      </c>
      <c r="S81" s="12">
        <v>2</v>
      </c>
      <c r="T81" s="13">
        <v>43907</v>
      </c>
      <c r="U81" s="14">
        <v>5620.0960000000005</v>
      </c>
      <c r="V81" s="10">
        <v>5.87</v>
      </c>
      <c r="W81" s="15">
        <v>257734.09</v>
      </c>
      <c r="X81" s="29">
        <f>VLOOKUP($F81,Agendamento!$B:$J,9,0)</f>
        <v>46069</v>
      </c>
      <c r="Y81" s="6">
        <f>COUNTIF(Analise!F:F,'Obras e Acervos'!H81)</f>
        <v>1</v>
      </c>
    </row>
    <row r="82" spans="1:25" ht="15" customHeight="1" x14ac:dyDescent="0.25">
      <c r="A82" s="10" t="str">
        <f>CONCATENATE(LEFT(C82,12),"-",RIGHT(C82,2),"_",TEXT(X82,"ddmmaaaa"),"_",COUNTIF($C$2:C82,C82))</f>
        <v>407167490001-54_16022026_1</v>
      </c>
      <c r="B82" s="10" t="str">
        <f>CONCATENATE(LEFT(C82,12),"-",RIGHT(C82,2),"_",COUNTIF($C$2:C82,C82))</f>
        <v>407167490001-54_1</v>
      </c>
      <c r="C82" s="10" t="s">
        <v>1882</v>
      </c>
      <c r="D82" s="10" t="s">
        <v>5939</v>
      </c>
      <c r="E82" s="10" t="s">
        <v>1555</v>
      </c>
      <c r="F82" s="10" t="s">
        <v>546</v>
      </c>
      <c r="G82" s="10" t="s">
        <v>1883</v>
      </c>
      <c r="H82" s="11" t="s">
        <v>1884</v>
      </c>
      <c r="I82" s="11" t="s">
        <v>1885</v>
      </c>
      <c r="J82" s="10" t="s">
        <v>1559</v>
      </c>
      <c r="K82" s="10" t="s">
        <v>1560</v>
      </c>
      <c r="L82" s="10" t="s">
        <v>1561</v>
      </c>
      <c r="M82" s="10" t="s">
        <v>6180</v>
      </c>
      <c r="N82" s="10">
        <v>32</v>
      </c>
      <c r="O82" s="11">
        <v>150</v>
      </c>
      <c r="P82" s="11">
        <v>0.15</v>
      </c>
      <c r="Q82" s="10" t="s">
        <v>1562</v>
      </c>
      <c r="R82" s="10">
        <v>84</v>
      </c>
      <c r="S82" s="12">
        <v>3</v>
      </c>
      <c r="T82" s="13">
        <v>48427</v>
      </c>
      <c r="U82" s="14">
        <v>7264.05</v>
      </c>
      <c r="V82" s="10">
        <v>4.8099999999999996</v>
      </c>
      <c r="W82" s="15">
        <v>232933.87</v>
      </c>
      <c r="X82" s="29">
        <f>VLOOKUP($F82,Agendamento!$B:$J,9,0)</f>
        <v>46069</v>
      </c>
      <c r="Y82" s="6">
        <f>COUNTIF(Analise!F:F,'Obras e Acervos'!H82)</f>
        <v>1</v>
      </c>
    </row>
    <row r="83" spans="1:25" ht="15" customHeight="1" x14ac:dyDescent="0.25">
      <c r="A83" s="10" t="str">
        <f>CONCATENATE(LEFT(C83,12),"-",RIGHT(C83,2),"_",TEXT(X83,"ddmmaaaa"),"_",COUNTIF($C$2:C83,C83))</f>
        <v>439673590001-45_09022026_1</v>
      </c>
      <c r="B83" s="10" t="str">
        <f>CONCATENATE(LEFT(C83,12),"-",RIGHT(C83,2),"_",COUNTIF($C$2:C83,C83))</f>
        <v>439673590001-45_1</v>
      </c>
      <c r="C83" s="10" t="s">
        <v>1886</v>
      </c>
      <c r="D83" s="10" t="s">
        <v>216</v>
      </c>
      <c r="E83" s="10" t="s">
        <v>1555</v>
      </c>
      <c r="F83" s="10" t="s">
        <v>217</v>
      </c>
      <c r="G83" s="10" t="s">
        <v>1887</v>
      </c>
      <c r="H83" s="11" t="s">
        <v>1888</v>
      </c>
      <c r="I83" s="11" t="s">
        <v>1889</v>
      </c>
      <c r="J83" s="10" t="s">
        <v>1559</v>
      </c>
      <c r="K83" s="10" t="s">
        <v>1560</v>
      </c>
      <c r="L83" s="10" t="s">
        <v>1561</v>
      </c>
      <c r="M83" s="10" t="s">
        <v>217</v>
      </c>
      <c r="N83" s="10">
        <v>32</v>
      </c>
      <c r="O83" s="11">
        <v>105</v>
      </c>
      <c r="P83" s="11">
        <v>0.105</v>
      </c>
      <c r="Q83" s="10" t="s">
        <v>1562</v>
      </c>
      <c r="R83" s="10">
        <v>80</v>
      </c>
      <c r="S83" s="12">
        <v>3</v>
      </c>
      <c r="T83" s="13">
        <v>48275</v>
      </c>
      <c r="U83" s="14">
        <v>5068.875</v>
      </c>
      <c r="V83" s="10">
        <v>4.75</v>
      </c>
      <c r="W83" s="15">
        <v>229306.25</v>
      </c>
      <c r="X83" s="29">
        <f>VLOOKUP($F83,Agendamento!$B:$J,9,0)</f>
        <v>46062</v>
      </c>
      <c r="Y83" s="6">
        <f>COUNTIF(Analise!F:F,'Obras e Acervos'!H83)</f>
        <v>1</v>
      </c>
    </row>
    <row r="84" spans="1:25" ht="15" customHeight="1" x14ac:dyDescent="0.25">
      <c r="A84" s="10" t="str">
        <f>CONCATENATE(LEFT(C84,12),"-",RIGHT(C84,2),"_",TEXT(X84,"ddmmaaaa"),"_",COUNTIF($C$2:C84,C84))</f>
        <v>286919710001-44_09032026_1</v>
      </c>
      <c r="B84" s="10" t="str">
        <f>CONCATENATE(LEFT(C84,12),"-",RIGHT(C84,2),"_",COUNTIF($C$2:C84,C84))</f>
        <v>286919710001-44_1</v>
      </c>
      <c r="C84" s="10" t="s">
        <v>1890</v>
      </c>
      <c r="D84" s="10" t="s">
        <v>5940</v>
      </c>
      <c r="E84" s="10" t="s">
        <v>1555</v>
      </c>
      <c r="F84" s="10" t="s">
        <v>1327</v>
      </c>
      <c r="G84" s="10" t="s">
        <v>1891</v>
      </c>
      <c r="H84" s="11" t="s">
        <v>1892</v>
      </c>
      <c r="I84" s="11" t="s">
        <v>1893</v>
      </c>
      <c r="J84" s="10" t="s">
        <v>1559</v>
      </c>
      <c r="K84" s="10" t="s">
        <v>1560</v>
      </c>
      <c r="L84" s="10" t="s">
        <v>1561</v>
      </c>
      <c r="M84" s="10" t="s">
        <v>1327</v>
      </c>
      <c r="N84" s="10">
        <v>28</v>
      </c>
      <c r="O84" s="11">
        <v>96</v>
      </c>
      <c r="P84" s="11">
        <v>9.6000000000000002E-2</v>
      </c>
      <c r="Q84" s="10" t="s">
        <v>1562</v>
      </c>
      <c r="R84" s="10">
        <v>80</v>
      </c>
      <c r="S84" s="12">
        <v>3</v>
      </c>
      <c r="T84" s="13">
        <v>49714</v>
      </c>
      <c r="U84" s="14">
        <v>4772.5439999999999</v>
      </c>
      <c r="V84" s="10">
        <v>4.3499999999999996</v>
      </c>
      <c r="W84" s="15">
        <v>216255.9</v>
      </c>
      <c r="X84" s="29">
        <f>VLOOKUP($F84,Agendamento!$B:$J,9,0)</f>
        <v>46090</v>
      </c>
      <c r="Y84" s="6">
        <f>COUNTIF(Analise!F:F,'Obras e Acervos'!H84)</f>
        <v>1</v>
      </c>
    </row>
    <row r="85" spans="1:25" ht="15" customHeight="1" x14ac:dyDescent="0.25">
      <c r="A85" s="10" t="str">
        <f>CONCATENATE(LEFT(C85,12),"-",RIGHT(C85,2),"_",TEXT(X85,"ddmmaaaa"),"_",COUNTIF($C$2:C85,C85))</f>
        <v>433984660001-08_16032026_1</v>
      </c>
      <c r="B85" s="10" t="str">
        <f>CONCATENATE(LEFT(C85,12),"-",RIGHT(C85,2),"_",COUNTIF($C$2:C85,C85))</f>
        <v>433984660001-08_1</v>
      </c>
      <c r="C85" s="10" t="s">
        <v>1894</v>
      </c>
      <c r="D85" s="10" t="s">
        <v>1238</v>
      </c>
      <c r="E85" s="10" t="s">
        <v>1555</v>
      </c>
      <c r="F85" s="10" t="s">
        <v>1386</v>
      </c>
      <c r="G85" s="10" t="s">
        <v>1895</v>
      </c>
      <c r="H85" s="11" t="s">
        <v>1896</v>
      </c>
      <c r="I85" s="11" t="s">
        <v>1897</v>
      </c>
      <c r="J85" s="10" t="s">
        <v>1559</v>
      </c>
      <c r="K85" s="10" t="s">
        <v>1560</v>
      </c>
      <c r="L85" s="10" t="s">
        <v>1561</v>
      </c>
      <c r="M85" s="10" t="s">
        <v>1386</v>
      </c>
      <c r="N85" s="10">
        <v>40</v>
      </c>
      <c r="O85" s="11">
        <v>130</v>
      </c>
      <c r="P85" s="11">
        <v>0.13</v>
      </c>
      <c r="Q85" s="10" t="s">
        <v>1599</v>
      </c>
      <c r="R85" s="10">
        <v>80</v>
      </c>
      <c r="S85" s="12">
        <v>3</v>
      </c>
      <c r="T85" s="13">
        <v>46245</v>
      </c>
      <c r="U85" s="14">
        <v>6011.85</v>
      </c>
      <c r="V85" s="10">
        <v>5.83</v>
      </c>
      <c r="W85" s="15">
        <v>269608.34999999998</v>
      </c>
      <c r="X85" s="29">
        <f>VLOOKUP($F85,Agendamento!$B:$J,9,0)</f>
        <v>46097</v>
      </c>
      <c r="Y85" s="6">
        <f>COUNTIF(Analise!F:F,'Obras e Acervos'!H85)</f>
        <v>1</v>
      </c>
    </row>
    <row r="86" spans="1:25" ht="15" customHeight="1" x14ac:dyDescent="0.25">
      <c r="A86" s="10" t="str">
        <f>CONCATENATE(LEFT(C86,12),"-",RIGHT(C86,2),"_",TEXT(X86,"ddmmaaaa"),"_",COUNTIF($C$2:C86,C86))</f>
        <v>133655820001-51_27022026_1</v>
      </c>
      <c r="B86" s="10" t="str">
        <f>CONCATENATE(LEFT(C86,12),"-",RIGHT(C86,2),"_",COUNTIF($C$2:C86,C86))</f>
        <v>133655820001-51_1</v>
      </c>
      <c r="C86" s="10" t="s">
        <v>1898</v>
      </c>
      <c r="D86" s="10" t="s">
        <v>5941</v>
      </c>
      <c r="E86" s="10" t="s">
        <v>1555</v>
      </c>
      <c r="F86" s="10" t="s">
        <v>962</v>
      </c>
      <c r="G86" s="10" t="s">
        <v>1899</v>
      </c>
      <c r="H86" s="11" t="s">
        <v>1900</v>
      </c>
      <c r="I86" s="11" t="s">
        <v>1901</v>
      </c>
      <c r="J86" s="10" t="s">
        <v>1559</v>
      </c>
      <c r="K86" s="10" t="s">
        <v>1560</v>
      </c>
      <c r="L86" s="10" t="s">
        <v>1561</v>
      </c>
      <c r="M86" s="10" t="s">
        <v>962</v>
      </c>
      <c r="N86" s="10">
        <v>36</v>
      </c>
      <c r="O86" s="11">
        <v>115</v>
      </c>
      <c r="P86" s="11">
        <v>0.115</v>
      </c>
      <c r="Q86" s="10" t="s">
        <v>1562</v>
      </c>
      <c r="R86" s="10">
        <v>80</v>
      </c>
      <c r="S86" s="12">
        <v>3</v>
      </c>
      <c r="T86" s="13">
        <v>46790</v>
      </c>
      <c r="U86" s="14">
        <v>5380.85</v>
      </c>
      <c r="V86" s="10">
        <v>5.42</v>
      </c>
      <c r="W86" s="15">
        <v>253601.8</v>
      </c>
      <c r="X86" s="29">
        <f>VLOOKUP($F86,Agendamento!$B:$J,9,0)</f>
        <v>46080</v>
      </c>
      <c r="Y86" s="6">
        <f>COUNTIF(Analise!F:F,'Obras e Acervos'!H86)</f>
        <v>1</v>
      </c>
    </row>
    <row r="87" spans="1:25" ht="15" customHeight="1" x14ac:dyDescent="0.25">
      <c r="A87" s="10" t="str">
        <f>CONCATENATE(LEFT(C87,12),"-",RIGHT(C87,2),"_",TEXT(X87,"ddmmaaaa"),"_",COUNTIF($C$2:C87,C87))</f>
        <v>157452070001-62_26022026_1</v>
      </c>
      <c r="B87" s="10" t="str">
        <f>CONCATENATE(LEFT(C87,12),"-",RIGHT(C87,2),"_",COUNTIF($C$2:C87,C87))</f>
        <v>157452070001-62_1</v>
      </c>
      <c r="C87" s="10" t="s">
        <v>1902</v>
      </c>
      <c r="D87" s="10" t="s">
        <v>935</v>
      </c>
      <c r="E87" s="10" t="s">
        <v>1555</v>
      </c>
      <c r="F87" s="10" t="s">
        <v>936</v>
      </c>
      <c r="G87" s="10" t="s">
        <v>1903</v>
      </c>
      <c r="H87" s="11" t="s">
        <v>1904</v>
      </c>
      <c r="I87" s="11" t="s">
        <v>1905</v>
      </c>
      <c r="J87" s="10" t="s">
        <v>1559</v>
      </c>
      <c r="K87" s="10" t="s">
        <v>1560</v>
      </c>
      <c r="L87" s="10" t="s">
        <v>1561</v>
      </c>
      <c r="M87" s="10" t="s">
        <v>936</v>
      </c>
      <c r="N87" s="10">
        <v>32</v>
      </c>
      <c r="O87" s="11">
        <v>160</v>
      </c>
      <c r="P87" s="11">
        <v>0.16</v>
      </c>
      <c r="Q87" s="10" t="s">
        <v>1599</v>
      </c>
      <c r="R87" s="10">
        <v>80</v>
      </c>
      <c r="S87" s="12">
        <v>3</v>
      </c>
      <c r="T87" s="13">
        <v>54365</v>
      </c>
      <c r="U87" s="14">
        <v>8698.4</v>
      </c>
      <c r="V87" s="10">
        <v>4.58</v>
      </c>
      <c r="W87" s="15">
        <v>248991.7</v>
      </c>
      <c r="X87" s="29">
        <f>VLOOKUP($F87,Agendamento!$B:$J,9,0)</f>
        <v>46079</v>
      </c>
      <c r="Y87" s="6">
        <f>COUNTIF(Analise!F:F,'Obras e Acervos'!H87)</f>
        <v>1</v>
      </c>
    </row>
    <row r="88" spans="1:25" ht="15" customHeight="1" x14ac:dyDescent="0.25">
      <c r="A88" s="10" t="str">
        <f>CONCATENATE(LEFT(C88,12),"-",RIGHT(C88,2),"_",TEXT(X88,"ddmmaaaa"),"_",COUNTIF($C$2:C88,C88))</f>
        <v>265720740001-96_29012026_1</v>
      </c>
      <c r="B88" s="10" t="str">
        <f>CONCATENATE(LEFT(C88,12),"-",RIGHT(C88,2),"_",COUNTIF($C$2:C88,C88))</f>
        <v>265720740001-96_1</v>
      </c>
      <c r="C88" s="10" t="s">
        <v>1906</v>
      </c>
      <c r="D88" s="10" t="s">
        <v>5942</v>
      </c>
      <c r="E88" s="10" t="s">
        <v>1555</v>
      </c>
      <c r="F88" s="10" t="s">
        <v>98</v>
      </c>
      <c r="G88" s="10" t="s">
        <v>1907</v>
      </c>
      <c r="H88" s="11" t="s">
        <v>1908</v>
      </c>
      <c r="I88" s="11" t="s">
        <v>1909</v>
      </c>
      <c r="J88" s="10" t="s">
        <v>1559</v>
      </c>
      <c r="K88" s="10" t="s">
        <v>1560</v>
      </c>
      <c r="L88" s="10" t="s">
        <v>1561</v>
      </c>
      <c r="M88" s="10" t="s">
        <v>6181</v>
      </c>
      <c r="N88" s="10">
        <v>24</v>
      </c>
      <c r="O88" s="11">
        <v>57</v>
      </c>
      <c r="P88" s="11">
        <v>5.7000000000000002E-2</v>
      </c>
      <c r="Q88" s="10" t="s">
        <v>1562</v>
      </c>
      <c r="R88" s="10">
        <v>80</v>
      </c>
      <c r="S88" s="12">
        <v>3</v>
      </c>
      <c r="T88" s="13">
        <v>46412</v>
      </c>
      <c r="U88" s="14">
        <v>2645.4839999999999</v>
      </c>
      <c r="V88" s="10">
        <v>4.25</v>
      </c>
      <c r="W88" s="15">
        <v>197251</v>
      </c>
      <c r="X88" s="29">
        <f>VLOOKUP($F88,Agendamento!$B:$J,9,0)</f>
        <v>46051</v>
      </c>
      <c r="Y88" s="6">
        <f>COUNTIF(Analise!F:F,'Obras e Acervos'!H88)</f>
        <v>1</v>
      </c>
    </row>
    <row r="89" spans="1:25" ht="15" customHeight="1" x14ac:dyDescent="0.25">
      <c r="A89" s="10" t="str">
        <f>CONCATENATE(LEFT(C89,12),"-",RIGHT(C89,2),"_",TEXT(X89,"ddmmaaaa"),"_",COUNTIF($C$2:C89,C89))</f>
        <v>401506500001-38_04022026_1</v>
      </c>
      <c r="B89" s="10" t="str">
        <f>CONCATENATE(LEFT(C89,12),"-",RIGHT(C89,2),"_",COUNTIF($C$2:C89,C89))</f>
        <v>401506500001-38_1</v>
      </c>
      <c r="C89" s="10" t="s">
        <v>1910</v>
      </c>
      <c r="D89" s="10" t="s">
        <v>5943</v>
      </c>
      <c r="E89" s="10" t="s">
        <v>1555</v>
      </c>
      <c r="F89" s="10" t="s">
        <v>153</v>
      </c>
      <c r="G89" s="10" t="s">
        <v>1911</v>
      </c>
      <c r="H89" s="11" t="s">
        <v>1912</v>
      </c>
      <c r="I89" s="11" t="s">
        <v>1913</v>
      </c>
      <c r="J89" s="10" t="s">
        <v>1559</v>
      </c>
      <c r="K89" s="10" t="s">
        <v>1560</v>
      </c>
      <c r="L89" s="10" t="s">
        <v>1561</v>
      </c>
      <c r="M89" s="10" t="s">
        <v>153</v>
      </c>
      <c r="N89" s="10">
        <v>40</v>
      </c>
      <c r="O89" s="11">
        <v>113</v>
      </c>
      <c r="P89" s="11">
        <v>0.113</v>
      </c>
      <c r="Q89" s="10" t="s">
        <v>1562</v>
      </c>
      <c r="R89" s="10">
        <v>75</v>
      </c>
      <c r="S89" s="12">
        <v>3</v>
      </c>
      <c r="T89" s="13">
        <v>46836</v>
      </c>
      <c r="U89" s="14">
        <v>5292.4679999999998</v>
      </c>
      <c r="V89" s="10">
        <v>5.7</v>
      </c>
      <c r="W89" s="15">
        <v>266965.2</v>
      </c>
      <c r="X89" s="29">
        <f>VLOOKUP($F89,Agendamento!$B:$J,9,0)</f>
        <v>46057</v>
      </c>
      <c r="Y89" s="6">
        <f>COUNTIF(Analise!F:F,'Obras e Acervos'!H89)</f>
        <v>1</v>
      </c>
    </row>
    <row r="90" spans="1:25" ht="15" customHeight="1" x14ac:dyDescent="0.25">
      <c r="A90" s="10" t="str">
        <f>CONCATENATE(LEFT(C90,12),"-",RIGHT(C90,2),"_",TEXT(X90,"ddmmaaaa"),"_",COUNTIF($C$2:C90,C90))</f>
        <v>613535790001-60_25022026_1</v>
      </c>
      <c r="B90" s="10" t="str">
        <f>CONCATENATE(LEFT(C90,12),"-",RIGHT(C90,2),"_",COUNTIF($C$2:C90,C90))</f>
        <v>613535790001-60_1</v>
      </c>
      <c r="C90" s="10" t="s">
        <v>1914</v>
      </c>
      <c r="D90" s="10" t="s">
        <v>5944</v>
      </c>
      <c r="E90" s="10" t="s">
        <v>1555</v>
      </c>
      <c r="F90" s="10" t="s">
        <v>844</v>
      </c>
      <c r="G90" s="10" t="s">
        <v>1915</v>
      </c>
      <c r="H90" s="11" t="s">
        <v>1916</v>
      </c>
      <c r="I90" s="11" t="s">
        <v>1917</v>
      </c>
      <c r="J90" s="10" t="s">
        <v>1559</v>
      </c>
      <c r="K90" s="10" t="s">
        <v>1560</v>
      </c>
      <c r="L90" s="10" t="s">
        <v>1561</v>
      </c>
      <c r="M90" s="10" t="s">
        <v>844</v>
      </c>
      <c r="N90" s="10">
        <v>36</v>
      </c>
      <c r="O90" s="11">
        <v>115</v>
      </c>
      <c r="P90" s="11">
        <v>0.115</v>
      </c>
      <c r="Q90" s="10" t="s">
        <v>1562</v>
      </c>
      <c r="R90" s="10">
        <v>80</v>
      </c>
      <c r="S90" s="12">
        <v>3</v>
      </c>
      <c r="T90" s="13">
        <v>57320</v>
      </c>
      <c r="U90" s="14">
        <v>6591.8</v>
      </c>
      <c r="V90" s="10">
        <v>4.92</v>
      </c>
      <c r="W90" s="15">
        <v>282014.40000000002</v>
      </c>
      <c r="X90" s="29">
        <f>VLOOKUP($F90,Agendamento!$B:$J,9,0)</f>
        <v>46078</v>
      </c>
      <c r="Y90" s="6">
        <f>COUNTIF(Analise!F:F,'Obras e Acervos'!H90)</f>
        <v>1</v>
      </c>
    </row>
    <row r="91" spans="1:25" ht="15" customHeight="1" x14ac:dyDescent="0.25">
      <c r="A91" s="10" t="str">
        <f>CONCATENATE(LEFT(C91,12),"-",RIGHT(C91,2),"_",TEXT(X91,"ddmmaaaa"),"_",COUNTIF($C$2:C91,C91))</f>
        <v>074274340001-11_25022026_1</v>
      </c>
      <c r="B91" s="10" t="str">
        <f>CONCATENATE(LEFT(C91,12),"-",RIGHT(C91,2),"_",COUNTIF($C$2:C91,C91))</f>
        <v>074274340001-11_1</v>
      </c>
      <c r="C91" s="10" t="s">
        <v>1918</v>
      </c>
      <c r="D91" s="10" t="s">
        <v>566</v>
      </c>
      <c r="E91" s="10" t="s">
        <v>1555</v>
      </c>
      <c r="F91" s="10" t="s">
        <v>874</v>
      </c>
      <c r="G91" s="10" t="s">
        <v>1919</v>
      </c>
      <c r="H91" s="11" t="s">
        <v>1920</v>
      </c>
      <c r="I91" s="11" t="s">
        <v>1921</v>
      </c>
      <c r="J91" s="10" t="s">
        <v>1559</v>
      </c>
      <c r="K91" s="10" t="s">
        <v>1560</v>
      </c>
      <c r="L91" s="10" t="s">
        <v>1561</v>
      </c>
      <c r="M91" s="10" t="s">
        <v>874</v>
      </c>
      <c r="N91" s="10">
        <v>40</v>
      </c>
      <c r="O91" s="11">
        <v>58</v>
      </c>
      <c r="P91" s="11">
        <v>5.8000000000000003E-2</v>
      </c>
      <c r="Q91" s="10" t="s">
        <v>1608</v>
      </c>
      <c r="R91" s="10">
        <v>80</v>
      </c>
      <c r="S91" s="12">
        <v>3</v>
      </c>
      <c r="T91" s="13">
        <v>52305</v>
      </c>
      <c r="U91" s="14">
        <v>3033.69</v>
      </c>
      <c r="V91" s="10">
        <v>4.32</v>
      </c>
      <c r="W91" s="15">
        <v>225957.6</v>
      </c>
      <c r="X91" s="29">
        <f>VLOOKUP($F91,Agendamento!$B:$J,9,0)</f>
        <v>46078</v>
      </c>
      <c r="Y91" s="6">
        <f>COUNTIF(Analise!F:F,'Obras e Acervos'!H91)</f>
        <v>1</v>
      </c>
    </row>
    <row r="92" spans="1:25" ht="15" customHeight="1" x14ac:dyDescent="0.25">
      <c r="A92" s="10" t="str">
        <f>CONCATENATE(LEFT(C92,12),"-",RIGHT(C92,2),"_",TEXT(X92,"ddmmaaaa"),"_",COUNTIF($C$2:C92,C92))</f>
        <v>438895930001-00_02032026_1</v>
      </c>
      <c r="B92" s="10" t="str">
        <f>CONCATENATE(LEFT(C92,12),"-",RIGHT(C92,2),"_",COUNTIF($C$2:C92,C92))</f>
        <v>438895930001-00_1</v>
      </c>
      <c r="C92" s="10" t="s">
        <v>1922</v>
      </c>
      <c r="D92" s="10" t="s">
        <v>1074</v>
      </c>
      <c r="E92" s="10" t="s">
        <v>1555</v>
      </c>
      <c r="F92" s="10" t="s">
        <v>1075</v>
      </c>
      <c r="G92" s="10" t="s">
        <v>1923</v>
      </c>
      <c r="H92" s="11" t="s">
        <v>1924</v>
      </c>
      <c r="I92" s="11" t="s">
        <v>1925</v>
      </c>
      <c r="J92" s="10" t="s">
        <v>1559</v>
      </c>
      <c r="K92" s="10" t="s">
        <v>1560</v>
      </c>
      <c r="L92" s="10" t="s">
        <v>1561</v>
      </c>
      <c r="M92" s="10" t="s">
        <v>1075</v>
      </c>
      <c r="N92" s="10">
        <v>40</v>
      </c>
      <c r="O92" s="11">
        <v>124</v>
      </c>
      <c r="P92" s="11">
        <v>0.124</v>
      </c>
      <c r="Q92" s="10" t="s">
        <v>1599</v>
      </c>
      <c r="R92" s="10">
        <v>80</v>
      </c>
      <c r="S92" s="12">
        <v>3</v>
      </c>
      <c r="T92" s="13">
        <v>45881</v>
      </c>
      <c r="U92" s="14">
        <v>5689.2439999999997</v>
      </c>
      <c r="V92" s="10">
        <v>5.83</v>
      </c>
      <c r="W92" s="15">
        <v>267486.23</v>
      </c>
      <c r="X92" s="29">
        <f>VLOOKUP($F92,Agendamento!$B:$J,9,0)</f>
        <v>46083</v>
      </c>
      <c r="Y92" s="6">
        <f>COUNTIF(Analise!F:F,'Obras e Acervos'!H92)</f>
        <v>1</v>
      </c>
    </row>
    <row r="93" spans="1:25" ht="15" customHeight="1" x14ac:dyDescent="0.25">
      <c r="A93" s="10" t="str">
        <f>CONCATENATE(LEFT(C93,12),"-",RIGHT(C93,2),"_",TEXT(X93,"ddmmaaaa"),"_",COUNTIF($C$2:C93,C93))</f>
        <v>435906340001-54_12032026_1</v>
      </c>
      <c r="B93" s="10" t="str">
        <f>CONCATENATE(LEFT(C93,12),"-",RIGHT(C93,2),"_",COUNTIF($C$2:C93,C93))</f>
        <v>435906340001-54_1</v>
      </c>
      <c r="C93" s="10" t="s">
        <v>1926</v>
      </c>
      <c r="D93" s="10" t="s">
        <v>1259</v>
      </c>
      <c r="E93" s="10" t="s">
        <v>1555</v>
      </c>
      <c r="F93" s="10" t="s">
        <v>1428</v>
      </c>
      <c r="G93" s="10" t="s">
        <v>1927</v>
      </c>
      <c r="H93" s="11" t="s">
        <v>1928</v>
      </c>
      <c r="I93" s="11" t="s">
        <v>1929</v>
      </c>
      <c r="J93" s="10" t="s">
        <v>1559</v>
      </c>
      <c r="K93" s="10" t="s">
        <v>1560</v>
      </c>
      <c r="L93" s="10" t="s">
        <v>1561</v>
      </c>
      <c r="M93" s="10" t="s">
        <v>1428</v>
      </c>
      <c r="N93" s="10">
        <v>48</v>
      </c>
      <c r="O93" s="11">
        <v>145</v>
      </c>
      <c r="P93" s="11">
        <v>0.14499999999999999</v>
      </c>
      <c r="Q93" s="10" t="s">
        <v>1562</v>
      </c>
      <c r="R93" s="10">
        <v>80</v>
      </c>
      <c r="S93" s="12">
        <v>3</v>
      </c>
      <c r="T93" s="13">
        <v>46457</v>
      </c>
      <c r="U93" s="14">
        <v>6736.2649999999994</v>
      </c>
      <c r="V93" s="10">
        <v>6.61</v>
      </c>
      <c r="W93" s="15">
        <v>307080.77</v>
      </c>
      <c r="X93" s="29">
        <f>VLOOKUP($F93,Agendamento!$B:$J,9,0)</f>
        <v>46093</v>
      </c>
      <c r="Y93" s="6">
        <f>COUNTIF(Analise!F:F,'Obras e Acervos'!H93)</f>
        <v>1</v>
      </c>
    </row>
    <row r="94" spans="1:25" ht="15" customHeight="1" x14ac:dyDescent="0.25">
      <c r="A94" s="10" t="str">
        <f>CONCATENATE(LEFT(C94,12),"-",RIGHT(C94,2),"_",TEXT(X94,"ddmmaaaa"),"_",COUNTIF($C$2:C94,C94))</f>
        <v>438866840001-83_06022026_1</v>
      </c>
      <c r="B94" s="10" t="str">
        <f>CONCATENATE(LEFT(C94,12),"-",RIGHT(C94,2),"_",COUNTIF($C$2:C94,C94))</f>
        <v>438866840001-83_1</v>
      </c>
      <c r="C94" s="10" t="s">
        <v>1930</v>
      </c>
      <c r="D94" s="10" t="s">
        <v>5945</v>
      </c>
      <c r="E94" s="10" t="s">
        <v>1555</v>
      </c>
      <c r="F94" s="10" t="s">
        <v>184</v>
      </c>
      <c r="G94" s="10" t="s">
        <v>1931</v>
      </c>
      <c r="H94" s="11" t="s">
        <v>1932</v>
      </c>
      <c r="I94" s="11" t="s">
        <v>1933</v>
      </c>
      <c r="J94" s="10" t="s">
        <v>1559</v>
      </c>
      <c r="K94" s="10" t="s">
        <v>1560</v>
      </c>
      <c r="L94" s="10" t="s">
        <v>1561</v>
      </c>
      <c r="M94" s="10" t="s">
        <v>184</v>
      </c>
      <c r="N94" s="10">
        <v>40</v>
      </c>
      <c r="O94" s="11">
        <v>124</v>
      </c>
      <c r="P94" s="11">
        <v>0.124</v>
      </c>
      <c r="Q94" s="10" t="s">
        <v>1562</v>
      </c>
      <c r="R94" s="10">
        <v>80</v>
      </c>
      <c r="S94" s="12">
        <v>3</v>
      </c>
      <c r="T94" s="13">
        <v>46412</v>
      </c>
      <c r="U94" s="14">
        <v>5755.0879999999997</v>
      </c>
      <c r="V94" s="10">
        <v>5.83</v>
      </c>
      <c r="W94" s="15">
        <v>270581.96000000002</v>
      </c>
      <c r="X94" s="29">
        <f>VLOOKUP($F94,Agendamento!$B:$J,9,0)</f>
        <v>46059</v>
      </c>
      <c r="Y94" s="6">
        <f>COUNTIF(Analise!F:F,'Obras e Acervos'!H94)</f>
        <v>1</v>
      </c>
    </row>
    <row r="95" spans="1:25" ht="15" customHeight="1" x14ac:dyDescent="0.25">
      <c r="A95" s="10" t="str">
        <f>CONCATENATE(LEFT(C95,12),"-",RIGHT(C95,2),"_",TEXT(X95,"ddmmaaaa"),"_",COUNTIF($C$2:C95,C95))</f>
        <v>621363040038-20_19022026_1</v>
      </c>
      <c r="B95" s="10" t="str">
        <f>CONCATENATE(LEFT(C95,12),"-",RIGHT(C95,2),"_",COUNTIF($C$2:C95,C95))</f>
        <v>621363040038-20_1</v>
      </c>
      <c r="C95" s="37" t="s">
        <v>5752</v>
      </c>
      <c r="D95" s="10" t="s">
        <v>5946</v>
      </c>
      <c r="E95" s="10" t="s">
        <v>1555</v>
      </c>
      <c r="F95" s="10" t="s">
        <v>617</v>
      </c>
      <c r="G95" s="10" t="s">
        <v>1934</v>
      </c>
      <c r="H95" s="11" t="s">
        <v>1935</v>
      </c>
      <c r="I95" s="11" t="s">
        <v>1936</v>
      </c>
      <c r="J95" s="10" t="s">
        <v>1559</v>
      </c>
      <c r="K95" s="10" t="s">
        <v>1560</v>
      </c>
      <c r="L95" s="10" t="s">
        <v>1561</v>
      </c>
      <c r="M95" s="10" t="s">
        <v>617</v>
      </c>
      <c r="N95" s="10">
        <v>40</v>
      </c>
      <c r="O95" s="11">
        <v>120</v>
      </c>
      <c r="P95" s="11">
        <v>0.12</v>
      </c>
      <c r="Q95" s="10" t="s">
        <v>1562</v>
      </c>
      <c r="R95" s="10">
        <v>75</v>
      </c>
      <c r="S95" s="12">
        <v>3</v>
      </c>
      <c r="T95" s="13">
        <v>54259</v>
      </c>
      <c r="U95" s="14">
        <v>6511.08</v>
      </c>
      <c r="V95" s="10">
        <v>4.34</v>
      </c>
      <c r="W95" s="15">
        <v>235484.06</v>
      </c>
      <c r="X95" s="29">
        <f>VLOOKUP($F95,Agendamento!$B:$J,9,0)</f>
        <v>46072</v>
      </c>
      <c r="Y95" s="6">
        <f>COUNTIF(Analise!F:F,'Obras e Acervos'!H95)</f>
        <v>1</v>
      </c>
    </row>
    <row r="96" spans="1:25" ht="15" customHeight="1" x14ac:dyDescent="0.25">
      <c r="A96" s="10" t="str">
        <f>CONCATENATE(LEFT(C96,12),"-",RIGHT(C96,2),"_",TEXT(X96,"ddmmaaaa"),"_",COUNTIF($C$2:C96,C96))</f>
        <v>678802370001-85_19022026_1</v>
      </c>
      <c r="B96" s="10" t="str">
        <f>CONCATENATE(LEFT(C96,12),"-",RIGHT(C96,2),"_",COUNTIF($C$2:C96,C96))</f>
        <v>678802370001-85_1</v>
      </c>
      <c r="C96" s="10" t="s">
        <v>1937</v>
      </c>
      <c r="D96" s="10" t="s">
        <v>597</v>
      </c>
      <c r="E96" s="10" t="s">
        <v>1555</v>
      </c>
      <c r="F96" s="10" t="s">
        <v>598</v>
      </c>
      <c r="G96" s="10" t="s">
        <v>1938</v>
      </c>
      <c r="H96" s="11" t="s">
        <v>1939</v>
      </c>
      <c r="I96" s="11" t="s">
        <v>1940</v>
      </c>
      <c r="J96" s="10" t="s">
        <v>1559</v>
      </c>
      <c r="K96" s="10" t="s">
        <v>1560</v>
      </c>
      <c r="L96" s="10" t="s">
        <v>1561</v>
      </c>
      <c r="M96" s="10" t="s">
        <v>598</v>
      </c>
      <c r="N96" s="10">
        <v>144</v>
      </c>
      <c r="O96" s="11">
        <v>344</v>
      </c>
      <c r="P96" s="11">
        <v>0.34399999999999997</v>
      </c>
      <c r="Q96" s="10" t="s">
        <v>1599</v>
      </c>
      <c r="R96" s="10">
        <v>80</v>
      </c>
      <c r="S96" s="12">
        <v>3</v>
      </c>
      <c r="T96" s="13">
        <v>50108</v>
      </c>
      <c r="U96" s="14">
        <v>17237.151999999998</v>
      </c>
      <c r="V96" s="10">
        <v>14.87</v>
      </c>
      <c r="W96" s="15">
        <v>745105.96</v>
      </c>
      <c r="X96" s="29">
        <f>VLOOKUP($F96,Agendamento!$B:$J,9,0)</f>
        <v>46072</v>
      </c>
      <c r="Y96" s="6">
        <f>COUNTIF(Analise!F:F,'Obras e Acervos'!H96)</f>
        <v>1</v>
      </c>
    </row>
    <row r="97" spans="1:25" ht="15" customHeight="1" x14ac:dyDescent="0.25">
      <c r="A97" s="10" t="str">
        <f>CONCATENATE(LEFT(C97,12),"-",RIGHT(C97,2),"_",TEXT(X97,"ddmmaaaa"),"_",COUNTIF($C$2:C97,C97))</f>
        <v>438869200001-61_16032026_1</v>
      </c>
      <c r="B97" s="10" t="str">
        <f>CONCATENATE(LEFT(C97,12),"-",RIGHT(C97,2),"_",COUNTIF($C$2:C97,C97))</f>
        <v>438869200001-61_1</v>
      </c>
      <c r="C97" s="10" t="s">
        <v>1941</v>
      </c>
      <c r="D97" s="10" t="s">
        <v>5947</v>
      </c>
      <c r="E97" s="10" t="s">
        <v>1555</v>
      </c>
      <c r="F97" s="10" t="s">
        <v>1472</v>
      </c>
      <c r="G97" s="10" t="s">
        <v>1942</v>
      </c>
      <c r="H97" s="11" t="s">
        <v>1943</v>
      </c>
      <c r="I97" s="11" t="s">
        <v>1944</v>
      </c>
      <c r="J97" s="10" t="s">
        <v>1559</v>
      </c>
      <c r="K97" s="10" t="s">
        <v>1560</v>
      </c>
      <c r="L97" s="10" t="s">
        <v>1561</v>
      </c>
      <c r="M97" s="10" t="s">
        <v>1472</v>
      </c>
      <c r="N97" s="10">
        <v>32</v>
      </c>
      <c r="O97" s="11">
        <v>105</v>
      </c>
      <c r="P97" s="11">
        <v>0.105</v>
      </c>
      <c r="Q97" s="10" t="s">
        <v>1599</v>
      </c>
      <c r="R97" s="10">
        <v>80</v>
      </c>
      <c r="S97" s="12">
        <v>3</v>
      </c>
      <c r="T97" s="13">
        <v>45654</v>
      </c>
      <c r="U97" s="14">
        <v>4793.67</v>
      </c>
      <c r="V97" s="10">
        <v>5.05</v>
      </c>
      <c r="W97" s="15">
        <v>230552.69999999998</v>
      </c>
      <c r="X97" s="29">
        <f>VLOOKUP($F97,Agendamento!$B:$J,9,0)</f>
        <v>46097</v>
      </c>
      <c r="Y97" s="6">
        <f>COUNTIF(Analise!F:F,'Obras e Acervos'!H97)</f>
        <v>1</v>
      </c>
    </row>
    <row r="98" spans="1:25" ht="15" customHeight="1" x14ac:dyDescent="0.25">
      <c r="A98" s="10" t="str">
        <f>CONCATENATE(LEFT(C98,12),"-",RIGHT(C98,2),"_",TEXT(X98,"ddmmaaaa"),"_",COUNTIF($C$2:C98,C98))</f>
        <v>424447030001-59_10022026_1</v>
      </c>
      <c r="B98" s="10" t="str">
        <f>CONCATENATE(LEFT(C98,12),"-",RIGHT(C98,2),"_",COUNTIF($C$2:C98,C98))</f>
        <v>424447030001-59_1</v>
      </c>
      <c r="C98" s="10" t="s">
        <v>1945</v>
      </c>
      <c r="D98" s="10" t="s">
        <v>243</v>
      </c>
      <c r="E98" s="10" t="s">
        <v>1555</v>
      </c>
      <c r="F98" s="10" t="s">
        <v>244</v>
      </c>
      <c r="G98" s="10" t="s">
        <v>1946</v>
      </c>
      <c r="H98" s="11" t="s">
        <v>1947</v>
      </c>
      <c r="I98" s="11" t="s">
        <v>1948</v>
      </c>
      <c r="J98" s="10" t="s">
        <v>1559</v>
      </c>
      <c r="K98" s="10" t="s">
        <v>1560</v>
      </c>
      <c r="L98" s="10" t="s">
        <v>1561</v>
      </c>
      <c r="M98" s="10" t="s">
        <v>244</v>
      </c>
      <c r="N98" s="10">
        <v>32</v>
      </c>
      <c r="O98" s="11">
        <v>103</v>
      </c>
      <c r="P98" s="11">
        <v>0.10299999999999999</v>
      </c>
      <c r="Q98" s="10" t="s">
        <v>1562</v>
      </c>
      <c r="R98" s="10">
        <v>80</v>
      </c>
      <c r="S98" s="12">
        <v>3</v>
      </c>
      <c r="T98" s="13">
        <v>46639</v>
      </c>
      <c r="U98" s="14">
        <v>4803.817</v>
      </c>
      <c r="V98" s="10">
        <v>5.03</v>
      </c>
      <c r="W98" s="15">
        <v>234594.17</v>
      </c>
      <c r="X98" s="29">
        <f>VLOOKUP($F98,Agendamento!$B:$J,9,0)</f>
        <v>46063</v>
      </c>
      <c r="Y98" s="6">
        <f>COUNTIF(Analise!F:F,'Obras e Acervos'!H98)</f>
        <v>1</v>
      </c>
    </row>
    <row r="99" spans="1:25" ht="15" customHeight="1" x14ac:dyDescent="0.25">
      <c r="A99" s="10" t="str">
        <f>CONCATENATE(LEFT(C99,12),"-",RIGHT(C99,2),"_",TEXT(X99,"ddmmaaaa"),"_",COUNTIF($C$2:C99,C99))</f>
        <v>557893900001-12_25022026_1</v>
      </c>
      <c r="B99" s="10" t="str">
        <f>CONCATENATE(LEFT(C99,12),"-",RIGHT(C99,2),"_",COUNTIF($C$2:C99,C99))</f>
        <v>557893900001-12_1</v>
      </c>
      <c r="C99" s="10" t="s">
        <v>1949</v>
      </c>
      <c r="D99" s="10" t="s">
        <v>885</v>
      </c>
      <c r="E99" s="10" t="s">
        <v>1555</v>
      </c>
      <c r="F99" s="10" t="s">
        <v>899</v>
      </c>
      <c r="G99" s="10" t="s">
        <v>1950</v>
      </c>
      <c r="H99" s="11" t="s">
        <v>1951</v>
      </c>
      <c r="I99" s="11" t="s">
        <v>1952</v>
      </c>
      <c r="J99" s="10" t="s">
        <v>1559</v>
      </c>
      <c r="K99" s="10" t="s">
        <v>1560</v>
      </c>
      <c r="L99" s="10" t="s">
        <v>1561</v>
      </c>
      <c r="M99" s="10" t="s">
        <v>899</v>
      </c>
      <c r="N99" s="10">
        <v>48</v>
      </c>
      <c r="O99" s="11">
        <v>137</v>
      </c>
      <c r="P99" s="11">
        <v>0.13700000000000001</v>
      </c>
      <c r="Q99" s="10" t="s">
        <v>1562</v>
      </c>
      <c r="R99" s="10">
        <v>80</v>
      </c>
      <c r="S99" s="12">
        <v>3</v>
      </c>
      <c r="T99" s="13">
        <v>74166</v>
      </c>
      <c r="U99" s="14">
        <v>10160.742</v>
      </c>
      <c r="V99" s="10">
        <v>5.58</v>
      </c>
      <c r="W99" s="15">
        <v>413846.28</v>
      </c>
      <c r="X99" s="29">
        <f>VLOOKUP($F99,Agendamento!$B:$J,9,0)</f>
        <v>46078</v>
      </c>
      <c r="Y99" s="6">
        <f>COUNTIF(Analise!F:F,'Obras e Acervos'!H99)</f>
        <v>1</v>
      </c>
    </row>
    <row r="100" spans="1:25" ht="15" customHeight="1" x14ac:dyDescent="0.25">
      <c r="A100" s="10" t="str">
        <f>CONCATENATE(LEFT(C100,12),"-",RIGHT(C100,2),"_",TEXT(X100,"ddmmaaaa"),"_",COUNTIF($C$2:C100,C100))</f>
        <v>144418800001-46_25022026_1</v>
      </c>
      <c r="B100" s="10" t="str">
        <f>CONCATENATE(LEFT(C100,12),"-",RIGHT(C100,2),"_",COUNTIF($C$2:C100,C100))</f>
        <v>144418800001-46_1</v>
      </c>
      <c r="C100" s="10" t="s">
        <v>1953</v>
      </c>
      <c r="D100" s="10" t="s">
        <v>897</v>
      </c>
      <c r="E100" s="10" t="s">
        <v>1555</v>
      </c>
      <c r="F100" s="10" t="s">
        <v>898</v>
      </c>
      <c r="G100" s="10" t="s">
        <v>1954</v>
      </c>
      <c r="H100" s="11" t="s">
        <v>1955</v>
      </c>
      <c r="I100" s="11" t="s">
        <v>1956</v>
      </c>
      <c r="J100" s="10" t="s">
        <v>1559</v>
      </c>
      <c r="K100" s="10" t="s">
        <v>1560</v>
      </c>
      <c r="L100" s="10" t="s">
        <v>1561</v>
      </c>
      <c r="M100" s="10" t="s">
        <v>6182</v>
      </c>
      <c r="N100" s="10">
        <v>40</v>
      </c>
      <c r="O100" s="11">
        <v>135</v>
      </c>
      <c r="P100" s="11">
        <v>0.13500000000000001</v>
      </c>
      <c r="Q100" s="10" t="s">
        <v>1562</v>
      </c>
      <c r="R100" s="10">
        <v>80</v>
      </c>
      <c r="S100" s="12">
        <v>3</v>
      </c>
      <c r="T100" s="13">
        <v>56744</v>
      </c>
      <c r="U100" s="14">
        <v>7660.4400000000005</v>
      </c>
      <c r="V100" s="10">
        <v>5.29</v>
      </c>
      <c r="W100" s="15">
        <v>300175.76</v>
      </c>
      <c r="X100" s="29">
        <f>VLOOKUP($F100,Agendamento!$B:$J,9,0)</f>
        <v>46078</v>
      </c>
      <c r="Y100" s="6">
        <f>COUNTIF(Analise!F:F,'Obras e Acervos'!H100)</f>
        <v>1</v>
      </c>
    </row>
    <row r="101" spans="1:25" ht="15" customHeight="1" x14ac:dyDescent="0.25">
      <c r="A101" s="10" t="str">
        <f>CONCATENATE(LEFT(C101,12),"-",RIGHT(C101,2),"_",TEXT(X101,"ddmmaaaa"),"_",COUNTIF($C$2:C101,C101))</f>
        <v>056993780001-49_27012026_2</v>
      </c>
      <c r="B101" s="10" t="str">
        <f>CONCATENATE(LEFT(C101,12),"-",RIGHT(C101,2),"_",COUNTIF($C$2:C101,C101))</f>
        <v>056993780001-49_2</v>
      </c>
      <c r="C101" s="21" t="s">
        <v>1850</v>
      </c>
      <c r="D101" s="10" t="s">
        <v>42</v>
      </c>
      <c r="E101" s="10" t="s">
        <v>1574</v>
      </c>
      <c r="F101" s="10" t="s">
        <v>43</v>
      </c>
      <c r="G101" s="10" t="s">
        <v>1957</v>
      </c>
      <c r="H101" s="22" t="s">
        <v>1958</v>
      </c>
      <c r="I101" s="27" t="s">
        <v>1959</v>
      </c>
      <c r="J101" s="10" t="s">
        <v>1559</v>
      </c>
      <c r="K101" s="10" t="s">
        <v>1560</v>
      </c>
      <c r="L101" s="10" t="s">
        <v>1578</v>
      </c>
      <c r="M101" s="10" t="s">
        <v>43</v>
      </c>
      <c r="N101" s="10">
        <v>80</v>
      </c>
      <c r="O101" s="11">
        <v>101</v>
      </c>
      <c r="P101" s="22">
        <v>0.10100000000000001</v>
      </c>
      <c r="Q101" s="10" t="s">
        <v>1608</v>
      </c>
      <c r="R101" s="10">
        <v>80</v>
      </c>
      <c r="S101" s="12">
        <v>19</v>
      </c>
      <c r="T101" s="23">
        <v>102566</v>
      </c>
      <c r="U101" s="24">
        <v>10359.166000000001</v>
      </c>
      <c r="V101" s="10">
        <v>5.32</v>
      </c>
      <c r="W101" s="15">
        <v>462510.16000000003</v>
      </c>
      <c r="X101" s="29">
        <f>VLOOKUP($F101,Agendamento!$B:$J,9,0)</f>
        <v>46049</v>
      </c>
      <c r="Y101" s="6">
        <f>COUNTIF(Analise!F:F,'Obras e Acervos'!H101)</f>
        <v>1</v>
      </c>
    </row>
    <row r="102" spans="1:25" ht="15" customHeight="1" x14ac:dyDescent="0.25">
      <c r="A102" s="10" t="str">
        <f>CONCATENATE(LEFT(C102,12),"-",RIGHT(C102,2),"_",TEXT(X102,"ddmmaaaa"),"_",COUNTIF($C$2:C102,C102))</f>
        <v>015662410001-65_05032026_1</v>
      </c>
      <c r="B102" s="10" t="str">
        <f>CONCATENATE(LEFT(C102,12),"-",RIGHT(C102,2),"_",COUNTIF($C$2:C102,C102))</f>
        <v>015662410001-65_1</v>
      </c>
      <c r="C102" s="10" t="s">
        <v>1960</v>
      </c>
      <c r="D102" s="10" t="s">
        <v>5948</v>
      </c>
      <c r="E102" s="10" t="s">
        <v>1555</v>
      </c>
      <c r="F102" s="10" t="s">
        <v>1258</v>
      </c>
      <c r="G102" s="10" t="s">
        <v>1961</v>
      </c>
      <c r="H102" s="11" t="s">
        <v>1962</v>
      </c>
      <c r="I102" s="11" t="s">
        <v>1963</v>
      </c>
      <c r="J102" s="10" t="s">
        <v>1559</v>
      </c>
      <c r="K102" s="10" t="s">
        <v>1560</v>
      </c>
      <c r="L102" s="10" t="s">
        <v>1561</v>
      </c>
      <c r="M102" s="10" t="s">
        <v>1258</v>
      </c>
      <c r="N102" s="10">
        <v>40</v>
      </c>
      <c r="O102" s="11">
        <v>130</v>
      </c>
      <c r="P102" s="11">
        <v>0.13</v>
      </c>
      <c r="Q102" s="10" t="s">
        <v>1562</v>
      </c>
      <c r="R102" s="10">
        <v>80</v>
      </c>
      <c r="S102" s="12">
        <v>3</v>
      </c>
      <c r="T102" s="13">
        <v>47775</v>
      </c>
      <c r="U102" s="14">
        <v>6210.75</v>
      </c>
      <c r="V102" s="10">
        <v>5.49</v>
      </c>
      <c r="W102" s="15">
        <v>262284.75</v>
      </c>
      <c r="X102" s="29">
        <f>VLOOKUP($F102,Agendamento!$B:$J,9,0)</f>
        <v>46086</v>
      </c>
      <c r="Y102" s="6">
        <f>COUNTIF(Analise!F:F,'Obras e Acervos'!H102)</f>
        <v>1</v>
      </c>
    </row>
    <row r="103" spans="1:25" ht="15" customHeight="1" x14ac:dyDescent="0.25">
      <c r="A103" s="10" t="str">
        <f>CONCATENATE(LEFT(C103,12),"-",RIGHT(C103,2),"_",TEXT(X103,"ddmmaaaa"),"_",COUNTIF($C$2:C103,C103))</f>
        <v>070286850001-23_04032026_1</v>
      </c>
      <c r="B103" s="10" t="str">
        <f>CONCATENATE(LEFT(C103,12),"-",RIGHT(C103,2),"_",COUNTIF($C$2:C103,C103))</f>
        <v>070286850001-23_1</v>
      </c>
      <c r="C103" s="10" t="s">
        <v>1964</v>
      </c>
      <c r="D103" s="10" t="s">
        <v>5949</v>
      </c>
      <c r="E103" s="10" t="s">
        <v>1555</v>
      </c>
      <c r="F103" s="10" t="s">
        <v>1175</v>
      </c>
      <c r="G103" s="10" t="s">
        <v>1965</v>
      </c>
      <c r="H103" s="11" t="s">
        <v>1966</v>
      </c>
      <c r="I103" s="11" t="s">
        <v>1967</v>
      </c>
      <c r="J103" s="10" t="s">
        <v>1559</v>
      </c>
      <c r="K103" s="10" t="s">
        <v>1560</v>
      </c>
      <c r="L103" s="10" t="s">
        <v>1561</v>
      </c>
      <c r="M103" s="10" t="s">
        <v>1175</v>
      </c>
      <c r="N103" s="10">
        <v>24</v>
      </c>
      <c r="O103" s="11">
        <v>150</v>
      </c>
      <c r="P103" s="11">
        <v>0.15</v>
      </c>
      <c r="Q103" s="10" t="s">
        <v>1562</v>
      </c>
      <c r="R103" s="10">
        <v>80</v>
      </c>
      <c r="S103" s="12">
        <v>3</v>
      </c>
      <c r="T103" s="13">
        <v>51214</v>
      </c>
      <c r="U103" s="14">
        <v>7682.0999999999995</v>
      </c>
      <c r="V103" s="10">
        <v>3.9</v>
      </c>
      <c r="W103" s="15">
        <v>199734.6</v>
      </c>
      <c r="X103" s="29">
        <f>VLOOKUP($F103,Agendamento!$B:$J,9,0)</f>
        <v>46085</v>
      </c>
      <c r="Y103" s="6">
        <f>COUNTIF(Analise!F:F,'Obras e Acervos'!H103)</f>
        <v>1</v>
      </c>
    </row>
    <row r="104" spans="1:25" ht="15" customHeight="1" x14ac:dyDescent="0.25">
      <c r="A104" s="10" t="str">
        <f>CONCATENATE(LEFT(C104,12),"-",RIGHT(C104,2),"_",TEXT(X104,"ddmmaaaa"),"_",COUNTIF($C$2:C104,C104))</f>
        <v>038899670001-64_04032026_1</v>
      </c>
      <c r="B104" s="10" t="str">
        <f>CONCATENATE(LEFT(C104,12),"-",RIGHT(C104,2),"_",COUNTIF($C$2:C104,C104))</f>
        <v>038899670001-64_1</v>
      </c>
      <c r="C104" s="10" t="s">
        <v>1968</v>
      </c>
      <c r="D104" s="10" t="s">
        <v>1054</v>
      </c>
      <c r="E104" s="10" t="s">
        <v>1555</v>
      </c>
      <c r="F104" s="10" t="s">
        <v>1201</v>
      </c>
      <c r="G104" s="10" t="s">
        <v>1969</v>
      </c>
      <c r="H104" s="11" t="s">
        <v>1970</v>
      </c>
      <c r="I104" s="11" t="s">
        <v>1971</v>
      </c>
      <c r="J104" s="10" t="s">
        <v>1559</v>
      </c>
      <c r="K104" s="10" t="s">
        <v>1560</v>
      </c>
      <c r="L104" s="10" t="s">
        <v>1561</v>
      </c>
      <c r="M104" s="10" t="s">
        <v>1201</v>
      </c>
      <c r="N104" s="10">
        <v>40</v>
      </c>
      <c r="O104" s="11">
        <v>124</v>
      </c>
      <c r="P104" s="11">
        <v>0.124</v>
      </c>
      <c r="Q104" s="10" t="s">
        <v>1562</v>
      </c>
      <c r="R104" s="10">
        <v>80</v>
      </c>
      <c r="S104" s="12">
        <v>3</v>
      </c>
      <c r="T104" s="13">
        <v>46275</v>
      </c>
      <c r="U104" s="14">
        <v>5738.1</v>
      </c>
      <c r="V104" s="10">
        <v>5.83</v>
      </c>
      <c r="W104" s="15">
        <v>269783.25</v>
      </c>
      <c r="X104" s="29">
        <f>VLOOKUP($F104,Agendamento!$B:$J,9,0)</f>
        <v>46085</v>
      </c>
      <c r="Y104" s="6">
        <f>COUNTIF(Analise!F:F,'Obras e Acervos'!H104)</f>
        <v>1</v>
      </c>
    </row>
    <row r="105" spans="1:25" ht="15" customHeight="1" x14ac:dyDescent="0.25">
      <c r="A105" s="10" t="str">
        <f>CONCATENATE(LEFT(C105,12),"-",RIGHT(C105,2),"_",TEXT(X105,"ddmmaaaa"),"_",COUNTIF($C$2:C105,C105))</f>
        <v>304386290001-89_13032026_1</v>
      </c>
      <c r="B105" s="10" t="str">
        <f>CONCATENATE(LEFT(C105,12),"-",RIGHT(C105,2),"_",COUNTIF($C$2:C105,C105))</f>
        <v>304386290001-89_1</v>
      </c>
      <c r="C105" s="10" t="s">
        <v>1972</v>
      </c>
      <c r="D105" s="10" t="s">
        <v>5950</v>
      </c>
      <c r="E105" s="10" t="s">
        <v>1555</v>
      </c>
      <c r="F105" s="10" t="s">
        <v>1497</v>
      </c>
      <c r="G105" s="10" t="s">
        <v>1973</v>
      </c>
      <c r="H105" s="11" t="s">
        <v>1974</v>
      </c>
      <c r="I105" s="11" t="s">
        <v>1975</v>
      </c>
      <c r="J105" s="10" t="s">
        <v>1559</v>
      </c>
      <c r="K105" s="10" t="s">
        <v>1560</v>
      </c>
      <c r="L105" s="10" t="s">
        <v>1561</v>
      </c>
      <c r="M105" s="10" t="s">
        <v>1497</v>
      </c>
      <c r="N105" s="10">
        <v>40</v>
      </c>
      <c r="O105" s="11">
        <v>124</v>
      </c>
      <c r="P105" s="11">
        <v>0.124</v>
      </c>
      <c r="Q105" s="10" t="s">
        <v>1599</v>
      </c>
      <c r="R105" s="10">
        <v>80</v>
      </c>
      <c r="S105" s="12">
        <v>3</v>
      </c>
      <c r="T105" s="13">
        <v>45836</v>
      </c>
      <c r="U105" s="14">
        <v>5683.6639999999998</v>
      </c>
      <c r="V105" s="10">
        <v>5.83</v>
      </c>
      <c r="W105" s="15">
        <v>267223.88</v>
      </c>
      <c r="X105" s="29">
        <f>VLOOKUP($F105,Agendamento!$B:$J,9,0)</f>
        <v>46094</v>
      </c>
      <c r="Y105" s="6">
        <f>COUNTIF(Analise!F:F,'Obras e Acervos'!H105)</f>
        <v>1</v>
      </c>
    </row>
    <row r="106" spans="1:25" ht="15" customHeight="1" x14ac:dyDescent="0.25">
      <c r="A106" s="10" t="str">
        <f>CONCATENATE(LEFT(C106,12),"-",RIGHT(C106,2),"_",TEXT(X106,"ddmmaaaa"),"_",COUNTIF($C$2:C106,C106))</f>
        <v>061813040001-89_03032026_1</v>
      </c>
      <c r="B106" s="10" t="str">
        <f>CONCATENATE(LEFT(C106,12),"-",RIGHT(C106,2),"_",COUNTIF($C$2:C106,C106))</f>
        <v>061813040001-89_1</v>
      </c>
      <c r="C106" s="10" t="s">
        <v>1976</v>
      </c>
      <c r="D106" s="10" t="s">
        <v>1156</v>
      </c>
      <c r="E106" s="10" t="s">
        <v>1555</v>
      </c>
      <c r="F106" s="10" t="s">
        <v>1157</v>
      </c>
      <c r="G106" s="10" t="s">
        <v>1977</v>
      </c>
      <c r="H106" s="11" t="s">
        <v>1978</v>
      </c>
      <c r="I106" s="11" t="s">
        <v>1979</v>
      </c>
      <c r="J106" s="10" t="s">
        <v>1559</v>
      </c>
      <c r="K106" s="10" t="s">
        <v>1560</v>
      </c>
      <c r="L106" s="10" t="s">
        <v>1561</v>
      </c>
      <c r="M106" s="10" t="s">
        <v>1157</v>
      </c>
      <c r="N106" s="10">
        <v>24</v>
      </c>
      <c r="O106" s="11">
        <v>85</v>
      </c>
      <c r="P106" s="11">
        <v>8.5000000000000006E-2</v>
      </c>
      <c r="Q106" s="10" t="s">
        <v>1562</v>
      </c>
      <c r="R106" s="10">
        <v>80</v>
      </c>
      <c r="S106" s="12">
        <v>3</v>
      </c>
      <c r="T106" s="13">
        <v>59304</v>
      </c>
      <c r="U106" s="14">
        <v>5040.84</v>
      </c>
      <c r="V106" s="10">
        <v>3.8</v>
      </c>
      <c r="W106" s="15">
        <v>225355.19999999998</v>
      </c>
      <c r="X106" s="29">
        <f>VLOOKUP($F106,Agendamento!$B:$J,9,0)</f>
        <v>46084</v>
      </c>
      <c r="Y106" s="6">
        <f>COUNTIF(Analise!F:F,'Obras e Acervos'!H106)</f>
        <v>1</v>
      </c>
    </row>
    <row r="107" spans="1:25" ht="15" customHeight="1" x14ac:dyDescent="0.25">
      <c r="A107" s="10" t="str">
        <f>CONCATENATE(LEFT(C107,12),"-",RIGHT(C107,2),"_",TEXT(X107,"ddmmaaaa"),"_",COUNTIF($C$2:C107,C107))</f>
        <v>309586110001-08_27022026_1</v>
      </c>
      <c r="B107" s="10" t="str">
        <f>CONCATENATE(LEFT(C107,12),"-",RIGHT(C107,2),"_",COUNTIF($C$2:C107,C107))</f>
        <v>309586110001-08_1</v>
      </c>
      <c r="C107" s="10" t="s">
        <v>1980</v>
      </c>
      <c r="D107" s="10" t="s">
        <v>969</v>
      </c>
      <c r="E107" s="10" t="s">
        <v>1555</v>
      </c>
      <c r="F107" s="10" t="s">
        <v>971</v>
      </c>
      <c r="G107" s="10" t="s">
        <v>1981</v>
      </c>
      <c r="H107" s="11" t="s">
        <v>1982</v>
      </c>
      <c r="I107" s="11" t="s">
        <v>1983</v>
      </c>
      <c r="J107" s="10" t="s">
        <v>1559</v>
      </c>
      <c r="K107" s="10" t="s">
        <v>1560</v>
      </c>
      <c r="L107" s="10" t="s">
        <v>1561</v>
      </c>
      <c r="M107" s="10" t="s">
        <v>971</v>
      </c>
      <c r="N107" s="10">
        <v>56</v>
      </c>
      <c r="O107" s="11">
        <v>154</v>
      </c>
      <c r="P107" s="11">
        <v>0.154</v>
      </c>
      <c r="Q107" s="10" t="s">
        <v>1599</v>
      </c>
      <c r="R107" s="10">
        <v>80</v>
      </c>
      <c r="S107" s="12">
        <v>3</v>
      </c>
      <c r="T107" s="13">
        <v>59425</v>
      </c>
      <c r="U107" s="14">
        <v>9151.4500000000007</v>
      </c>
      <c r="V107" s="10">
        <v>6.72</v>
      </c>
      <c r="W107" s="15">
        <v>399336</v>
      </c>
      <c r="X107" s="29">
        <f>VLOOKUP($F107,Agendamento!$B:$J,9,0)</f>
        <v>46080</v>
      </c>
      <c r="Y107" s="6">
        <f>COUNTIF(Analise!F:F,'Obras e Acervos'!H107)</f>
        <v>1</v>
      </c>
    </row>
    <row r="108" spans="1:25" ht="15" customHeight="1" x14ac:dyDescent="0.25">
      <c r="A108" s="10" t="str">
        <f>CONCATENATE(LEFT(C108,12),"-",RIGHT(C108,2),"_",TEXT(X108,"ddmmaaaa"),"_",COUNTIF($C$2:C108,C108))</f>
        <v>044860300001-00_23022026_1</v>
      </c>
      <c r="B108" s="10" t="str">
        <f>CONCATENATE(LEFT(C108,12),"-",RIGHT(C108,2),"_",COUNTIF($C$2:C108,C108))</f>
        <v>044860300001-00_1</v>
      </c>
      <c r="C108" s="10" t="s">
        <v>1984</v>
      </c>
      <c r="D108" s="10" t="s">
        <v>5951</v>
      </c>
      <c r="E108" s="10" t="s">
        <v>1555</v>
      </c>
      <c r="F108" s="10" t="s">
        <v>690</v>
      </c>
      <c r="G108" s="10" t="s">
        <v>1985</v>
      </c>
      <c r="H108" s="11" t="s">
        <v>1986</v>
      </c>
      <c r="I108" s="11" t="s">
        <v>1987</v>
      </c>
      <c r="J108" s="10" t="s">
        <v>1559</v>
      </c>
      <c r="K108" s="10" t="s">
        <v>1560</v>
      </c>
      <c r="L108" s="10" t="s">
        <v>1561</v>
      </c>
      <c r="M108" s="10" t="s">
        <v>690</v>
      </c>
      <c r="N108" s="10">
        <v>36</v>
      </c>
      <c r="O108" s="11">
        <v>125</v>
      </c>
      <c r="P108" s="11">
        <v>0.125</v>
      </c>
      <c r="Q108" s="10" t="s">
        <v>1599</v>
      </c>
      <c r="R108" s="10">
        <v>80</v>
      </c>
      <c r="S108" s="12">
        <v>3</v>
      </c>
      <c r="T108" s="13">
        <v>45563</v>
      </c>
      <c r="U108" s="14">
        <v>5695.375</v>
      </c>
      <c r="V108" s="10">
        <v>5.49</v>
      </c>
      <c r="W108" s="15">
        <v>250140.87</v>
      </c>
      <c r="X108" s="29">
        <f>VLOOKUP($F108,Agendamento!$B:$J,9,0)</f>
        <v>46076</v>
      </c>
      <c r="Y108" s="6">
        <f>COUNTIF(Analise!F:F,'Obras e Acervos'!H108)</f>
        <v>1</v>
      </c>
    </row>
    <row r="109" spans="1:25" ht="15" customHeight="1" x14ac:dyDescent="0.25">
      <c r="A109" s="10" t="str">
        <f>CONCATENATE(LEFT(C109,12),"-",RIGHT(C109,2),"_",TEXT(X109,"ddmmaaaa"),"_",COUNTIF($C$2:C109,C109))</f>
        <v>410525080001-10_12022026_1</v>
      </c>
      <c r="B109" s="10" t="str">
        <f>CONCATENATE(LEFT(C109,12),"-",RIGHT(C109,2),"_",COUNTIF($C$2:C109,C109))</f>
        <v>410525080001-10_1</v>
      </c>
      <c r="C109" s="10" t="s">
        <v>1988</v>
      </c>
      <c r="D109" s="10" t="s">
        <v>373</v>
      </c>
      <c r="E109" s="10" t="s">
        <v>1555</v>
      </c>
      <c r="F109" s="10" t="s">
        <v>374</v>
      </c>
      <c r="G109" s="10" t="s">
        <v>1989</v>
      </c>
      <c r="H109" s="11" t="s">
        <v>1990</v>
      </c>
      <c r="I109" s="11" t="s">
        <v>1991</v>
      </c>
      <c r="J109" s="10" t="s">
        <v>1559</v>
      </c>
      <c r="K109" s="10" t="s">
        <v>1560</v>
      </c>
      <c r="L109" s="10" t="s">
        <v>1561</v>
      </c>
      <c r="M109" s="10" t="s">
        <v>374</v>
      </c>
      <c r="N109" s="10">
        <v>32</v>
      </c>
      <c r="O109" s="11">
        <v>105</v>
      </c>
      <c r="P109" s="11">
        <v>0.105</v>
      </c>
      <c r="Q109" s="10" t="s">
        <v>1599</v>
      </c>
      <c r="R109" s="10">
        <v>80</v>
      </c>
      <c r="S109" s="12">
        <v>3</v>
      </c>
      <c r="T109" s="13">
        <v>45639</v>
      </c>
      <c r="U109" s="14">
        <v>4792.0950000000003</v>
      </c>
      <c r="V109" s="10">
        <v>5.05</v>
      </c>
      <c r="W109" s="15">
        <v>230476.94999999998</v>
      </c>
      <c r="X109" s="29">
        <f>VLOOKUP($F109,Agendamento!$B:$J,9,0)</f>
        <v>46065</v>
      </c>
      <c r="Y109" s="6">
        <f>COUNTIF(Analise!F:F,'Obras e Acervos'!H109)</f>
        <v>1</v>
      </c>
    </row>
    <row r="110" spans="1:25" ht="15" customHeight="1" x14ac:dyDescent="0.25">
      <c r="A110" s="10" t="str">
        <f>CONCATENATE(LEFT(C110,12),"-",RIGHT(C110,2),"_",TEXT(X110,"ddmmaaaa"),"_",COUNTIF($C$2:C110,C110))</f>
        <v>050299360001-69_16022026_1</v>
      </c>
      <c r="B110" s="10" t="str">
        <f>CONCATENATE(LEFT(C110,12),"-",RIGHT(C110,2),"_",COUNTIF($C$2:C110,C110))</f>
        <v>050299360001-69_1</v>
      </c>
      <c r="C110" s="10" t="s">
        <v>1992</v>
      </c>
      <c r="D110" s="10" t="s">
        <v>531</v>
      </c>
      <c r="E110" s="10" t="s">
        <v>1555</v>
      </c>
      <c r="F110" s="10" t="s">
        <v>532</v>
      </c>
      <c r="G110" s="10" t="s">
        <v>1993</v>
      </c>
      <c r="H110" s="11" t="s">
        <v>1994</v>
      </c>
      <c r="I110" s="11" t="s">
        <v>1995</v>
      </c>
      <c r="J110" s="10" t="s">
        <v>1559</v>
      </c>
      <c r="K110" s="10" t="s">
        <v>1560</v>
      </c>
      <c r="L110" s="10" t="s">
        <v>1561</v>
      </c>
      <c r="M110" s="10" t="s">
        <v>532</v>
      </c>
      <c r="N110" s="10">
        <v>60</v>
      </c>
      <c r="O110" s="11">
        <v>163</v>
      </c>
      <c r="P110" s="11">
        <v>0.16300000000000001</v>
      </c>
      <c r="Q110" s="10" t="s">
        <v>1562</v>
      </c>
      <c r="R110" s="10">
        <v>80</v>
      </c>
      <c r="S110" s="12">
        <v>3</v>
      </c>
      <c r="T110" s="13">
        <v>46109</v>
      </c>
      <c r="U110" s="14">
        <v>7515.7669999999998</v>
      </c>
      <c r="V110" s="10">
        <v>7.79</v>
      </c>
      <c r="W110" s="15">
        <v>359189.11</v>
      </c>
      <c r="X110" s="29">
        <f>VLOOKUP($F110,Agendamento!$B:$J,9,0)</f>
        <v>46069</v>
      </c>
      <c r="Y110" s="6">
        <f>COUNTIF(Analise!F:F,'Obras e Acervos'!H110)</f>
        <v>1</v>
      </c>
    </row>
    <row r="111" spans="1:25" ht="15" customHeight="1" x14ac:dyDescent="0.25">
      <c r="A111" s="10" t="str">
        <f>CONCATENATE(LEFT(C111,12),"-",RIGHT(C111,2),"_",TEXT(X111,"ddmmaaaa"),"_",COUNTIF($C$2:C111,C111))</f>
        <v>290552870001-39_24022026_1</v>
      </c>
      <c r="B111" s="10" t="str">
        <f>CONCATENATE(LEFT(C111,12),"-",RIGHT(C111,2),"_",COUNTIF($C$2:C111,C111))</f>
        <v>290552870001-39_1</v>
      </c>
      <c r="C111" s="10" t="s">
        <v>1996</v>
      </c>
      <c r="D111" s="10" t="s">
        <v>5952</v>
      </c>
      <c r="E111" s="10" t="s">
        <v>1555</v>
      </c>
      <c r="F111" s="10" t="s">
        <v>796</v>
      </c>
      <c r="G111" s="10" t="s">
        <v>1997</v>
      </c>
      <c r="H111" s="11" t="s">
        <v>1998</v>
      </c>
      <c r="I111" s="11" t="s">
        <v>1999</v>
      </c>
      <c r="J111" s="10" t="s">
        <v>1559</v>
      </c>
      <c r="K111" s="10" t="s">
        <v>1560</v>
      </c>
      <c r="L111" s="10" t="s">
        <v>1561</v>
      </c>
      <c r="M111" s="10" t="s">
        <v>796</v>
      </c>
      <c r="N111" s="10">
        <v>128</v>
      </c>
      <c r="O111" s="11">
        <v>306</v>
      </c>
      <c r="P111" s="11">
        <v>0.30599999999999999</v>
      </c>
      <c r="Q111" s="10" t="s">
        <v>1562</v>
      </c>
      <c r="R111" s="10">
        <v>80</v>
      </c>
      <c r="S111" s="12">
        <v>3</v>
      </c>
      <c r="T111" s="13">
        <v>61046</v>
      </c>
      <c r="U111" s="14">
        <v>18680.076000000001</v>
      </c>
      <c r="V111" s="10">
        <v>13.28</v>
      </c>
      <c r="W111" s="15">
        <v>810690.88</v>
      </c>
      <c r="X111" s="29">
        <f>VLOOKUP($F111,Agendamento!$B:$J,9,0)</f>
        <v>46077</v>
      </c>
      <c r="Y111" s="6">
        <f>COUNTIF(Analise!F:F,'Obras e Acervos'!H111)</f>
        <v>1</v>
      </c>
    </row>
    <row r="112" spans="1:25" ht="15" customHeight="1" x14ac:dyDescent="0.25">
      <c r="A112" s="10" t="str">
        <f>CONCATENATE(LEFT(C112,12),"-",RIGHT(C112,2),"_",TEXT(X112,"ddmmaaaa"),"_",COUNTIF($C$2:C112,C112))</f>
        <v>398929930001-99_04022026_1</v>
      </c>
      <c r="B112" s="10" t="str">
        <f>CONCATENATE(LEFT(C112,12),"-",RIGHT(C112,2),"_",COUNTIF($C$2:C112,C112))</f>
        <v>398929930001-99_1</v>
      </c>
      <c r="C112" s="10" t="s">
        <v>2000</v>
      </c>
      <c r="D112" s="10" t="s">
        <v>155</v>
      </c>
      <c r="E112" s="10" t="s">
        <v>1555</v>
      </c>
      <c r="F112" s="10" t="s">
        <v>156</v>
      </c>
      <c r="G112" s="10" t="s">
        <v>2001</v>
      </c>
      <c r="H112" s="11" t="s">
        <v>2002</v>
      </c>
      <c r="I112" s="11" t="s">
        <v>2003</v>
      </c>
      <c r="J112" s="10" t="s">
        <v>1559</v>
      </c>
      <c r="K112" s="10" t="s">
        <v>1560</v>
      </c>
      <c r="L112" s="10" t="s">
        <v>1561</v>
      </c>
      <c r="M112" s="10" t="s">
        <v>156</v>
      </c>
      <c r="N112" s="10">
        <v>32</v>
      </c>
      <c r="O112" s="11">
        <v>180</v>
      </c>
      <c r="P112" s="11">
        <v>0.18</v>
      </c>
      <c r="Q112" s="10" t="s">
        <v>1562</v>
      </c>
      <c r="R112" s="10">
        <v>80</v>
      </c>
      <c r="S112" s="12">
        <v>3</v>
      </c>
      <c r="T112" s="13">
        <v>55032</v>
      </c>
      <c r="U112" s="14">
        <v>9905.76</v>
      </c>
      <c r="V112" s="10">
        <v>4.47</v>
      </c>
      <c r="W112" s="15">
        <v>245993.03999999998</v>
      </c>
      <c r="X112" s="29">
        <f>VLOOKUP($F112,Agendamento!$B:$J,9,0)</f>
        <v>46057</v>
      </c>
      <c r="Y112" s="6">
        <f>COUNTIF(Analise!F:F,'Obras e Acervos'!H112)</f>
        <v>1</v>
      </c>
    </row>
    <row r="113" spans="1:25" ht="15" customHeight="1" x14ac:dyDescent="0.25">
      <c r="A113" s="10" t="str">
        <f>CONCATENATE(LEFT(C113,12),"-",RIGHT(C113,2),"_",TEXT(X113,"ddmmaaaa"),"_",COUNTIF($C$2:C113,C113))</f>
        <v>303088620001-47_24022026_1</v>
      </c>
      <c r="B113" s="10" t="str">
        <f>CONCATENATE(LEFT(C113,12),"-",RIGHT(C113,2),"_",COUNTIF($C$2:C113,C113))</f>
        <v>303088620001-47_1</v>
      </c>
      <c r="C113" s="10" t="s">
        <v>2004</v>
      </c>
      <c r="D113" s="10" t="s">
        <v>5953</v>
      </c>
      <c r="E113" s="10" t="s">
        <v>1555</v>
      </c>
      <c r="F113" s="10" t="s">
        <v>800</v>
      </c>
      <c r="G113" s="10" t="s">
        <v>2005</v>
      </c>
      <c r="H113" s="11" t="s">
        <v>2006</v>
      </c>
      <c r="I113" s="11" t="s">
        <v>2007</v>
      </c>
      <c r="J113" s="10" t="s">
        <v>1559</v>
      </c>
      <c r="K113" s="10" t="s">
        <v>1560</v>
      </c>
      <c r="L113" s="10" t="s">
        <v>1561</v>
      </c>
      <c r="M113" s="10" t="s">
        <v>800</v>
      </c>
      <c r="N113" s="10">
        <v>48</v>
      </c>
      <c r="O113" s="11">
        <v>143</v>
      </c>
      <c r="P113" s="11">
        <v>0.14299999999999999</v>
      </c>
      <c r="Q113" s="10" t="s">
        <v>1562</v>
      </c>
      <c r="R113" s="10">
        <v>80</v>
      </c>
      <c r="S113" s="12">
        <v>3</v>
      </c>
      <c r="T113" s="13">
        <v>45654</v>
      </c>
      <c r="U113" s="14">
        <v>6528.521999999999</v>
      </c>
      <c r="V113" s="10">
        <v>6.62</v>
      </c>
      <c r="W113" s="15">
        <v>302229.48</v>
      </c>
      <c r="X113" s="29">
        <f>VLOOKUP($F113,Agendamento!$B:$J,9,0)</f>
        <v>46077</v>
      </c>
      <c r="Y113" s="6">
        <f>COUNTIF(Analise!F:F,'Obras e Acervos'!H113)</f>
        <v>1</v>
      </c>
    </row>
    <row r="114" spans="1:25" ht="15" customHeight="1" x14ac:dyDescent="0.25">
      <c r="A114" s="10" t="str">
        <f>CONCATENATE(LEFT(C114,12),"-",RIGHT(C114,2),"_",TEXT(X114,"ddmmaaaa"),"_",COUNTIF($C$2:C114,C114))</f>
        <v>086238410002-48_03032026_1</v>
      </c>
      <c r="B114" s="10" t="str">
        <f>CONCATENATE(LEFT(C114,12),"-",RIGHT(C114,2),"_",COUNTIF($C$2:C114,C114))</f>
        <v>086238410002-48_1</v>
      </c>
      <c r="C114" s="38" t="s">
        <v>5755</v>
      </c>
      <c r="D114" s="10" t="s">
        <v>5954</v>
      </c>
      <c r="E114" s="10" t="s">
        <v>1555</v>
      </c>
      <c r="F114" s="10" t="s">
        <v>1124</v>
      </c>
      <c r="G114" s="10" t="s">
        <v>2008</v>
      </c>
      <c r="H114" s="11" t="s">
        <v>2009</v>
      </c>
      <c r="I114" s="11" t="s">
        <v>2010</v>
      </c>
      <c r="J114" s="10" t="s">
        <v>1559</v>
      </c>
      <c r="K114" s="10" t="s">
        <v>1560</v>
      </c>
      <c r="L114" s="10" t="s">
        <v>1561</v>
      </c>
      <c r="M114" s="10" t="s">
        <v>1124</v>
      </c>
      <c r="N114" s="10">
        <v>56</v>
      </c>
      <c r="O114" s="11">
        <v>160</v>
      </c>
      <c r="P114" s="11">
        <v>0.16</v>
      </c>
      <c r="Q114" s="10" t="s">
        <v>1562</v>
      </c>
      <c r="R114" s="10">
        <v>75</v>
      </c>
      <c r="S114" s="12">
        <v>3</v>
      </c>
      <c r="T114" s="13">
        <v>60274</v>
      </c>
      <c r="U114" s="14">
        <v>9643.84</v>
      </c>
      <c r="V114" s="10">
        <v>6.56</v>
      </c>
      <c r="W114" s="15">
        <v>395397.44</v>
      </c>
      <c r="X114" s="29">
        <f>VLOOKUP($F114,Agendamento!$B:$J,9,0)</f>
        <v>46084</v>
      </c>
      <c r="Y114" s="6">
        <f>COUNTIF(Analise!F:F,'Obras e Acervos'!H114)</f>
        <v>1</v>
      </c>
    </row>
    <row r="115" spans="1:25" ht="15" customHeight="1" x14ac:dyDescent="0.25">
      <c r="A115" s="10" t="str">
        <f>CONCATENATE(LEFT(C115,12),"-",RIGHT(C115,2),"_",TEXT(X115,"ddmmaaaa"),"_",COUNTIF($C$2:C115,C115))</f>
        <v>127083580001-52_12022026_1</v>
      </c>
      <c r="B115" s="10" t="str">
        <f>CONCATENATE(LEFT(C115,12),"-",RIGHT(C115,2),"_",COUNTIF($C$2:C115,C115))</f>
        <v>127083580001-52_1</v>
      </c>
      <c r="C115" s="10" t="s">
        <v>2011</v>
      </c>
      <c r="D115" s="10" t="s">
        <v>356</v>
      </c>
      <c r="E115" s="10" t="s">
        <v>1555</v>
      </c>
      <c r="F115" s="10" t="s">
        <v>358</v>
      </c>
      <c r="G115" s="10" t="s">
        <v>2012</v>
      </c>
      <c r="H115" s="11" t="s">
        <v>2013</v>
      </c>
      <c r="I115" s="11" t="s">
        <v>2014</v>
      </c>
      <c r="J115" s="10" t="s">
        <v>1559</v>
      </c>
      <c r="K115" s="10" t="s">
        <v>1560</v>
      </c>
      <c r="L115" s="10" t="s">
        <v>1561</v>
      </c>
      <c r="M115" s="10" t="s">
        <v>358</v>
      </c>
      <c r="N115" s="10">
        <v>56</v>
      </c>
      <c r="O115" s="11">
        <v>156</v>
      </c>
      <c r="P115" s="11">
        <v>0.156</v>
      </c>
      <c r="Q115" s="10" t="s">
        <v>1562</v>
      </c>
      <c r="R115" s="10">
        <v>80</v>
      </c>
      <c r="S115" s="12">
        <v>3</v>
      </c>
      <c r="T115" s="13">
        <v>51441</v>
      </c>
      <c r="U115" s="14">
        <v>8024.7960000000003</v>
      </c>
      <c r="V115" s="10">
        <v>6.82</v>
      </c>
      <c r="W115" s="15">
        <v>350827.62</v>
      </c>
      <c r="X115" s="29">
        <f>VLOOKUP($F115,Agendamento!$B:$J,9,0)</f>
        <v>46065</v>
      </c>
      <c r="Y115" s="6">
        <f>COUNTIF(Analise!F:F,'Obras e Acervos'!H115)</f>
        <v>1</v>
      </c>
    </row>
    <row r="116" spans="1:25" ht="15" customHeight="1" x14ac:dyDescent="0.25">
      <c r="A116" s="10" t="str">
        <f>CONCATENATE(LEFT(C116,12),"-",RIGHT(C116,2),"_",TEXT(X116,"ddmmaaaa"),"_",COUNTIF($C$2:C116,C116))</f>
        <v>239672560001-78_13032026_1</v>
      </c>
      <c r="B116" s="10" t="str">
        <f>CONCATENATE(LEFT(C116,12),"-",RIGHT(C116,2),"_",COUNTIF($C$2:C116,C116))</f>
        <v>239672560001-78_1</v>
      </c>
      <c r="C116" s="10" t="s">
        <v>2015</v>
      </c>
      <c r="D116" s="10" t="s">
        <v>1447</v>
      </c>
      <c r="E116" s="10" t="s">
        <v>1555</v>
      </c>
      <c r="F116" s="10" t="s">
        <v>1448</v>
      </c>
      <c r="G116" s="10" t="s">
        <v>2016</v>
      </c>
      <c r="H116" s="11" t="s">
        <v>2017</v>
      </c>
      <c r="I116" s="11" t="s">
        <v>2018</v>
      </c>
      <c r="J116" s="10" t="s">
        <v>1559</v>
      </c>
      <c r="K116" s="10" t="s">
        <v>1560</v>
      </c>
      <c r="L116" s="10" t="s">
        <v>1561</v>
      </c>
      <c r="M116" s="10" t="s">
        <v>1448</v>
      </c>
      <c r="N116" s="10">
        <v>32</v>
      </c>
      <c r="O116" s="11">
        <v>180</v>
      </c>
      <c r="P116" s="11">
        <v>0.18</v>
      </c>
      <c r="Q116" s="10" t="s">
        <v>1562</v>
      </c>
      <c r="R116" s="10">
        <v>80</v>
      </c>
      <c r="S116" s="12">
        <v>3</v>
      </c>
      <c r="T116" s="13">
        <v>48730</v>
      </c>
      <c r="U116" s="14">
        <v>8771.4</v>
      </c>
      <c r="V116" s="10">
        <v>5.12</v>
      </c>
      <c r="W116" s="15">
        <v>249497.60000000001</v>
      </c>
      <c r="X116" s="29">
        <f>VLOOKUP($F116,Agendamento!$B:$J,9,0)</f>
        <v>46094</v>
      </c>
      <c r="Y116" s="6">
        <f>COUNTIF(Analise!F:F,'Obras e Acervos'!H116)</f>
        <v>1</v>
      </c>
    </row>
    <row r="117" spans="1:25" ht="15" customHeight="1" x14ac:dyDescent="0.25">
      <c r="A117" s="10" t="str">
        <f>CONCATENATE(LEFT(C117,12),"-",RIGHT(C117,2),"_",TEXT(X117,"ddmmaaaa"),"_",COUNTIF($C$2:C117,C117))</f>
        <v>151949900001-13_04032026_1</v>
      </c>
      <c r="B117" s="10" t="str">
        <f>CONCATENATE(LEFT(C117,12),"-",RIGHT(C117,2),"_",COUNTIF($C$2:C117,C117))</f>
        <v>151949900001-13_1</v>
      </c>
      <c r="C117" s="10" t="s">
        <v>2019</v>
      </c>
      <c r="D117" s="10" t="s">
        <v>1221</v>
      </c>
      <c r="E117" s="10" t="s">
        <v>1555</v>
      </c>
      <c r="F117" s="10" t="s">
        <v>1222</v>
      </c>
      <c r="G117" s="10" t="s">
        <v>2020</v>
      </c>
      <c r="H117" s="11" t="s">
        <v>2021</v>
      </c>
      <c r="I117" s="11" t="s">
        <v>2022</v>
      </c>
      <c r="J117" s="10" t="s">
        <v>1559</v>
      </c>
      <c r="K117" s="10" t="s">
        <v>1560</v>
      </c>
      <c r="L117" s="10" t="s">
        <v>1561</v>
      </c>
      <c r="M117" s="10" t="s">
        <v>1222</v>
      </c>
      <c r="N117" s="10">
        <v>32</v>
      </c>
      <c r="O117" s="11">
        <v>103</v>
      </c>
      <c r="P117" s="11">
        <v>0.10299999999999999</v>
      </c>
      <c r="Q117" s="10" t="s">
        <v>1562</v>
      </c>
      <c r="R117" s="10">
        <v>80</v>
      </c>
      <c r="S117" s="12">
        <v>3</v>
      </c>
      <c r="T117" s="13">
        <v>45972</v>
      </c>
      <c r="U117" s="14">
        <v>4735.116</v>
      </c>
      <c r="V117" s="10">
        <v>5.03</v>
      </c>
      <c r="W117" s="15">
        <v>231239.16</v>
      </c>
      <c r="X117" s="29">
        <f>VLOOKUP($F117,Agendamento!$B:$J,9,0)</f>
        <v>46085</v>
      </c>
      <c r="Y117" s="6">
        <f>COUNTIF(Analise!F:F,'Obras e Acervos'!H117)</f>
        <v>1</v>
      </c>
    </row>
    <row r="118" spans="1:25" ht="15" customHeight="1" x14ac:dyDescent="0.25">
      <c r="A118" s="10" t="str">
        <f>CONCATENATE(LEFT(C118,12),"-",RIGHT(C118,2),"_",TEXT(X118,"ddmmaaaa"),"_",COUNTIF($C$2:C118,C118))</f>
        <v>036797150001-00_24022026_1</v>
      </c>
      <c r="B118" s="10" t="str">
        <f>CONCATENATE(LEFT(C118,12),"-",RIGHT(C118,2),"_",COUNTIF($C$2:C118,C118))</f>
        <v>036797150001-00_1</v>
      </c>
      <c r="C118" s="10" t="s">
        <v>2023</v>
      </c>
      <c r="D118" s="10" t="s">
        <v>5955</v>
      </c>
      <c r="E118" s="10" t="s">
        <v>1555</v>
      </c>
      <c r="F118" s="10" t="s">
        <v>821</v>
      </c>
      <c r="G118" s="10" t="s">
        <v>2024</v>
      </c>
      <c r="H118" s="11" t="s">
        <v>2025</v>
      </c>
      <c r="I118" s="11" t="s">
        <v>2026</v>
      </c>
      <c r="J118" s="10" t="s">
        <v>1559</v>
      </c>
      <c r="K118" s="10" t="s">
        <v>1560</v>
      </c>
      <c r="L118" s="10" t="s">
        <v>1561</v>
      </c>
      <c r="M118" s="10" t="s">
        <v>821</v>
      </c>
      <c r="N118" s="10">
        <v>36</v>
      </c>
      <c r="O118" s="11">
        <v>115</v>
      </c>
      <c r="P118" s="11">
        <v>0.115</v>
      </c>
      <c r="Q118" s="10" t="s">
        <v>1562</v>
      </c>
      <c r="R118" s="10">
        <v>80</v>
      </c>
      <c r="S118" s="12">
        <v>3</v>
      </c>
      <c r="T118" s="13">
        <v>46987</v>
      </c>
      <c r="U118" s="14">
        <v>5403.5050000000001</v>
      </c>
      <c r="V118" s="10">
        <v>5.42</v>
      </c>
      <c r="W118" s="15">
        <v>254669.54</v>
      </c>
      <c r="X118" s="29">
        <f>VLOOKUP($F118,Agendamento!$B:$J,9,0)</f>
        <v>46077</v>
      </c>
      <c r="Y118" s="6">
        <f>COUNTIF(Analise!F:F,'Obras e Acervos'!H118)</f>
        <v>1</v>
      </c>
    </row>
    <row r="119" spans="1:25" ht="15" customHeight="1" x14ac:dyDescent="0.25">
      <c r="A119" s="10" t="str">
        <f>CONCATENATE(LEFT(C119,12),"-",RIGHT(C119,2),"_",TEXT(X119,"ddmmaaaa"),"_",COUNTIF($C$2:C119,C119))</f>
        <v>356250060001-39_30012026_2</v>
      </c>
      <c r="B119" s="10" t="str">
        <f>CONCATENATE(LEFT(C119,12),"-",RIGHT(C119,2),"_",COUNTIF($C$2:C119,C119))</f>
        <v>356250060001-39_2</v>
      </c>
      <c r="C119" s="10" t="s">
        <v>1778</v>
      </c>
      <c r="D119" s="10" t="s">
        <v>84</v>
      </c>
      <c r="E119" s="10" t="s">
        <v>1574</v>
      </c>
      <c r="F119" s="10" t="s">
        <v>110</v>
      </c>
      <c r="G119" s="10" t="s">
        <v>2027</v>
      </c>
      <c r="H119" s="11" t="s">
        <v>2028</v>
      </c>
      <c r="I119" s="11" t="s">
        <v>2029</v>
      </c>
      <c r="J119" s="10" t="s">
        <v>1559</v>
      </c>
      <c r="K119" s="10" t="s">
        <v>1560</v>
      </c>
      <c r="L119" s="10" t="s">
        <v>1578</v>
      </c>
      <c r="M119" s="10" t="s">
        <v>110</v>
      </c>
      <c r="N119" s="10">
        <v>40</v>
      </c>
      <c r="O119" s="11">
        <v>113</v>
      </c>
      <c r="P119" s="11">
        <v>0.113</v>
      </c>
      <c r="Q119" s="10" t="s">
        <v>1562</v>
      </c>
      <c r="R119" s="10">
        <v>75</v>
      </c>
      <c r="S119" s="12">
        <v>18</v>
      </c>
      <c r="T119" s="13">
        <v>27442</v>
      </c>
      <c r="U119" s="14">
        <v>3100.9459999999999</v>
      </c>
      <c r="V119" s="10">
        <v>4.95</v>
      </c>
      <c r="W119" s="15">
        <v>228764.25</v>
      </c>
      <c r="X119" s="29">
        <f>VLOOKUP($F119,Agendamento!$B:$J,9,0)</f>
        <v>46052</v>
      </c>
      <c r="Y119" s="6">
        <f>COUNTIF(Analise!F:F,'Obras e Acervos'!H119)</f>
        <v>1</v>
      </c>
    </row>
    <row r="120" spans="1:25" ht="15" customHeight="1" x14ac:dyDescent="0.25">
      <c r="A120" s="10" t="str">
        <f>CONCATENATE(LEFT(C120,12),"-",RIGHT(C120,2),"_",TEXT(X120,"ddmmaaaa"),"_",COUNTIF($C$2:C120,C120))</f>
        <v>206356920001-51_23022026_1</v>
      </c>
      <c r="B120" s="10" t="str">
        <f>CONCATENATE(LEFT(C120,12),"-",RIGHT(C120,2),"_",COUNTIF($C$2:C120,C120))</f>
        <v>206356920001-51_1</v>
      </c>
      <c r="C120" s="10" t="s">
        <v>2030</v>
      </c>
      <c r="D120" s="10" t="s">
        <v>748</v>
      </c>
      <c r="E120" s="10" t="s">
        <v>1555</v>
      </c>
      <c r="F120" s="10" t="s">
        <v>750</v>
      </c>
      <c r="G120" s="10" t="s">
        <v>2031</v>
      </c>
      <c r="H120" s="11" t="s">
        <v>2032</v>
      </c>
      <c r="I120" s="11" t="s">
        <v>2033</v>
      </c>
      <c r="J120" s="10" t="s">
        <v>1559</v>
      </c>
      <c r="K120" s="10" t="s">
        <v>1560</v>
      </c>
      <c r="L120" s="10" t="s">
        <v>1561</v>
      </c>
      <c r="M120" s="10" t="s">
        <v>750</v>
      </c>
      <c r="N120" s="10">
        <v>40</v>
      </c>
      <c r="O120" s="11">
        <v>121</v>
      </c>
      <c r="P120" s="11">
        <v>0.121</v>
      </c>
      <c r="Q120" s="10" t="s">
        <v>1599</v>
      </c>
      <c r="R120" s="10">
        <v>80</v>
      </c>
      <c r="S120" s="12">
        <v>4</v>
      </c>
      <c r="T120" s="13">
        <v>39763</v>
      </c>
      <c r="U120" s="14">
        <v>4811.3229999999994</v>
      </c>
      <c r="V120" s="10">
        <v>6.27</v>
      </c>
      <c r="W120" s="15">
        <v>249314.00999999998</v>
      </c>
      <c r="X120" s="29">
        <f>VLOOKUP($F120,Agendamento!$B:$J,9,0)</f>
        <v>46076</v>
      </c>
      <c r="Y120" s="6">
        <f>COUNTIF(Analise!F:F,'Obras e Acervos'!H120)</f>
        <v>1</v>
      </c>
    </row>
    <row r="121" spans="1:25" ht="15" customHeight="1" x14ac:dyDescent="0.25">
      <c r="A121" s="10" t="str">
        <f>CONCATENATE(LEFT(C121,12),"-",RIGHT(C121,2),"_",TEXT(X121,"ddmmaaaa"),"_",COUNTIF($C$2:C121,C121))</f>
        <v>442905940001-98_11032026_1</v>
      </c>
      <c r="B121" s="10" t="str">
        <f>CONCATENATE(LEFT(C121,12),"-",RIGHT(C121,2),"_",COUNTIF($C$2:C121,C121))</f>
        <v>442905940001-98_1</v>
      </c>
      <c r="C121" s="10" t="s">
        <v>2034</v>
      </c>
      <c r="D121" s="10" t="s">
        <v>1148</v>
      </c>
      <c r="E121" s="10" t="s">
        <v>1555</v>
      </c>
      <c r="F121" s="10" t="s">
        <v>1390</v>
      </c>
      <c r="G121" s="10" t="s">
        <v>2035</v>
      </c>
      <c r="H121" s="11" t="s">
        <v>2036</v>
      </c>
      <c r="I121" s="11" t="s">
        <v>2037</v>
      </c>
      <c r="J121" s="10" t="s">
        <v>1559</v>
      </c>
      <c r="K121" s="10" t="s">
        <v>1560</v>
      </c>
      <c r="L121" s="10" t="s">
        <v>1561</v>
      </c>
      <c r="M121" s="10" t="s">
        <v>1390</v>
      </c>
      <c r="N121" s="10">
        <v>40</v>
      </c>
      <c r="O121" s="11">
        <v>120</v>
      </c>
      <c r="P121" s="11">
        <v>0.12</v>
      </c>
      <c r="Q121" s="10" t="s">
        <v>1562</v>
      </c>
      <c r="R121" s="10">
        <v>80</v>
      </c>
      <c r="S121" s="12">
        <v>4</v>
      </c>
      <c r="T121" s="13">
        <v>44459</v>
      </c>
      <c r="U121" s="14">
        <v>5335.08</v>
      </c>
      <c r="V121" s="10">
        <v>5.85</v>
      </c>
      <c r="W121" s="15">
        <v>260085.15</v>
      </c>
      <c r="X121" s="29">
        <f>VLOOKUP($F121,Agendamento!$B:$J,9,0)</f>
        <v>46092</v>
      </c>
      <c r="Y121" s="6">
        <f>COUNTIF(Analise!F:F,'Obras e Acervos'!H121)</f>
        <v>1</v>
      </c>
    </row>
    <row r="122" spans="1:25" ht="15" customHeight="1" x14ac:dyDescent="0.25">
      <c r="A122" s="10" t="str">
        <f>CONCATENATE(LEFT(C122,12),"-",RIGHT(C122,2),"_",TEXT(X122,"ddmmaaaa"),"_",COUNTIF($C$2:C122,C122))</f>
        <v>093691040001-42_19022026_1</v>
      </c>
      <c r="B122" s="10" t="str">
        <f>CONCATENATE(LEFT(C122,12),"-",RIGHT(C122,2),"_",COUNTIF($C$2:C122,C122))</f>
        <v>093691040001-42_1</v>
      </c>
      <c r="C122" s="10" t="s">
        <v>2038</v>
      </c>
      <c r="D122" s="10" t="s">
        <v>5956</v>
      </c>
      <c r="E122" s="10" t="s">
        <v>1555</v>
      </c>
      <c r="F122" s="10" t="s">
        <v>624</v>
      </c>
      <c r="G122" s="10" t="s">
        <v>2039</v>
      </c>
      <c r="H122" s="11" t="s">
        <v>2040</v>
      </c>
      <c r="I122" s="11" t="s">
        <v>2041</v>
      </c>
      <c r="J122" s="10" t="s">
        <v>1559</v>
      </c>
      <c r="K122" s="10" t="s">
        <v>1560</v>
      </c>
      <c r="L122" s="10" t="s">
        <v>1561</v>
      </c>
      <c r="M122" s="10" t="s">
        <v>624</v>
      </c>
      <c r="N122" s="10">
        <v>40</v>
      </c>
      <c r="O122" s="11">
        <v>120</v>
      </c>
      <c r="P122" s="11">
        <v>0.12</v>
      </c>
      <c r="Q122" s="10" t="s">
        <v>1562</v>
      </c>
      <c r="R122" s="10">
        <v>75</v>
      </c>
      <c r="S122" s="12">
        <v>4</v>
      </c>
      <c r="T122" s="13">
        <v>44096</v>
      </c>
      <c r="U122" s="14">
        <v>5291.5199999999995</v>
      </c>
      <c r="V122" s="10">
        <v>5.22</v>
      </c>
      <c r="W122" s="15">
        <v>230181.12</v>
      </c>
      <c r="X122" s="29">
        <f>VLOOKUP($F122,Agendamento!$B:$J,9,0)</f>
        <v>46072</v>
      </c>
      <c r="Y122" s="6">
        <f>COUNTIF(Analise!F:F,'Obras e Acervos'!H122)</f>
        <v>1</v>
      </c>
    </row>
    <row r="123" spans="1:25" ht="15" customHeight="1" x14ac:dyDescent="0.25">
      <c r="A123" s="10" t="str">
        <f>CONCATENATE(LEFT(C123,12),"-",RIGHT(C123,2),"_",TEXT(X123,"ddmmaaaa"),"_",COUNTIF($C$2:C123,C123))</f>
        <v>037638640001-53_13022026_1</v>
      </c>
      <c r="B123" s="10" t="str">
        <f>CONCATENATE(LEFT(C123,12),"-",RIGHT(C123,2),"_",COUNTIF($C$2:C123,C123))</f>
        <v>037638640001-53_1</v>
      </c>
      <c r="C123" s="10" t="s">
        <v>2042</v>
      </c>
      <c r="D123" s="10" t="s">
        <v>5957</v>
      </c>
      <c r="E123" s="10" t="s">
        <v>1555</v>
      </c>
      <c r="F123" s="10" t="s">
        <v>440</v>
      </c>
      <c r="G123" s="10" t="s">
        <v>2043</v>
      </c>
      <c r="H123" s="11" t="s">
        <v>2044</v>
      </c>
      <c r="I123" s="11" t="s">
        <v>2045</v>
      </c>
      <c r="J123" s="10" t="s">
        <v>1559</v>
      </c>
      <c r="K123" s="10" t="s">
        <v>1560</v>
      </c>
      <c r="L123" s="10" t="s">
        <v>1561</v>
      </c>
      <c r="M123" s="10" t="s">
        <v>6183</v>
      </c>
      <c r="N123" s="10">
        <v>48</v>
      </c>
      <c r="O123" s="11">
        <v>115</v>
      </c>
      <c r="P123" s="11">
        <v>0.115</v>
      </c>
      <c r="Q123" s="10" t="s">
        <v>1562</v>
      </c>
      <c r="R123" s="10">
        <v>80</v>
      </c>
      <c r="S123" s="12">
        <v>4</v>
      </c>
      <c r="T123" s="13">
        <v>45914</v>
      </c>
      <c r="U123" s="14">
        <v>5280.1100000000006</v>
      </c>
      <c r="V123" s="10">
        <v>6.61</v>
      </c>
      <c r="W123" s="15">
        <v>303491.54000000004</v>
      </c>
      <c r="X123" s="29">
        <f>VLOOKUP($F123,Agendamento!$B:$J,9,0)</f>
        <v>46066</v>
      </c>
      <c r="Y123" s="6">
        <f>COUNTIF(Analise!F:F,'Obras e Acervos'!H123)</f>
        <v>1</v>
      </c>
    </row>
    <row r="124" spans="1:25" ht="15" customHeight="1" x14ac:dyDescent="0.25">
      <c r="A124" s="10" t="str">
        <f>CONCATENATE(LEFT(C124,12),"-",RIGHT(C124,2),"_",TEXT(X124,"ddmmaaaa"),"_",COUNTIF($C$2:C124,C124))</f>
        <v>219191640001-97_25022026_1</v>
      </c>
      <c r="B124" s="10" t="str">
        <f>CONCATENATE(LEFT(C124,12),"-",RIGHT(C124,2),"_",COUNTIF($C$2:C124,C124))</f>
        <v>219191640001-97_1</v>
      </c>
      <c r="C124" s="10" t="s">
        <v>2046</v>
      </c>
      <c r="D124" s="10" t="s">
        <v>870</v>
      </c>
      <c r="E124" s="10" t="s">
        <v>1555</v>
      </c>
      <c r="F124" s="10" t="s">
        <v>871</v>
      </c>
      <c r="G124" s="10" t="s">
        <v>2047</v>
      </c>
      <c r="H124" s="11" t="s">
        <v>2048</v>
      </c>
      <c r="I124" s="11" t="s">
        <v>2049</v>
      </c>
      <c r="J124" s="10" t="s">
        <v>1559</v>
      </c>
      <c r="K124" s="10" t="s">
        <v>1560</v>
      </c>
      <c r="L124" s="10" t="s">
        <v>1561</v>
      </c>
      <c r="M124" s="10" t="s">
        <v>871</v>
      </c>
      <c r="N124" s="10">
        <v>40</v>
      </c>
      <c r="O124" s="11">
        <v>118</v>
      </c>
      <c r="P124" s="11">
        <v>0.11799999999999999</v>
      </c>
      <c r="Q124" s="10" t="s">
        <v>1562</v>
      </c>
      <c r="R124" s="10">
        <v>80</v>
      </c>
      <c r="S124" s="12">
        <v>4</v>
      </c>
      <c r="T124" s="13">
        <v>65078</v>
      </c>
      <c r="U124" s="14">
        <v>7679.2039999999997</v>
      </c>
      <c r="V124" s="10">
        <v>4.9400000000000004</v>
      </c>
      <c r="W124" s="15">
        <v>321485.32</v>
      </c>
      <c r="X124" s="29">
        <f>VLOOKUP($F124,Agendamento!$B:$J,9,0)</f>
        <v>46078</v>
      </c>
      <c r="Y124" s="6">
        <f>COUNTIF(Analise!F:F,'Obras e Acervos'!H124)</f>
        <v>1</v>
      </c>
    </row>
    <row r="125" spans="1:25" ht="15" customHeight="1" x14ac:dyDescent="0.25">
      <c r="A125" s="10" t="str">
        <f>CONCATENATE(LEFT(C125,12),"-",RIGHT(C125,2),"_",TEXT(X125,"ddmmaaaa"),"_",COUNTIF($C$2:C125,C125))</f>
        <v>053346270001-00_25022026_1</v>
      </c>
      <c r="B125" s="10" t="str">
        <f>CONCATENATE(LEFT(C125,12),"-",RIGHT(C125,2),"_",COUNTIF($C$2:C125,C125))</f>
        <v>053346270001-00_1</v>
      </c>
      <c r="C125" s="10" t="s">
        <v>2050</v>
      </c>
      <c r="D125" s="10" t="s">
        <v>561</v>
      </c>
      <c r="E125" s="10" t="s">
        <v>1555</v>
      </c>
      <c r="F125" s="10" t="s">
        <v>873</v>
      </c>
      <c r="G125" s="10" t="s">
        <v>2051</v>
      </c>
      <c r="H125" s="11" t="s">
        <v>2052</v>
      </c>
      <c r="I125" s="11" t="s">
        <v>2053</v>
      </c>
      <c r="J125" s="10" t="s">
        <v>1559</v>
      </c>
      <c r="K125" s="10" t="s">
        <v>1560</v>
      </c>
      <c r="L125" s="10" t="s">
        <v>1561</v>
      </c>
      <c r="M125" s="10" t="s">
        <v>873</v>
      </c>
      <c r="N125" s="10">
        <v>44</v>
      </c>
      <c r="O125" s="11">
        <v>127</v>
      </c>
      <c r="P125" s="11">
        <v>0.127</v>
      </c>
      <c r="Q125" s="10" t="s">
        <v>1562</v>
      </c>
      <c r="R125" s="10">
        <v>80</v>
      </c>
      <c r="S125" s="12">
        <v>4</v>
      </c>
      <c r="T125" s="13">
        <v>50307</v>
      </c>
      <c r="U125" s="14">
        <v>6388.9890000000005</v>
      </c>
      <c r="V125" s="10">
        <v>5.72</v>
      </c>
      <c r="W125" s="15">
        <v>287756.03999999998</v>
      </c>
      <c r="X125" s="29">
        <f>VLOOKUP($F125,Agendamento!$B:$J,9,0)</f>
        <v>46078</v>
      </c>
      <c r="Y125" s="6">
        <f>COUNTIF(Analise!F:F,'Obras e Acervos'!H125)</f>
        <v>1</v>
      </c>
    </row>
    <row r="126" spans="1:25" ht="15" customHeight="1" x14ac:dyDescent="0.25">
      <c r="A126" s="10" t="str">
        <f>CONCATENATE(LEFT(C126,12),"-",RIGHT(C126,2),"_",TEXT(X126,"ddmmaaaa"),"_",COUNTIF($C$2:C126,C126))</f>
        <v>236229070001-98_06022026_1</v>
      </c>
      <c r="B126" s="10" t="str">
        <f>CONCATENATE(LEFT(C126,12),"-",RIGHT(C126,2),"_",COUNTIF($C$2:C126,C126))</f>
        <v>236229070001-98_1</v>
      </c>
      <c r="C126" s="10" t="s">
        <v>2054</v>
      </c>
      <c r="D126" s="10" t="s">
        <v>5958</v>
      </c>
      <c r="E126" s="10" t="s">
        <v>1555</v>
      </c>
      <c r="F126" s="10" t="s">
        <v>196</v>
      </c>
      <c r="G126" s="10" t="s">
        <v>2055</v>
      </c>
      <c r="H126" s="11" t="s">
        <v>2056</v>
      </c>
      <c r="I126" s="11" t="s">
        <v>2057</v>
      </c>
      <c r="J126" s="10" t="s">
        <v>1559</v>
      </c>
      <c r="K126" s="10" t="s">
        <v>1560</v>
      </c>
      <c r="L126" s="10" t="s">
        <v>1561</v>
      </c>
      <c r="M126" s="10" t="s">
        <v>196</v>
      </c>
      <c r="N126" s="10">
        <v>32</v>
      </c>
      <c r="O126" s="11">
        <v>77</v>
      </c>
      <c r="P126" s="11">
        <v>7.6999999999999999E-2</v>
      </c>
      <c r="Q126" s="10" t="s">
        <v>1562</v>
      </c>
      <c r="R126" s="10">
        <v>80</v>
      </c>
      <c r="S126" s="12">
        <v>4</v>
      </c>
      <c r="T126" s="13">
        <v>39096</v>
      </c>
      <c r="U126" s="14">
        <v>3010.3919999999998</v>
      </c>
      <c r="V126" s="10">
        <v>5.46</v>
      </c>
      <c r="W126" s="15">
        <v>213464.16</v>
      </c>
      <c r="X126" s="29">
        <f>VLOOKUP($F126,Agendamento!$B:$J,9,0)</f>
        <v>46059</v>
      </c>
      <c r="Y126" s="6">
        <f>COUNTIF(Analise!F:F,'Obras e Acervos'!H126)</f>
        <v>1</v>
      </c>
    </row>
    <row r="127" spans="1:25" ht="15" customHeight="1" x14ac:dyDescent="0.25">
      <c r="A127" s="10" t="str">
        <f>CONCATENATE(LEFT(C127,12),"-",RIGHT(C127,2),"_",TEXT(X127,"ddmmaaaa"),"_",COUNTIF($C$2:C127,C127))</f>
        <v>225205380001-60_13022026_1</v>
      </c>
      <c r="B127" s="10" t="str">
        <f>CONCATENATE(LEFT(C127,12),"-",RIGHT(C127,2),"_",COUNTIF($C$2:C127,C127))</f>
        <v>225205380001-60_1</v>
      </c>
      <c r="C127" s="10" t="s">
        <v>2058</v>
      </c>
      <c r="D127" s="10" t="s">
        <v>5959</v>
      </c>
      <c r="E127" s="10" t="s">
        <v>1555</v>
      </c>
      <c r="F127" s="10" t="s">
        <v>457</v>
      </c>
      <c r="G127" s="10" t="s">
        <v>2059</v>
      </c>
      <c r="H127" s="11" t="s">
        <v>2060</v>
      </c>
      <c r="I127" s="11" t="s">
        <v>2061</v>
      </c>
      <c r="J127" s="10" t="s">
        <v>1559</v>
      </c>
      <c r="K127" s="10" t="s">
        <v>1560</v>
      </c>
      <c r="L127" s="10" t="s">
        <v>1561</v>
      </c>
      <c r="M127" s="10" t="s">
        <v>457</v>
      </c>
      <c r="N127" s="10">
        <v>40</v>
      </c>
      <c r="O127" s="11">
        <v>96</v>
      </c>
      <c r="P127" s="11">
        <v>9.6000000000000002E-2</v>
      </c>
      <c r="Q127" s="10" t="s">
        <v>1562</v>
      </c>
      <c r="R127" s="10">
        <v>75</v>
      </c>
      <c r="S127" s="12">
        <v>4</v>
      </c>
      <c r="T127" s="13">
        <v>38005</v>
      </c>
      <c r="U127" s="14">
        <v>3648.48</v>
      </c>
      <c r="V127" s="10">
        <v>6.21</v>
      </c>
      <c r="W127" s="15">
        <v>236011.05</v>
      </c>
      <c r="X127" s="29">
        <f>VLOOKUP($F127,Agendamento!$B:$J,9,0)</f>
        <v>46066</v>
      </c>
      <c r="Y127" s="6">
        <f>COUNTIF(Analise!F:F,'Obras e Acervos'!H127)</f>
        <v>1</v>
      </c>
    </row>
    <row r="128" spans="1:25" ht="15" customHeight="1" x14ac:dyDescent="0.25">
      <c r="A128" s="10" t="str">
        <f>CONCATENATE(LEFT(C128,12),"-",RIGHT(C128,2),"_",TEXT(X128,"ddmmaaaa"),"_",COUNTIF($C$2:C128,C128))</f>
        <v>159170970001-79_27022026_1</v>
      </c>
      <c r="B128" s="10" t="str">
        <f>CONCATENATE(LEFT(C128,12),"-",RIGHT(C128,2),"_",COUNTIF($C$2:C128,C128))</f>
        <v>159170970001-79_1</v>
      </c>
      <c r="C128" s="10" t="s">
        <v>2062</v>
      </c>
      <c r="D128" s="10" t="s">
        <v>5960</v>
      </c>
      <c r="E128" s="10" t="s">
        <v>1555</v>
      </c>
      <c r="F128" s="10" t="s">
        <v>1020</v>
      </c>
      <c r="G128" s="10" t="s">
        <v>2063</v>
      </c>
      <c r="H128" s="11" t="s">
        <v>2064</v>
      </c>
      <c r="I128" s="11" t="s">
        <v>2065</v>
      </c>
      <c r="J128" s="10" t="s">
        <v>1559</v>
      </c>
      <c r="K128" s="10" t="s">
        <v>1560</v>
      </c>
      <c r="L128" s="10" t="s">
        <v>1561</v>
      </c>
      <c r="M128" s="10" t="s">
        <v>1020</v>
      </c>
      <c r="N128" s="10">
        <v>36</v>
      </c>
      <c r="O128" s="11">
        <v>115</v>
      </c>
      <c r="P128" s="11">
        <v>0.115</v>
      </c>
      <c r="Q128" s="10" t="s">
        <v>1562</v>
      </c>
      <c r="R128" s="10">
        <v>80</v>
      </c>
      <c r="S128" s="12">
        <v>4</v>
      </c>
      <c r="T128" s="13">
        <v>40081</v>
      </c>
      <c r="U128" s="14">
        <v>4609.3150000000005</v>
      </c>
      <c r="V128" s="10">
        <v>5.85</v>
      </c>
      <c r="W128" s="15">
        <v>234473.84999999998</v>
      </c>
      <c r="X128" s="29">
        <f>VLOOKUP($F128,Agendamento!$B:$J,9,0)</f>
        <v>46080</v>
      </c>
      <c r="Y128" s="6">
        <f>COUNTIF(Analise!F:F,'Obras e Acervos'!H128)</f>
        <v>1</v>
      </c>
    </row>
    <row r="129" spans="1:25" ht="15" customHeight="1" x14ac:dyDescent="0.25">
      <c r="A129" s="10" t="str">
        <f>CONCATENATE(LEFT(C129,12),"-",RIGHT(C129,2),"_",TEXT(X129,"ddmmaaaa"),"_",COUNTIF($C$2:C129,C129))</f>
        <v>030020180001-10_10032026_1</v>
      </c>
      <c r="B129" s="10" t="str">
        <f>CONCATENATE(LEFT(C129,12),"-",RIGHT(C129,2),"_",COUNTIF($C$2:C129,C129))</f>
        <v>030020180001-10_1</v>
      </c>
      <c r="C129" s="10" t="s">
        <v>2066</v>
      </c>
      <c r="D129" s="10" t="s">
        <v>5961</v>
      </c>
      <c r="E129" s="10" t="s">
        <v>1555</v>
      </c>
      <c r="F129" s="10" t="s">
        <v>1350</v>
      </c>
      <c r="G129" s="10" t="s">
        <v>2067</v>
      </c>
      <c r="H129" s="11" t="s">
        <v>2068</v>
      </c>
      <c r="I129" s="11" t="s">
        <v>2069</v>
      </c>
      <c r="J129" s="10" t="s">
        <v>1559</v>
      </c>
      <c r="K129" s="10" t="s">
        <v>1560</v>
      </c>
      <c r="L129" s="10" t="s">
        <v>1561</v>
      </c>
      <c r="M129" s="10" t="s">
        <v>1350</v>
      </c>
      <c r="N129" s="10">
        <v>36</v>
      </c>
      <c r="O129" s="11">
        <v>90</v>
      </c>
      <c r="P129" s="11">
        <v>0.09</v>
      </c>
      <c r="Q129" s="10" t="s">
        <v>1562</v>
      </c>
      <c r="R129" s="10">
        <v>80</v>
      </c>
      <c r="S129" s="12">
        <v>4</v>
      </c>
      <c r="T129" s="13">
        <v>38399</v>
      </c>
      <c r="U129" s="14">
        <v>3455.91</v>
      </c>
      <c r="V129" s="10">
        <v>5.9</v>
      </c>
      <c r="W129" s="15">
        <v>226554.1</v>
      </c>
      <c r="X129" s="29">
        <f>VLOOKUP($F129,Agendamento!$B:$J,9,0)</f>
        <v>46091</v>
      </c>
      <c r="Y129" s="6">
        <f>COUNTIF(Analise!F:F,'Obras e Acervos'!H129)</f>
        <v>1</v>
      </c>
    </row>
    <row r="130" spans="1:25" ht="15" customHeight="1" x14ac:dyDescent="0.25">
      <c r="A130" s="10" t="str">
        <f>CONCATENATE(LEFT(C130,12),"-",RIGHT(C130,2),"_",TEXT(X130,"ddmmaaaa"),"_",COUNTIF($C$2:C130,C130))</f>
        <v>876397610001-76_09022026_1</v>
      </c>
      <c r="B130" s="10" t="str">
        <f>CONCATENATE(LEFT(C130,12),"-",RIGHT(C130,2),"_",COUNTIF($C$2:C130,C130))</f>
        <v>876397610001-76_1</v>
      </c>
      <c r="C130" s="10" t="s">
        <v>2070</v>
      </c>
      <c r="D130" s="10" t="s">
        <v>5962</v>
      </c>
      <c r="E130" s="10" t="s">
        <v>1555</v>
      </c>
      <c r="F130" s="10" t="s">
        <v>226</v>
      </c>
      <c r="G130" s="10" t="s">
        <v>2071</v>
      </c>
      <c r="H130" s="11" t="s">
        <v>2072</v>
      </c>
      <c r="I130" s="11" t="s">
        <v>2073</v>
      </c>
      <c r="J130" s="10" t="s">
        <v>1559</v>
      </c>
      <c r="K130" s="10" t="s">
        <v>1560</v>
      </c>
      <c r="L130" s="10" t="s">
        <v>1561</v>
      </c>
      <c r="M130" s="10" t="s">
        <v>226</v>
      </c>
      <c r="N130" s="10">
        <v>36</v>
      </c>
      <c r="O130" s="11">
        <v>107</v>
      </c>
      <c r="P130" s="11">
        <v>0.107</v>
      </c>
      <c r="Q130" s="10" t="s">
        <v>1562</v>
      </c>
      <c r="R130" s="10">
        <v>80</v>
      </c>
      <c r="S130" s="12">
        <v>4</v>
      </c>
      <c r="T130" s="13">
        <v>38217</v>
      </c>
      <c r="U130" s="14">
        <v>4089.2190000000001</v>
      </c>
      <c r="V130" s="10">
        <v>5.9</v>
      </c>
      <c r="W130" s="15">
        <v>225480.30000000002</v>
      </c>
      <c r="X130" s="29">
        <f>VLOOKUP($F130,Agendamento!$B:$J,9,0)</f>
        <v>46062</v>
      </c>
      <c r="Y130" s="6">
        <f>COUNTIF(Analise!F:F,'Obras e Acervos'!H130)</f>
        <v>1</v>
      </c>
    </row>
    <row r="131" spans="1:25" ht="15" customHeight="1" x14ac:dyDescent="0.25">
      <c r="A131" s="10" t="str">
        <f>CONCATENATE(LEFT(C131,12),"-",RIGHT(C131,2),"_",TEXT(X131,"ddmmaaaa"),"_",COUNTIF($C$2:C131,C131))</f>
        <v>411502030001-41_10022026_1</v>
      </c>
      <c r="B131" s="10" t="str">
        <f>CONCATENATE(LEFT(C131,12),"-",RIGHT(C131,2),"_",COUNTIF($C$2:C131,C131))</f>
        <v>411502030001-41_1</v>
      </c>
      <c r="C131" s="10" t="s">
        <v>2074</v>
      </c>
      <c r="D131" s="10" t="s">
        <v>282</v>
      </c>
      <c r="E131" s="10" t="s">
        <v>1555</v>
      </c>
      <c r="F131" s="10" t="s">
        <v>283</v>
      </c>
      <c r="G131" s="10" t="s">
        <v>2075</v>
      </c>
      <c r="H131" s="11" t="s">
        <v>2076</v>
      </c>
      <c r="I131" s="11" t="s">
        <v>2077</v>
      </c>
      <c r="J131" s="10" t="s">
        <v>1559</v>
      </c>
      <c r="K131" s="10" t="s">
        <v>1560</v>
      </c>
      <c r="L131" s="10" t="s">
        <v>1561</v>
      </c>
      <c r="M131" s="10" t="s">
        <v>283</v>
      </c>
      <c r="N131" s="10">
        <v>40</v>
      </c>
      <c r="O131" s="11">
        <v>90</v>
      </c>
      <c r="P131" s="11">
        <v>0.09</v>
      </c>
      <c r="Q131" s="10" t="s">
        <v>1562</v>
      </c>
      <c r="R131" s="10">
        <v>80</v>
      </c>
      <c r="S131" s="12">
        <v>4</v>
      </c>
      <c r="T131" s="13">
        <v>45217</v>
      </c>
      <c r="U131" s="14">
        <v>4069.5299999999997</v>
      </c>
      <c r="V131" s="10">
        <v>5.84</v>
      </c>
      <c r="W131" s="15">
        <v>264067.27999999997</v>
      </c>
      <c r="X131" s="29">
        <f>VLOOKUP($F131,Agendamento!$B:$J,9,0)</f>
        <v>46063</v>
      </c>
      <c r="Y131" s="6">
        <f>COUNTIF(Analise!F:F,'Obras e Acervos'!H131)</f>
        <v>1</v>
      </c>
    </row>
    <row r="132" spans="1:25" ht="15" customHeight="1" x14ac:dyDescent="0.25">
      <c r="A132" s="10" t="str">
        <f>CONCATENATE(LEFT(C132,12),"-",RIGHT(C132,2),"_",TEXT(X132,"ddmmaaaa"),"_",COUNTIF($C$2:C132,C132))</f>
        <v>056659540001-37_11032026_1</v>
      </c>
      <c r="B132" s="10" t="str">
        <f>CONCATENATE(LEFT(C132,12),"-",RIGHT(C132,2),"_",COUNTIF($C$2:C132,C132))</f>
        <v>056659540001-37_1</v>
      </c>
      <c r="C132" s="10" t="s">
        <v>2078</v>
      </c>
      <c r="D132" s="10" t="s">
        <v>5963</v>
      </c>
      <c r="E132" s="10" t="s">
        <v>1555</v>
      </c>
      <c r="F132" s="10" t="s">
        <v>1392</v>
      </c>
      <c r="G132" s="10" t="s">
        <v>2079</v>
      </c>
      <c r="H132" s="11" t="s">
        <v>2080</v>
      </c>
      <c r="I132" s="11" t="s">
        <v>2081</v>
      </c>
      <c r="J132" s="10" t="s">
        <v>1559</v>
      </c>
      <c r="K132" s="10" t="s">
        <v>1560</v>
      </c>
      <c r="L132" s="10" t="s">
        <v>1561</v>
      </c>
      <c r="M132" s="10" t="s">
        <v>1392</v>
      </c>
      <c r="N132" s="10">
        <v>48</v>
      </c>
      <c r="O132" s="11">
        <v>143</v>
      </c>
      <c r="P132" s="11">
        <v>0.14299999999999999</v>
      </c>
      <c r="Q132" s="10" t="s">
        <v>1599</v>
      </c>
      <c r="R132" s="10">
        <v>80</v>
      </c>
      <c r="S132" s="12">
        <v>4</v>
      </c>
      <c r="T132" s="13">
        <v>42475</v>
      </c>
      <c r="U132" s="14">
        <v>6073.9249999999993</v>
      </c>
      <c r="V132" s="10">
        <v>7.07</v>
      </c>
      <c r="W132" s="15">
        <v>300298.25</v>
      </c>
      <c r="X132" s="29">
        <f>VLOOKUP($F132,Agendamento!$B:$J,9,0)</f>
        <v>46092</v>
      </c>
      <c r="Y132" s="6">
        <f>COUNTIF(Analise!F:F,'Obras e Acervos'!H132)</f>
        <v>1</v>
      </c>
    </row>
    <row r="133" spans="1:25" ht="15" customHeight="1" x14ac:dyDescent="0.25">
      <c r="A133" s="10" t="str">
        <f>CONCATENATE(LEFT(C133,12),"-",RIGHT(C133,2),"_",TEXT(X133,"ddmmaaaa"),"_",COUNTIF($C$2:C133,C133))</f>
        <v>604440980001-06_04032026_1</v>
      </c>
      <c r="B133" s="10" t="str">
        <f>CONCATENATE(LEFT(C133,12),"-",RIGHT(C133,2),"_",COUNTIF($C$2:C133,C133))</f>
        <v>604440980001-06_1</v>
      </c>
      <c r="C133" s="10" t="s">
        <v>2082</v>
      </c>
      <c r="D133" s="10" t="s">
        <v>975</v>
      </c>
      <c r="E133" s="10" t="s">
        <v>1555</v>
      </c>
      <c r="F133" s="10" t="s">
        <v>1183</v>
      </c>
      <c r="G133" s="10" t="s">
        <v>2083</v>
      </c>
      <c r="H133" s="11" t="s">
        <v>2084</v>
      </c>
      <c r="I133" s="11" t="s">
        <v>2085</v>
      </c>
      <c r="J133" s="10" t="s">
        <v>1559</v>
      </c>
      <c r="K133" s="10" t="s">
        <v>1560</v>
      </c>
      <c r="L133" s="10" t="s">
        <v>1561</v>
      </c>
      <c r="M133" s="10" t="s">
        <v>1183</v>
      </c>
      <c r="N133" s="10">
        <v>32</v>
      </c>
      <c r="O133" s="11">
        <v>100</v>
      </c>
      <c r="P133" s="11">
        <v>0.1</v>
      </c>
      <c r="Q133" s="10" t="s">
        <v>1562</v>
      </c>
      <c r="R133" s="10">
        <v>80</v>
      </c>
      <c r="S133" s="12">
        <v>4</v>
      </c>
      <c r="T133" s="13">
        <v>75274</v>
      </c>
      <c r="U133" s="14">
        <v>7527.4000000000005</v>
      </c>
      <c r="V133" s="10">
        <v>4.18</v>
      </c>
      <c r="W133" s="15">
        <v>314645.32</v>
      </c>
      <c r="X133" s="29">
        <f>VLOOKUP($F133,Agendamento!$B:$J,9,0)</f>
        <v>46085</v>
      </c>
      <c r="Y133" s="6">
        <f>COUNTIF(Analise!F:F,'Obras e Acervos'!H133)</f>
        <v>1</v>
      </c>
    </row>
    <row r="134" spans="1:25" ht="15" customHeight="1" x14ac:dyDescent="0.25">
      <c r="A134" s="10" t="str">
        <f>CONCATENATE(LEFT(C134,12),"-",RIGHT(C134,2),"_",TEXT(X134,"ddmmaaaa"),"_",COUNTIF($C$2:C134,C134))</f>
        <v>387460380001-80_05022026_1</v>
      </c>
      <c r="B134" s="10" t="str">
        <f>CONCATENATE(LEFT(C134,12),"-",RIGHT(C134,2),"_",COUNTIF($C$2:C134,C134))</f>
        <v>387460380001-80_1</v>
      </c>
      <c r="C134" s="10" t="s">
        <v>2086</v>
      </c>
      <c r="D134" s="10" t="s">
        <v>5964</v>
      </c>
      <c r="E134" s="10" t="s">
        <v>1555</v>
      </c>
      <c r="F134" s="10" t="s">
        <v>176</v>
      </c>
      <c r="G134" s="10" t="s">
        <v>2087</v>
      </c>
      <c r="H134" s="11" t="s">
        <v>2088</v>
      </c>
      <c r="I134" s="11" t="s">
        <v>2089</v>
      </c>
      <c r="J134" s="10" t="s">
        <v>1559</v>
      </c>
      <c r="K134" s="10" t="s">
        <v>1560</v>
      </c>
      <c r="L134" s="10" t="s">
        <v>1561</v>
      </c>
      <c r="M134" s="10" t="s">
        <v>176</v>
      </c>
      <c r="N134" s="10">
        <v>32</v>
      </c>
      <c r="O134" s="11">
        <v>105</v>
      </c>
      <c r="P134" s="11">
        <v>0.105</v>
      </c>
      <c r="Q134" s="10" t="s">
        <v>1562</v>
      </c>
      <c r="R134" s="10">
        <v>80</v>
      </c>
      <c r="S134" s="12">
        <v>4</v>
      </c>
      <c r="T134" s="13">
        <v>48444</v>
      </c>
      <c r="U134" s="14">
        <v>5086.62</v>
      </c>
      <c r="V134" s="10">
        <v>4.75</v>
      </c>
      <c r="W134" s="15">
        <v>230109</v>
      </c>
      <c r="X134" s="29">
        <f>VLOOKUP($F134,Agendamento!$B:$J,9,0)</f>
        <v>46058</v>
      </c>
      <c r="Y134" s="6">
        <f>COUNTIF(Analise!F:F,'Obras e Acervos'!H134)</f>
        <v>1</v>
      </c>
    </row>
    <row r="135" spans="1:25" ht="15" customHeight="1" x14ac:dyDescent="0.25">
      <c r="A135" s="10" t="str">
        <f>CONCATENATE(LEFT(C135,12),"-",RIGHT(C135,2),"_",TEXT(X135,"ddmmaaaa"),"_",COUNTIF($C$2:C135,C135))</f>
        <v>227694490001-51_13022026_1</v>
      </c>
      <c r="B135" s="10" t="str">
        <f>CONCATENATE(LEFT(C135,12),"-",RIGHT(C135,2),"_",COUNTIF($C$2:C135,C135))</f>
        <v>227694490001-51_1</v>
      </c>
      <c r="C135" s="10" t="s">
        <v>2090</v>
      </c>
      <c r="D135" s="10" t="s">
        <v>5965</v>
      </c>
      <c r="E135" s="10" t="s">
        <v>1555</v>
      </c>
      <c r="F135" s="10" t="s">
        <v>438</v>
      </c>
      <c r="G135" s="10" t="s">
        <v>2091</v>
      </c>
      <c r="H135" s="11" t="s">
        <v>2092</v>
      </c>
      <c r="I135" s="11" t="s">
        <v>2093</v>
      </c>
      <c r="J135" s="10" t="s">
        <v>1559</v>
      </c>
      <c r="K135" s="10" t="s">
        <v>1560</v>
      </c>
      <c r="L135" s="10" t="s">
        <v>1561</v>
      </c>
      <c r="M135" s="10" t="s">
        <v>438</v>
      </c>
      <c r="N135" s="10">
        <v>48</v>
      </c>
      <c r="O135" s="11">
        <v>136</v>
      </c>
      <c r="P135" s="11">
        <v>0.13600000000000001</v>
      </c>
      <c r="Q135" s="10" t="s">
        <v>1562</v>
      </c>
      <c r="R135" s="10">
        <v>80</v>
      </c>
      <c r="S135" s="12">
        <v>4</v>
      </c>
      <c r="T135" s="13">
        <v>40354</v>
      </c>
      <c r="U135" s="14">
        <v>5488.1440000000002</v>
      </c>
      <c r="V135" s="10">
        <v>7.11</v>
      </c>
      <c r="W135" s="15">
        <v>286916.94</v>
      </c>
      <c r="X135" s="29">
        <f>VLOOKUP($F135,Agendamento!$B:$J,9,0)</f>
        <v>46066</v>
      </c>
      <c r="Y135" s="6">
        <f>COUNTIF(Analise!F:F,'Obras e Acervos'!H135)</f>
        <v>1</v>
      </c>
    </row>
    <row r="136" spans="1:25" ht="15" customHeight="1" x14ac:dyDescent="0.25">
      <c r="A136" s="10" t="str">
        <f>CONCATENATE(LEFT(C136,12),"-",RIGHT(C136,2),"_",TEXT(X136,"ddmmaaaa"),"_",COUNTIF($C$2:C136,C136))</f>
        <v>063683960001-00_06032026_1</v>
      </c>
      <c r="B136" s="10" t="str">
        <f>CONCATENATE(LEFT(C136,12),"-",RIGHT(C136,2),"_",COUNTIF($C$2:C136,C136))</f>
        <v>063683960001-00_1</v>
      </c>
      <c r="C136" s="10" t="s">
        <v>2094</v>
      </c>
      <c r="D136" s="10" t="s">
        <v>5966</v>
      </c>
      <c r="E136" s="10" t="s">
        <v>1555</v>
      </c>
      <c r="F136" s="10" t="s">
        <v>1291</v>
      </c>
      <c r="G136" s="10" t="s">
        <v>2095</v>
      </c>
      <c r="H136" s="11" t="s">
        <v>2096</v>
      </c>
      <c r="I136" s="11" t="s">
        <v>2097</v>
      </c>
      <c r="J136" s="10" t="s">
        <v>1559</v>
      </c>
      <c r="K136" s="10" t="s">
        <v>1560</v>
      </c>
      <c r="L136" s="10" t="s">
        <v>1561</v>
      </c>
      <c r="M136" s="10" t="s">
        <v>1291</v>
      </c>
      <c r="N136" s="10">
        <v>40</v>
      </c>
      <c r="O136" s="11">
        <v>124</v>
      </c>
      <c r="P136" s="11">
        <v>0.124</v>
      </c>
      <c r="Q136" s="10" t="s">
        <v>1562</v>
      </c>
      <c r="R136" s="10">
        <v>80</v>
      </c>
      <c r="S136" s="12">
        <v>4</v>
      </c>
      <c r="T136" s="13">
        <v>40217</v>
      </c>
      <c r="U136" s="14">
        <v>4986.9080000000004</v>
      </c>
      <c r="V136" s="10">
        <v>6.27</v>
      </c>
      <c r="W136" s="15">
        <v>252160.59</v>
      </c>
      <c r="X136" s="29">
        <f>VLOOKUP($F136,Agendamento!$B:$J,9,0)</f>
        <v>46087</v>
      </c>
      <c r="Y136" s="6">
        <f>COUNTIF(Analise!F:F,'Obras e Acervos'!H136)</f>
        <v>1</v>
      </c>
    </row>
    <row r="137" spans="1:25" ht="15" customHeight="1" x14ac:dyDescent="0.25">
      <c r="A137" s="10" t="str">
        <f>CONCATENATE(LEFT(C137,12),"-",RIGHT(C137,2),"_",TEXT(X137,"ddmmaaaa"),"_",COUNTIF($C$2:C137,C137))</f>
        <v>176299430001-80_27022026_1</v>
      </c>
      <c r="B137" s="10" t="str">
        <f>CONCATENATE(LEFT(C137,12),"-",RIGHT(C137,2),"_",COUNTIF($C$2:C137,C137))</f>
        <v>176299430001-80_1</v>
      </c>
      <c r="C137" s="10" t="s">
        <v>2098</v>
      </c>
      <c r="D137" s="10" t="s">
        <v>879</v>
      </c>
      <c r="E137" s="10" t="s">
        <v>1555</v>
      </c>
      <c r="F137" s="10" t="s">
        <v>997</v>
      </c>
      <c r="G137" s="10" t="s">
        <v>2099</v>
      </c>
      <c r="H137" s="11" t="s">
        <v>2100</v>
      </c>
      <c r="I137" s="11" t="s">
        <v>2101</v>
      </c>
      <c r="J137" s="10" t="s">
        <v>1559</v>
      </c>
      <c r="K137" s="10" t="s">
        <v>1560</v>
      </c>
      <c r="L137" s="10" t="s">
        <v>1561</v>
      </c>
      <c r="M137" s="10" t="s">
        <v>997</v>
      </c>
      <c r="N137" s="10">
        <v>48</v>
      </c>
      <c r="O137" s="11">
        <v>137</v>
      </c>
      <c r="P137" s="11">
        <v>0.13700000000000001</v>
      </c>
      <c r="Q137" s="10" t="s">
        <v>1562</v>
      </c>
      <c r="R137" s="10">
        <v>80</v>
      </c>
      <c r="S137" s="12">
        <v>4</v>
      </c>
      <c r="T137" s="13">
        <v>39732</v>
      </c>
      <c r="U137" s="14">
        <v>5443.2840000000006</v>
      </c>
      <c r="V137" s="10">
        <v>7.13</v>
      </c>
      <c r="W137" s="15">
        <v>283289.15999999997</v>
      </c>
      <c r="X137" s="29">
        <f>VLOOKUP($F137,Agendamento!$B:$J,9,0)</f>
        <v>46080</v>
      </c>
      <c r="Y137" s="6">
        <f>COUNTIF(Analise!F:F,'Obras e Acervos'!H137)</f>
        <v>1</v>
      </c>
    </row>
    <row r="138" spans="1:25" ht="15" customHeight="1" x14ac:dyDescent="0.25">
      <c r="A138" s="10" t="str">
        <f>CONCATENATE(LEFT(C138,12),"-",RIGHT(C138,2),"_",TEXT(X138,"ddmmaaaa"),"_",COUNTIF($C$2:C138,C138))</f>
        <v>063012730001-52_02032026_1</v>
      </c>
      <c r="B138" s="10" t="str">
        <f>CONCATENATE(LEFT(C138,12),"-",RIGHT(C138,2),"_",COUNTIF($C$2:C138,C138))</f>
        <v>063012730001-52_1</v>
      </c>
      <c r="C138" s="10" t="s">
        <v>2102</v>
      </c>
      <c r="D138" s="10" t="s">
        <v>5967</v>
      </c>
      <c r="E138" s="10" t="s">
        <v>1555</v>
      </c>
      <c r="F138" s="10" t="s">
        <v>1080</v>
      </c>
      <c r="G138" s="10" t="s">
        <v>2103</v>
      </c>
      <c r="H138" s="11" t="s">
        <v>2104</v>
      </c>
      <c r="I138" s="11" t="s">
        <v>2105</v>
      </c>
      <c r="J138" s="10" t="s">
        <v>1559</v>
      </c>
      <c r="K138" s="10" t="s">
        <v>1560</v>
      </c>
      <c r="L138" s="10" t="s">
        <v>1561</v>
      </c>
      <c r="M138" s="10" t="s">
        <v>6184</v>
      </c>
      <c r="N138" s="10">
        <v>0</v>
      </c>
      <c r="O138" s="11">
        <v>86</v>
      </c>
      <c r="P138" s="11">
        <v>8.5999999999999993E-2</v>
      </c>
      <c r="Q138" s="10" t="s">
        <v>1562</v>
      </c>
      <c r="R138" s="10">
        <v>80</v>
      </c>
      <c r="S138" s="12">
        <v>4</v>
      </c>
      <c r="T138" s="13">
        <v>38869</v>
      </c>
      <c r="U138" s="14">
        <v>3342.7339999999999</v>
      </c>
      <c r="V138" s="10">
        <v>6.31</v>
      </c>
      <c r="W138" s="15">
        <v>245263.38999999998</v>
      </c>
      <c r="X138" s="29">
        <f>VLOOKUP($F138,Agendamento!$B:$J,9,0)</f>
        <v>46083</v>
      </c>
      <c r="Y138" s="6">
        <f>COUNTIF(Analise!F:F,'Obras e Acervos'!H138)</f>
        <v>1</v>
      </c>
    </row>
    <row r="139" spans="1:25" ht="15" customHeight="1" x14ac:dyDescent="0.25">
      <c r="A139" s="10" t="str">
        <f>CONCATENATE(LEFT(C139,12),"-",RIGHT(C139,2),"_",TEXT(X139,"ddmmaaaa"),"_",COUNTIF($C$2:C139,C139))</f>
        <v>438855640001-61_10022026_1</v>
      </c>
      <c r="B139" s="10" t="str">
        <f>CONCATENATE(LEFT(C139,12),"-",RIGHT(C139,2),"_",COUNTIF($C$2:C139,C139))</f>
        <v>438855640001-61_1</v>
      </c>
      <c r="C139" s="10" t="s">
        <v>2106</v>
      </c>
      <c r="D139" s="10" t="s">
        <v>5968</v>
      </c>
      <c r="E139" s="10" t="s">
        <v>1555</v>
      </c>
      <c r="F139" s="10" t="s">
        <v>264</v>
      </c>
      <c r="G139" s="10" t="s">
        <v>2107</v>
      </c>
      <c r="H139" s="11" t="s">
        <v>2108</v>
      </c>
      <c r="I139" s="11" t="s">
        <v>2109</v>
      </c>
      <c r="J139" s="10" t="s">
        <v>1559</v>
      </c>
      <c r="K139" s="10" t="s">
        <v>1560</v>
      </c>
      <c r="L139" s="10" t="s">
        <v>1561</v>
      </c>
      <c r="M139" s="10" t="s">
        <v>264</v>
      </c>
      <c r="N139" s="10">
        <v>32</v>
      </c>
      <c r="O139" s="11">
        <v>86</v>
      </c>
      <c r="P139" s="11">
        <v>8.5999999999999993E-2</v>
      </c>
      <c r="Q139" s="10" t="s">
        <v>1562</v>
      </c>
      <c r="R139" s="10">
        <v>80</v>
      </c>
      <c r="S139" s="12">
        <v>4</v>
      </c>
      <c r="T139" s="13">
        <v>52564</v>
      </c>
      <c r="U139" s="14">
        <v>4520.5039999999999</v>
      </c>
      <c r="V139" s="10">
        <v>4.6100000000000003</v>
      </c>
      <c r="W139" s="15">
        <v>242320.04</v>
      </c>
      <c r="X139" s="29">
        <f>VLOOKUP($F139,Agendamento!$B:$J,9,0)</f>
        <v>46063</v>
      </c>
      <c r="Y139" s="6">
        <f>COUNTIF(Analise!F:F,'Obras e Acervos'!H139)</f>
        <v>1</v>
      </c>
    </row>
    <row r="140" spans="1:25" ht="15" customHeight="1" x14ac:dyDescent="0.25">
      <c r="A140" s="10" t="str">
        <f>CONCATENATE(LEFT(C140,12),"-",RIGHT(C140,2),"_",TEXT(X140,"ddmmaaaa"),"_",COUNTIF($C$2:C140,C140))</f>
        <v>032422500001-26_27012026_1</v>
      </c>
      <c r="B140" s="10" t="str">
        <f>CONCATENATE(LEFT(C140,12),"-",RIGHT(C140,2),"_",COUNTIF($C$2:C140,C140))</f>
        <v>032422500001-26_1</v>
      </c>
      <c r="C140" s="21" t="s">
        <v>2110</v>
      </c>
      <c r="D140" s="10" t="s">
        <v>61</v>
      </c>
      <c r="E140" s="10" t="s">
        <v>1574</v>
      </c>
      <c r="F140" s="10" t="s">
        <v>62</v>
      </c>
      <c r="G140" s="10" t="s">
        <v>2111</v>
      </c>
      <c r="H140" s="22" t="s">
        <v>2112</v>
      </c>
      <c r="I140" s="27" t="s">
        <v>2113</v>
      </c>
      <c r="J140" s="10" t="s">
        <v>1559</v>
      </c>
      <c r="K140" s="10" t="s">
        <v>1560</v>
      </c>
      <c r="L140" s="10" t="s">
        <v>1578</v>
      </c>
      <c r="M140" s="10" t="s">
        <v>62</v>
      </c>
      <c r="N140" s="10">
        <v>32</v>
      </c>
      <c r="O140" s="11">
        <v>102</v>
      </c>
      <c r="P140" s="22">
        <v>0.10199999999999999</v>
      </c>
      <c r="Q140" s="10" t="s">
        <v>1562</v>
      </c>
      <c r="R140" s="10">
        <v>75</v>
      </c>
      <c r="S140" s="12">
        <v>14</v>
      </c>
      <c r="T140" s="23">
        <v>29030</v>
      </c>
      <c r="U140" s="24">
        <v>2961.06</v>
      </c>
      <c r="V140" s="10">
        <v>5.07</v>
      </c>
      <c r="W140" s="15">
        <v>224869.71000000002</v>
      </c>
      <c r="X140" s="29">
        <f>VLOOKUP($F140,Agendamento!$B:$J,9,0)</f>
        <v>46049</v>
      </c>
      <c r="Y140" s="6">
        <f>COUNTIF(Analise!F:F,'Obras e Acervos'!H140)</f>
        <v>1</v>
      </c>
    </row>
    <row r="141" spans="1:25" ht="15" customHeight="1" x14ac:dyDescent="0.25">
      <c r="A141" s="10" t="str">
        <f>CONCATENATE(LEFT(C141,12),"-",RIGHT(C141,2),"_",TEXT(X141,"ddmmaaaa"),"_",COUNTIF($C$2:C141,C141))</f>
        <v>444618360001-69_06032026_1</v>
      </c>
      <c r="B141" s="10" t="str">
        <f>CONCATENATE(LEFT(C141,12),"-",RIGHT(C141,2),"_",COUNTIF($C$2:C141,C141))</f>
        <v>444618360001-69_1</v>
      </c>
      <c r="C141" s="10" t="s">
        <v>2114</v>
      </c>
      <c r="D141" s="10" t="s">
        <v>185</v>
      </c>
      <c r="E141" s="10" t="s">
        <v>1555</v>
      </c>
      <c r="F141" s="10" t="s">
        <v>1289</v>
      </c>
      <c r="G141" s="10" t="s">
        <v>2115</v>
      </c>
      <c r="H141" s="11" t="s">
        <v>2116</v>
      </c>
      <c r="I141" s="11" t="s">
        <v>2117</v>
      </c>
      <c r="J141" s="10" t="s">
        <v>1559</v>
      </c>
      <c r="K141" s="10" t="s">
        <v>1560</v>
      </c>
      <c r="L141" s="10" t="s">
        <v>1561</v>
      </c>
      <c r="M141" s="10" t="s">
        <v>1289</v>
      </c>
      <c r="N141" s="10">
        <v>40</v>
      </c>
      <c r="O141" s="11">
        <v>124</v>
      </c>
      <c r="P141" s="11">
        <v>0.124</v>
      </c>
      <c r="Q141" s="10" t="s">
        <v>1562</v>
      </c>
      <c r="R141" s="10">
        <v>80</v>
      </c>
      <c r="S141" s="12">
        <v>4</v>
      </c>
      <c r="T141" s="13">
        <v>38308</v>
      </c>
      <c r="U141" s="14">
        <v>4750.192</v>
      </c>
      <c r="V141" s="10">
        <v>6.32</v>
      </c>
      <c r="W141" s="15">
        <v>242106.56</v>
      </c>
      <c r="X141" s="29">
        <f>VLOOKUP($F141,Agendamento!$B:$J,9,0)</f>
        <v>46087</v>
      </c>
      <c r="Y141" s="6">
        <f>COUNTIF(Analise!F:F,'Obras e Acervos'!H141)</f>
        <v>1</v>
      </c>
    </row>
    <row r="142" spans="1:25" ht="15" customHeight="1" x14ac:dyDescent="0.25">
      <c r="A142" s="10" t="str">
        <f>CONCATENATE(LEFT(C142,12),"-",RIGHT(C142,2),"_",TEXT(X142,"ddmmaaaa"),"_",COUNTIF($C$2:C142,C142))</f>
        <v>606575740001-69_28012026_1</v>
      </c>
      <c r="B142" s="10" t="str">
        <f>CONCATENATE(LEFT(C142,12),"-",RIGHT(C142,2),"_",COUNTIF($C$2:C142,C142))</f>
        <v>606575740001-69_1</v>
      </c>
      <c r="C142" s="10" t="s">
        <v>2118</v>
      </c>
      <c r="D142" s="10" t="s">
        <v>87</v>
      </c>
      <c r="E142" s="10" t="s">
        <v>1555</v>
      </c>
      <c r="F142" s="10" t="s">
        <v>88</v>
      </c>
      <c r="G142" s="10" t="s">
        <v>2119</v>
      </c>
      <c r="H142" s="11" t="s">
        <v>2120</v>
      </c>
      <c r="I142" s="11" t="s">
        <v>2121</v>
      </c>
      <c r="J142" s="10" t="s">
        <v>1559</v>
      </c>
      <c r="K142" s="10" t="s">
        <v>1560</v>
      </c>
      <c r="L142" s="10" t="s">
        <v>1561</v>
      </c>
      <c r="M142" s="10" t="s">
        <v>2122</v>
      </c>
      <c r="N142" s="10">
        <v>40</v>
      </c>
      <c r="O142" s="11">
        <v>113</v>
      </c>
      <c r="P142" s="11">
        <v>0.113</v>
      </c>
      <c r="Q142" s="10" t="s">
        <v>1562</v>
      </c>
      <c r="R142" s="10">
        <v>75</v>
      </c>
      <c r="S142" s="12">
        <v>5</v>
      </c>
      <c r="T142" s="13">
        <v>44982</v>
      </c>
      <c r="U142" s="14">
        <v>5082.9660000000003</v>
      </c>
      <c r="V142" s="10">
        <v>4.24</v>
      </c>
      <c r="W142" s="15">
        <v>183112.88</v>
      </c>
      <c r="X142" s="29">
        <f>VLOOKUP($F142,Agendamento!$B:$J,9,0)</f>
        <v>46050</v>
      </c>
      <c r="Y142" s="6">
        <f>COUNTIF(Analise!F:F,'Obras e Acervos'!H142)</f>
        <v>1</v>
      </c>
    </row>
    <row r="143" spans="1:25" ht="15" customHeight="1" x14ac:dyDescent="0.25">
      <c r="A143" s="10" t="str">
        <f>CONCATENATE(LEFT(C143,12),"-",RIGHT(C143,2),"_",TEXT(X143,"ddmmaaaa"),"_",COUNTIF($C$2:C143,C143))</f>
        <v>297790710001-16_24022026_1</v>
      </c>
      <c r="B143" s="10" t="str">
        <f>CONCATENATE(LEFT(C143,12),"-",RIGHT(C143,2),"_",COUNTIF($C$2:C143,C143))</f>
        <v>297790710001-16_1</v>
      </c>
      <c r="C143" s="10" t="s">
        <v>2123</v>
      </c>
      <c r="D143" s="10" t="s">
        <v>5969</v>
      </c>
      <c r="E143" s="10" t="s">
        <v>1555</v>
      </c>
      <c r="F143" s="10" t="s">
        <v>802</v>
      </c>
      <c r="G143" s="10" t="s">
        <v>2124</v>
      </c>
      <c r="H143" s="11" t="s">
        <v>2125</v>
      </c>
      <c r="I143" s="11" t="s">
        <v>2126</v>
      </c>
      <c r="J143" s="10" t="s">
        <v>1559</v>
      </c>
      <c r="K143" s="10" t="s">
        <v>1560</v>
      </c>
      <c r="L143" s="10" t="s">
        <v>1561</v>
      </c>
      <c r="M143" s="10" t="s">
        <v>802</v>
      </c>
      <c r="N143" s="10">
        <v>32</v>
      </c>
      <c r="O143" s="11">
        <v>101</v>
      </c>
      <c r="P143" s="11">
        <v>0.10100000000000001</v>
      </c>
      <c r="Q143" s="10" t="s">
        <v>1562</v>
      </c>
      <c r="R143" s="10">
        <v>75</v>
      </c>
      <c r="S143" s="12">
        <v>4</v>
      </c>
      <c r="T143" s="13">
        <v>39460</v>
      </c>
      <c r="U143" s="14">
        <v>3985.46</v>
      </c>
      <c r="V143" s="10">
        <v>5.37</v>
      </c>
      <c r="W143" s="15">
        <v>211900.2</v>
      </c>
      <c r="X143" s="29">
        <f>VLOOKUP($F143,Agendamento!$B:$J,9,0)</f>
        <v>46077</v>
      </c>
      <c r="Y143" s="6">
        <f>COUNTIF(Analise!F:F,'Obras e Acervos'!H143)</f>
        <v>1</v>
      </c>
    </row>
    <row r="144" spans="1:25" ht="15" customHeight="1" x14ac:dyDescent="0.25">
      <c r="A144" s="10" t="str">
        <f>CONCATENATE(LEFT(C144,12),"-",RIGHT(C144,2),"_",TEXT(X144,"ddmmaaaa"),"_",COUNTIF($C$2:C144,C144))</f>
        <v>433955940001-90_16032026_1</v>
      </c>
      <c r="B144" s="10" t="str">
        <f>CONCATENATE(LEFT(C144,12),"-",RIGHT(C144,2),"_",COUNTIF($C$2:C144,C144))</f>
        <v>433955940001-90_1</v>
      </c>
      <c r="C144" s="10" t="s">
        <v>2127</v>
      </c>
      <c r="D144" s="10" t="s">
        <v>1502</v>
      </c>
      <c r="E144" s="10" t="s">
        <v>1555</v>
      </c>
      <c r="F144" s="10" t="s">
        <v>1503</v>
      </c>
      <c r="G144" s="10" t="s">
        <v>2128</v>
      </c>
      <c r="H144" s="11" t="s">
        <v>2129</v>
      </c>
      <c r="I144" s="11" t="s">
        <v>2130</v>
      </c>
      <c r="J144" s="10" t="s">
        <v>1559</v>
      </c>
      <c r="K144" s="10" t="s">
        <v>1560</v>
      </c>
      <c r="L144" s="10" t="s">
        <v>1561</v>
      </c>
      <c r="M144" s="10" t="s">
        <v>1503</v>
      </c>
      <c r="N144" s="10">
        <v>32</v>
      </c>
      <c r="O144" s="11">
        <v>115</v>
      </c>
      <c r="P144" s="11">
        <v>0.115</v>
      </c>
      <c r="Q144" s="10" t="s">
        <v>1562</v>
      </c>
      <c r="R144" s="10">
        <v>75</v>
      </c>
      <c r="S144" s="12">
        <v>4</v>
      </c>
      <c r="T144" s="13">
        <v>44853</v>
      </c>
      <c r="U144" s="14">
        <v>5158.0950000000003</v>
      </c>
      <c r="V144" s="10">
        <v>4.97</v>
      </c>
      <c r="W144" s="15">
        <v>222919.40999999997</v>
      </c>
      <c r="X144" s="29">
        <f>VLOOKUP($F144,Agendamento!$B:$J,9,0)</f>
        <v>46097</v>
      </c>
      <c r="Y144" s="6">
        <f>COUNTIF(Analise!F:F,'Obras e Acervos'!H144)</f>
        <v>1</v>
      </c>
    </row>
    <row r="145" spans="1:25" ht="15" customHeight="1" x14ac:dyDescent="0.25">
      <c r="A145" s="10" t="str">
        <f>CONCATENATE(LEFT(C145,12),"-",RIGHT(C145,2),"_",TEXT(X145,"ddmmaaaa"),"_",COUNTIF($C$2:C145,C145))</f>
        <v>898407970001-49_13032026_1</v>
      </c>
      <c r="B145" s="10" t="str">
        <f>CONCATENATE(LEFT(C145,12),"-",RIGHT(C145,2),"_",COUNTIF($C$2:C145,C145))</f>
        <v>898407970001-49_1</v>
      </c>
      <c r="C145" s="10" t="s">
        <v>2131</v>
      </c>
      <c r="D145" s="10" t="s">
        <v>5970</v>
      </c>
      <c r="E145" s="10" t="s">
        <v>1555</v>
      </c>
      <c r="F145" s="10" t="s">
        <v>1399</v>
      </c>
      <c r="G145" s="10" t="s">
        <v>2132</v>
      </c>
      <c r="H145" s="11" t="s">
        <v>2133</v>
      </c>
      <c r="I145" s="11" t="s">
        <v>2134</v>
      </c>
      <c r="J145" s="10" t="s">
        <v>1559</v>
      </c>
      <c r="K145" s="10" t="s">
        <v>1560</v>
      </c>
      <c r="L145" s="10" t="s">
        <v>1561</v>
      </c>
      <c r="M145" s="10" t="s">
        <v>1399</v>
      </c>
      <c r="N145" s="10">
        <v>32</v>
      </c>
      <c r="O145" s="11">
        <v>70</v>
      </c>
      <c r="P145" s="11">
        <v>7.0000000000000007E-2</v>
      </c>
      <c r="Q145" s="10" t="s">
        <v>1562</v>
      </c>
      <c r="R145" s="10">
        <v>80</v>
      </c>
      <c r="S145" s="12">
        <v>4</v>
      </c>
      <c r="T145" s="13">
        <v>51186</v>
      </c>
      <c r="U145" s="14">
        <v>3583.0200000000004</v>
      </c>
      <c r="V145" s="10">
        <v>4.63</v>
      </c>
      <c r="W145" s="15">
        <v>236991.18</v>
      </c>
      <c r="X145" s="29">
        <f>VLOOKUP($F145,Agendamento!$B:$J,9,0)</f>
        <v>46094</v>
      </c>
      <c r="Y145" s="6">
        <f>COUNTIF(Analise!F:F,'Obras e Acervos'!H145)</f>
        <v>1</v>
      </c>
    </row>
    <row r="146" spans="1:25" ht="15" customHeight="1" x14ac:dyDescent="0.25">
      <c r="A146" s="10" t="str">
        <f>CONCATENATE(LEFT(C146,12),"-",RIGHT(C146,2),"_",TEXT(X146,"ddmmaaaa"),"_",COUNTIF($C$2:C146,C146))</f>
        <v>443011540001-99_27022026_1</v>
      </c>
      <c r="B146" s="10" t="str">
        <f>CONCATENATE(LEFT(C146,12),"-",RIGHT(C146,2),"_",COUNTIF($C$2:C146,C146))</f>
        <v>443011540001-99_1</v>
      </c>
      <c r="C146" s="10" t="s">
        <v>2135</v>
      </c>
      <c r="D146" s="10" t="s">
        <v>888</v>
      </c>
      <c r="E146" s="10" t="s">
        <v>1555</v>
      </c>
      <c r="F146" s="10" t="s">
        <v>985</v>
      </c>
      <c r="G146" s="10" t="s">
        <v>2136</v>
      </c>
      <c r="H146" s="11" t="s">
        <v>2137</v>
      </c>
      <c r="I146" s="11" t="s">
        <v>2138</v>
      </c>
      <c r="J146" s="10" t="s">
        <v>1559</v>
      </c>
      <c r="K146" s="10" t="s">
        <v>1560</v>
      </c>
      <c r="L146" s="10" t="s">
        <v>1561</v>
      </c>
      <c r="M146" s="10" t="s">
        <v>985</v>
      </c>
      <c r="N146" s="10">
        <v>32</v>
      </c>
      <c r="O146" s="11">
        <v>93</v>
      </c>
      <c r="P146" s="11">
        <v>9.2999999999999999E-2</v>
      </c>
      <c r="Q146" s="10" t="s">
        <v>1562</v>
      </c>
      <c r="R146" s="10">
        <v>80</v>
      </c>
      <c r="S146" s="12">
        <v>4</v>
      </c>
      <c r="T146" s="13">
        <v>38127</v>
      </c>
      <c r="U146" s="14">
        <v>3545.8110000000001</v>
      </c>
      <c r="V146" s="10">
        <v>5.49</v>
      </c>
      <c r="W146" s="15">
        <v>209317.23</v>
      </c>
      <c r="X146" s="29">
        <f>VLOOKUP($F146,Agendamento!$B:$J,9,0)</f>
        <v>46080</v>
      </c>
      <c r="Y146" s="6">
        <f>COUNTIF(Analise!F:F,'Obras e Acervos'!H146)</f>
        <v>1</v>
      </c>
    </row>
    <row r="147" spans="1:25" ht="15" customHeight="1" x14ac:dyDescent="0.25">
      <c r="A147" s="10" t="str">
        <f>CONCATENATE(LEFT(C147,12),"-",RIGHT(C147,2),"_",TEXT(X147,"ddmmaaaa"),"_",COUNTIF($C$2:C147,C147))</f>
        <v>249285210001-71_26022026_1</v>
      </c>
      <c r="B147" s="10" t="str">
        <f>CONCATENATE(LEFT(C147,12),"-",RIGHT(C147,2),"_",COUNTIF($C$2:C147,C147))</f>
        <v>249285210001-71_1</v>
      </c>
      <c r="C147" s="10" t="s">
        <v>2139</v>
      </c>
      <c r="D147" s="10" t="s">
        <v>903</v>
      </c>
      <c r="E147" s="10" t="s">
        <v>1555</v>
      </c>
      <c r="F147" s="10" t="s">
        <v>933</v>
      </c>
      <c r="G147" s="10" t="s">
        <v>2140</v>
      </c>
      <c r="H147" s="11" t="s">
        <v>2141</v>
      </c>
      <c r="I147" s="11" t="s">
        <v>2142</v>
      </c>
      <c r="J147" s="10" t="s">
        <v>1559</v>
      </c>
      <c r="K147" s="10" t="s">
        <v>1560</v>
      </c>
      <c r="L147" s="10" t="s">
        <v>1561</v>
      </c>
      <c r="M147" s="10" t="s">
        <v>933</v>
      </c>
      <c r="N147" s="10">
        <v>40</v>
      </c>
      <c r="O147" s="11">
        <v>124</v>
      </c>
      <c r="P147" s="11">
        <v>0.124</v>
      </c>
      <c r="Q147" s="10" t="s">
        <v>1562</v>
      </c>
      <c r="R147" s="10">
        <v>80</v>
      </c>
      <c r="S147" s="12">
        <v>4</v>
      </c>
      <c r="T147" s="13">
        <v>42762</v>
      </c>
      <c r="U147" s="14">
        <v>5302.4880000000003</v>
      </c>
      <c r="V147" s="10">
        <v>5.89</v>
      </c>
      <c r="W147" s="15">
        <v>251868.18</v>
      </c>
      <c r="X147" s="29">
        <f>VLOOKUP($F147,Agendamento!$B:$J,9,0)</f>
        <v>46079</v>
      </c>
      <c r="Y147" s="6">
        <f>COUNTIF(Analise!F:F,'Obras e Acervos'!H147)</f>
        <v>1</v>
      </c>
    </row>
    <row r="148" spans="1:25" ht="15" customHeight="1" x14ac:dyDescent="0.25">
      <c r="A148" s="10" t="str">
        <f>CONCATENATE(LEFT(C148,12),"-",RIGHT(C148,2),"_",TEXT(X148,"ddmmaaaa"),"_",COUNTIF($C$2:C148,C148))</f>
        <v>399101960001-97_12022026_1</v>
      </c>
      <c r="B148" s="10" t="str">
        <f>CONCATENATE(LEFT(C148,12),"-",RIGHT(C148,2),"_",COUNTIF($C$2:C148,C148))</f>
        <v>399101960001-97_1</v>
      </c>
      <c r="C148" s="10" t="s">
        <v>2143</v>
      </c>
      <c r="D148" s="10" t="s">
        <v>5971</v>
      </c>
      <c r="E148" s="10" t="s">
        <v>1555</v>
      </c>
      <c r="F148" s="10" t="s">
        <v>383</v>
      </c>
      <c r="G148" s="10" t="s">
        <v>2144</v>
      </c>
      <c r="H148" s="11" t="s">
        <v>2145</v>
      </c>
      <c r="I148" s="11" t="s">
        <v>2146</v>
      </c>
      <c r="J148" s="10" t="s">
        <v>1559</v>
      </c>
      <c r="K148" s="10" t="s">
        <v>1560</v>
      </c>
      <c r="L148" s="10" t="s">
        <v>1561</v>
      </c>
      <c r="M148" s="10" t="s">
        <v>6185</v>
      </c>
      <c r="N148" s="10">
        <v>32</v>
      </c>
      <c r="O148" s="11">
        <v>76</v>
      </c>
      <c r="P148" s="11">
        <v>7.5999999999999998E-2</v>
      </c>
      <c r="Q148" s="10" t="s">
        <v>1562</v>
      </c>
      <c r="R148" s="10">
        <v>80</v>
      </c>
      <c r="S148" s="12">
        <v>4</v>
      </c>
      <c r="T148" s="13">
        <v>39187</v>
      </c>
      <c r="U148" s="14">
        <v>2978.212</v>
      </c>
      <c r="V148" s="10">
        <v>5.46</v>
      </c>
      <c r="W148" s="15">
        <v>213961.02</v>
      </c>
      <c r="X148" s="29">
        <f>VLOOKUP($F148,Agendamento!$B:$J,9,0)</f>
        <v>46065</v>
      </c>
      <c r="Y148" s="6">
        <f>COUNTIF(Analise!F:F,'Obras e Acervos'!H148)</f>
        <v>1</v>
      </c>
    </row>
    <row r="149" spans="1:25" ht="15" customHeight="1" x14ac:dyDescent="0.25">
      <c r="A149" s="10" t="str">
        <f>CONCATENATE(LEFT(C149,12),"-",RIGHT(C149,2),"_",TEXT(X149,"ddmmaaaa"),"_",COUNTIF($C$2:C149,C149))</f>
        <v>409783200001-35_04032026_1</v>
      </c>
      <c r="B149" s="10" t="str">
        <f>CONCATENATE(LEFT(C149,12),"-",RIGHT(C149,2),"_",COUNTIF($C$2:C149,C149))</f>
        <v>409783200001-35_1</v>
      </c>
      <c r="C149" s="10" t="s">
        <v>2147</v>
      </c>
      <c r="D149" s="10" t="s">
        <v>1203</v>
      </c>
      <c r="E149" s="10" t="s">
        <v>1555</v>
      </c>
      <c r="F149" s="10" t="s">
        <v>1204</v>
      </c>
      <c r="G149" s="10" t="s">
        <v>2148</v>
      </c>
      <c r="H149" s="11" t="s">
        <v>2149</v>
      </c>
      <c r="I149" s="11" t="s">
        <v>2150</v>
      </c>
      <c r="J149" s="10" t="s">
        <v>1559</v>
      </c>
      <c r="K149" s="10" t="s">
        <v>1560</v>
      </c>
      <c r="L149" s="10" t="s">
        <v>1561</v>
      </c>
      <c r="M149" s="10" t="s">
        <v>1204</v>
      </c>
      <c r="N149" s="10">
        <v>24</v>
      </c>
      <c r="O149" s="11">
        <v>42</v>
      </c>
      <c r="P149" s="11">
        <v>4.2000000000000003E-2</v>
      </c>
      <c r="Q149" s="10" t="s">
        <v>1608</v>
      </c>
      <c r="R149" s="10">
        <v>80</v>
      </c>
      <c r="S149" s="12">
        <v>4</v>
      </c>
      <c r="T149" s="13">
        <v>89227</v>
      </c>
      <c r="U149" s="14">
        <v>3747.5340000000001</v>
      </c>
      <c r="V149" s="10">
        <v>3.32</v>
      </c>
      <c r="W149" s="15">
        <v>296233.64</v>
      </c>
      <c r="X149" s="29">
        <f>VLOOKUP($F149,Agendamento!$B:$J,9,0)</f>
        <v>46085</v>
      </c>
      <c r="Y149" s="6">
        <f>COUNTIF(Analise!F:F,'Obras e Acervos'!H149)</f>
        <v>1</v>
      </c>
    </row>
    <row r="150" spans="1:25" ht="15" customHeight="1" x14ac:dyDescent="0.25">
      <c r="A150" s="10" t="str">
        <f>CONCATENATE(LEFT(C150,12),"-",RIGHT(C150,2),"_",TEXT(X150,"ddmmaaaa"),"_",COUNTIF($C$2:C150,C150))</f>
        <v>223441030001-01_13032026_1</v>
      </c>
      <c r="B150" s="10" t="str">
        <f>CONCATENATE(LEFT(C150,12),"-",RIGHT(C150,2),"_",COUNTIF($C$2:C150,C150))</f>
        <v>223441030001-01_1</v>
      </c>
      <c r="C150" s="10" t="s">
        <v>2151</v>
      </c>
      <c r="D150" s="10" t="s">
        <v>5972</v>
      </c>
      <c r="E150" s="10" t="s">
        <v>1555</v>
      </c>
      <c r="F150" s="10" t="s">
        <v>1451</v>
      </c>
      <c r="G150" s="10" t="s">
        <v>2152</v>
      </c>
      <c r="H150" s="11" t="s">
        <v>2153</v>
      </c>
      <c r="I150" s="11" t="s">
        <v>2154</v>
      </c>
      <c r="J150" s="10" t="s">
        <v>1559</v>
      </c>
      <c r="K150" s="10" t="s">
        <v>1560</v>
      </c>
      <c r="L150" s="10" t="s">
        <v>1561</v>
      </c>
      <c r="M150" s="10" t="s">
        <v>1451</v>
      </c>
      <c r="N150" s="10">
        <v>48</v>
      </c>
      <c r="O150" s="11">
        <v>115</v>
      </c>
      <c r="P150" s="11">
        <v>0.115</v>
      </c>
      <c r="Q150" s="10" t="s">
        <v>1562</v>
      </c>
      <c r="R150" s="10">
        <v>80</v>
      </c>
      <c r="S150" s="12">
        <v>4</v>
      </c>
      <c r="T150" s="13">
        <v>45595</v>
      </c>
      <c r="U150" s="14">
        <v>5243.4250000000002</v>
      </c>
      <c r="V150" s="10">
        <v>6.67</v>
      </c>
      <c r="W150" s="15">
        <v>304118.65000000002</v>
      </c>
      <c r="X150" s="29">
        <f>VLOOKUP($F150,Agendamento!$B:$J,9,0)</f>
        <v>46094</v>
      </c>
      <c r="Y150" s="6">
        <f>COUNTIF(Analise!F:F,'Obras e Acervos'!H150)</f>
        <v>1</v>
      </c>
    </row>
    <row r="151" spans="1:25" ht="15" customHeight="1" x14ac:dyDescent="0.25">
      <c r="A151" s="10" t="str">
        <f>CONCATENATE(LEFT(C151,12),"-",RIGHT(C151,2),"_",TEXT(X151,"ddmmaaaa"),"_",COUNTIF($C$2:C151,C151))</f>
        <v>266408570001-60_27022026_1</v>
      </c>
      <c r="B151" s="10" t="str">
        <f>CONCATENATE(LEFT(C151,12),"-",RIGHT(C151,2),"_",COUNTIF($C$2:C151,C151))</f>
        <v>266408570001-60_1</v>
      </c>
      <c r="C151" s="10" t="s">
        <v>2155</v>
      </c>
      <c r="D151" s="10" t="s">
        <v>435</v>
      </c>
      <c r="E151" s="10" t="s">
        <v>1555</v>
      </c>
      <c r="F151" s="10" t="s">
        <v>1013</v>
      </c>
      <c r="G151" s="10" t="s">
        <v>2156</v>
      </c>
      <c r="H151" s="11" t="s">
        <v>2157</v>
      </c>
      <c r="I151" s="11" t="s">
        <v>2158</v>
      </c>
      <c r="J151" s="10" t="s">
        <v>1559</v>
      </c>
      <c r="K151" s="10" t="s">
        <v>1560</v>
      </c>
      <c r="L151" s="10" t="s">
        <v>1561</v>
      </c>
      <c r="M151" s="10" t="s">
        <v>1013</v>
      </c>
      <c r="N151" s="10">
        <v>40</v>
      </c>
      <c r="O151" s="11">
        <v>150</v>
      </c>
      <c r="P151" s="11">
        <v>0.15</v>
      </c>
      <c r="Q151" s="10" t="s">
        <v>1562</v>
      </c>
      <c r="R151" s="10">
        <v>72</v>
      </c>
      <c r="S151" s="12">
        <v>4</v>
      </c>
      <c r="T151" s="13">
        <v>44126</v>
      </c>
      <c r="U151" s="14">
        <v>6618.9</v>
      </c>
      <c r="V151" s="10">
        <v>5.68</v>
      </c>
      <c r="W151" s="15">
        <v>250635.68</v>
      </c>
      <c r="X151" s="29">
        <f>VLOOKUP($F151,Agendamento!$B:$J,9,0)</f>
        <v>46080</v>
      </c>
      <c r="Y151" s="6">
        <f>COUNTIF(Analise!F:F,'Obras e Acervos'!H151)</f>
        <v>1</v>
      </c>
    </row>
    <row r="152" spans="1:25" ht="15" customHeight="1" x14ac:dyDescent="0.25">
      <c r="A152" s="10" t="str">
        <f>CONCATENATE(LEFT(C152,12),"-",RIGHT(C152,2),"_",TEXT(X152,"ddmmaaaa"),"_",COUNTIF($C$2:C152,C152))</f>
        <v>341072830001-97_20022026_1</v>
      </c>
      <c r="B152" s="10" t="str">
        <f>CONCATENATE(LEFT(C152,12),"-",RIGHT(C152,2),"_",COUNTIF($C$2:C152,C152))</f>
        <v>341072830001-97_1</v>
      </c>
      <c r="C152" s="10" t="s">
        <v>2159</v>
      </c>
      <c r="D152" s="10" t="s">
        <v>655</v>
      </c>
      <c r="E152" s="10" t="s">
        <v>1555</v>
      </c>
      <c r="F152" s="10" t="s">
        <v>656</v>
      </c>
      <c r="G152" s="10" t="s">
        <v>2160</v>
      </c>
      <c r="H152" s="11" t="s">
        <v>2161</v>
      </c>
      <c r="I152" s="11" t="s">
        <v>2162</v>
      </c>
      <c r="J152" s="10" t="s">
        <v>1559</v>
      </c>
      <c r="K152" s="10" t="s">
        <v>1560</v>
      </c>
      <c r="L152" s="10" t="s">
        <v>1561</v>
      </c>
      <c r="M152" s="10" t="s">
        <v>6186</v>
      </c>
      <c r="N152" s="10">
        <v>24</v>
      </c>
      <c r="O152" s="11">
        <v>57</v>
      </c>
      <c r="P152" s="11">
        <v>5.7000000000000002E-2</v>
      </c>
      <c r="Q152" s="10" t="s">
        <v>1562</v>
      </c>
      <c r="R152" s="10">
        <v>80</v>
      </c>
      <c r="S152" s="12">
        <v>4</v>
      </c>
      <c r="T152" s="13">
        <v>38914</v>
      </c>
      <c r="U152" s="14">
        <v>2218.098</v>
      </c>
      <c r="V152" s="10">
        <v>4.47</v>
      </c>
      <c r="W152" s="15">
        <v>173945.58</v>
      </c>
      <c r="X152" s="29">
        <f>VLOOKUP($F152,Agendamento!$B:$J,9,0)</f>
        <v>46073</v>
      </c>
      <c r="Y152" s="6">
        <f>COUNTIF(Analise!F:F,'Obras e Acervos'!H152)</f>
        <v>1</v>
      </c>
    </row>
    <row r="153" spans="1:25" ht="15" customHeight="1" x14ac:dyDescent="0.25">
      <c r="A153" s="10" t="str">
        <f>CONCATENATE(LEFT(C153,12),"-",RIGHT(C153,2),"_",TEXT(X153,"ddmmaaaa"),"_",COUNTIF($C$2:C153,C153))</f>
        <v>442288110001-10_09022026_1</v>
      </c>
      <c r="B153" s="10" t="str">
        <f>CONCATENATE(LEFT(C153,12),"-",RIGHT(C153,2),"_",COUNTIF($C$2:C153,C153))</f>
        <v>442288110001-10_1</v>
      </c>
      <c r="C153" s="10" t="s">
        <v>2163</v>
      </c>
      <c r="D153" s="10" t="s">
        <v>5973</v>
      </c>
      <c r="E153" s="10" t="s">
        <v>1555</v>
      </c>
      <c r="F153" s="10" t="s">
        <v>221</v>
      </c>
      <c r="G153" s="10" t="s">
        <v>2164</v>
      </c>
      <c r="H153" s="11" t="s">
        <v>2165</v>
      </c>
      <c r="I153" s="11" t="s">
        <v>2166</v>
      </c>
      <c r="J153" s="10" t="s">
        <v>1559</v>
      </c>
      <c r="K153" s="10" t="s">
        <v>1560</v>
      </c>
      <c r="L153" s="10" t="s">
        <v>1561</v>
      </c>
      <c r="M153" s="10" t="s">
        <v>221</v>
      </c>
      <c r="N153" s="10">
        <v>32</v>
      </c>
      <c r="O153" s="11">
        <v>77</v>
      </c>
      <c r="P153" s="11">
        <v>7.6999999999999999E-2</v>
      </c>
      <c r="Q153" s="10" t="s">
        <v>1562</v>
      </c>
      <c r="R153" s="10">
        <v>80</v>
      </c>
      <c r="S153" s="12">
        <v>4</v>
      </c>
      <c r="T153" s="13">
        <v>38960</v>
      </c>
      <c r="U153" s="14">
        <v>2999.92</v>
      </c>
      <c r="V153" s="10">
        <v>5.46</v>
      </c>
      <c r="W153" s="15">
        <v>212721.6</v>
      </c>
      <c r="X153" s="29">
        <f>VLOOKUP($F153,Agendamento!$B:$J,9,0)</f>
        <v>46062</v>
      </c>
      <c r="Y153" s="6">
        <f>COUNTIF(Analise!F:F,'Obras e Acervos'!H153)</f>
        <v>1</v>
      </c>
    </row>
    <row r="154" spans="1:25" ht="15" customHeight="1" x14ac:dyDescent="0.25">
      <c r="A154" s="10" t="str">
        <f>CONCATENATE(LEFT(C154,12),"-",RIGHT(C154,2),"_",TEXT(X154,"ddmmaaaa"),"_",COUNTIF($C$2:C154,C154))</f>
        <v>442999360001-30_13022026_1</v>
      </c>
      <c r="B154" s="10" t="str">
        <f>CONCATENATE(LEFT(C154,12),"-",RIGHT(C154,2),"_",COUNTIF($C$2:C154,C154))</f>
        <v>442999360001-30_1</v>
      </c>
      <c r="C154" s="10" t="s">
        <v>2167</v>
      </c>
      <c r="D154" s="10" t="s">
        <v>430</v>
      </c>
      <c r="E154" s="10" t="s">
        <v>1555</v>
      </c>
      <c r="F154" s="10" t="s">
        <v>431</v>
      </c>
      <c r="G154" s="10" t="s">
        <v>2168</v>
      </c>
      <c r="H154" s="11" t="s">
        <v>2169</v>
      </c>
      <c r="I154" s="11" t="s">
        <v>2170</v>
      </c>
      <c r="J154" s="10" t="s">
        <v>1559</v>
      </c>
      <c r="K154" s="10" t="s">
        <v>1560</v>
      </c>
      <c r="L154" s="10" t="s">
        <v>1561</v>
      </c>
      <c r="M154" s="10" t="s">
        <v>431</v>
      </c>
      <c r="N154" s="10">
        <v>32</v>
      </c>
      <c r="O154" s="11">
        <v>93</v>
      </c>
      <c r="P154" s="11">
        <v>9.2999999999999999E-2</v>
      </c>
      <c r="Q154" s="10" t="s">
        <v>1562</v>
      </c>
      <c r="R154" s="10">
        <v>80</v>
      </c>
      <c r="S154" s="12">
        <v>4</v>
      </c>
      <c r="T154" s="13">
        <v>50974</v>
      </c>
      <c r="U154" s="14">
        <v>4740.5820000000003</v>
      </c>
      <c r="V154" s="10">
        <v>4.63</v>
      </c>
      <c r="W154" s="15">
        <v>236009.62</v>
      </c>
      <c r="X154" s="29">
        <f>VLOOKUP($F154,Agendamento!$B:$J,9,0)</f>
        <v>46066</v>
      </c>
      <c r="Y154" s="6">
        <f>COUNTIF(Analise!F:F,'Obras e Acervos'!H154)</f>
        <v>1</v>
      </c>
    </row>
    <row r="155" spans="1:25" ht="15" customHeight="1" x14ac:dyDescent="0.25">
      <c r="A155" s="10" t="str">
        <f>CONCATENATE(LEFT(C155,12),"-",RIGHT(C155,2),"_",TEXT(X155,"ddmmaaaa"),"_",COUNTIF($C$2:C155,C155))</f>
        <v>133696980001-69_26012026_1</v>
      </c>
      <c r="B155" s="10" t="str">
        <f>CONCATENATE(LEFT(C155,12),"-",RIGHT(C155,2),"_",COUNTIF($C$2:C155,C155))</f>
        <v>133696980001-69_1</v>
      </c>
      <c r="C155" s="16" t="s">
        <v>2171</v>
      </c>
      <c r="D155" s="16" t="s">
        <v>5974</v>
      </c>
      <c r="E155" s="16" t="s">
        <v>1555</v>
      </c>
      <c r="F155" s="16" t="s">
        <v>25</v>
      </c>
      <c r="G155" s="16" t="s">
        <v>2172</v>
      </c>
      <c r="H155" s="16" t="s">
        <v>2173</v>
      </c>
      <c r="I155" s="16" t="s">
        <v>2174</v>
      </c>
      <c r="J155" s="16" t="s">
        <v>1559</v>
      </c>
      <c r="K155" s="16" t="s">
        <v>1560</v>
      </c>
      <c r="L155" s="16" t="s">
        <v>1561</v>
      </c>
      <c r="M155" s="10" t="s">
        <v>25</v>
      </c>
      <c r="N155" s="16">
        <v>48</v>
      </c>
      <c r="O155" s="16">
        <v>135</v>
      </c>
      <c r="P155" s="16">
        <v>0.13500000000000001</v>
      </c>
      <c r="Q155" s="16" t="s">
        <v>1562</v>
      </c>
      <c r="R155" s="16">
        <v>80</v>
      </c>
      <c r="S155" s="17">
        <v>7</v>
      </c>
      <c r="T155" s="18">
        <v>33101</v>
      </c>
      <c r="U155" s="19">
        <v>4468.6350000000002</v>
      </c>
      <c r="V155" s="16">
        <v>4.5599999999999996</v>
      </c>
      <c r="W155" s="20">
        <v>177516.24</v>
      </c>
      <c r="X155" s="29">
        <f>VLOOKUP($F155,Agendamento!$B:$J,9,0)</f>
        <v>46048</v>
      </c>
      <c r="Y155" s="6">
        <f>COUNTIF(Analise!F:F,'Obras e Acervos'!H155)</f>
        <v>1</v>
      </c>
    </row>
    <row r="156" spans="1:25" ht="15" customHeight="1" x14ac:dyDescent="0.25">
      <c r="A156" s="10" t="str">
        <f>CONCATENATE(LEFT(C156,12),"-",RIGHT(C156,2),"_",TEXT(X156,"ddmmaaaa"),"_",COUNTIF($C$2:C156,C156))</f>
        <v>166754490001-90_12032026_1</v>
      </c>
      <c r="B156" s="10" t="str">
        <f>CONCATENATE(LEFT(C156,12),"-",RIGHT(C156,2),"_",COUNTIF($C$2:C156,C156))</f>
        <v>166754490001-90_1</v>
      </c>
      <c r="C156" s="10" t="s">
        <v>2175</v>
      </c>
      <c r="D156" s="10" t="s">
        <v>1435</v>
      </c>
      <c r="E156" s="10" t="s">
        <v>1555</v>
      </c>
      <c r="F156" s="10" t="s">
        <v>1436</v>
      </c>
      <c r="G156" s="10" t="s">
        <v>2176</v>
      </c>
      <c r="H156" s="11" t="s">
        <v>2177</v>
      </c>
      <c r="I156" s="11" t="s">
        <v>2178</v>
      </c>
      <c r="J156" s="10" t="s">
        <v>1559</v>
      </c>
      <c r="K156" s="10" t="s">
        <v>1560</v>
      </c>
      <c r="L156" s="10" t="s">
        <v>1561</v>
      </c>
      <c r="M156" s="10" t="s">
        <v>1436</v>
      </c>
      <c r="N156" s="10">
        <v>40</v>
      </c>
      <c r="O156" s="11">
        <v>127</v>
      </c>
      <c r="P156" s="11">
        <v>0.127</v>
      </c>
      <c r="Q156" s="10" t="s">
        <v>1562</v>
      </c>
      <c r="R156" s="10">
        <v>80</v>
      </c>
      <c r="S156" s="12">
        <v>4</v>
      </c>
      <c r="T156" s="13">
        <v>40566</v>
      </c>
      <c r="U156" s="14">
        <v>5151.8820000000005</v>
      </c>
      <c r="V156" s="10">
        <v>6.32</v>
      </c>
      <c r="W156" s="15">
        <v>256377.12000000002</v>
      </c>
      <c r="X156" s="29">
        <f>VLOOKUP($F156,Agendamento!$B:$J,9,0)</f>
        <v>46093</v>
      </c>
      <c r="Y156" s="6">
        <f>COUNTIF(Analise!F:F,'Obras e Acervos'!H156)</f>
        <v>1</v>
      </c>
    </row>
    <row r="157" spans="1:25" ht="15" customHeight="1" x14ac:dyDescent="0.25">
      <c r="A157" s="10" t="str">
        <f>CONCATENATE(LEFT(C157,12),"-",RIGHT(C157,2),"_",TEXT(X157,"ddmmaaaa"),"_",COUNTIF($C$2:C157,C157))</f>
        <v>387292430001-38_12022026_1</v>
      </c>
      <c r="B157" s="10" t="str">
        <f>CONCATENATE(LEFT(C157,12),"-",RIGHT(C157,2),"_",COUNTIF($C$2:C157,C157))</f>
        <v>387292430001-38_1</v>
      </c>
      <c r="C157" s="10" t="s">
        <v>2179</v>
      </c>
      <c r="D157" s="10" t="s">
        <v>5975</v>
      </c>
      <c r="E157" s="10" t="s">
        <v>1555</v>
      </c>
      <c r="F157" s="10" t="s">
        <v>366</v>
      </c>
      <c r="G157" s="10" t="s">
        <v>2180</v>
      </c>
      <c r="H157" s="11" t="s">
        <v>2181</v>
      </c>
      <c r="I157" s="11" t="s">
        <v>2182</v>
      </c>
      <c r="J157" s="10" t="s">
        <v>1559</v>
      </c>
      <c r="K157" s="10" t="s">
        <v>1560</v>
      </c>
      <c r="L157" s="10" t="s">
        <v>1561</v>
      </c>
      <c r="M157" s="10" t="s">
        <v>366</v>
      </c>
      <c r="N157" s="10">
        <v>32</v>
      </c>
      <c r="O157" s="11">
        <v>105</v>
      </c>
      <c r="P157" s="11">
        <v>0.105</v>
      </c>
      <c r="Q157" s="10" t="s">
        <v>1599</v>
      </c>
      <c r="R157" s="10">
        <v>80</v>
      </c>
      <c r="S157" s="12">
        <v>4</v>
      </c>
      <c r="T157" s="13">
        <v>38596</v>
      </c>
      <c r="U157" s="14">
        <v>4052.58</v>
      </c>
      <c r="V157" s="10">
        <v>5.48</v>
      </c>
      <c r="W157" s="15">
        <v>211506.08000000002</v>
      </c>
      <c r="X157" s="29">
        <f>VLOOKUP($F157,Agendamento!$B:$J,9,0)</f>
        <v>46065</v>
      </c>
      <c r="Y157" s="6">
        <f>COUNTIF(Analise!F:F,'Obras e Acervos'!H157)</f>
        <v>1</v>
      </c>
    </row>
    <row r="158" spans="1:25" ht="15" customHeight="1" x14ac:dyDescent="0.25">
      <c r="A158" s="10" t="str">
        <f>CONCATENATE(LEFT(C158,12),"-",RIGHT(C158,2),"_",TEXT(X158,"ddmmaaaa"),"_",COUNTIF($C$2:C158,C158))</f>
        <v>087837200001-82_26022026_1</v>
      </c>
      <c r="B158" s="10" t="str">
        <f>CONCATENATE(LEFT(C158,12),"-",RIGHT(C158,2),"_",COUNTIF($C$2:C158,C158))</f>
        <v>087837200001-82_1</v>
      </c>
      <c r="C158" s="10" t="s">
        <v>2183</v>
      </c>
      <c r="D158" s="10" t="s">
        <v>5976</v>
      </c>
      <c r="E158" s="10" t="s">
        <v>1555</v>
      </c>
      <c r="F158" s="10" t="s">
        <v>906</v>
      </c>
      <c r="G158" s="10" t="s">
        <v>2184</v>
      </c>
      <c r="H158" s="11" t="s">
        <v>2185</v>
      </c>
      <c r="I158" s="11" t="s">
        <v>2186</v>
      </c>
      <c r="J158" s="10" t="s">
        <v>1559</v>
      </c>
      <c r="K158" s="10" t="s">
        <v>1560</v>
      </c>
      <c r="L158" s="10" t="s">
        <v>1561</v>
      </c>
      <c r="M158" s="10" t="s">
        <v>906</v>
      </c>
      <c r="N158" s="10">
        <v>40</v>
      </c>
      <c r="O158" s="11">
        <v>124</v>
      </c>
      <c r="P158" s="11">
        <v>0.124</v>
      </c>
      <c r="Q158" s="10" t="s">
        <v>1562</v>
      </c>
      <c r="R158" s="10">
        <v>80</v>
      </c>
      <c r="S158" s="12">
        <v>4</v>
      </c>
      <c r="T158" s="13">
        <v>39914</v>
      </c>
      <c r="U158" s="14">
        <v>4949.3360000000002</v>
      </c>
      <c r="V158" s="10">
        <v>6.27</v>
      </c>
      <c r="W158" s="15">
        <v>250260.77999999997</v>
      </c>
      <c r="X158" s="29">
        <f>VLOOKUP($F158,Agendamento!$B:$J,9,0)</f>
        <v>46079</v>
      </c>
      <c r="Y158" s="6">
        <f>COUNTIF(Analise!F:F,'Obras e Acervos'!H158)</f>
        <v>1</v>
      </c>
    </row>
    <row r="159" spans="1:25" ht="15" customHeight="1" x14ac:dyDescent="0.25">
      <c r="A159" s="10" t="str">
        <f>CONCATENATE(LEFT(C159,12),"-",RIGHT(C159,2),"_",TEXT(X159,"ddmmaaaa"),"_",COUNTIF($C$2:C159,C159))</f>
        <v>133696980001-69_26012026_2</v>
      </c>
      <c r="B159" s="10" t="str">
        <f>CONCATENATE(LEFT(C159,12),"-",RIGHT(C159,2),"_",COUNTIF($C$2:C159,C159))</f>
        <v>133696980001-69_2</v>
      </c>
      <c r="C159" s="16" t="s">
        <v>2171</v>
      </c>
      <c r="D159" s="16" t="s">
        <v>5974</v>
      </c>
      <c r="E159" s="16" t="s">
        <v>1574</v>
      </c>
      <c r="F159" s="16" t="s">
        <v>24</v>
      </c>
      <c r="G159" s="16" t="s">
        <v>2187</v>
      </c>
      <c r="H159" s="16" t="s">
        <v>2188</v>
      </c>
      <c r="I159" s="16" t="s">
        <v>2189</v>
      </c>
      <c r="J159" s="16" t="s">
        <v>1559</v>
      </c>
      <c r="K159" s="16" t="s">
        <v>1560</v>
      </c>
      <c r="L159" s="16" t="s">
        <v>1578</v>
      </c>
      <c r="M159" s="10" t="s">
        <v>24</v>
      </c>
      <c r="N159" s="16">
        <v>40</v>
      </c>
      <c r="O159" s="16">
        <v>117</v>
      </c>
      <c r="P159" s="16">
        <v>0.11700000000000001</v>
      </c>
      <c r="Q159" s="16" t="s">
        <v>1562</v>
      </c>
      <c r="R159" s="16">
        <v>80</v>
      </c>
      <c r="S159" s="17">
        <v>14</v>
      </c>
      <c r="T159" s="18">
        <v>26425</v>
      </c>
      <c r="U159" s="19">
        <v>3091.7250000000004</v>
      </c>
      <c r="V159" s="16">
        <v>5.38</v>
      </c>
      <c r="W159" s="20">
        <v>207565.78</v>
      </c>
      <c r="X159" s="29">
        <f>VLOOKUP($F159,Agendamento!$B:$J,9,0)</f>
        <v>46048</v>
      </c>
      <c r="Y159" s="6">
        <f>COUNTIF(Analise!F:F,'Obras e Acervos'!H159)</f>
        <v>1</v>
      </c>
    </row>
    <row r="160" spans="1:25" ht="15" customHeight="1" x14ac:dyDescent="0.25">
      <c r="A160" s="10" t="str">
        <f>CONCATENATE(LEFT(C160,12),"-",RIGHT(C160,2),"_",TEXT(X160,"ddmmaaaa"),"_",COUNTIF($C$2:C160,C160))</f>
        <v>201134740001-57_04022026_1</v>
      </c>
      <c r="B160" s="10" t="str">
        <f>CONCATENATE(LEFT(C160,12),"-",RIGHT(C160,2),"_",COUNTIF($C$2:C160,C160))</f>
        <v>201134740001-57_1</v>
      </c>
      <c r="C160" s="10" t="s">
        <v>2190</v>
      </c>
      <c r="D160" s="10" t="s">
        <v>157</v>
      </c>
      <c r="E160" s="10" t="s">
        <v>1555</v>
      </c>
      <c r="F160" s="10" t="s">
        <v>158</v>
      </c>
      <c r="G160" s="10" t="s">
        <v>2191</v>
      </c>
      <c r="H160" s="11" t="s">
        <v>2192</v>
      </c>
      <c r="I160" s="11" t="s">
        <v>2193</v>
      </c>
      <c r="J160" s="10" t="s">
        <v>1559</v>
      </c>
      <c r="K160" s="10" t="s">
        <v>1560</v>
      </c>
      <c r="L160" s="10" t="s">
        <v>1561</v>
      </c>
      <c r="M160" s="10" t="s">
        <v>158</v>
      </c>
      <c r="N160" s="10">
        <v>32</v>
      </c>
      <c r="O160" s="11">
        <v>180</v>
      </c>
      <c r="P160" s="11">
        <v>0.18</v>
      </c>
      <c r="Q160" s="10" t="s">
        <v>1562</v>
      </c>
      <c r="R160" s="10">
        <v>80</v>
      </c>
      <c r="S160" s="12">
        <v>4</v>
      </c>
      <c r="T160" s="13">
        <v>39020</v>
      </c>
      <c r="U160" s="14">
        <v>7023.5999999999995</v>
      </c>
      <c r="V160" s="10">
        <v>5.42</v>
      </c>
      <c r="W160" s="15">
        <v>211488.4</v>
      </c>
      <c r="X160" s="29">
        <f>VLOOKUP($F160,Agendamento!$B:$J,9,0)</f>
        <v>46057</v>
      </c>
      <c r="Y160" s="6">
        <f>COUNTIF(Analise!F:F,'Obras e Acervos'!H160)</f>
        <v>1</v>
      </c>
    </row>
    <row r="161" spans="1:25" ht="15" customHeight="1" x14ac:dyDescent="0.25">
      <c r="A161" s="10" t="str">
        <f>CONCATENATE(LEFT(C161,12),"-",RIGHT(C161,2),"_",TEXT(X161,"ddmmaaaa"),"_",COUNTIF($C$2:C161,C161))</f>
        <v>081908130001-01_13022026_1</v>
      </c>
      <c r="B161" s="10" t="str">
        <f>CONCATENATE(LEFT(C161,12),"-",RIGHT(C161,2),"_",COUNTIF($C$2:C161,C161))</f>
        <v>081908130001-01_1</v>
      </c>
      <c r="C161" s="10" t="s">
        <v>2194</v>
      </c>
      <c r="D161" s="10" t="s">
        <v>5977</v>
      </c>
      <c r="E161" s="10" t="s">
        <v>1555</v>
      </c>
      <c r="F161" s="10" t="s">
        <v>474</v>
      </c>
      <c r="G161" s="10" t="s">
        <v>2195</v>
      </c>
      <c r="H161" s="11" t="s">
        <v>2196</v>
      </c>
      <c r="I161" s="11" t="s">
        <v>2197</v>
      </c>
      <c r="J161" s="10" t="s">
        <v>1559</v>
      </c>
      <c r="K161" s="10" t="s">
        <v>1560</v>
      </c>
      <c r="L161" s="10" t="s">
        <v>1561</v>
      </c>
      <c r="M161" s="10" t="s">
        <v>474</v>
      </c>
      <c r="N161" s="10">
        <v>40</v>
      </c>
      <c r="O161" s="11">
        <v>96</v>
      </c>
      <c r="P161" s="11">
        <v>9.6000000000000002E-2</v>
      </c>
      <c r="Q161" s="10" t="s">
        <v>1562</v>
      </c>
      <c r="R161" s="10">
        <v>75</v>
      </c>
      <c r="S161" s="12">
        <v>4</v>
      </c>
      <c r="T161" s="13">
        <v>39793</v>
      </c>
      <c r="U161" s="14">
        <v>3820.1280000000002</v>
      </c>
      <c r="V161" s="10">
        <v>6.18</v>
      </c>
      <c r="W161" s="15">
        <v>245920.74</v>
      </c>
      <c r="X161" s="29">
        <f>VLOOKUP($F161,Agendamento!$B:$J,9,0)</f>
        <v>46066</v>
      </c>
      <c r="Y161" s="6">
        <f>COUNTIF(Analise!F:F,'Obras e Acervos'!H161)</f>
        <v>1</v>
      </c>
    </row>
    <row r="162" spans="1:25" ht="15" customHeight="1" x14ac:dyDescent="0.25">
      <c r="A162" s="10" t="str">
        <f>CONCATENATE(LEFT(C162,12),"-",RIGHT(C162,2),"_",TEXT(X162,"ddmmaaaa"),"_",COUNTIF($C$2:C162,C162))</f>
        <v>105881860001-03_17032026_1</v>
      </c>
      <c r="B162" s="10" t="str">
        <f>CONCATENATE(LEFT(C162,12),"-",RIGHT(C162,2),"_",COUNTIF($C$2:C162,C162))</f>
        <v>105881860001-03_1</v>
      </c>
      <c r="C162" s="10" t="s">
        <v>2198</v>
      </c>
      <c r="D162" s="10" t="s">
        <v>5978</v>
      </c>
      <c r="E162" s="10" t="s">
        <v>1555</v>
      </c>
      <c r="F162" s="10" t="s">
        <v>1500</v>
      </c>
      <c r="G162" s="10" t="s">
        <v>2199</v>
      </c>
      <c r="H162" s="11" t="s">
        <v>2200</v>
      </c>
      <c r="I162" s="11" t="s">
        <v>2201</v>
      </c>
      <c r="J162" s="10" t="s">
        <v>1559</v>
      </c>
      <c r="K162" s="10" t="s">
        <v>1560</v>
      </c>
      <c r="L162" s="10" t="s">
        <v>1561</v>
      </c>
      <c r="M162" s="10" t="s">
        <v>1500</v>
      </c>
      <c r="N162" s="10">
        <v>44</v>
      </c>
      <c r="O162" s="11">
        <v>128</v>
      </c>
      <c r="P162" s="11">
        <v>0.128</v>
      </c>
      <c r="Q162" s="10" t="s">
        <v>1562</v>
      </c>
      <c r="R162" s="10">
        <v>75</v>
      </c>
      <c r="S162" s="12">
        <v>5</v>
      </c>
      <c r="T162" s="13">
        <v>38089</v>
      </c>
      <c r="U162" s="14">
        <v>4875.3919999999998</v>
      </c>
      <c r="V162" s="10">
        <v>6.61</v>
      </c>
      <c r="W162" s="15">
        <v>251768.29</v>
      </c>
      <c r="X162" s="29">
        <f>VLOOKUP($F162,Agendamento!$B:$J,9,0)</f>
        <v>46098</v>
      </c>
      <c r="Y162" s="6">
        <f>COUNTIF(Analise!F:F,'Obras e Acervos'!H162)</f>
        <v>1</v>
      </c>
    </row>
    <row r="163" spans="1:25" ht="15" customHeight="1" x14ac:dyDescent="0.25">
      <c r="A163" s="10" t="str">
        <f>CONCATENATE(LEFT(C163,12),"-",RIGHT(C163,2),"_",TEXT(X163,"ddmmaaaa"),"_",COUNTIF($C$2:C163,C163))</f>
        <v>074586770001-17_27022026_1</v>
      </c>
      <c r="B163" s="10" t="str">
        <f>CONCATENATE(LEFT(C163,12),"-",RIGHT(C163,2),"_",COUNTIF($C$2:C163,C163))</f>
        <v>074586770001-17_1</v>
      </c>
      <c r="C163" s="10" t="s">
        <v>2202</v>
      </c>
      <c r="D163" s="10" t="s">
        <v>5979</v>
      </c>
      <c r="E163" s="10" t="s">
        <v>1555</v>
      </c>
      <c r="F163" s="10" t="s">
        <v>951</v>
      </c>
      <c r="G163" s="10" t="s">
        <v>2203</v>
      </c>
      <c r="H163" s="11" t="s">
        <v>2204</v>
      </c>
      <c r="I163" s="11" t="s">
        <v>2205</v>
      </c>
      <c r="J163" s="10" t="s">
        <v>1559</v>
      </c>
      <c r="K163" s="10" t="s">
        <v>1560</v>
      </c>
      <c r="L163" s="10" t="s">
        <v>1561</v>
      </c>
      <c r="M163" s="10" t="s">
        <v>951</v>
      </c>
      <c r="N163" s="10">
        <v>28</v>
      </c>
      <c r="O163" s="11">
        <v>100</v>
      </c>
      <c r="P163" s="11">
        <v>0.1</v>
      </c>
      <c r="Q163" s="10" t="s">
        <v>1608</v>
      </c>
      <c r="R163" s="10">
        <v>80</v>
      </c>
      <c r="S163" s="12">
        <v>5</v>
      </c>
      <c r="T163" s="13">
        <v>40831</v>
      </c>
      <c r="U163" s="14">
        <v>4083.1000000000004</v>
      </c>
      <c r="V163" s="10">
        <v>4.22</v>
      </c>
      <c r="W163" s="15">
        <v>172306.81999999998</v>
      </c>
      <c r="X163" s="29">
        <f>VLOOKUP($F163,Agendamento!$B:$J,9,0)</f>
        <v>46080</v>
      </c>
      <c r="Y163" s="6">
        <f>COUNTIF(Analise!F:F,'Obras e Acervos'!H163)</f>
        <v>1</v>
      </c>
    </row>
    <row r="164" spans="1:25" ht="15" customHeight="1" x14ac:dyDescent="0.25">
      <c r="A164" s="10" t="str">
        <f>CONCATENATE(LEFT(C164,12),"-",RIGHT(C164,2),"_",TEXT(X164,"ddmmaaaa"),"_",COUNTIF($C$2:C164,C164))</f>
        <v>076219050001-28_11022026_1</v>
      </c>
      <c r="B164" s="10" t="str">
        <f>CONCATENATE(LEFT(C164,12),"-",RIGHT(C164,2),"_",COUNTIF($C$2:C164,C164))</f>
        <v>076219050001-28_1</v>
      </c>
      <c r="C164" s="10" t="s">
        <v>2206</v>
      </c>
      <c r="D164" s="10" t="s">
        <v>291</v>
      </c>
      <c r="E164" s="10" t="s">
        <v>1555</v>
      </c>
      <c r="F164" s="10" t="s">
        <v>297</v>
      </c>
      <c r="G164" s="10" t="s">
        <v>2207</v>
      </c>
      <c r="H164" s="11" t="s">
        <v>2208</v>
      </c>
      <c r="I164" s="11" t="s">
        <v>2209</v>
      </c>
      <c r="J164" s="10" t="s">
        <v>1559</v>
      </c>
      <c r="K164" s="10" t="s">
        <v>1560</v>
      </c>
      <c r="L164" s="10" t="s">
        <v>1561</v>
      </c>
      <c r="M164" s="10" t="s">
        <v>297</v>
      </c>
      <c r="N164" s="10">
        <v>28</v>
      </c>
      <c r="O164" s="11">
        <v>140</v>
      </c>
      <c r="P164" s="11">
        <v>0.14000000000000001</v>
      </c>
      <c r="Q164" s="10" t="s">
        <v>1562</v>
      </c>
      <c r="R164" s="10">
        <v>80</v>
      </c>
      <c r="S164" s="12">
        <v>5</v>
      </c>
      <c r="T164" s="13">
        <v>38165</v>
      </c>
      <c r="U164" s="14">
        <v>5343.1</v>
      </c>
      <c r="V164" s="10">
        <v>5.07</v>
      </c>
      <c r="W164" s="15">
        <v>193496.55000000002</v>
      </c>
      <c r="X164" s="29">
        <f>VLOOKUP($F164,Agendamento!$B:$J,9,0)</f>
        <v>46064</v>
      </c>
      <c r="Y164" s="6">
        <f>COUNTIF(Analise!F:F,'Obras e Acervos'!H164)</f>
        <v>1</v>
      </c>
    </row>
    <row r="165" spans="1:25" ht="15" customHeight="1" x14ac:dyDescent="0.25">
      <c r="A165" s="10" t="str">
        <f>CONCATENATE(LEFT(C165,12),"-",RIGHT(C165,2),"_",TEXT(X165,"ddmmaaaa"),"_",COUNTIF($C$2:C165,C165))</f>
        <v>365446300001-74_27022026_1</v>
      </c>
      <c r="B165" s="10" t="str">
        <f>CONCATENATE(LEFT(C165,12),"-",RIGHT(C165,2),"_",COUNTIF($C$2:C165,C165))</f>
        <v>365446300001-74_1</v>
      </c>
      <c r="C165" s="10" t="s">
        <v>2210</v>
      </c>
      <c r="D165" s="10" t="s">
        <v>867</v>
      </c>
      <c r="E165" s="10" t="s">
        <v>1555</v>
      </c>
      <c r="F165" s="10" t="s">
        <v>996</v>
      </c>
      <c r="G165" s="10" t="s">
        <v>2211</v>
      </c>
      <c r="H165" s="11" t="s">
        <v>2212</v>
      </c>
      <c r="I165" s="11" t="s">
        <v>2213</v>
      </c>
      <c r="J165" s="10" t="s">
        <v>1559</v>
      </c>
      <c r="K165" s="10" t="s">
        <v>1560</v>
      </c>
      <c r="L165" s="10" t="s">
        <v>1561</v>
      </c>
      <c r="M165" s="10" t="s">
        <v>996</v>
      </c>
      <c r="N165" s="10">
        <v>36</v>
      </c>
      <c r="O165" s="11">
        <v>109</v>
      </c>
      <c r="P165" s="11">
        <v>0.109</v>
      </c>
      <c r="Q165" s="10" t="s">
        <v>1599</v>
      </c>
      <c r="R165" s="10">
        <v>80</v>
      </c>
      <c r="S165" s="12">
        <v>5</v>
      </c>
      <c r="T165" s="13">
        <v>37998</v>
      </c>
      <c r="U165" s="14">
        <v>4141.7820000000002</v>
      </c>
      <c r="V165" s="10">
        <v>5.9</v>
      </c>
      <c r="W165" s="15">
        <v>224188.2</v>
      </c>
      <c r="X165" s="29">
        <f>VLOOKUP($F165,Agendamento!$B:$J,9,0)</f>
        <v>46080</v>
      </c>
      <c r="Y165" s="6">
        <f>COUNTIF(Analise!F:F,'Obras e Acervos'!H165)</f>
        <v>1</v>
      </c>
    </row>
    <row r="166" spans="1:25" ht="15" customHeight="1" x14ac:dyDescent="0.25">
      <c r="A166" s="10" t="str">
        <f>CONCATENATE(LEFT(C166,12),"-",RIGHT(C166,2),"_",TEXT(X166,"ddmmaaaa"),"_",COUNTIF($C$2:C166,C166))</f>
        <v>062221720001-96_16032026_1</v>
      </c>
      <c r="B166" s="10" t="str">
        <f>CONCATENATE(LEFT(C166,12),"-",RIGHT(C166,2),"_",COUNTIF($C$2:C166,C166))</f>
        <v>062221720001-96_1</v>
      </c>
      <c r="C166" s="10" t="s">
        <v>2214</v>
      </c>
      <c r="D166" s="10" t="s">
        <v>5980</v>
      </c>
      <c r="E166" s="10" t="s">
        <v>1555</v>
      </c>
      <c r="F166" s="10" t="s">
        <v>1419</v>
      </c>
      <c r="G166" s="10" t="s">
        <v>2215</v>
      </c>
      <c r="H166" s="11" t="s">
        <v>2216</v>
      </c>
      <c r="I166" s="11" t="s">
        <v>2217</v>
      </c>
      <c r="J166" s="10" t="s">
        <v>1559</v>
      </c>
      <c r="K166" s="10" t="s">
        <v>1560</v>
      </c>
      <c r="L166" s="10" t="s">
        <v>1561</v>
      </c>
      <c r="M166" s="10" t="s">
        <v>1419</v>
      </c>
      <c r="N166" s="10">
        <v>32</v>
      </c>
      <c r="O166" s="11">
        <v>77</v>
      </c>
      <c r="P166" s="11">
        <v>7.6999999999999999E-2</v>
      </c>
      <c r="Q166" s="10" t="s">
        <v>1599</v>
      </c>
      <c r="R166" s="10">
        <v>80</v>
      </c>
      <c r="S166" s="12">
        <v>5</v>
      </c>
      <c r="T166" s="13">
        <v>38044</v>
      </c>
      <c r="U166" s="14">
        <v>2929.3879999999999</v>
      </c>
      <c r="V166" s="10">
        <v>5.49</v>
      </c>
      <c r="W166" s="15">
        <v>208861.56</v>
      </c>
      <c r="X166" s="29">
        <f>VLOOKUP($F166,Agendamento!$B:$J,9,0)</f>
        <v>46097</v>
      </c>
      <c r="Y166" s="6">
        <f>COUNTIF(Analise!F:F,'Obras e Acervos'!H166)</f>
        <v>1</v>
      </c>
    </row>
    <row r="167" spans="1:25" ht="15" customHeight="1" x14ac:dyDescent="0.25">
      <c r="A167" s="10" t="str">
        <f>CONCATENATE(LEFT(C167,12),"-",RIGHT(C167,2),"_",TEXT(X167,"ddmmaaaa"),"_",COUNTIF($C$2:C167,C167))</f>
        <v>298405610001-80_00011900_1</v>
      </c>
      <c r="B167" s="10" t="str">
        <f>CONCATENATE(LEFT(C167,12),"-",RIGHT(C167,2),"_",COUNTIF($C$2:C167,C167))</f>
        <v>298405610001-80_1</v>
      </c>
      <c r="C167" s="10" t="s">
        <v>2218</v>
      </c>
      <c r="D167" s="10" t="s">
        <v>5981</v>
      </c>
      <c r="E167" s="10" t="s">
        <v>1555</v>
      </c>
      <c r="F167" s="10" t="s">
        <v>1519</v>
      </c>
      <c r="G167" s="10" t="s">
        <v>2219</v>
      </c>
      <c r="H167" s="11" t="s">
        <v>2220</v>
      </c>
      <c r="I167" s="11" t="s">
        <v>2221</v>
      </c>
      <c r="J167" s="10" t="s">
        <v>1559</v>
      </c>
      <c r="K167" s="10" t="s">
        <v>1560</v>
      </c>
      <c r="L167" s="10" t="s">
        <v>1561</v>
      </c>
      <c r="M167" s="10" t="s">
        <v>1519</v>
      </c>
      <c r="N167" s="10">
        <v>48</v>
      </c>
      <c r="O167" s="11">
        <v>80</v>
      </c>
      <c r="P167" s="11">
        <v>0.08</v>
      </c>
      <c r="Q167" s="10" t="s">
        <v>1562</v>
      </c>
      <c r="R167" s="10">
        <v>75</v>
      </c>
      <c r="S167" s="12">
        <v>5</v>
      </c>
      <c r="T167" s="13">
        <v>38286</v>
      </c>
      <c r="U167" s="14">
        <v>3062.88</v>
      </c>
      <c r="V167" s="10">
        <v>7.02</v>
      </c>
      <c r="W167" s="15">
        <v>268767.71999999997</v>
      </c>
      <c r="X167" s="29">
        <f>VLOOKUP($F167,Agendamento!$B:$J,9,0)</f>
        <v>0</v>
      </c>
      <c r="Y167" s="6">
        <f>COUNTIF(Analise!F:F,'Obras e Acervos'!H167)</f>
        <v>1</v>
      </c>
    </row>
    <row r="168" spans="1:25" ht="15" customHeight="1" x14ac:dyDescent="0.25">
      <c r="A168" s="10" t="str">
        <f>CONCATENATE(LEFT(C168,12),"-",RIGHT(C168,2),"_",TEXT(X168,"ddmmaaaa"),"_",COUNTIF($C$2:C168,C168))</f>
        <v>059718970001-14_26022026_1</v>
      </c>
      <c r="B168" s="10" t="str">
        <f>CONCATENATE(LEFT(C168,12),"-",RIGHT(C168,2),"_",COUNTIF($C$2:C168,C168))</f>
        <v>059718970001-14_1</v>
      </c>
      <c r="C168" s="10" t="s">
        <v>2222</v>
      </c>
      <c r="D168" s="10" t="s">
        <v>5982</v>
      </c>
      <c r="E168" s="10" t="s">
        <v>1555</v>
      </c>
      <c r="F168" s="10" t="s">
        <v>909</v>
      </c>
      <c r="G168" s="10" t="s">
        <v>2223</v>
      </c>
      <c r="H168" s="11" t="s">
        <v>2224</v>
      </c>
      <c r="I168" s="11" t="s">
        <v>2225</v>
      </c>
      <c r="J168" s="10" t="s">
        <v>1559</v>
      </c>
      <c r="K168" s="10" t="s">
        <v>1560</v>
      </c>
      <c r="L168" s="10" t="s">
        <v>1561</v>
      </c>
      <c r="M168" s="10" t="s">
        <v>6187</v>
      </c>
      <c r="N168" s="10">
        <v>32</v>
      </c>
      <c r="O168" s="11">
        <v>110</v>
      </c>
      <c r="P168" s="11">
        <v>0.11</v>
      </c>
      <c r="Q168" s="10" t="s">
        <v>1562</v>
      </c>
      <c r="R168" s="10">
        <v>80</v>
      </c>
      <c r="S168" s="12">
        <v>5</v>
      </c>
      <c r="T168" s="13">
        <v>37256</v>
      </c>
      <c r="U168" s="14">
        <v>4098.16</v>
      </c>
      <c r="V168" s="10">
        <v>5.84</v>
      </c>
      <c r="W168" s="15">
        <v>217575.04000000001</v>
      </c>
      <c r="X168" s="29">
        <f>VLOOKUP($F168,Agendamento!$B:$J,9,0)</f>
        <v>46079</v>
      </c>
      <c r="Y168" s="6">
        <f>COUNTIF(Analise!F:F,'Obras e Acervos'!H168)</f>
        <v>1</v>
      </c>
    </row>
    <row r="169" spans="1:25" ht="15" customHeight="1" x14ac:dyDescent="0.25">
      <c r="A169" s="10" t="str">
        <f>CONCATENATE(LEFT(C169,12),"-",RIGHT(C169,2),"_",TEXT(X169,"ddmmaaaa"),"_",COUNTIF($C$2:C169,C169))</f>
        <v>086526680001-25_09022026_1</v>
      </c>
      <c r="B169" s="10" t="str">
        <f>CONCATENATE(LEFT(C169,12),"-",RIGHT(C169,2),"_",COUNTIF($C$2:C169,C169))</f>
        <v>086526680001-25_1</v>
      </c>
      <c r="C169" s="10" t="s">
        <v>2226</v>
      </c>
      <c r="D169" s="10" t="s">
        <v>5983</v>
      </c>
      <c r="E169" s="10" t="s">
        <v>1555</v>
      </c>
      <c r="F169" s="10" t="s">
        <v>232</v>
      </c>
      <c r="G169" s="10" t="s">
        <v>2227</v>
      </c>
      <c r="H169" s="11" t="s">
        <v>2228</v>
      </c>
      <c r="I169" s="11" t="s">
        <v>2229</v>
      </c>
      <c r="J169" s="10" t="s">
        <v>1559</v>
      </c>
      <c r="K169" s="10" t="s">
        <v>1560</v>
      </c>
      <c r="L169" s="10" t="s">
        <v>1561</v>
      </c>
      <c r="M169" s="10" t="s">
        <v>6188</v>
      </c>
      <c r="N169" s="10">
        <v>48</v>
      </c>
      <c r="O169" s="11">
        <v>134</v>
      </c>
      <c r="P169" s="11">
        <v>0.13400000000000001</v>
      </c>
      <c r="Q169" s="10" t="s">
        <v>1562</v>
      </c>
      <c r="R169" s="10">
        <v>80</v>
      </c>
      <c r="S169" s="12">
        <v>5</v>
      </c>
      <c r="T169" s="13">
        <v>38271</v>
      </c>
      <c r="U169" s="14">
        <v>5128.3140000000003</v>
      </c>
      <c r="V169" s="10">
        <v>7.15</v>
      </c>
      <c r="W169" s="15">
        <v>273637.65000000002</v>
      </c>
      <c r="X169" s="29">
        <f>VLOOKUP($F169,Agendamento!$B:$J,9,0)</f>
        <v>46062</v>
      </c>
      <c r="Y169" s="6">
        <f>COUNTIF(Analise!F:F,'Obras e Acervos'!H169)</f>
        <v>1</v>
      </c>
    </row>
    <row r="170" spans="1:25" ht="15" customHeight="1" x14ac:dyDescent="0.25">
      <c r="A170" s="10" t="str">
        <f>CONCATENATE(LEFT(C170,12),"-",RIGHT(C170,2),"_",TEXT(X170,"ddmmaaaa"),"_",COUNTIF($C$2:C170,C170))</f>
        <v>048391490001-10_27022026_1</v>
      </c>
      <c r="B170" s="10" t="str">
        <f>CONCATENATE(LEFT(C170,12),"-",RIGHT(C170,2),"_",COUNTIF($C$2:C170,C170))</f>
        <v>048391490001-10_1</v>
      </c>
      <c r="C170" s="10" t="s">
        <v>2230</v>
      </c>
      <c r="D170" s="10" t="s">
        <v>5984</v>
      </c>
      <c r="E170" s="10" t="s">
        <v>1555</v>
      </c>
      <c r="F170" s="10" t="s">
        <v>963</v>
      </c>
      <c r="G170" s="10" t="s">
        <v>2231</v>
      </c>
      <c r="H170" s="11" t="s">
        <v>2232</v>
      </c>
      <c r="I170" s="11" t="s">
        <v>2233</v>
      </c>
      <c r="J170" s="10" t="s">
        <v>1559</v>
      </c>
      <c r="K170" s="10" t="s">
        <v>1560</v>
      </c>
      <c r="L170" s="10" t="s">
        <v>1561</v>
      </c>
      <c r="M170" s="10" t="s">
        <v>963</v>
      </c>
      <c r="N170" s="10">
        <v>24</v>
      </c>
      <c r="O170" s="11">
        <v>75</v>
      </c>
      <c r="P170" s="11">
        <v>7.4999999999999997E-2</v>
      </c>
      <c r="Q170" s="10" t="s">
        <v>1562</v>
      </c>
      <c r="R170" s="10">
        <v>80</v>
      </c>
      <c r="S170" s="12">
        <v>5</v>
      </c>
      <c r="T170" s="13">
        <v>50573</v>
      </c>
      <c r="U170" s="14">
        <v>3792.9749999999999</v>
      </c>
      <c r="V170" s="10">
        <v>3.9</v>
      </c>
      <c r="W170" s="15">
        <v>197234.69999999998</v>
      </c>
      <c r="X170" s="29">
        <f>VLOOKUP($F170,Agendamento!$B:$J,9,0)</f>
        <v>46080</v>
      </c>
      <c r="Y170" s="6">
        <f>COUNTIF(Analise!F:F,'Obras e Acervos'!H170)</f>
        <v>1</v>
      </c>
    </row>
    <row r="171" spans="1:25" ht="15" customHeight="1" x14ac:dyDescent="0.25">
      <c r="A171" s="10" t="str">
        <f>CONCATENATE(LEFT(C171,12),"-",RIGHT(C171,2),"_",TEXT(X171,"ddmmaaaa"),"_",COUNTIF($C$2:C171,C171))</f>
        <v>220572610001-80_26022026_1</v>
      </c>
      <c r="B171" s="10" t="str">
        <f>CONCATENATE(LEFT(C171,12),"-",RIGHT(C171,2),"_",COUNTIF($C$2:C171,C171))</f>
        <v>220572610001-80_1</v>
      </c>
      <c r="C171" s="10" t="s">
        <v>2234</v>
      </c>
      <c r="D171" s="10" t="s">
        <v>564</v>
      </c>
      <c r="E171" s="10" t="s">
        <v>1555</v>
      </c>
      <c r="F171" s="10" t="s">
        <v>944</v>
      </c>
      <c r="G171" s="10" t="s">
        <v>2235</v>
      </c>
      <c r="H171" s="11" t="s">
        <v>2236</v>
      </c>
      <c r="I171" s="11" t="s">
        <v>2237</v>
      </c>
      <c r="J171" s="10" t="s">
        <v>1559</v>
      </c>
      <c r="K171" s="10" t="s">
        <v>1560</v>
      </c>
      <c r="L171" s="10" t="s">
        <v>1561</v>
      </c>
      <c r="M171" s="10" t="s">
        <v>944</v>
      </c>
      <c r="N171" s="10">
        <v>72</v>
      </c>
      <c r="O171" s="11">
        <v>191</v>
      </c>
      <c r="P171" s="11">
        <v>0.191</v>
      </c>
      <c r="Q171" s="10" t="s">
        <v>1562</v>
      </c>
      <c r="R171" s="10">
        <v>80</v>
      </c>
      <c r="S171" s="12">
        <v>5</v>
      </c>
      <c r="T171" s="13">
        <v>38438</v>
      </c>
      <c r="U171" s="14">
        <v>7341.6580000000004</v>
      </c>
      <c r="V171" s="10">
        <v>9.65</v>
      </c>
      <c r="W171" s="15">
        <v>370926.7</v>
      </c>
      <c r="X171" s="29">
        <f>VLOOKUP($F171,Agendamento!$B:$J,9,0)</f>
        <v>46079</v>
      </c>
      <c r="Y171" s="6">
        <f>COUNTIF(Analise!F:F,'Obras e Acervos'!H171)</f>
        <v>1</v>
      </c>
    </row>
    <row r="172" spans="1:25" ht="15" customHeight="1" x14ac:dyDescent="0.25">
      <c r="A172" s="10" t="str">
        <f>CONCATENATE(LEFT(C172,12),"-",RIGHT(C172,2),"_",TEXT(X172,"ddmmaaaa"),"_",COUNTIF($C$2:C172,C172))</f>
        <v>426016760001-80_12032026_1</v>
      </c>
      <c r="B172" s="10" t="str">
        <f>CONCATENATE(LEFT(C172,12),"-",RIGHT(C172,2),"_",COUNTIF($C$2:C172,C172))</f>
        <v>426016760001-80_1</v>
      </c>
      <c r="C172" s="10" t="s">
        <v>2238</v>
      </c>
      <c r="D172" s="10" t="s">
        <v>5985</v>
      </c>
      <c r="E172" s="10" t="s">
        <v>1555</v>
      </c>
      <c r="F172" s="10" t="s">
        <v>1458</v>
      </c>
      <c r="G172" s="10" t="s">
        <v>2239</v>
      </c>
      <c r="H172" s="11" t="s">
        <v>2240</v>
      </c>
      <c r="I172" s="11" t="s">
        <v>2241</v>
      </c>
      <c r="J172" s="10" t="s">
        <v>1559</v>
      </c>
      <c r="K172" s="10" t="s">
        <v>1560</v>
      </c>
      <c r="L172" s="10" t="s">
        <v>1561</v>
      </c>
      <c r="M172" s="10" t="s">
        <v>1458</v>
      </c>
      <c r="N172" s="10">
        <v>96</v>
      </c>
      <c r="O172" s="11">
        <v>257</v>
      </c>
      <c r="P172" s="11">
        <v>0.25700000000000001</v>
      </c>
      <c r="Q172" s="10" t="s">
        <v>1562</v>
      </c>
      <c r="R172" s="10">
        <v>80</v>
      </c>
      <c r="S172" s="12">
        <v>5</v>
      </c>
      <c r="T172" s="13">
        <v>64102</v>
      </c>
      <c r="U172" s="14">
        <v>16474.214</v>
      </c>
      <c r="V172" s="10">
        <v>9.8000000000000007</v>
      </c>
      <c r="W172" s="15">
        <v>628199.60000000009</v>
      </c>
      <c r="X172" s="29">
        <f>VLOOKUP($F172,Agendamento!$B:$J,9,0)</f>
        <v>46093</v>
      </c>
      <c r="Y172" s="6">
        <f>COUNTIF(Analise!F:F,'Obras e Acervos'!H172)</f>
        <v>1</v>
      </c>
    </row>
    <row r="173" spans="1:25" ht="15" customHeight="1" x14ac:dyDescent="0.25">
      <c r="A173" s="10" t="str">
        <f>CONCATENATE(LEFT(C173,12),"-",RIGHT(C173,2),"_",TEXT(X173,"ddmmaaaa"),"_",COUNTIF($C$2:C173,C173))</f>
        <v>505879300001-61_18022026_1</v>
      </c>
      <c r="B173" s="10" t="str">
        <f>CONCATENATE(LEFT(C173,12),"-",RIGHT(C173,2),"_",COUNTIF($C$2:C173,C173))</f>
        <v>505879300001-61_1</v>
      </c>
      <c r="C173" s="10" t="s">
        <v>2242</v>
      </c>
      <c r="D173" s="10" t="s">
        <v>5986</v>
      </c>
      <c r="E173" s="10" t="s">
        <v>1555</v>
      </c>
      <c r="F173" s="10" t="s">
        <v>594</v>
      </c>
      <c r="G173" s="10" t="s">
        <v>2243</v>
      </c>
      <c r="H173" s="11" t="s">
        <v>2244</v>
      </c>
      <c r="I173" s="11" t="s">
        <v>2245</v>
      </c>
      <c r="J173" s="10" t="s">
        <v>1559</v>
      </c>
      <c r="K173" s="10" t="s">
        <v>1560</v>
      </c>
      <c r="L173" s="10" t="s">
        <v>1561</v>
      </c>
      <c r="M173" s="10" t="s">
        <v>594</v>
      </c>
      <c r="N173" s="10">
        <v>40</v>
      </c>
      <c r="O173" s="11">
        <v>96</v>
      </c>
      <c r="P173" s="11">
        <v>9.6000000000000002E-2</v>
      </c>
      <c r="Q173" s="10" t="s">
        <v>1562</v>
      </c>
      <c r="R173" s="10">
        <v>80</v>
      </c>
      <c r="S173" s="12">
        <v>5</v>
      </c>
      <c r="T173" s="13">
        <v>48770</v>
      </c>
      <c r="U173" s="14">
        <v>4681.92</v>
      </c>
      <c r="V173" s="10">
        <v>5.33</v>
      </c>
      <c r="W173" s="15">
        <v>259944.1</v>
      </c>
      <c r="X173" s="29">
        <f>VLOOKUP($F173,Agendamento!$B:$J,9,0)</f>
        <v>46071</v>
      </c>
      <c r="Y173" s="6">
        <f>COUNTIF(Analise!F:F,'Obras e Acervos'!H173)</f>
        <v>1</v>
      </c>
    </row>
    <row r="174" spans="1:25" ht="15" customHeight="1" x14ac:dyDescent="0.25">
      <c r="A174" s="10" t="str">
        <f>CONCATENATE(LEFT(C174,12),"-",RIGHT(C174,2),"_",TEXT(X174,"ddmmaaaa"),"_",COUNTIF($C$2:C174,C174))</f>
        <v>435978090001-55_28012026_1</v>
      </c>
      <c r="B174" s="10" t="str">
        <f>CONCATENATE(LEFT(C174,12),"-",RIGHT(C174,2),"_",COUNTIF($C$2:C174,C174))</f>
        <v>435978090001-55_1</v>
      </c>
      <c r="C174" s="10" t="s">
        <v>2246</v>
      </c>
      <c r="D174" s="10" t="s">
        <v>75</v>
      </c>
      <c r="E174" s="10" t="s">
        <v>1555</v>
      </c>
      <c r="F174" s="10" t="s">
        <v>76</v>
      </c>
      <c r="G174" s="10" t="s">
        <v>2247</v>
      </c>
      <c r="H174" s="11" t="s">
        <v>2248</v>
      </c>
      <c r="I174" s="11" t="s">
        <v>2249</v>
      </c>
      <c r="J174" s="10" t="s">
        <v>1559</v>
      </c>
      <c r="K174" s="10" t="s">
        <v>1560</v>
      </c>
      <c r="L174" s="10" t="s">
        <v>1561</v>
      </c>
      <c r="M174" s="10" t="s">
        <v>76</v>
      </c>
      <c r="N174" s="10">
        <v>32</v>
      </c>
      <c r="O174" s="11">
        <v>105</v>
      </c>
      <c r="P174" s="11">
        <v>0.105</v>
      </c>
      <c r="Q174" s="10" t="s">
        <v>1562</v>
      </c>
      <c r="R174" s="10">
        <v>80</v>
      </c>
      <c r="S174" s="12">
        <v>2</v>
      </c>
      <c r="T174" s="13">
        <v>44922</v>
      </c>
      <c r="U174" s="14">
        <v>4716.8099999999995</v>
      </c>
      <c r="V174" s="10">
        <v>5.73</v>
      </c>
      <c r="W174" s="15">
        <v>257746.86000000002</v>
      </c>
      <c r="X174" s="29">
        <f>VLOOKUP($F174,Agendamento!$B:$J,9,0)</f>
        <v>46050</v>
      </c>
      <c r="Y174" s="6">
        <f>COUNTIF(Analise!F:F,'Obras e Acervos'!H174)</f>
        <v>1</v>
      </c>
    </row>
    <row r="175" spans="1:25" ht="15" customHeight="1" x14ac:dyDescent="0.25">
      <c r="A175" s="10" t="str">
        <f>CONCATENATE(LEFT(C175,12),"-",RIGHT(C175,2),"_",TEXT(X175,"ddmmaaaa"),"_",COUNTIF($C$2:C175,C175))</f>
        <v>309102720001-90_25022026_1</v>
      </c>
      <c r="B175" s="10" t="str">
        <f>CONCATENATE(LEFT(C175,12),"-",RIGHT(C175,2),"_",COUNTIF($C$2:C175,C175))</f>
        <v>309102720001-90_1</v>
      </c>
      <c r="C175" s="10" t="s">
        <v>2250</v>
      </c>
      <c r="D175" s="10" t="s">
        <v>875</v>
      </c>
      <c r="E175" s="10" t="s">
        <v>1555</v>
      </c>
      <c r="F175" s="10" t="s">
        <v>876</v>
      </c>
      <c r="G175" s="10" t="s">
        <v>2251</v>
      </c>
      <c r="H175" s="11" t="s">
        <v>2252</v>
      </c>
      <c r="I175" s="11" t="s">
        <v>2253</v>
      </c>
      <c r="J175" s="10" t="s">
        <v>1559</v>
      </c>
      <c r="K175" s="10" t="s">
        <v>1560</v>
      </c>
      <c r="L175" s="10" t="s">
        <v>1561</v>
      </c>
      <c r="M175" s="10" t="s">
        <v>876</v>
      </c>
      <c r="N175" s="10">
        <v>56</v>
      </c>
      <c r="O175" s="11">
        <v>155</v>
      </c>
      <c r="P175" s="11">
        <v>0.155</v>
      </c>
      <c r="Q175" s="10" t="s">
        <v>1562</v>
      </c>
      <c r="R175" s="10">
        <v>80</v>
      </c>
      <c r="S175" s="12">
        <v>5</v>
      </c>
      <c r="T175" s="13">
        <v>64162</v>
      </c>
      <c r="U175" s="14">
        <v>9945.11</v>
      </c>
      <c r="V175" s="10">
        <v>6.34</v>
      </c>
      <c r="W175" s="15">
        <v>406787.08</v>
      </c>
      <c r="X175" s="29">
        <f>VLOOKUP($F175,Agendamento!$B:$J,9,0)</f>
        <v>46078</v>
      </c>
      <c r="Y175" s="6">
        <f>COUNTIF(Analise!F:F,'Obras e Acervos'!H175)</f>
        <v>1</v>
      </c>
    </row>
    <row r="176" spans="1:25" ht="15" customHeight="1" x14ac:dyDescent="0.25">
      <c r="A176" s="10" t="str">
        <f>CONCATENATE(LEFT(C176,12),"-",RIGHT(C176,2),"_",TEXT(X176,"ddmmaaaa"),"_",COUNTIF($C$2:C176,C176))</f>
        <v>434141850001-93_03032026_1</v>
      </c>
      <c r="B176" s="10" t="str">
        <f>CONCATENATE(LEFT(C176,12),"-",RIGHT(C176,2),"_",COUNTIF($C$2:C176,C176))</f>
        <v>434141850001-93_1</v>
      </c>
      <c r="C176" s="10" t="s">
        <v>2254</v>
      </c>
      <c r="D176" s="10" t="s">
        <v>1063</v>
      </c>
      <c r="E176" s="10" t="s">
        <v>1555</v>
      </c>
      <c r="F176" s="10" t="s">
        <v>1171</v>
      </c>
      <c r="G176" s="10" t="s">
        <v>2255</v>
      </c>
      <c r="H176" s="11" t="s">
        <v>2256</v>
      </c>
      <c r="I176" s="11" t="s">
        <v>2257</v>
      </c>
      <c r="J176" s="10" t="s">
        <v>1559</v>
      </c>
      <c r="K176" s="10" t="s">
        <v>1560</v>
      </c>
      <c r="L176" s="10" t="s">
        <v>1561</v>
      </c>
      <c r="M176" s="10" t="s">
        <v>1171</v>
      </c>
      <c r="N176" s="10">
        <v>32</v>
      </c>
      <c r="O176" s="11">
        <v>68</v>
      </c>
      <c r="P176" s="11">
        <v>6.8000000000000005E-2</v>
      </c>
      <c r="Q176" s="10" t="s">
        <v>1599</v>
      </c>
      <c r="R176" s="10">
        <v>80</v>
      </c>
      <c r="S176" s="12">
        <v>5</v>
      </c>
      <c r="T176" s="13">
        <v>38119</v>
      </c>
      <c r="U176" s="14">
        <v>2592.0920000000001</v>
      </c>
      <c r="V176" s="10">
        <v>5.49</v>
      </c>
      <c r="W176" s="15">
        <v>209273.31</v>
      </c>
      <c r="X176" s="29">
        <f>VLOOKUP($F176,Agendamento!$B:$J,9,0)</f>
        <v>46084</v>
      </c>
      <c r="Y176" s="6">
        <f>COUNTIF(Analise!F:F,'Obras e Acervos'!H176)</f>
        <v>1</v>
      </c>
    </row>
    <row r="177" spans="1:25" ht="15" customHeight="1" x14ac:dyDescent="0.25">
      <c r="A177" s="10" t="str">
        <f>CONCATENATE(LEFT(C177,12),"-",RIGHT(C177,2),"_",TEXT(X177,"ddmmaaaa"),"_",COUNTIF($C$2:C177,C177))</f>
        <v>581223180001-25_13032026_1</v>
      </c>
      <c r="B177" s="10" t="str">
        <f>CONCATENATE(LEFT(C177,12),"-",RIGHT(C177,2),"_",COUNTIF($C$2:C177,C177))</f>
        <v>581223180001-25_1</v>
      </c>
      <c r="C177" s="10" t="s">
        <v>2258</v>
      </c>
      <c r="D177" s="10" t="s">
        <v>5987</v>
      </c>
      <c r="E177" s="10" t="s">
        <v>1555</v>
      </c>
      <c r="F177" s="10" t="s">
        <v>1422</v>
      </c>
      <c r="G177" s="10" t="s">
        <v>2259</v>
      </c>
      <c r="H177" s="11" t="s">
        <v>2260</v>
      </c>
      <c r="I177" s="11" t="s">
        <v>2261</v>
      </c>
      <c r="J177" s="10" t="s">
        <v>1559</v>
      </c>
      <c r="K177" s="10" t="s">
        <v>1560</v>
      </c>
      <c r="L177" s="10" t="s">
        <v>1561</v>
      </c>
      <c r="M177" s="10" t="s">
        <v>1422</v>
      </c>
      <c r="N177" s="10">
        <v>52</v>
      </c>
      <c r="O177" s="11">
        <v>100</v>
      </c>
      <c r="P177" s="11">
        <v>0.1</v>
      </c>
      <c r="Q177" s="10" t="s">
        <v>1599</v>
      </c>
      <c r="R177" s="10">
        <v>80</v>
      </c>
      <c r="S177" s="12">
        <v>5</v>
      </c>
      <c r="T177" s="13">
        <v>39559</v>
      </c>
      <c r="U177" s="14">
        <v>3955.9</v>
      </c>
      <c r="V177" s="10">
        <v>7.54</v>
      </c>
      <c r="W177" s="15">
        <v>298274.86</v>
      </c>
      <c r="X177" s="29">
        <f>VLOOKUP($F177,Agendamento!$B:$J,9,0)</f>
        <v>46094</v>
      </c>
      <c r="Y177" s="6">
        <f>COUNTIF(Analise!F:F,'Obras e Acervos'!H177)</f>
        <v>1</v>
      </c>
    </row>
    <row r="178" spans="1:25" ht="15" customHeight="1" x14ac:dyDescent="0.25">
      <c r="A178" s="10" t="str">
        <f>CONCATENATE(LEFT(C178,12),"-",RIGHT(C178,2),"_",TEXT(X178,"ddmmaaaa"),"_",COUNTIF($C$2:C178,C178))</f>
        <v>401901090001-53_03032026_1</v>
      </c>
      <c r="B178" s="10" t="str">
        <f>CONCATENATE(LEFT(C178,12),"-",RIGHT(C178,2),"_",COUNTIF($C$2:C178,C178))</f>
        <v>401901090001-53_1</v>
      </c>
      <c r="C178" s="10" t="s">
        <v>2262</v>
      </c>
      <c r="D178" s="10" t="s">
        <v>5988</v>
      </c>
      <c r="E178" s="10" t="s">
        <v>1555</v>
      </c>
      <c r="F178" s="10" t="s">
        <v>1155</v>
      </c>
      <c r="G178" s="10" t="s">
        <v>2263</v>
      </c>
      <c r="H178" s="11" t="s">
        <v>2264</v>
      </c>
      <c r="I178" s="11" t="s">
        <v>2265</v>
      </c>
      <c r="J178" s="10" t="s">
        <v>1559</v>
      </c>
      <c r="K178" s="10" t="s">
        <v>1560</v>
      </c>
      <c r="L178" s="10" t="s">
        <v>1561</v>
      </c>
      <c r="M178" s="10" t="s">
        <v>6189</v>
      </c>
      <c r="N178" s="10">
        <v>32</v>
      </c>
      <c r="O178" s="11">
        <v>68</v>
      </c>
      <c r="P178" s="11">
        <v>6.8000000000000005E-2</v>
      </c>
      <c r="Q178" s="10" t="s">
        <v>1562</v>
      </c>
      <c r="R178" s="10">
        <v>80</v>
      </c>
      <c r="S178" s="12">
        <v>5</v>
      </c>
      <c r="T178" s="13">
        <v>39422</v>
      </c>
      <c r="U178" s="14">
        <v>2680.6960000000004</v>
      </c>
      <c r="V178" s="10">
        <v>5.46</v>
      </c>
      <c r="W178" s="15">
        <v>215244.12</v>
      </c>
      <c r="X178" s="29">
        <f>VLOOKUP($F178,Agendamento!$B:$J,9,0)</f>
        <v>46084</v>
      </c>
      <c r="Y178" s="6">
        <f>COUNTIF(Analise!F:F,'Obras e Acervos'!H178)</f>
        <v>1</v>
      </c>
    </row>
    <row r="179" spans="1:25" ht="15" customHeight="1" x14ac:dyDescent="0.25">
      <c r="A179" s="10" t="str">
        <f>CONCATENATE(LEFT(C179,12),"-",RIGHT(C179,2),"_",TEXT(X179,"ddmmaaaa"),"_",COUNTIF($C$2:C179,C179))</f>
        <v>199621010001-71_11022026_1</v>
      </c>
      <c r="B179" s="10" t="str">
        <f>CONCATENATE(LEFT(C179,12),"-",RIGHT(C179,2),"_",COUNTIF($C$2:C179,C179))</f>
        <v>199621010001-71_1</v>
      </c>
      <c r="C179" s="10" t="s">
        <v>2266</v>
      </c>
      <c r="D179" s="10" t="s">
        <v>315</v>
      </c>
      <c r="E179" s="10" t="s">
        <v>1555</v>
      </c>
      <c r="F179" s="10" t="s">
        <v>316</v>
      </c>
      <c r="G179" s="10" t="s">
        <v>2267</v>
      </c>
      <c r="H179" s="11" t="s">
        <v>2268</v>
      </c>
      <c r="I179" s="11" t="s">
        <v>2269</v>
      </c>
      <c r="J179" s="10" t="s">
        <v>1559</v>
      </c>
      <c r="K179" s="10" t="s">
        <v>1560</v>
      </c>
      <c r="L179" s="10" t="s">
        <v>1561</v>
      </c>
      <c r="M179" s="10" t="s">
        <v>316</v>
      </c>
      <c r="N179" s="10">
        <v>48</v>
      </c>
      <c r="O179" s="11">
        <v>138</v>
      </c>
      <c r="P179" s="11">
        <v>0.13800000000000001</v>
      </c>
      <c r="Q179" s="10" t="s">
        <v>1562</v>
      </c>
      <c r="R179" s="10">
        <v>80</v>
      </c>
      <c r="S179" s="12">
        <v>5</v>
      </c>
      <c r="T179" s="13">
        <v>42028</v>
      </c>
      <c r="U179" s="14">
        <v>5799.8640000000005</v>
      </c>
      <c r="V179" s="10">
        <v>7.07</v>
      </c>
      <c r="W179" s="15">
        <v>297137.96000000002</v>
      </c>
      <c r="X179" s="29">
        <f>VLOOKUP($F179,Agendamento!$B:$J,9,0)</f>
        <v>46064</v>
      </c>
      <c r="Y179" s="6">
        <f>COUNTIF(Analise!F:F,'Obras e Acervos'!H179)</f>
        <v>1</v>
      </c>
    </row>
    <row r="180" spans="1:25" ht="15" customHeight="1" x14ac:dyDescent="0.25">
      <c r="A180" s="10" t="str">
        <f>CONCATENATE(LEFT(C180,12),"-",RIGHT(C180,2),"_",TEXT(X180,"ddmmaaaa"),"_",COUNTIF($C$2:C180,C180))</f>
        <v>154067230001-62_11022026_1</v>
      </c>
      <c r="B180" s="10" t="str">
        <f>CONCATENATE(LEFT(C180,12),"-",RIGHT(C180,2),"_",COUNTIF($C$2:C180,C180))</f>
        <v>154067230001-62_1</v>
      </c>
      <c r="C180" s="10" t="s">
        <v>2270</v>
      </c>
      <c r="D180" s="10" t="s">
        <v>322</v>
      </c>
      <c r="E180" s="10" t="s">
        <v>1555</v>
      </c>
      <c r="F180" s="10" t="s">
        <v>323</v>
      </c>
      <c r="G180" s="10" t="s">
        <v>2271</v>
      </c>
      <c r="H180" s="11" t="s">
        <v>2272</v>
      </c>
      <c r="I180" s="11" t="s">
        <v>2273</v>
      </c>
      <c r="J180" s="10" t="s">
        <v>1559</v>
      </c>
      <c r="K180" s="10" t="s">
        <v>1560</v>
      </c>
      <c r="L180" s="10" t="s">
        <v>1561</v>
      </c>
      <c r="M180" s="10" t="s">
        <v>323</v>
      </c>
      <c r="N180" s="10">
        <v>36</v>
      </c>
      <c r="O180" s="11">
        <v>110</v>
      </c>
      <c r="P180" s="11">
        <v>0.11</v>
      </c>
      <c r="Q180" s="10" t="s">
        <v>1562</v>
      </c>
      <c r="R180" s="10">
        <v>80</v>
      </c>
      <c r="S180" s="12">
        <v>5</v>
      </c>
      <c r="T180" s="13">
        <v>42801</v>
      </c>
      <c r="U180" s="14">
        <v>4708.1099999999997</v>
      </c>
      <c r="V180" s="10">
        <v>5.49</v>
      </c>
      <c r="W180" s="15">
        <v>234977.49000000002</v>
      </c>
      <c r="X180" s="29">
        <f>VLOOKUP($F180,Agendamento!$B:$J,9,0)</f>
        <v>46064</v>
      </c>
      <c r="Y180" s="6">
        <f>COUNTIF(Analise!F:F,'Obras e Acervos'!H180)</f>
        <v>1</v>
      </c>
    </row>
    <row r="181" spans="1:25" ht="15" customHeight="1" x14ac:dyDescent="0.25">
      <c r="A181" s="10" t="str">
        <f>CONCATENATE(LEFT(C181,12),"-",RIGHT(C181,2),"_",TEXT(X181,"ddmmaaaa"),"_",COUNTIF($C$2:C181,C181))</f>
        <v>438868230001-79_11032026_1</v>
      </c>
      <c r="B181" s="10" t="str">
        <f>CONCATENATE(LEFT(C181,12),"-",RIGHT(C181,2),"_",COUNTIF($C$2:C181,C181))</f>
        <v>438868230001-79_1</v>
      </c>
      <c r="C181" s="10" t="s">
        <v>2274</v>
      </c>
      <c r="D181" s="10" t="s">
        <v>5989</v>
      </c>
      <c r="E181" s="10" t="s">
        <v>1555</v>
      </c>
      <c r="F181" s="10" t="s">
        <v>1409</v>
      </c>
      <c r="G181" s="10" t="s">
        <v>2275</v>
      </c>
      <c r="H181" s="11" t="s">
        <v>2276</v>
      </c>
      <c r="I181" s="11" t="s">
        <v>2277</v>
      </c>
      <c r="J181" s="10" t="s">
        <v>1559</v>
      </c>
      <c r="K181" s="10" t="s">
        <v>1560</v>
      </c>
      <c r="L181" s="10" t="s">
        <v>1561</v>
      </c>
      <c r="M181" s="10" t="s">
        <v>1409</v>
      </c>
      <c r="N181" s="10">
        <v>56</v>
      </c>
      <c r="O181" s="11">
        <v>162</v>
      </c>
      <c r="P181" s="11">
        <v>0.16200000000000001</v>
      </c>
      <c r="Q181" s="10" t="s">
        <v>1599</v>
      </c>
      <c r="R181" s="10">
        <v>80</v>
      </c>
      <c r="S181" s="12">
        <v>5</v>
      </c>
      <c r="T181" s="13">
        <v>37620</v>
      </c>
      <c r="U181" s="14">
        <v>6094.4400000000005</v>
      </c>
      <c r="V181" s="10">
        <v>8</v>
      </c>
      <c r="W181" s="15">
        <v>300960</v>
      </c>
      <c r="X181" s="29">
        <f>VLOOKUP($F181,Agendamento!$B:$J,9,0)</f>
        <v>46092</v>
      </c>
      <c r="Y181" s="6">
        <f>COUNTIF(Analise!F:F,'Obras e Acervos'!H181)</f>
        <v>1</v>
      </c>
    </row>
    <row r="182" spans="1:25" ht="15" customHeight="1" x14ac:dyDescent="0.25">
      <c r="A182" s="10" t="str">
        <f>CONCATENATE(LEFT(C182,12),"-",RIGHT(C182,2),"_",TEXT(X182,"ddmmaaaa"),"_",COUNTIF($C$2:C182,C182))</f>
        <v>352880520001-90_03032026_1</v>
      </c>
      <c r="B182" s="10" t="str">
        <f>CONCATENATE(LEFT(C182,12),"-",RIGHT(C182,2),"_",COUNTIF($C$2:C182,C182))</f>
        <v>352880520001-90_1</v>
      </c>
      <c r="C182" s="10" t="s">
        <v>2278</v>
      </c>
      <c r="D182" s="10" t="s">
        <v>5990</v>
      </c>
      <c r="E182" s="10" t="s">
        <v>1555</v>
      </c>
      <c r="F182" s="10" t="s">
        <v>1136</v>
      </c>
      <c r="G182" s="10" t="s">
        <v>2279</v>
      </c>
      <c r="H182" s="11" t="s">
        <v>2280</v>
      </c>
      <c r="I182" s="11" t="s">
        <v>2281</v>
      </c>
      <c r="J182" s="10" t="s">
        <v>1559</v>
      </c>
      <c r="K182" s="10" t="s">
        <v>1560</v>
      </c>
      <c r="L182" s="10" t="s">
        <v>1561</v>
      </c>
      <c r="M182" s="10" t="s">
        <v>1136</v>
      </c>
      <c r="N182" s="10">
        <v>68</v>
      </c>
      <c r="O182" s="11">
        <v>100</v>
      </c>
      <c r="P182" s="11">
        <v>0.1</v>
      </c>
      <c r="Q182" s="10" t="s">
        <v>1608</v>
      </c>
      <c r="R182" s="10">
        <v>80</v>
      </c>
      <c r="S182" s="12">
        <v>5</v>
      </c>
      <c r="T182" s="13">
        <v>41210</v>
      </c>
      <c r="U182" s="14">
        <v>4121</v>
      </c>
      <c r="V182" s="10">
        <v>7.48</v>
      </c>
      <c r="W182" s="15">
        <v>308250.80000000005</v>
      </c>
      <c r="X182" s="29">
        <f>VLOOKUP($F182,Agendamento!$B:$J,9,0)</f>
        <v>46084</v>
      </c>
      <c r="Y182" s="6">
        <f>COUNTIF(Analise!F:F,'Obras e Acervos'!H182)</f>
        <v>1</v>
      </c>
    </row>
    <row r="183" spans="1:25" ht="15" customHeight="1" x14ac:dyDescent="0.25">
      <c r="A183" s="10" t="str">
        <f>CONCATENATE(LEFT(C183,12),"-",RIGHT(C183,2),"_",TEXT(X183,"ddmmaaaa"),"_",COUNTIF($C$2:C183,C183))</f>
        <v>045219750001-16_05032026_1</v>
      </c>
      <c r="B183" s="10" t="str">
        <f>CONCATENATE(LEFT(C183,12),"-",RIGHT(C183,2),"_",COUNTIF($C$2:C183,C183))</f>
        <v>045219750001-16_1</v>
      </c>
      <c r="C183" s="10" t="s">
        <v>2282</v>
      </c>
      <c r="D183" s="10" t="s">
        <v>5991</v>
      </c>
      <c r="E183" s="10" t="s">
        <v>1555</v>
      </c>
      <c r="F183" s="10" t="s">
        <v>1266</v>
      </c>
      <c r="G183" s="10" t="s">
        <v>2283</v>
      </c>
      <c r="H183" s="11" t="s">
        <v>2284</v>
      </c>
      <c r="I183" s="11" t="s">
        <v>2285</v>
      </c>
      <c r="J183" s="10" t="s">
        <v>1559</v>
      </c>
      <c r="K183" s="10" t="s">
        <v>1560</v>
      </c>
      <c r="L183" s="10" t="s">
        <v>1561</v>
      </c>
      <c r="M183" s="10" t="s">
        <v>1266</v>
      </c>
      <c r="N183" s="10">
        <v>40</v>
      </c>
      <c r="O183" s="11">
        <v>124</v>
      </c>
      <c r="P183" s="11">
        <v>0.124</v>
      </c>
      <c r="Q183" s="10" t="s">
        <v>1562</v>
      </c>
      <c r="R183" s="10">
        <v>80</v>
      </c>
      <c r="S183" s="12">
        <v>5</v>
      </c>
      <c r="T183" s="13">
        <v>37862</v>
      </c>
      <c r="U183" s="14">
        <v>4694.8879999999999</v>
      </c>
      <c r="V183" s="10">
        <v>6.32</v>
      </c>
      <c r="W183" s="15">
        <v>239287.84</v>
      </c>
      <c r="X183" s="29">
        <f>VLOOKUP($F183,Agendamento!$B:$J,9,0)</f>
        <v>46086</v>
      </c>
      <c r="Y183" s="6">
        <f>COUNTIF(Analise!F:F,'Obras e Acervos'!H183)</f>
        <v>1</v>
      </c>
    </row>
    <row r="184" spans="1:25" ht="15" customHeight="1" x14ac:dyDescent="0.25">
      <c r="A184" s="10" t="str">
        <f>CONCATENATE(LEFT(C184,12),"-",RIGHT(C184,2),"_",TEXT(X184,"ddmmaaaa"),"_",COUNTIF($C$2:C184,C184))</f>
        <v>069828730001-23_20022026_1</v>
      </c>
      <c r="B184" s="10" t="str">
        <f>CONCATENATE(LEFT(C184,12),"-",RIGHT(C184,2),"_",COUNTIF($C$2:C184,C184))</f>
        <v>069828730001-23_1</v>
      </c>
      <c r="C184" s="10" t="s">
        <v>2286</v>
      </c>
      <c r="D184" s="10" t="s">
        <v>5992</v>
      </c>
      <c r="E184" s="10" t="s">
        <v>1555</v>
      </c>
      <c r="F184" s="10" t="s">
        <v>659</v>
      </c>
      <c r="G184" s="10" t="s">
        <v>2287</v>
      </c>
      <c r="H184" s="11" t="s">
        <v>2288</v>
      </c>
      <c r="I184" s="11" t="s">
        <v>2289</v>
      </c>
      <c r="J184" s="10" t="s">
        <v>1559</v>
      </c>
      <c r="K184" s="10" t="s">
        <v>1560</v>
      </c>
      <c r="L184" s="10" t="s">
        <v>1561</v>
      </c>
      <c r="M184" s="10" t="s">
        <v>6190</v>
      </c>
      <c r="N184" s="10">
        <v>32</v>
      </c>
      <c r="O184" s="11">
        <v>36</v>
      </c>
      <c r="P184" s="11">
        <v>3.5999999999999997E-2</v>
      </c>
      <c r="Q184" s="10" t="s">
        <v>2290</v>
      </c>
      <c r="R184" s="10">
        <v>80</v>
      </c>
      <c r="S184" s="12">
        <v>5</v>
      </c>
      <c r="T184" s="13">
        <v>37726</v>
      </c>
      <c r="U184" s="14">
        <v>1358.136</v>
      </c>
      <c r="V184" s="10">
        <v>4.47</v>
      </c>
      <c r="W184" s="15">
        <v>168635.22</v>
      </c>
      <c r="X184" s="29">
        <f>VLOOKUP($F184,Agendamento!$B:$J,9,0)</f>
        <v>46073</v>
      </c>
      <c r="Y184" s="6">
        <f>COUNTIF(Analise!F:F,'Obras e Acervos'!H184)</f>
        <v>1</v>
      </c>
    </row>
    <row r="185" spans="1:25" ht="15" customHeight="1" x14ac:dyDescent="0.25">
      <c r="A185" s="10" t="str">
        <f>CONCATENATE(LEFT(C185,12),"-",RIGHT(C185,2),"_",TEXT(X185,"ddmmaaaa"),"_",COUNTIF($C$2:C185,C185))</f>
        <v>321717750001-16_02032026_1</v>
      </c>
      <c r="B185" s="10" t="str">
        <f>CONCATENATE(LEFT(C185,12),"-",RIGHT(C185,2),"_",COUNTIF($C$2:C185,C185))</f>
        <v>321717750001-16_1</v>
      </c>
      <c r="C185" s="10" t="s">
        <v>2291</v>
      </c>
      <c r="D185" s="10" t="s">
        <v>1072</v>
      </c>
      <c r="E185" s="10" t="s">
        <v>1555</v>
      </c>
      <c r="F185" s="10" t="s">
        <v>1073</v>
      </c>
      <c r="G185" s="10" t="s">
        <v>2292</v>
      </c>
      <c r="H185" s="11" t="s">
        <v>2293</v>
      </c>
      <c r="I185" s="11" t="s">
        <v>2294</v>
      </c>
      <c r="J185" s="10" t="s">
        <v>1559</v>
      </c>
      <c r="K185" s="10" t="s">
        <v>1560</v>
      </c>
      <c r="L185" s="10" t="s">
        <v>1561</v>
      </c>
      <c r="M185" s="10" t="s">
        <v>1073</v>
      </c>
      <c r="N185" s="10">
        <v>40</v>
      </c>
      <c r="O185" s="11">
        <v>124</v>
      </c>
      <c r="P185" s="11">
        <v>0.124</v>
      </c>
      <c r="Q185" s="10" t="s">
        <v>1562</v>
      </c>
      <c r="R185" s="10">
        <v>80</v>
      </c>
      <c r="S185" s="12">
        <v>5</v>
      </c>
      <c r="T185" s="13">
        <v>51315</v>
      </c>
      <c r="U185" s="14">
        <v>6363.06</v>
      </c>
      <c r="V185" s="10">
        <v>5.35</v>
      </c>
      <c r="W185" s="15">
        <v>274535.25</v>
      </c>
      <c r="X185" s="29">
        <f>VLOOKUP($F185,Agendamento!$B:$J,9,0)</f>
        <v>46083</v>
      </c>
      <c r="Y185" s="6">
        <f>COUNTIF(Analise!F:F,'Obras e Acervos'!H185)</f>
        <v>1</v>
      </c>
    </row>
    <row r="186" spans="1:25" ht="15" customHeight="1" x14ac:dyDescent="0.25">
      <c r="A186" s="10" t="str">
        <f>CONCATENATE(LEFT(C186,12),"-",RIGHT(C186,2),"_",TEXT(X186,"ddmmaaaa"),"_",COUNTIF($C$2:C186,C186))</f>
        <v>305812450001-10_27022026_1</v>
      </c>
      <c r="B186" s="10" t="str">
        <f>CONCATENATE(LEFT(C186,12),"-",RIGHT(C186,2),"_",COUNTIF($C$2:C186,C186))</f>
        <v>305812450001-10_1</v>
      </c>
      <c r="C186" s="10" t="s">
        <v>2295</v>
      </c>
      <c r="D186" s="10" t="s">
        <v>929</v>
      </c>
      <c r="E186" s="10" t="s">
        <v>1555</v>
      </c>
      <c r="F186" s="10" t="s">
        <v>977</v>
      </c>
      <c r="G186" s="10" t="s">
        <v>2296</v>
      </c>
      <c r="H186" s="11" t="s">
        <v>2297</v>
      </c>
      <c r="I186" s="11" t="s">
        <v>2298</v>
      </c>
      <c r="J186" s="10" t="s">
        <v>1559</v>
      </c>
      <c r="K186" s="10" t="s">
        <v>1560</v>
      </c>
      <c r="L186" s="10" t="s">
        <v>1561</v>
      </c>
      <c r="M186" s="10" t="s">
        <v>977</v>
      </c>
      <c r="N186" s="10">
        <v>44</v>
      </c>
      <c r="O186" s="11">
        <v>128</v>
      </c>
      <c r="P186" s="11">
        <v>0.128</v>
      </c>
      <c r="Q186" s="10" t="s">
        <v>1562</v>
      </c>
      <c r="R186" s="10">
        <v>80</v>
      </c>
      <c r="S186" s="12">
        <v>5</v>
      </c>
      <c r="T186" s="13">
        <v>45119</v>
      </c>
      <c r="U186" s="14">
        <v>5775.232</v>
      </c>
      <c r="V186" s="10">
        <v>6.24</v>
      </c>
      <c r="W186" s="15">
        <v>281542.56</v>
      </c>
      <c r="X186" s="29">
        <f>VLOOKUP($F186,Agendamento!$B:$J,9,0)</f>
        <v>46080</v>
      </c>
      <c r="Y186" s="6">
        <f>COUNTIF(Analise!F:F,'Obras e Acervos'!H186)</f>
        <v>1</v>
      </c>
    </row>
    <row r="187" spans="1:25" ht="15" customHeight="1" x14ac:dyDescent="0.25">
      <c r="A187" s="10" t="str">
        <f>CONCATENATE(LEFT(C187,12),"-",RIGHT(C187,2),"_",TEXT(X187,"ddmmaaaa"),"_",COUNTIF($C$2:C187,C187))</f>
        <v>339677750001-90_06032026_1</v>
      </c>
      <c r="B187" s="10" t="str">
        <f>CONCATENATE(LEFT(C187,12),"-",RIGHT(C187,2),"_",COUNTIF($C$2:C187,C187))</f>
        <v>339677750001-90_1</v>
      </c>
      <c r="C187" s="10" t="s">
        <v>2299</v>
      </c>
      <c r="D187" s="10" t="s">
        <v>5993</v>
      </c>
      <c r="E187" s="10" t="s">
        <v>1555</v>
      </c>
      <c r="F187" s="10" t="s">
        <v>1294</v>
      </c>
      <c r="G187" s="10" t="s">
        <v>2300</v>
      </c>
      <c r="H187" s="11" t="s">
        <v>2301</v>
      </c>
      <c r="I187" s="11" t="s">
        <v>2302</v>
      </c>
      <c r="J187" s="10" t="s">
        <v>1559</v>
      </c>
      <c r="K187" s="10" t="s">
        <v>1560</v>
      </c>
      <c r="L187" s="10" t="s">
        <v>1561</v>
      </c>
      <c r="M187" s="10" t="s">
        <v>1294</v>
      </c>
      <c r="N187" s="10">
        <v>40</v>
      </c>
      <c r="O187" s="11">
        <v>124</v>
      </c>
      <c r="P187" s="11">
        <v>0.124</v>
      </c>
      <c r="Q187" s="10" t="s">
        <v>1562</v>
      </c>
      <c r="R187" s="10">
        <v>80</v>
      </c>
      <c r="S187" s="12">
        <v>5</v>
      </c>
      <c r="T187" s="13">
        <v>37923</v>
      </c>
      <c r="U187" s="14">
        <v>4702.4520000000002</v>
      </c>
      <c r="V187" s="10">
        <v>6.32</v>
      </c>
      <c r="W187" s="15">
        <v>239673.36000000002</v>
      </c>
      <c r="X187" s="29">
        <f>VLOOKUP($F187,Agendamento!$B:$J,9,0)</f>
        <v>46087</v>
      </c>
      <c r="Y187" s="6">
        <f>COUNTIF(Analise!F:F,'Obras e Acervos'!H187)</f>
        <v>1</v>
      </c>
    </row>
    <row r="188" spans="1:25" ht="15" customHeight="1" x14ac:dyDescent="0.25">
      <c r="A188" s="10" t="str">
        <f>CONCATENATE(LEFT(C188,12),"-",RIGHT(C188,2),"_",TEXT(X188,"ddmmaaaa"),"_",COUNTIF($C$2:C188,C188))</f>
        <v>610160280001-01_27022026_1</v>
      </c>
      <c r="B188" s="10" t="str">
        <f>CONCATENATE(LEFT(C188,12),"-",RIGHT(C188,2),"_",COUNTIF($C$2:C188,C188))</f>
        <v>610160280001-01_1</v>
      </c>
      <c r="C188" s="10" t="s">
        <v>2303</v>
      </c>
      <c r="D188" s="10" t="s">
        <v>5994</v>
      </c>
      <c r="E188" s="10" t="s">
        <v>1555</v>
      </c>
      <c r="F188" s="10" t="s">
        <v>987</v>
      </c>
      <c r="G188" s="10" t="s">
        <v>2304</v>
      </c>
      <c r="H188" s="11" t="s">
        <v>2305</v>
      </c>
      <c r="I188" s="11" t="s">
        <v>2306</v>
      </c>
      <c r="J188" s="10" t="s">
        <v>1559</v>
      </c>
      <c r="K188" s="10" t="s">
        <v>1560</v>
      </c>
      <c r="L188" s="10" t="s">
        <v>1561</v>
      </c>
      <c r="M188" s="10" t="s">
        <v>987</v>
      </c>
      <c r="N188" s="10">
        <v>40</v>
      </c>
      <c r="O188" s="11">
        <v>111</v>
      </c>
      <c r="P188" s="11">
        <v>0.111</v>
      </c>
      <c r="Q188" s="10" t="s">
        <v>1562</v>
      </c>
      <c r="R188" s="10">
        <v>80</v>
      </c>
      <c r="S188" s="12">
        <v>5</v>
      </c>
      <c r="T188" s="13">
        <v>51194</v>
      </c>
      <c r="U188" s="14">
        <v>5682.5339999999997</v>
      </c>
      <c r="V188" s="10">
        <v>5.35</v>
      </c>
      <c r="W188" s="15">
        <v>273887.89999999997</v>
      </c>
      <c r="X188" s="29">
        <f>VLOOKUP($F188,Agendamento!$B:$J,9,0)</f>
        <v>46080</v>
      </c>
      <c r="Y188" s="6">
        <f>COUNTIF(Analise!F:F,'Obras e Acervos'!H188)</f>
        <v>1</v>
      </c>
    </row>
    <row r="189" spans="1:25" ht="15" customHeight="1" x14ac:dyDescent="0.25">
      <c r="A189" s="10" t="str">
        <f>CONCATENATE(LEFT(C189,12),"-",RIGHT(C189,2),"_",TEXT(X189,"ddmmaaaa"),"_",COUNTIF($C$2:C189,C189))</f>
        <v>005584580001-60_10022026_1</v>
      </c>
      <c r="B189" s="10" t="str">
        <f>CONCATENATE(LEFT(C189,12),"-",RIGHT(C189,2),"_",COUNTIF($C$2:C189,C189))</f>
        <v>005584580001-60_1</v>
      </c>
      <c r="C189" s="10" t="s">
        <v>2307</v>
      </c>
      <c r="D189" s="10" t="s">
        <v>5995</v>
      </c>
      <c r="E189" s="10" t="s">
        <v>1555</v>
      </c>
      <c r="F189" s="10" t="s">
        <v>286</v>
      </c>
      <c r="G189" s="10" t="s">
        <v>2308</v>
      </c>
      <c r="H189" s="11" t="s">
        <v>2309</v>
      </c>
      <c r="I189" s="11" t="s">
        <v>2310</v>
      </c>
      <c r="J189" s="10" t="s">
        <v>1559</v>
      </c>
      <c r="K189" s="10" t="s">
        <v>1560</v>
      </c>
      <c r="L189" s="10" t="s">
        <v>1561</v>
      </c>
      <c r="M189" s="10" t="s">
        <v>286</v>
      </c>
      <c r="N189" s="10">
        <v>64</v>
      </c>
      <c r="O189" s="11">
        <v>140</v>
      </c>
      <c r="P189" s="11">
        <v>0.14000000000000001</v>
      </c>
      <c r="Q189" s="10" t="s">
        <v>1562</v>
      </c>
      <c r="R189" s="10">
        <v>80</v>
      </c>
      <c r="S189" s="12">
        <v>5</v>
      </c>
      <c r="T189" s="13">
        <v>37559</v>
      </c>
      <c r="U189" s="14">
        <v>5258.26</v>
      </c>
      <c r="V189" s="10">
        <v>8.83</v>
      </c>
      <c r="W189" s="15">
        <v>331645.97000000003</v>
      </c>
      <c r="X189" s="29">
        <f>VLOOKUP($F189,Agendamento!$B:$J,9,0)</f>
        <v>46063</v>
      </c>
      <c r="Y189" s="6">
        <f>COUNTIF(Analise!F:F,'Obras e Acervos'!H189)</f>
        <v>1</v>
      </c>
    </row>
    <row r="190" spans="1:25" ht="15" customHeight="1" x14ac:dyDescent="0.25">
      <c r="A190" s="10" t="str">
        <f>CONCATENATE(LEFT(C190,12),"-",RIGHT(C190,2),"_",TEXT(X190,"ddmmaaaa"),"_",COUNTIF($C$2:C190,C190))</f>
        <v>181638370001-17_27022026_1</v>
      </c>
      <c r="B190" s="10" t="str">
        <f>CONCATENATE(LEFT(C190,12),"-",RIGHT(C190,2),"_",COUNTIF($C$2:C190,C190))</f>
        <v>181638370001-17_1</v>
      </c>
      <c r="C190" s="10" t="s">
        <v>2311</v>
      </c>
      <c r="D190" s="10" t="s">
        <v>972</v>
      </c>
      <c r="E190" s="10" t="s">
        <v>1555</v>
      </c>
      <c r="F190" s="10" t="s">
        <v>973</v>
      </c>
      <c r="G190" s="10" t="s">
        <v>2312</v>
      </c>
      <c r="H190" s="11" t="s">
        <v>2313</v>
      </c>
      <c r="I190" s="11" t="s">
        <v>2314</v>
      </c>
      <c r="J190" s="10" t="s">
        <v>1559</v>
      </c>
      <c r="K190" s="10" t="s">
        <v>1560</v>
      </c>
      <c r="L190" s="10" t="s">
        <v>1561</v>
      </c>
      <c r="M190" s="10" t="s">
        <v>973</v>
      </c>
      <c r="N190" s="10">
        <v>80</v>
      </c>
      <c r="O190" s="11">
        <v>197</v>
      </c>
      <c r="P190" s="11">
        <v>0.19700000000000001</v>
      </c>
      <c r="Q190" s="10" t="s">
        <v>1562</v>
      </c>
      <c r="R190" s="10">
        <v>75</v>
      </c>
      <c r="S190" s="12">
        <v>5</v>
      </c>
      <c r="T190" s="13">
        <v>37983</v>
      </c>
      <c r="U190" s="14">
        <v>7482.6510000000007</v>
      </c>
      <c r="V190" s="10">
        <v>10.27</v>
      </c>
      <c r="W190" s="15">
        <v>390085.41</v>
      </c>
      <c r="X190" s="29">
        <f>VLOOKUP($F190,Agendamento!$B:$J,9,0)</f>
        <v>46080</v>
      </c>
      <c r="Y190" s="6">
        <f>COUNTIF(Analise!F:F,'Obras e Acervos'!H190)</f>
        <v>1</v>
      </c>
    </row>
    <row r="191" spans="1:25" ht="15" customHeight="1" x14ac:dyDescent="0.25">
      <c r="A191" s="10" t="str">
        <f>CONCATENATE(LEFT(C191,12),"-",RIGHT(C191,2),"_",TEXT(X191,"ddmmaaaa"),"_",COUNTIF($C$2:C191,C191))</f>
        <v>607301080001-61_23022026_1</v>
      </c>
      <c r="B191" s="10" t="str">
        <f>CONCATENATE(LEFT(C191,12),"-",RIGHT(C191,2),"_",COUNTIF($C$2:C191,C191))</f>
        <v>607301080001-61_1</v>
      </c>
      <c r="C191" s="10" t="s">
        <v>2315</v>
      </c>
      <c r="D191" s="10" t="s">
        <v>739</v>
      </c>
      <c r="E191" s="10" t="s">
        <v>1555</v>
      </c>
      <c r="F191" s="10" t="s">
        <v>741</v>
      </c>
      <c r="G191" s="10" t="s">
        <v>2316</v>
      </c>
      <c r="H191" s="11" t="s">
        <v>2317</v>
      </c>
      <c r="I191" s="11" t="s">
        <v>2318</v>
      </c>
      <c r="J191" s="10" t="s">
        <v>1559</v>
      </c>
      <c r="K191" s="10" t="s">
        <v>1560</v>
      </c>
      <c r="L191" s="10" t="s">
        <v>1561</v>
      </c>
      <c r="M191" s="10" t="s">
        <v>741</v>
      </c>
      <c r="N191" s="10">
        <v>32</v>
      </c>
      <c r="O191" s="11">
        <v>158</v>
      </c>
      <c r="P191" s="11">
        <v>0.158</v>
      </c>
      <c r="Q191" s="10" t="s">
        <v>1562</v>
      </c>
      <c r="R191" s="10">
        <v>80</v>
      </c>
      <c r="S191" s="12">
        <v>5</v>
      </c>
      <c r="T191" s="13">
        <v>38938</v>
      </c>
      <c r="U191" s="14">
        <v>6152.2039999999997</v>
      </c>
      <c r="V191" s="10">
        <v>5.46</v>
      </c>
      <c r="W191" s="15">
        <v>212601.48</v>
      </c>
      <c r="X191" s="29">
        <f>VLOOKUP($F191,Agendamento!$B:$J,9,0)</f>
        <v>46076</v>
      </c>
      <c r="Y191" s="6">
        <f>COUNTIF(Analise!F:F,'Obras e Acervos'!H191)</f>
        <v>1</v>
      </c>
    </row>
    <row r="192" spans="1:25" ht="15" customHeight="1" x14ac:dyDescent="0.25">
      <c r="A192" s="10" t="str">
        <f>CONCATENATE(LEFT(C192,12),"-",RIGHT(C192,2),"_",TEXT(X192,"ddmmaaaa"),"_",COUNTIF($C$2:C192,C192))</f>
        <v>299841480001-90_10022026_1</v>
      </c>
      <c r="B192" s="10" t="str">
        <f>CONCATENATE(LEFT(C192,12),"-",RIGHT(C192,2),"_",COUNTIF($C$2:C192,C192))</f>
        <v>299841480001-90_1</v>
      </c>
      <c r="C192" s="10" t="s">
        <v>2319</v>
      </c>
      <c r="D192" s="10" t="s">
        <v>5996</v>
      </c>
      <c r="E192" s="10" t="s">
        <v>1555</v>
      </c>
      <c r="F192" s="10" t="s">
        <v>250</v>
      </c>
      <c r="G192" s="10" t="s">
        <v>2320</v>
      </c>
      <c r="H192" s="11" t="s">
        <v>2321</v>
      </c>
      <c r="I192" s="11" t="s">
        <v>2322</v>
      </c>
      <c r="J192" s="10" t="s">
        <v>1559</v>
      </c>
      <c r="K192" s="10" t="s">
        <v>1560</v>
      </c>
      <c r="L192" s="10" t="s">
        <v>1561</v>
      </c>
      <c r="M192" s="10" t="s">
        <v>250</v>
      </c>
      <c r="N192" s="10">
        <v>24</v>
      </c>
      <c r="O192" s="11">
        <v>85</v>
      </c>
      <c r="P192" s="11">
        <v>8.5000000000000006E-2</v>
      </c>
      <c r="Q192" s="10" t="s">
        <v>1562</v>
      </c>
      <c r="R192" s="10">
        <v>80</v>
      </c>
      <c r="S192" s="12">
        <v>5</v>
      </c>
      <c r="T192" s="13">
        <v>37438</v>
      </c>
      <c r="U192" s="14">
        <v>3182.23</v>
      </c>
      <c r="V192" s="10">
        <v>5.19</v>
      </c>
      <c r="W192" s="15">
        <v>194303.22</v>
      </c>
      <c r="X192" s="29">
        <f>VLOOKUP($F192,Agendamento!$B:$J,9,0)</f>
        <v>46063</v>
      </c>
      <c r="Y192" s="6">
        <f>COUNTIF(Analise!F:F,'Obras e Acervos'!H192)</f>
        <v>1</v>
      </c>
    </row>
    <row r="193" spans="1:25" ht="15" customHeight="1" x14ac:dyDescent="0.25">
      <c r="A193" s="10" t="str">
        <f>CONCATENATE(LEFT(C193,12),"-",RIGHT(C193,2),"_",TEXT(X193,"ddmmaaaa"),"_",COUNTIF($C$2:C193,C193))</f>
        <v>327726850001-80_23022026_1</v>
      </c>
      <c r="B193" s="10" t="str">
        <f>CONCATENATE(LEFT(C193,12),"-",RIGHT(C193,2),"_",COUNTIF($C$2:C193,C193))</f>
        <v>327726850001-80_1</v>
      </c>
      <c r="C193" s="10" t="s">
        <v>2323</v>
      </c>
      <c r="D193" s="10" t="s">
        <v>5997</v>
      </c>
      <c r="E193" s="10" t="s">
        <v>1555</v>
      </c>
      <c r="F193" s="10" t="s">
        <v>729</v>
      </c>
      <c r="G193" s="10" t="s">
        <v>2324</v>
      </c>
      <c r="H193" s="11" t="s">
        <v>2325</v>
      </c>
      <c r="I193" s="11" t="s">
        <v>2326</v>
      </c>
      <c r="J193" s="10" t="s">
        <v>1559</v>
      </c>
      <c r="K193" s="10" t="s">
        <v>1560</v>
      </c>
      <c r="L193" s="10" t="s">
        <v>1561</v>
      </c>
      <c r="M193" s="10" t="s">
        <v>729</v>
      </c>
      <c r="N193" s="10">
        <v>64</v>
      </c>
      <c r="O193" s="11">
        <v>159</v>
      </c>
      <c r="P193" s="11">
        <v>0.159</v>
      </c>
      <c r="Q193" s="10" t="s">
        <v>1562</v>
      </c>
      <c r="R193" s="10">
        <v>80</v>
      </c>
      <c r="S193" s="12">
        <v>5</v>
      </c>
      <c r="T193" s="13">
        <v>39392</v>
      </c>
      <c r="U193" s="14">
        <v>6263.3280000000004</v>
      </c>
      <c r="V193" s="10">
        <v>8.7899999999999991</v>
      </c>
      <c r="W193" s="15">
        <v>346255.68</v>
      </c>
      <c r="X193" s="29">
        <f>VLOOKUP($F193,Agendamento!$B:$J,9,0)</f>
        <v>46076</v>
      </c>
      <c r="Y193" s="6">
        <f>COUNTIF(Analise!F:F,'Obras e Acervos'!H193)</f>
        <v>1</v>
      </c>
    </row>
    <row r="194" spans="1:25" ht="15" customHeight="1" x14ac:dyDescent="0.25">
      <c r="A194" s="10" t="str">
        <f>CONCATENATE(LEFT(C194,12),"-",RIGHT(C194,2),"_",TEXT(X194,"ddmmaaaa"),"_",COUNTIF($C$2:C194,C194))</f>
        <v>011066520001-78_27022026_1</v>
      </c>
      <c r="B194" s="10" t="str">
        <f>CONCATENATE(LEFT(C194,12),"-",RIGHT(C194,2),"_",COUNTIF($C$2:C194,C194))</f>
        <v>011066520001-78_1</v>
      </c>
      <c r="C194" s="10" t="s">
        <v>2327</v>
      </c>
      <c r="D194" s="10" t="s">
        <v>5998</v>
      </c>
      <c r="E194" s="10" t="s">
        <v>1555</v>
      </c>
      <c r="F194" s="10" t="s">
        <v>1007</v>
      </c>
      <c r="G194" s="10" t="s">
        <v>2328</v>
      </c>
      <c r="H194" s="11" t="s">
        <v>2329</v>
      </c>
      <c r="I194" s="11" t="s">
        <v>2330</v>
      </c>
      <c r="J194" s="10" t="s">
        <v>1559</v>
      </c>
      <c r="K194" s="10" t="s">
        <v>1560</v>
      </c>
      <c r="L194" s="10" t="s">
        <v>1561</v>
      </c>
      <c r="M194" s="10" t="s">
        <v>6191</v>
      </c>
      <c r="N194" s="10">
        <v>36</v>
      </c>
      <c r="O194" s="11">
        <v>110</v>
      </c>
      <c r="P194" s="11">
        <v>0.11</v>
      </c>
      <c r="Q194" s="10" t="s">
        <v>1599</v>
      </c>
      <c r="R194" s="10">
        <v>80</v>
      </c>
      <c r="S194" s="12">
        <v>5</v>
      </c>
      <c r="T194" s="13">
        <v>41059</v>
      </c>
      <c r="U194" s="14">
        <v>4516.49</v>
      </c>
      <c r="V194" s="10">
        <v>5.84</v>
      </c>
      <c r="W194" s="15">
        <v>239784.56</v>
      </c>
      <c r="X194" s="29">
        <f>VLOOKUP($F194,Agendamento!$B:$J,9,0)</f>
        <v>46080</v>
      </c>
      <c r="Y194" s="6">
        <f>COUNTIF(Analise!F:F,'Obras e Acervos'!H194)</f>
        <v>1</v>
      </c>
    </row>
    <row r="195" spans="1:25" ht="15" customHeight="1" x14ac:dyDescent="0.25">
      <c r="A195" s="10" t="str">
        <f>CONCATENATE(LEFT(C195,12),"-",RIGHT(C195,2),"_",TEXT(X195,"ddmmaaaa"),"_",COUNTIF($C$2:C195,C195))</f>
        <v>243638320001-30_13022026_1</v>
      </c>
      <c r="B195" s="10" t="str">
        <f>CONCATENATE(LEFT(C195,12),"-",RIGHT(C195,2),"_",COUNTIF($C$2:C195,C195))</f>
        <v>243638320001-30_1</v>
      </c>
      <c r="C195" s="11" t="s">
        <v>2331</v>
      </c>
      <c r="D195" s="11" t="s">
        <v>5999</v>
      </c>
      <c r="E195" s="11" t="s">
        <v>1555</v>
      </c>
      <c r="F195" s="11" t="s">
        <v>479</v>
      </c>
      <c r="G195" s="11" t="s">
        <v>2332</v>
      </c>
      <c r="H195" s="11" t="s">
        <v>2333</v>
      </c>
      <c r="I195" s="11" t="s">
        <v>2334</v>
      </c>
      <c r="J195" s="11" t="s">
        <v>1559</v>
      </c>
      <c r="K195" s="11" t="s">
        <v>1560</v>
      </c>
      <c r="L195" s="11" t="s">
        <v>1561</v>
      </c>
      <c r="M195" s="10" t="s">
        <v>6192</v>
      </c>
      <c r="N195" s="11">
        <v>48</v>
      </c>
      <c r="O195" s="11">
        <v>115</v>
      </c>
      <c r="P195" s="11">
        <v>0.115</v>
      </c>
      <c r="Q195" s="11" t="s">
        <v>1599</v>
      </c>
      <c r="R195" s="11">
        <v>80</v>
      </c>
      <c r="S195" s="12">
        <v>8</v>
      </c>
      <c r="T195" s="25">
        <v>33225</v>
      </c>
      <c r="U195" s="14">
        <v>3820.875</v>
      </c>
      <c r="V195" s="11">
        <v>5.38</v>
      </c>
      <c r="W195" s="26">
        <v>209238.96</v>
      </c>
      <c r="X195" s="29">
        <f>VLOOKUP($F195,Agendamento!$B:$J,9,0)</f>
        <v>46066</v>
      </c>
      <c r="Y195" s="6">
        <f>COUNTIF(Analise!F:F,'Obras e Acervos'!H195)</f>
        <v>0</v>
      </c>
    </row>
    <row r="196" spans="1:25" ht="15" customHeight="1" x14ac:dyDescent="0.25">
      <c r="A196" s="10" t="str">
        <f>CONCATENATE(LEFT(C196,12),"-",RIGHT(C196,2),"_",TEXT(X196,"ddmmaaaa"),"_",COUNTIF($C$2:C196,C196))</f>
        <v>192702060001-60_23022026_1</v>
      </c>
      <c r="B196" s="10" t="str">
        <f>CONCATENATE(LEFT(C196,12),"-",RIGHT(C196,2),"_",COUNTIF($C$2:C196,C196))</f>
        <v>192702060001-60_1</v>
      </c>
      <c r="C196" s="10" t="s">
        <v>2335</v>
      </c>
      <c r="D196" s="10" t="s">
        <v>6000</v>
      </c>
      <c r="E196" s="10" t="s">
        <v>1555</v>
      </c>
      <c r="F196" s="10" t="s">
        <v>686</v>
      </c>
      <c r="G196" s="10" t="s">
        <v>2336</v>
      </c>
      <c r="H196" s="11" t="s">
        <v>2337</v>
      </c>
      <c r="I196" s="11" t="s">
        <v>2338</v>
      </c>
      <c r="J196" s="10" t="s">
        <v>1559</v>
      </c>
      <c r="K196" s="10" t="s">
        <v>1560</v>
      </c>
      <c r="L196" s="10" t="s">
        <v>1561</v>
      </c>
      <c r="M196" s="10" t="s">
        <v>686</v>
      </c>
      <c r="N196" s="10">
        <v>40</v>
      </c>
      <c r="O196" s="11">
        <v>130</v>
      </c>
      <c r="P196" s="11">
        <v>0.13</v>
      </c>
      <c r="Q196" s="10" t="s">
        <v>1562</v>
      </c>
      <c r="R196" s="10">
        <v>80</v>
      </c>
      <c r="S196" s="12">
        <v>5</v>
      </c>
      <c r="T196" s="13">
        <v>38559</v>
      </c>
      <c r="U196" s="14">
        <v>5012.67</v>
      </c>
      <c r="V196" s="10">
        <v>6.37</v>
      </c>
      <c r="W196" s="15">
        <v>245620.83000000002</v>
      </c>
      <c r="X196" s="29">
        <f>VLOOKUP($F196,Agendamento!$B:$J,9,0)</f>
        <v>46076</v>
      </c>
      <c r="Y196" s="6">
        <f>COUNTIF(Analise!F:F,'Obras e Acervos'!H196)</f>
        <v>1</v>
      </c>
    </row>
    <row r="197" spans="1:25" ht="15" customHeight="1" x14ac:dyDescent="0.25">
      <c r="A197" s="10" t="str">
        <f>CONCATENATE(LEFT(C197,12),"-",RIGHT(C197,2),"_",TEXT(X197,"ddmmaaaa"),"_",COUNTIF($C$2:C197,C197))</f>
        <v>436808120001-38_06032026_1</v>
      </c>
      <c r="B197" s="10" t="str">
        <f>CONCATENATE(LEFT(C197,12),"-",RIGHT(C197,2),"_",COUNTIF($C$2:C197,C197))</f>
        <v>436808120001-38_1</v>
      </c>
      <c r="C197" s="10" t="s">
        <v>2339</v>
      </c>
      <c r="D197" s="10" t="s">
        <v>6001</v>
      </c>
      <c r="E197" s="10" t="s">
        <v>1555</v>
      </c>
      <c r="F197" s="10" t="s">
        <v>1300</v>
      </c>
      <c r="G197" s="10" t="s">
        <v>2340</v>
      </c>
      <c r="H197" s="11" t="s">
        <v>2341</v>
      </c>
      <c r="I197" s="11" t="s">
        <v>2342</v>
      </c>
      <c r="J197" s="10" t="s">
        <v>1559</v>
      </c>
      <c r="K197" s="10" t="s">
        <v>1560</v>
      </c>
      <c r="L197" s="10" t="s">
        <v>1561</v>
      </c>
      <c r="M197" s="10" t="s">
        <v>1300</v>
      </c>
      <c r="N197" s="10">
        <v>32</v>
      </c>
      <c r="O197" s="11">
        <v>105</v>
      </c>
      <c r="P197" s="11">
        <v>0.105</v>
      </c>
      <c r="Q197" s="10" t="s">
        <v>1562</v>
      </c>
      <c r="R197" s="10">
        <v>80</v>
      </c>
      <c r="S197" s="12">
        <v>5</v>
      </c>
      <c r="T197" s="13">
        <v>38483</v>
      </c>
      <c r="U197" s="14">
        <v>4040.7149999999997</v>
      </c>
      <c r="V197" s="10">
        <v>5.48</v>
      </c>
      <c r="W197" s="15">
        <v>210886.84000000003</v>
      </c>
      <c r="X197" s="29">
        <f>VLOOKUP($F197,Agendamento!$B:$J,9,0)</f>
        <v>46087</v>
      </c>
      <c r="Y197" s="6">
        <f>COUNTIF(Analise!F:F,'Obras e Acervos'!H197)</f>
        <v>1</v>
      </c>
    </row>
    <row r="198" spans="1:25" ht="15" customHeight="1" x14ac:dyDescent="0.25">
      <c r="A198" s="10" t="str">
        <f>CONCATENATE(LEFT(C198,12),"-",RIGHT(C198,2),"_",TEXT(X198,"ddmmaaaa"),"_",COUNTIF($C$2:C198,C198))</f>
        <v>235151720001-01_16032026_1</v>
      </c>
      <c r="B198" s="10" t="str">
        <f>CONCATENATE(LEFT(C198,12),"-",RIGHT(C198,2),"_",COUNTIF($C$2:C198,C198))</f>
        <v>235151720001-01_1</v>
      </c>
      <c r="C198" s="10" t="s">
        <v>2343</v>
      </c>
      <c r="D198" s="10" t="s">
        <v>6002</v>
      </c>
      <c r="E198" s="10" t="s">
        <v>1555</v>
      </c>
      <c r="F198" s="10" t="s">
        <v>1433</v>
      </c>
      <c r="G198" s="10" t="s">
        <v>2344</v>
      </c>
      <c r="H198" s="11" t="s">
        <v>2345</v>
      </c>
      <c r="I198" s="11" t="s">
        <v>2346</v>
      </c>
      <c r="J198" s="10" t="s">
        <v>1559</v>
      </c>
      <c r="K198" s="10" t="s">
        <v>1560</v>
      </c>
      <c r="L198" s="10" t="s">
        <v>1561</v>
      </c>
      <c r="M198" s="10" t="s">
        <v>1433</v>
      </c>
      <c r="N198" s="10">
        <v>36</v>
      </c>
      <c r="O198" s="11">
        <v>96</v>
      </c>
      <c r="P198" s="11">
        <v>9.6000000000000002E-2</v>
      </c>
      <c r="Q198" s="10" t="s">
        <v>1599</v>
      </c>
      <c r="R198" s="10">
        <v>80</v>
      </c>
      <c r="S198" s="12">
        <v>5</v>
      </c>
      <c r="T198" s="13">
        <v>39180</v>
      </c>
      <c r="U198" s="14">
        <v>3761.28</v>
      </c>
      <c r="V198" s="10">
        <v>5.89</v>
      </c>
      <c r="W198" s="15">
        <v>230770.19999999998</v>
      </c>
      <c r="X198" s="29">
        <f>VLOOKUP($F198,Agendamento!$B:$J,9,0)</f>
        <v>46097</v>
      </c>
      <c r="Y198" s="6">
        <f>COUNTIF(Analise!F:F,'Obras e Acervos'!H198)</f>
        <v>1</v>
      </c>
    </row>
    <row r="199" spans="1:25" ht="15" customHeight="1" x14ac:dyDescent="0.25">
      <c r="A199" s="10" t="str">
        <f>CONCATENATE(LEFT(C199,12),"-",RIGHT(C199,2),"_",TEXT(X199,"ddmmaaaa"),"_",COUNTIF($C$2:C199,C199))</f>
        <v>380155110001-50_16032026_1</v>
      </c>
      <c r="B199" s="10" t="str">
        <f>CONCATENATE(LEFT(C199,12),"-",RIGHT(C199,2),"_",COUNTIF($C$2:C199,C199))</f>
        <v>380155110001-50_1</v>
      </c>
      <c r="C199" s="10" t="s">
        <v>2347</v>
      </c>
      <c r="D199" s="10" t="s">
        <v>6003</v>
      </c>
      <c r="E199" s="10" t="s">
        <v>1555</v>
      </c>
      <c r="F199" s="10" t="s">
        <v>1478</v>
      </c>
      <c r="G199" s="10" t="s">
        <v>2348</v>
      </c>
      <c r="H199" s="11" t="s">
        <v>2349</v>
      </c>
      <c r="I199" s="11" t="s">
        <v>2350</v>
      </c>
      <c r="J199" s="10" t="s">
        <v>1559</v>
      </c>
      <c r="K199" s="10" t="s">
        <v>1560</v>
      </c>
      <c r="L199" s="10" t="s">
        <v>1561</v>
      </c>
      <c r="M199" s="10" t="s">
        <v>1478</v>
      </c>
      <c r="N199" s="10">
        <v>32</v>
      </c>
      <c r="O199" s="11">
        <v>80</v>
      </c>
      <c r="P199" s="11">
        <v>0.08</v>
      </c>
      <c r="Q199" s="10" t="s">
        <v>1562</v>
      </c>
      <c r="R199" s="10">
        <v>80</v>
      </c>
      <c r="S199" s="12">
        <v>5</v>
      </c>
      <c r="T199" s="13">
        <v>67904</v>
      </c>
      <c r="U199" s="14">
        <v>5432.32</v>
      </c>
      <c r="V199" s="10">
        <v>4.22</v>
      </c>
      <c r="W199" s="15">
        <v>286554.88</v>
      </c>
      <c r="X199" s="29">
        <f>VLOOKUP($F199,Agendamento!$B:$J,9,0)</f>
        <v>46097</v>
      </c>
      <c r="Y199" s="6">
        <f>COUNTIF(Analise!F:F,'Obras e Acervos'!H199)</f>
        <v>1</v>
      </c>
    </row>
    <row r="200" spans="1:25" ht="15" customHeight="1" x14ac:dyDescent="0.25">
      <c r="A200" s="10" t="str">
        <f>CONCATENATE(LEFT(C200,12),"-",RIGHT(C200,2),"_",TEXT(X200,"ddmmaaaa"),"_",COUNTIF($C$2:C200,C200))</f>
        <v>171726860001-09_06022026_1</v>
      </c>
      <c r="B200" s="10" t="str">
        <f>CONCATENATE(LEFT(C200,12),"-",RIGHT(C200,2),"_",COUNTIF($C$2:C200,C200))</f>
        <v>171726860001-09_1</v>
      </c>
      <c r="C200" s="10" t="s">
        <v>2351</v>
      </c>
      <c r="D200" s="10" t="s">
        <v>199</v>
      </c>
      <c r="E200" s="10" t="s">
        <v>1555</v>
      </c>
      <c r="F200" s="10" t="s">
        <v>204</v>
      </c>
      <c r="G200" s="10" t="s">
        <v>2352</v>
      </c>
      <c r="H200" s="11" t="s">
        <v>2353</v>
      </c>
      <c r="I200" s="11" t="s">
        <v>2354</v>
      </c>
      <c r="J200" s="10" t="s">
        <v>1559</v>
      </c>
      <c r="K200" s="10" t="s">
        <v>1560</v>
      </c>
      <c r="L200" s="10" t="s">
        <v>1561</v>
      </c>
      <c r="M200" s="10" t="s">
        <v>204</v>
      </c>
      <c r="N200" s="10">
        <v>36</v>
      </c>
      <c r="O200" s="11">
        <v>115</v>
      </c>
      <c r="P200" s="11">
        <v>0.115</v>
      </c>
      <c r="Q200" s="10" t="s">
        <v>1562</v>
      </c>
      <c r="R200" s="10">
        <v>80</v>
      </c>
      <c r="S200" s="12">
        <v>5</v>
      </c>
      <c r="T200" s="13">
        <v>37726</v>
      </c>
      <c r="U200" s="14">
        <v>4338.49</v>
      </c>
      <c r="V200" s="10">
        <v>5.91</v>
      </c>
      <c r="W200" s="15">
        <v>222960.66</v>
      </c>
      <c r="X200" s="29">
        <f>VLOOKUP($F200,Agendamento!$B:$J,9,0)</f>
        <v>46059</v>
      </c>
      <c r="Y200" s="6">
        <f>COUNTIF(Analise!F:F,'Obras e Acervos'!H200)</f>
        <v>1</v>
      </c>
    </row>
    <row r="201" spans="1:25" ht="15" customHeight="1" x14ac:dyDescent="0.25">
      <c r="A201" s="10" t="str">
        <f>CONCATENATE(LEFT(C201,12),"-",RIGHT(C201,2),"_",TEXT(X201,"ddmmaaaa"),"_",COUNTIF($C$2:C201,C201))</f>
        <v>380351670001-60_13022026_1</v>
      </c>
      <c r="B201" s="10" t="str">
        <f>CONCATENATE(LEFT(C201,12),"-",RIGHT(C201,2),"_",COUNTIF($C$2:C201,C201))</f>
        <v>380351670001-60_1</v>
      </c>
      <c r="C201" s="10" t="s">
        <v>2355</v>
      </c>
      <c r="D201" s="10" t="s">
        <v>6004</v>
      </c>
      <c r="E201" s="10" t="s">
        <v>1555</v>
      </c>
      <c r="F201" s="10" t="s">
        <v>442</v>
      </c>
      <c r="G201" s="10" t="s">
        <v>2356</v>
      </c>
      <c r="H201" s="11" t="s">
        <v>2357</v>
      </c>
      <c r="I201" s="11" t="s">
        <v>2358</v>
      </c>
      <c r="J201" s="10" t="s">
        <v>1559</v>
      </c>
      <c r="K201" s="10" t="s">
        <v>1560</v>
      </c>
      <c r="L201" s="10" t="s">
        <v>1561</v>
      </c>
      <c r="M201" s="10" t="s">
        <v>442</v>
      </c>
      <c r="N201" s="10">
        <v>32</v>
      </c>
      <c r="O201" s="11">
        <v>120</v>
      </c>
      <c r="P201" s="11">
        <v>0.12</v>
      </c>
      <c r="Q201" s="10" t="s">
        <v>1562</v>
      </c>
      <c r="R201" s="10">
        <v>80</v>
      </c>
      <c r="S201" s="12">
        <v>6</v>
      </c>
      <c r="T201" s="13">
        <v>36811</v>
      </c>
      <c r="U201" s="14">
        <v>4417.32</v>
      </c>
      <c r="V201" s="10">
        <v>5.41</v>
      </c>
      <c r="W201" s="15">
        <v>199147.51</v>
      </c>
      <c r="X201" s="29">
        <f>VLOOKUP($F201,Agendamento!$B:$J,9,0)</f>
        <v>46066</v>
      </c>
      <c r="Y201" s="6">
        <f>COUNTIF(Analise!F:F,'Obras e Acervos'!H201)</f>
        <v>1</v>
      </c>
    </row>
    <row r="202" spans="1:25" ht="15" customHeight="1" x14ac:dyDescent="0.25">
      <c r="A202" s="10" t="str">
        <f>CONCATENATE(LEFT(C202,12),"-",RIGHT(C202,2),"_",TEXT(X202,"ddmmaaaa"),"_",COUNTIF($C$2:C202,C202))</f>
        <v>226222130001-98_11032026_1</v>
      </c>
      <c r="B202" s="10" t="str">
        <f>CONCATENATE(LEFT(C202,12),"-",RIGHT(C202,2),"_",COUNTIF($C$2:C202,C202))</f>
        <v>226222130001-98_1</v>
      </c>
      <c r="C202" s="10" t="s">
        <v>2359</v>
      </c>
      <c r="D202" s="10" t="s">
        <v>1236</v>
      </c>
      <c r="E202" s="10" t="s">
        <v>1555</v>
      </c>
      <c r="F202" s="10" t="s">
        <v>1402</v>
      </c>
      <c r="G202" s="10" t="s">
        <v>2360</v>
      </c>
      <c r="H202" s="11" t="s">
        <v>2361</v>
      </c>
      <c r="I202" s="11" t="s">
        <v>2362</v>
      </c>
      <c r="J202" s="10" t="s">
        <v>1559</v>
      </c>
      <c r="K202" s="10" t="s">
        <v>1560</v>
      </c>
      <c r="L202" s="10" t="s">
        <v>1561</v>
      </c>
      <c r="M202" s="10" t="s">
        <v>1402</v>
      </c>
      <c r="N202" s="10">
        <v>48</v>
      </c>
      <c r="O202" s="11">
        <v>143</v>
      </c>
      <c r="P202" s="11">
        <v>0.14299999999999999</v>
      </c>
      <c r="Q202" s="10" t="s">
        <v>1562</v>
      </c>
      <c r="R202" s="10">
        <v>80</v>
      </c>
      <c r="S202" s="12">
        <v>6</v>
      </c>
      <c r="T202" s="13">
        <v>37765</v>
      </c>
      <c r="U202" s="14">
        <v>5400.3949999999995</v>
      </c>
      <c r="V202" s="10">
        <v>7.17</v>
      </c>
      <c r="W202" s="15">
        <v>270775.05</v>
      </c>
      <c r="X202" s="29">
        <f>VLOOKUP($F202,Agendamento!$B:$J,9,0)</f>
        <v>46092</v>
      </c>
      <c r="Y202" s="6">
        <f>COUNTIF(Analise!F:F,'Obras e Acervos'!H202)</f>
        <v>1</v>
      </c>
    </row>
    <row r="203" spans="1:25" ht="15" customHeight="1" x14ac:dyDescent="0.25">
      <c r="A203" s="10" t="str">
        <f>CONCATENATE(LEFT(C203,12),"-",RIGHT(C203,2),"_",TEXT(X203,"ddmmaaaa"),"_",COUNTIF($C$2:C203,C203))</f>
        <v>422154690001-98_11032026_1</v>
      </c>
      <c r="B203" s="10" t="str">
        <f>CONCATENATE(LEFT(C203,12),"-",RIGHT(C203,2),"_",COUNTIF($C$2:C203,C203))</f>
        <v>422154690001-98_1</v>
      </c>
      <c r="C203" s="10" t="s">
        <v>2363</v>
      </c>
      <c r="D203" s="10" t="s">
        <v>1228</v>
      </c>
      <c r="E203" s="10" t="s">
        <v>1555</v>
      </c>
      <c r="F203" s="10" t="s">
        <v>1395</v>
      </c>
      <c r="G203" s="10" t="s">
        <v>2364</v>
      </c>
      <c r="H203" s="11" t="s">
        <v>2365</v>
      </c>
      <c r="I203" s="11" t="s">
        <v>2366</v>
      </c>
      <c r="J203" s="10" t="s">
        <v>1559</v>
      </c>
      <c r="K203" s="10" t="s">
        <v>1560</v>
      </c>
      <c r="L203" s="10" t="s">
        <v>1561</v>
      </c>
      <c r="M203" s="10" t="s">
        <v>1395</v>
      </c>
      <c r="N203" s="10">
        <v>48</v>
      </c>
      <c r="O203" s="11">
        <v>143</v>
      </c>
      <c r="P203" s="11">
        <v>0.14299999999999999</v>
      </c>
      <c r="Q203" s="10" t="s">
        <v>1562</v>
      </c>
      <c r="R203" s="10">
        <v>80</v>
      </c>
      <c r="S203" s="12">
        <v>6</v>
      </c>
      <c r="T203" s="13">
        <v>36689</v>
      </c>
      <c r="U203" s="14">
        <v>5246.5269999999991</v>
      </c>
      <c r="V203" s="10">
        <v>7.64</v>
      </c>
      <c r="W203" s="15">
        <v>280303.95999999996</v>
      </c>
      <c r="X203" s="29">
        <f>VLOOKUP($F203,Agendamento!$B:$J,9,0)</f>
        <v>46092</v>
      </c>
      <c r="Y203" s="6">
        <f>COUNTIF(Analise!F:F,'Obras e Acervos'!H203)</f>
        <v>1</v>
      </c>
    </row>
    <row r="204" spans="1:25" ht="15" customHeight="1" x14ac:dyDescent="0.25">
      <c r="A204" s="10" t="str">
        <f>CONCATENATE(LEFT(C204,12),"-",RIGHT(C204,2),"_",TEXT(X204,"ddmmaaaa"),"_",COUNTIF($C$2:C204,C204))</f>
        <v>133919870001-64_11032026_1</v>
      </c>
      <c r="B204" s="10" t="str">
        <f>CONCATENATE(LEFT(C204,12),"-",RIGHT(C204,2),"_",COUNTIF($C$2:C204,C204))</f>
        <v>133919870001-64_1</v>
      </c>
      <c r="C204" s="10" t="s">
        <v>2367</v>
      </c>
      <c r="D204" s="10" t="s">
        <v>6005</v>
      </c>
      <c r="E204" s="10" t="s">
        <v>1555</v>
      </c>
      <c r="F204" s="10" t="s">
        <v>1381</v>
      </c>
      <c r="G204" s="10" t="s">
        <v>2368</v>
      </c>
      <c r="H204" s="11" t="s">
        <v>2369</v>
      </c>
      <c r="I204" s="11" t="s">
        <v>2370</v>
      </c>
      <c r="J204" s="10" t="s">
        <v>1559</v>
      </c>
      <c r="K204" s="10" t="s">
        <v>1560</v>
      </c>
      <c r="L204" s="10" t="s">
        <v>1561</v>
      </c>
      <c r="M204" s="10" t="s">
        <v>1381</v>
      </c>
      <c r="N204" s="10">
        <v>32</v>
      </c>
      <c r="O204" s="11">
        <v>93</v>
      </c>
      <c r="P204" s="11">
        <v>9.2999999999999999E-2</v>
      </c>
      <c r="Q204" s="10" t="s">
        <v>1599</v>
      </c>
      <c r="R204" s="10">
        <v>80</v>
      </c>
      <c r="S204" s="12">
        <v>6</v>
      </c>
      <c r="T204" s="13">
        <v>40128</v>
      </c>
      <c r="U204" s="14">
        <v>3731.904</v>
      </c>
      <c r="V204" s="10">
        <v>5.44</v>
      </c>
      <c r="W204" s="15">
        <v>218296.32000000001</v>
      </c>
      <c r="X204" s="29">
        <f>VLOOKUP($F204,Agendamento!$B:$J,9,0)</f>
        <v>46092</v>
      </c>
      <c r="Y204" s="6">
        <f>COUNTIF(Analise!F:F,'Obras e Acervos'!H204)</f>
        <v>1</v>
      </c>
    </row>
    <row r="205" spans="1:25" ht="15" customHeight="1" x14ac:dyDescent="0.25">
      <c r="A205" s="10" t="str">
        <f>CONCATENATE(LEFT(C205,12),"-",RIGHT(C205,2),"_",TEXT(X205,"ddmmaaaa"),"_",COUNTIF($C$2:C205,C205))</f>
        <v>029760330001-05_06032026_1</v>
      </c>
      <c r="B205" s="10" t="str">
        <f>CONCATENATE(LEFT(C205,12),"-",RIGHT(C205,2),"_",COUNTIF($C$2:C205,C205))</f>
        <v>029760330001-05_1</v>
      </c>
      <c r="C205" s="10" t="s">
        <v>2371</v>
      </c>
      <c r="D205" s="10" t="s">
        <v>6006</v>
      </c>
      <c r="E205" s="10" t="s">
        <v>1555</v>
      </c>
      <c r="F205" s="10" t="s">
        <v>1299</v>
      </c>
      <c r="G205" s="10" t="s">
        <v>2372</v>
      </c>
      <c r="H205" s="11" t="s">
        <v>2373</v>
      </c>
      <c r="I205" s="11" t="s">
        <v>2374</v>
      </c>
      <c r="J205" s="10" t="s">
        <v>1559</v>
      </c>
      <c r="K205" s="10" t="s">
        <v>1560</v>
      </c>
      <c r="L205" s="10" t="s">
        <v>1561</v>
      </c>
      <c r="M205" s="10" t="s">
        <v>1299</v>
      </c>
      <c r="N205" s="10">
        <v>64</v>
      </c>
      <c r="O205" s="11">
        <v>173</v>
      </c>
      <c r="P205" s="11">
        <v>0.17299999999999999</v>
      </c>
      <c r="Q205" s="10" t="s">
        <v>1562</v>
      </c>
      <c r="R205" s="10">
        <v>80</v>
      </c>
      <c r="S205" s="12">
        <v>6</v>
      </c>
      <c r="T205" s="13">
        <v>37856</v>
      </c>
      <c r="U205" s="14">
        <v>6549.0879999999997</v>
      </c>
      <c r="V205" s="10">
        <v>8.83</v>
      </c>
      <c r="W205" s="15">
        <v>334268.48</v>
      </c>
      <c r="X205" s="29">
        <f>VLOOKUP($F205,Agendamento!$B:$J,9,0)</f>
        <v>46087</v>
      </c>
      <c r="Y205" s="6">
        <f>COUNTIF(Analise!F:F,'Obras e Acervos'!H205)</f>
        <v>1</v>
      </c>
    </row>
    <row r="206" spans="1:25" ht="15" customHeight="1" x14ac:dyDescent="0.25">
      <c r="A206" s="10" t="str">
        <f>CONCATENATE(LEFT(C206,12),"-",RIGHT(C206,2),"_",TEXT(X206,"ddmmaaaa"),"_",COUNTIF($C$2:C206,C206))</f>
        <v>611016710001-33_27022026_1</v>
      </c>
      <c r="B206" s="10" t="str">
        <f>CONCATENATE(LEFT(C206,12),"-",RIGHT(C206,2),"_",COUNTIF($C$2:C206,C206))</f>
        <v>611016710001-33_1</v>
      </c>
      <c r="C206" s="10" t="s">
        <v>2375</v>
      </c>
      <c r="D206" s="10" t="s">
        <v>6007</v>
      </c>
      <c r="E206" s="10" t="s">
        <v>1555</v>
      </c>
      <c r="F206" s="10" t="s">
        <v>983</v>
      </c>
      <c r="G206" s="10" t="s">
        <v>2376</v>
      </c>
      <c r="H206" s="11" t="s">
        <v>2377</v>
      </c>
      <c r="I206" s="11" t="s">
        <v>2378</v>
      </c>
      <c r="J206" s="10" t="s">
        <v>1559</v>
      </c>
      <c r="K206" s="10" t="s">
        <v>1560</v>
      </c>
      <c r="L206" s="10" t="s">
        <v>1561</v>
      </c>
      <c r="M206" s="10" t="s">
        <v>983</v>
      </c>
      <c r="N206" s="10">
        <v>32</v>
      </c>
      <c r="O206" s="11">
        <v>93</v>
      </c>
      <c r="P206" s="11">
        <v>9.2999999999999999E-2</v>
      </c>
      <c r="Q206" s="10" t="s">
        <v>1562</v>
      </c>
      <c r="R206" s="10">
        <v>80</v>
      </c>
      <c r="S206" s="12">
        <v>6</v>
      </c>
      <c r="T206" s="13">
        <v>37129</v>
      </c>
      <c r="U206" s="14">
        <v>3452.9969999999998</v>
      </c>
      <c r="V206" s="10">
        <v>5.84</v>
      </c>
      <c r="W206" s="15">
        <v>216833.36</v>
      </c>
      <c r="X206" s="29">
        <f>VLOOKUP($F206,Agendamento!$B:$J,9,0)</f>
        <v>46080</v>
      </c>
      <c r="Y206" s="6">
        <f>COUNTIF(Analise!F:F,'Obras e Acervos'!H206)</f>
        <v>1</v>
      </c>
    </row>
    <row r="207" spans="1:25" ht="15" customHeight="1" x14ac:dyDescent="0.25">
      <c r="A207" s="10" t="str">
        <f>CONCATENATE(LEFT(C207,12),"-",RIGHT(C207,2),"_",TEXT(X207,"ddmmaaaa"),"_",COUNTIF($C$2:C207,C207))</f>
        <v>072358880001-90_11032026_1</v>
      </c>
      <c r="B207" s="10" t="str">
        <f>CONCATENATE(LEFT(C207,12),"-",RIGHT(C207,2),"_",COUNTIF($C$2:C207,C207))</f>
        <v>072358880001-90_1</v>
      </c>
      <c r="C207" s="10" t="s">
        <v>2379</v>
      </c>
      <c r="D207" s="10" t="s">
        <v>948</v>
      </c>
      <c r="E207" s="10" t="s">
        <v>1555</v>
      </c>
      <c r="F207" s="10" t="s">
        <v>1397</v>
      </c>
      <c r="G207" s="10" t="s">
        <v>2380</v>
      </c>
      <c r="H207" s="11" t="s">
        <v>2381</v>
      </c>
      <c r="I207" s="11" t="s">
        <v>2382</v>
      </c>
      <c r="J207" s="10" t="s">
        <v>1559</v>
      </c>
      <c r="K207" s="10" t="s">
        <v>1560</v>
      </c>
      <c r="L207" s="10" t="s">
        <v>1561</v>
      </c>
      <c r="M207" s="10" t="s">
        <v>1397</v>
      </c>
      <c r="N207" s="10">
        <v>36</v>
      </c>
      <c r="O207" s="11">
        <v>100</v>
      </c>
      <c r="P207" s="11">
        <v>0.1</v>
      </c>
      <c r="Q207" s="10" t="s">
        <v>1562</v>
      </c>
      <c r="R207" s="10">
        <v>80</v>
      </c>
      <c r="S207" s="12">
        <v>6</v>
      </c>
      <c r="T207" s="13">
        <v>36689</v>
      </c>
      <c r="U207" s="14">
        <v>3668.9</v>
      </c>
      <c r="V207" s="10">
        <v>6.35</v>
      </c>
      <c r="W207" s="15">
        <v>232975.15</v>
      </c>
      <c r="X207" s="29">
        <f>VLOOKUP($F207,Agendamento!$B:$J,9,0)</f>
        <v>46092</v>
      </c>
      <c r="Y207" s="6">
        <f>COUNTIF(Analise!F:F,'Obras e Acervos'!H207)</f>
        <v>1</v>
      </c>
    </row>
    <row r="208" spans="1:25" ht="15" customHeight="1" x14ac:dyDescent="0.25">
      <c r="A208" s="10" t="str">
        <f>CONCATENATE(LEFT(C208,12),"-",RIGHT(C208,2),"_",TEXT(X208,"ddmmaaaa"),"_",COUNTIF($C$2:C208,C208))</f>
        <v>413250260001-97_20022026_1</v>
      </c>
      <c r="B208" s="10" t="str">
        <f>CONCATENATE(LEFT(C208,12),"-",RIGHT(C208,2),"_",COUNTIF($C$2:C208,C208))</f>
        <v>413250260001-97_1</v>
      </c>
      <c r="C208" s="10" t="s">
        <v>2383</v>
      </c>
      <c r="D208" s="10" t="s">
        <v>6008</v>
      </c>
      <c r="E208" s="10" t="s">
        <v>1555</v>
      </c>
      <c r="F208" s="10" t="s">
        <v>650</v>
      </c>
      <c r="G208" s="10" t="s">
        <v>2384</v>
      </c>
      <c r="H208" s="11" t="s">
        <v>2385</v>
      </c>
      <c r="I208" s="11" t="s">
        <v>2386</v>
      </c>
      <c r="J208" s="10" t="s">
        <v>1559</v>
      </c>
      <c r="K208" s="10" t="s">
        <v>1560</v>
      </c>
      <c r="L208" s="10" t="s">
        <v>1561</v>
      </c>
      <c r="M208" s="10" t="s">
        <v>6193</v>
      </c>
      <c r="N208" s="10">
        <v>24</v>
      </c>
      <c r="O208" s="11">
        <v>57</v>
      </c>
      <c r="P208" s="11">
        <v>5.7000000000000002E-2</v>
      </c>
      <c r="Q208" s="10" t="s">
        <v>1562</v>
      </c>
      <c r="R208" s="10">
        <v>80</v>
      </c>
      <c r="S208" s="12">
        <v>6</v>
      </c>
      <c r="T208" s="13">
        <v>36856</v>
      </c>
      <c r="U208" s="14">
        <v>2100.7919999999999</v>
      </c>
      <c r="V208" s="10">
        <v>4.79</v>
      </c>
      <c r="W208" s="15">
        <v>176540.24</v>
      </c>
      <c r="X208" s="29">
        <f>VLOOKUP($F208,Agendamento!$B:$J,9,0)</f>
        <v>46073</v>
      </c>
      <c r="Y208" s="6">
        <f>COUNTIF(Analise!F:F,'Obras e Acervos'!H208)</f>
        <v>1</v>
      </c>
    </row>
    <row r="209" spans="1:25" ht="15" customHeight="1" x14ac:dyDescent="0.25">
      <c r="A209" s="10" t="str">
        <f>CONCATENATE(LEFT(C209,12),"-",RIGHT(C209,2),"_",TEXT(X209,"ddmmaaaa"),"_",COUNTIF($C$2:C209,C209))</f>
        <v>044264470001-88_12022026_1</v>
      </c>
      <c r="B209" s="10" t="str">
        <f>CONCATENATE(LEFT(C209,12),"-",RIGHT(C209,2),"_",COUNTIF($C$2:C209,C209))</f>
        <v>044264470001-88_1</v>
      </c>
      <c r="C209" s="10" t="s">
        <v>2387</v>
      </c>
      <c r="D209" s="10" t="s">
        <v>6009</v>
      </c>
      <c r="E209" s="10" t="s">
        <v>1555</v>
      </c>
      <c r="F209" s="10" t="s">
        <v>417</v>
      </c>
      <c r="G209" s="10" t="s">
        <v>2388</v>
      </c>
      <c r="H209" s="11" t="s">
        <v>2389</v>
      </c>
      <c r="I209" s="11" t="s">
        <v>2390</v>
      </c>
      <c r="J209" s="10" t="s">
        <v>1559</v>
      </c>
      <c r="K209" s="10" t="s">
        <v>1560</v>
      </c>
      <c r="L209" s="10" t="s">
        <v>1561</v>
      </c>
      <c r="M209" s="10" t="s">
        <v>417</v>
      </c>
      <c r="N209" s="10">
        <v>24</v>
      </c>
      <c r="O209" s="11">
        <v>79</v>
      </c>
      <c r="P209" s="11">
        <v>7.9000000000000001E-2</v>
      </c>
      <c r="Q209" s="10" t="s">
        <v>1562</v>
      </c>
      <c r="R209" s="10">
        <v>75</v>
      </c>
      <c r="S209" s="12">
        <v>6</v>
      </c>
      <c r="T209" s="13">
        <v>36750</v>
      </c>
      <c r="U209" s="14">
        <v>2903.25</v>
      </c>
      <c r="V209" s="10">
        <v>4.8899999999999997</v>
      </c>
      <c r="W209" s="15">
        <v>179707.5</v>
      </c>
      <c r="X209" s="29">
        <f>VLOOKUP($F209,Agendamento!$B:$J,9,0)</f>
        <v>46065</v>
      </c>
      <c r="Y209" s="6">
        <f>COUNTIF(Analise!F:F,'Obras e Acervos'!H209)</f>
        <v>1</v>
      </c>
    </row>
    <row r="210" spans="1:25" ht="15" customHeight="1" x14ac:dyDescent="0.25">
      <c r="A210" s="10" t="str">
        <f>CONCATENATE(LEFT(C210,12),"-",RIGHT(C210,2),"_",TEXT(X210,"ddmmaaaa"),"_",COUNTIF($C$2:C210,C210))</f>
        <v>438850670001-63_03032026_1</v>
      </c>
      <c r="B210" s="10" t="str">
        <f>CONCATENATE(LEFT(C210,12),"-",RIGHT(C210,2),"_",COUNTIF($C$2:C210,C210))</f>
        <v>438850670001-63_1</v>
      </c>
      <c r="C210" s="10" t="s">
        <v>2391</v>
      </c>
      <c r="D210" s="10" t="s">
        <v>6010</v>
      </c>
      <c r="E210" s="10" t="s">
        <v>1555</v>
      </c>
      <c r="F210" s="10" t="s">
        <v>1098</v>
      </c>
      <c r="G210" s="10" t="s">
        <v>2392</v>
      </c>
      <c r="H210" s="11" t="s">
        <v>2393</v>
      </c>
      <c r="I210" s="11" t="s">
        <v>2394</v>
      </c>
      <c r="J210" s="10" t="s">
        <v>1559</v>
      </c>
      <c r="K210" s="10" t="s">
        <v>1560</v>
      </c>
      <c r="L210" s="10" t="s">
        <v>1561</v>
      </c>
      <c r="M210" s="10" t="s">
        <v>1098</v>
      </c>
      <c r="N210" s="10">
        <v>40</v>
      </c>
      <c r="O210" s="11">
        <v>124</v>
      </c>
      <c r="P210" s="11">
        <v>0.124</v>
      </c>
      <c r="Q210" s="10" t="s">
        <v>1562</v>
      </c>
      <c r="R210" s="10">
        <v>80</v>
      </c>
      <c r="S210" s="12">
        <v>6</v>
      </c>
      <c r="T210" s="13">
        <v>36947</v>
      </c>
      <c r="U210" s="14">
        <v>4581.4279999999999</v>
      </c>
      <c r="V210" s="10">
        <v>6.73</v>
      </c>
      <c r="W210" s="15">
        <v>248653.31000000003</v>
      </c>
      <c r="X210" s="29">
        <f>VLOOKUP($F210,Agendamento!$B:$J,9,0)</f>
        <v>46084</v>
      </c>
      <c r="Y210" s="6">
        <f>COUNTIF(Analise!F:F,'Obras e Acervos'!H210)</f>
        <v>1</v>
      </c>
    </row>
    <row r="211" spans="1:25" ht="15" customHeight="1" x14ac:dyDescent="0.25">
      <c r="A211" s="10" t="str">
        <f>CONCATENATE(LEFT(C211,12),"-",RIGHT(C211,2),"_",TEXT(X211,"ddmmaaaa"),"_",COUNTIF($C$2:C211,C211))</f>
        <v>435971310001-00_05032026_1</v>
      </c>
      <c r="B211" s="10" t="str">
        <f>CONCATENATE(LEFT(C211,12),"-",RIGHT(C211,2),"_",COUNTIF($C$2:C211,C211))</f>
        <v>435971310001-00_1</v>
      </c>
      <c r="C211" s="10" t="s">
        <v>2395</v>
      </c>
      <c r="D211" s="10" t="s">
        <v>1262</v>
      </c>
      <c r="E211" s="10" t="s">
        <v>1555</v>
      </c>
      <c r="F211" s="10" t="s">
        <v>1263</v>
      </c>
      <c r="G211" s="10" t="s">
        <v>2396</v>
      </c>
      <c r="H211" s="11" t="s">
        <v>2397</v>
      </c>
      <c r="I211" s="11" t="s">
        <v>2398</v>
      </c>
      <c r="J211" s="10" t="s">
        <v>1559</v>
      </c>
      <c r="K211" s="10" t="s">
        <v>1560</v>
      </c>
      <c r="L211" s="10" t="s">
        <v>1561</v>
      </c>
      <c r="M211" s="10" t="s">
        <v>1263</v>
      </c>
      <c r="N211" s="10">
        <v>40</v>
      </c>
      <c r="O211" s="11">
        <v>113</v>
      </c>
      <c r="P211" s="11">
        <v>0.113</v>
      </c>
      <c r="Q211" s="10" t="s">
        <v>1562</v>
      </c>
      <c r="R211" s="10">
        <v>80</v>
      </c>
      <c r="S211" s="12">
        <v>6</v>
      </c>
      <c r="T211" s="13">
        <v>36492</v>
      </c>
      <c r="U211" s="14">
        <v>4123.5960000000005</v>
      </c>
      <c r="V211" s="10">
        <v>6.75</v>
      </c>
      <c r="W211" s="15">
        <v>246321</v>
      </c>
      <c r="X211" s="29">
        <f>VLOOKUP($F211,Agendamento!$B:$J,9,0)</f>
        <v>46086</v>
      </c>
      <c r="Y211" s="6">
        <f>COUNTIF(Analise!F:F,'Obras e Acervos'!H211)</f>
        <v>1</v>
      </c>
    </row>
    <row r="212" spans="1:25" ht="15" customHeight="1" x14ac:dyDescent="0.25">
      <c r="A212" s="10" t="str">
        <f>CONCATENATE(LEFT(C212,12),"-",RIGHT(C212,2),"_",TEXT(X212,"ddmmaaaa"),"_",COUNTIF($C$2:C212,C212))</f>
        <v>442218420001-49_16022026_1</v>
      </c>
      <c r="B212" s="10" t="str">
        <f>CONCATENATE(LEFT(C212,12),"-",RIGHT(C212,2),"_",COUNTIF($C$2:C212,C212))</f>
        <v>442218420001-49_1</v>
      </c>
      <c r="C212" s="10" t="s">
        <v>2399</v>
      </c>
      <c r="D212" s="10" t="s">
        <v>547</v>
      </c>
      <c r="E212" s="10" t="s">
        <v>1555</v>
      </c>
      <c r="F212" s="10" t="s">
        <v>548</v>
      </c>
      <c r="G212" s="10" t="s">
        <v>2400</v>
      </c>
      <c r="H212" s="11" t="s">
        <v>2401</v>
      </c>
      <c r="I212" s="11" t="s">
        <v>2402</v>
      </c>
      <c r="J212" s="10" t="s">
        <v>1559</v>
      </c>
      <c r="K212" s="10" t="s">
        <v>1560</v>
      </c>
      <c r="L212" s="10" t="s">
        <v>1561</v>
      </c>
      <c r="M212" s="10" t="s">
        <v>548</v>
      </c>
      <c r="N212" s="10">
        <v>24</v>
      </c>
      <c r="O212" s="11">
        <v>140</v>
      </c>
      <c r="P212" s="11">
        <v>0.14000000000000001</v>
      </c>
      <c r="Q212" s="10" t="s">
        <v>1562</v>
      </c>
      <c r="R212" s="10">
        <v>84</v>
      </c>
      <c r="S212" s="12">
        <v>6</v>
      </c>
      <c r="T212" s="13">
        <v>41931</v>
      </c>
      <c r="U212" s="14">
        <v>5870.34</v>
      </c>
      <c r="V212" s="10">
        <v>5.57</v>
      </c>
      <c r="W212" s="15">
        <v>233555.67</v>
      </c>
      <c r="X212" s="29">
        <f>VLOOKUP($F212,Agendamento!$B:$J,9,0)</f>
        <v>46069</v>
      </c>
      <c r="Y212" s="6">
        <f>COUNTIF(Analise!F:F,'Obras e Acervos'!H212)</f>
        <v>1</v>
      </c>
    </row>
    <row r="213" spans="1:25" ht="15" customHeight="1" x14ac:dyDescent="0.25">
      <c r="A213" s="10" t="str">
        <f>CONCATENATE(LEFT(C213,12),"-",RIGHT(C213,2),"_",TEXT(X213,"ddmmaaaa"),"_",COUNTIF($C$2:C213,C213))</f>
        <v>438865780001-08_16032026_1</v>
      </c>
      <c r="B213" s="10" t="str">
        <f>CONCATENATE(LEFT(C213,12),"-",RIGHT(C213,2),"_",COUNTIF($C$2:C213,C213))</f>
        <v>438865780001-08_1</v>
      </c>
      <c r="C213" s="10" t="s">
        <v>2403</v>
      </c>
      <c r="D213" s="10" t="s">
        <v>6011</v>
      </c>
      <c r="E213" s="10" t="s">
        <v>1555</v>
      </c>
      <c r="F213" s="10" t="s">
        <v>1426</v>
      </c>
      <c r="G213" s="10" t="s">
        <v>2404</v>
      </c>
      <c r="H213" s="11" t="s">
        <v>2405</v>
      </c>
      <c r="I213" s="11" t="s">
        <v>2406</v>
      </c>
      <c r="J213" s="10" t="s">
        <v>1559</v>
      </c>
      <c r="K213" s="10" t="s">
        <v>1560</v>
      </c>
      <c r="L213" s="10" t="s">
        <v>1561</v>
      </c>
      <c r="M213" s="10" t="s">
        <v>1426</v>
      </c>
      <c r="N213" s="10">
        <v>32</v>
      </c>
      <c r="O213" s="11">
        <v>105</v>
      </c>
      <c r="P213" s="11">
        <v>0.105</v>
      </c>
      <c r="Q213" s="10" t="s">
        <v>1599</v>
      </c>
      <c r="R213" s="10">
        <v>80</v>
      </c>
      <c r="S213" s="12">
        <v>6</v>
      </c>
      <c r="T213" s="13">
        <v>36553</v>
      </c>
      <c r="U213" s="14">
        <v>3838.0650000000001</v>
      </c>
      <c r="V213" s="10">
        <v>5.85</v>
      </c>
      <c r="W213" s="15">
        <v>213835.05</v>
      </c>
      <c r="X213" s="29">
        <f>VLOOKUP($F213,Agendamento!$B:$J,9,0)</f>
        <v>46097</v>
      </c>
      <c r="Y213" s="6">
        <f>COUNTIF(Analise!F:F,'Obras e Acervos'!H213)</f>
        <v>1</v>
      </c>
    </row>
    <row r="214" spans="1:25" ht="15" customHeight="1" x14ac:dyDescent="0.25">
      <c r="A214" s="10" t="str">
        <f>CONCATENATE(LEFT(C214,12),"-",RIGHT(C214,2),"_",TEXT(X214,"ddmmaaaa"),"_",COUNTIF($C$2:C214,C214))</f>
        <v>072139260001-04_13022026_1</v>
      </c>
      <c r="B214" s="10" t="str">
        <f>CONCATENATE(LEFT(C214,12),"-",RIGHT(C214,2),"_",COUNTIF($C$2:C214,C214))</f>
        <v>072139260001-04_1</v>
      </c>
      <c r="C214" s="10" t="s">
        <v>2407</v>
      </c>
      <c r="D214" s="10" t="s">
        <v>6012</v>
      </c>
      <c r="E214" s="10" t="s">
        <v>1555</v>
      </c>
      <c r="F214" s="10" t="s">
        <v>446</v>
      </c>
      <c r="G214" s="10" t="s">
        <v>2408</v>
      </c>
      <c r="H214" s="11" t="s">
        <v>2409</v>
      </c>
      <c r="I214" s="11" t="s">
        <v>2410</v>
      </c>
      <c r="J214" s="10" t="s">
        <v>1559</v>
      </c>
      <c r="K214" s="10" t="s">
        <v>1560</v>
      </c>
      <c r="L214" s="10" t="s">
        <v>1561</v>
      </c>
      <c r="M214" s="10" t="s">
        <v>446</v>
      </c>
      <c r="N214" s="10">
        <v>40</v>
      </c>
      <c r="O214" s="11">
        <v>96</v>
      </c>
      <c r="P214" s="11">
        <v>9.6000000000000002E-2</v>
      </c>
      <c r="Q214" s="10" t="s">
        <v>1562</v>
      </c>
      <c r="R214" s="10">
        <v>75</v>
      </c>
      <c r="S214" s="12">
        <v>6</v>
      </c>
      <c r="T214" s="13">
        <v>40447</v>
      </c>
      <c r="U214" s="14">
        <v>3882.9120000000003</v>
      </c>
      <c r="V214" s="10">
        <v>6.16</v>
      </c>
      <c r="W214" s="15">
        <v>249153.52000000002</v>
      </c>
      <c r="X214" s="29">
        <f>VLOOKUP($F214,Agendamento!$B:$J,9,0)</f>
        <v>46066</v>
      </c>
      <c r="Y214" s="6">
        <f>COUNTIF(Analise!F:F,'Obras e Acervos'!H214)</f>
        <v>1</v>
      </c>
    </row>
    <row r="215" spans="1:25" ht="15" customHeight="1" x14ac:dyDescent="0.25">
      <c r="A215" s="10" t="str">
        <f>CONCATENATE(LEFT(C215,12),"-",RIGHT(C215,2),"_",TEXT(X215,"ddmmaaaa"),"_",COUNTIF($C$2:C215,C215))</f>
        <v>056600450003-78_24022026_1</v>
      </c>
      <c r="B215" s="10" t="str">
        <f>CONCATENATE(LEFT(C215,12),"-",RIGHT(C215,2),"_",COUNTIF($C$2:C215,C215))</f>
        <v>056600450003-78_1</v>
      </c>
      <c r="C215" s="38" t="s">
        <v>5765</v>
      </c>
      <c r="D215" s="10" t="s">
        <v>6013</v>
      </c>
      <c r="E215" s="10" t="s">
        <v>1555</v>
      </c>
      <c r="F215" s="10" t="s">
        <v>760</v>
      </c>
      <c r="G215" s="10" t="s">
        <v>2411</v>
      </c>
      <c r="H215" s="11" t="s">
        <v>2412</v>
      </c>
      <c r="I215" s="11" t="s">
        <v>2413</v>
      </c>
      <c r="J215" s="10" t="s">
        <v>1559</v>
      </c>
      <c r="K215" s="10" t="s">
        <v>1560</v>
      </c>
      <c r="L215" s="10" t="s">
        <v>1561</v>
      </c>
      <c r="M215" s="10" t="s">
        <v>760</v>
      </c>
      <c r="N215" s="10">
        <v>40</v>
      </c>
      <c r="O215" s="11">
        <v>140</v>
      </c>
      <c r="P215" s="11">
        <v>0.14000000000000001</v>
      </c>
      <c r="Q215" s="10" t="s">
        <v>1562</v>
      </c>
      <c r="R215" s="10">
        <v>80</v>
      </c>
      <c r="S215" s="12">
        <v>6</v>
      </c>
      <c r="T215" s="13">
        <v>36750</v>
      </c>
      <c r="U215" s="14">
        <v>5145.0000000000009</v>
      </c>
      <c r="V215" s="10">
        <v>6.75</v>
      </c>
      <c r="W215" s="15">
        <v>248062.5</v>
      </c>
      <c r="X215" s="29">
        <f>VLOOKUP($F215,Agendamento!$B:$J,9,0)</f>
        <v>46077</v>
      </c>
      <c r="Y215" s="6">
        <f>COUNTIF(Analise!F:F,'Obras e Acervos'!H215)</f>
        <v>1</v>
      </c>
    </row>
    <row r="216" spans="1:25" ht="15" customHeight="1" x14ac:dyDescent="0.25">
      <c r="A216" s="10" t="str">
        <f>CONCATENATE(LEFT(C216,12),"-",RIGHT(C216,2),"_",TEXT(X216,"ddmmaaaa"),"_",COUNTIF($C$2:C216,C216))</f>
        <v>037967580001-76_23022026_1</v>
      </c>
      <c r="B216" s="10" t="str">
        <f>CONCATENATE(LEFT(C216,12),"-",RIGHT(C216,2),"_",COUNTIF($C$2:C216,C216))</f>
        <v>037967580001-76_1</v>
      </c>
      <c r="C216" s="10" t="s">
        <v>2414</v>
      </c>
      <c r="D216" s="10" t="s">
        <v>735</v>
      </c>
      <c r="E216" s="10" t="s">
        <v>1555</v>
      </c>
      <c r="F216" s="10" t="s">
        <v>738</v>
      </c>
      <c r="G216" s="10" t="s">
        <v>2415</v>
      </c>
      <c r="H216" s="11" t="s">
        <v>2416</v>
      </c>
      <c r="I216" s="11" t="s">
        <v>2417</v>
      </c>
      <c r="J216" s="10" t="s">
        <v>1559</v>
      </c>
      <c r="K216" s="10" t="s">
        <v>1560</v>
      </c>
      <c r="L216" s="10" t="s">
        <v>1561</v>
      </c>
      <c r="M216" s="10" t="s">
        <v>738</v>
      </c>
      <c r="N216" s="10">
        <v>48</v>
      </c>
      <c r="O216" s="11">
        <v>230</v>
      </c>
      <c r="P216" s="11">
        <v>0.23</v>
      </c>
      <c r="Q216" s="10" t="s">
        <v>1562</v>
      </c>
      <c r="R216" s="10">
        <v>80</v>
      </c>
      <c r="S216" s="12">
        <v>6</v>
      </c>
      <c r="T216" s="13">
        <v>37235</v>
      </c>
      <c r="U216" s="14">
        <v>8564.0500000000011</v>
      </c>
      <c r="V216" s="10">
        <v>7.63</v>
      </c>
      <c r="W216" s="15">
        <v>284103.05</v>
      </c>
      <c r="X216" s="29">
        <f>VLOOKUP($F216,Agendamento!$B:$J,9,0)</f>
        <v>46076</v>
      </c>
      <c r="Y216" s="6">
        <f>COUNTIF(Analise!F:F,'Obras e Acervos'!H216)</f>
        <v>1</v>
      </c>
    </row>
    <row r="217" spans="1:25" ht="15" customHeight="1" x14ac:dyDescent="0.25">
      <c r="A217" s="10" t="str">
        <f>CONCATENATE(LEFT(C217,12),"-",RIGHT(C217,2),"_",TEXT(X217,"ddmmaaaa"),"_",COUNTIF($C$2:C217,C217))</f>
        <v>435976880001-41_06032026_1</v>
      </c>
      <c r="B217" s="10" t="str">
        <f>CONCATENATE(LEFT(C217,12),"-",RIGHT(C217,2),"_",COUNTIF($C$2:C217,C217))</f>
        <v>435976880001-41_1</v>
      </c>
      <c r="C217" s="10" t="s">
        <v>2418</v>
      </c>
      <c r="D217" s="10" t="s">
        <v>542</v>
      </c>
      <c r="E217" s="10" t="s">
        <v>1555</v>
      </c>
      <c r="F217" s="10" t="s">
        <v>1293</v>
      </c>
      <c r="G217" s="10" t="s">
        <v>2419</v>
      </c>
      <c r="H217" s="11" t="s">
        <v>2420</v>
      </c>
      <c r="I217" s="11" t="s">
        <v>2421</v>
      </c>
      <c r="J217" s="10" t="s">
        <v>1559</v>
      </c>
      <c r="K217" s="10" t="s">
        <v>1560</v>
      </c>
      <c r="L217" s="10" t="s">
        <v>1561</v>
      </c>
      <c r="M217" s="10" t="s">
        <v>1293</v>
      </c>
      <c r="N217" s="10">
        <v>40</v>
      </c>
      <c r="O217" s="11">
        <v>124</v>
      </c>
      <c r="P217" s="11">
        <v>0.124</v>
      </c>
      <c r="Q217" s="10" t="s">
        <v>1562</v>
      </c>
      <c r="R217" s="10">
        <v>80</v>
      </c>
      <c r="S217" s="12">
        <v>6</v>
      </c>
      <c r="T217" s="13">
        <v>36659</v>
      </c>
      <c r="U217" s="14">
        <v>4545.7160000000003</v>
      </c>
      <c r="V217" s="10">
        <v>6.75</v>
      </c>
      <c r="W217" s="15">
        <v>247448.25</v>
      </c>
      <c r="X217" s="29">
        <f>VLOOKUP($F217,Agendamento!$B:$J,9,0)</f>
        <v>46087</v>
      </c>
      <c r="Y217" s="6">
        <f>COUNTIF(Analise!F:F,'Obras e Acervos'!H217)</f>
        <v>1</v>
      </c>
    </row>
    <row r="218" spans="1:25" ht="15" customHeight="1" x14ac:dyDescent="0.25">
      <c r="A218" s="10" t="str">
        <f>CONCATENATE(LEFT(C218,12),"-",RIGHT(C218,2),"_",TEXT(X218,"ddmmaaaa"),"_",COUNTIF($C$2:C218,C218))</f>
        <v>439541750001-40_13032026_1</v>
      </c>
      <c r="B218" s="10" t="str">
        <f>CONCATENATE(LEFT(C218,12),"-",RIGHT(C218,2),"_",COUNTIF($C$2:C218,C218))</f>
        <v>439541750001-40_1</v>
      </c>
      <c r="C218" s="10" t="s">
        <v>2422</v>
      </c>
      <c r="D218" s="10" t="s">
        <v>6014</v>
      </c>
      <c r="E218" s="10" t="s">
        <v>1555</v>
      </c>
      <c r="F218" s="10" t="s">
        <v>1438</v>
      </c>
      <c r="G218" s="10" t="s">
        <v>2423</v>
      </c>
      <c r="H218" s="11" t="s">
        <v>2424</v>
      </c>
      <c r="I218" s="11" t="s">
        <v>2425</v>
      </c>
      <c r="J218" s="10" t="s">
        <v>1559</v>
      </c>
      <c r="K218" s="10" t="s">
        <v>1560</v>
      </c>
      <c r="L218" s="10" t="s">
        <v>1561</v>
      </c>
      <c r="M218" s="10" t="s">
        <v>1438</v>
      </c>
      <c r="N218" s="10">
        <v>32</v>
      </c>
      <c r="O218" s="11">
        <v>76</v>
      </c>
      <c r="P218" s="11">
        <v>7.5999999999999998E-2</v>
      </c>
      <c r="Q218" s="10" t="s">
        <v>1562</v>
      </c>
      <c r="R218" s="10">
        <v>80</v>
      </c>
      <c r="S218" s="12">
        <v>6</v>
      </c>
      <c r="T218" s="13">
        <v>35992</v>
      </c>
      <c r="U218" s="14">
        <v>2735.3919999999998</v>
      </c>
      <c r="V218" s="10">
        <v>5.87</v>
      </c>
      <c r="W218" s="15">
        <v>211273.04</v>
      </c>
      <c r="X218" s="29">
        <f>VLOOKUP($F218,Agendamento!$B:$J,9,0)</f>
        <v>46094</v>
      </c>
      <c r="Y218" s="6">
        <f>COUNTIF(Analise!F:F,'Obras e Acervos'!H218)</f>
        <v>1</v>
      </c>
    </row>
    <row r="219" spans="1:25" ht="15" customHeight="1" x14ac:dyDescent="0.25">
      <c r="A219" s="10" t="str">
        <f>CONCATENATE(LEFT(C219,12),"-",RIGHT(C219,2),"_",TEXT(X219,"ddmmaaaa"),"_",COUNTIF($C$2:C219,C219))</f>
        <v>946025470001-00_12022026_1</v>
      </c>
      <c r="B219" s="10" t="str">
        <f>CONCATENATE(LEFT(C219,12),"-",RIGHT(C219,2),"_",COUNTIF($C$2:C219,C219))</f>
        <v>946025470001-00_1</v>
      </c>
      <c r="C219" s="10" t="s">
        <v>2426</v>
      </c>
      <c r="D219" s="10" t="s">
        <v>6015</v>
      </c>
      <c r="E219" s="10" t="s">
        <v>1555</v>
      </c>
      <c r="F219" s="10" t="s">
        <v>433</v>
      </c>
      <c r="G219" s="10" t="s">
        <v>2427</v>
      </c>
      <c r="H219" s="11" t="s">
        <v>2428</v>
      </c>
      <c r="I219" s="11" t="s">
        <v>2429</v>
      </c>
      <c r="J219" s="10" t="s">
        <v>1559</v>
      </c>
      <c r="K219" s="10" t="s">
        <v>1560</v>
      </c>
      <c r="L219" s="10" t="s">
        <v>1561</v>
      </c>
      <c r="M219" s="10" t="s">
        <v>433</v>
      </c>
      <c r="N219" s="10">
        <v>36</v>
      </c>
      <c r="O219" s="11">
        <v>100</v>
      </c>
      <c r="P219" s="11">
        <v>0.1</v>
      </c>
      <c r="Q219" s="10" t="s">
        <v>1599</v>
      </c>
      <c r="R219" s="10">
        <v>80</v>
      </c>
      <c r="S219" s="12">
        <v>6</v>
      </c>
      <c r="T219" s="13">
        <v>41734</v>
      </c>
      <c r="U219" s="14">
        <v>4173.4000000000005</v>
      </c>
      <c r="V219" s="10">
        <v>5.83</v>
      </c>
      <c r="W219" s="15">
        <v>243309.22</v>
      </c>
      <c r="X219" s="29">
        <f>VLOOKUP($F219,Agendamento!$B:$J,9,0)</f>
        <v>46065</v>
      </c>
      <c r="Y219" s="6">
        <f>COUNTIF(Analise!F:F,'Obras e Acervos'!H219)</f>
        <v>1</v>
      </c>
    </row>
    <row r="220" spans="1:25" ht="15" customHeight="1" x14ac:dyDescent="0.25">
      <c r="A220" s="10" t="str">
        <f>CONCATENATE(LEFT(C220,12),"-",RIGHT(C220,2),"_",TEXT(X220,"ddmmaaaa"),"_",COUNTIF($C$2:C220,C220))</f>
        <v>436816100001-00_13032026_1</v>
      </c>
      <c r="B220" s="10" t="str">
        <f>CONCATENATE(LEFT(C220,12),"-",RIGHT(C220,2),"_",COUNTIF($C$2:C220,C220))</f>
        <v>436816100001-00_1</v>
      </c>
      <c r="C220" s="10" t="s">
        <v>2430</v>
      </c>
      <c r="D220" s="10" t="s">
        <v>6016</v>
      </c>
      <c r="E220" s="10" t="s">
        <v>1555</v>
      </c>
      <c r="F220" s="10" t="s">
        <v>1446</v>
      </c>
      <c r="G220" s="10" t="s">
        <v>2431</v>
      </c>
      <c r="H220" s="11" t="s">
        <v>2432</v>
      </c>
      <c r="I220" s="11" t="s">
        <v>2433</v>
      </c>
      <c r="J220" s="10" t="s">
        <v>1559</v>
      </c>
      <c r="K220" s="10" t="s">
        <v>1560</v>
      </c>
      <c r="L220" s="10" t="s">
        <v>1561</v>
      </c>
      <c r="M220" s="10" t="s">
        <v>1446</v>
      </c>
      <c r="N220" s="10">
        <v>80</v>
      </c>
      <c r="O220" s="11">
        <v>219</v>
      </c>
      <c r="P220" s="11">
        <v>0.219</v>
      </c>
      <c r="Q220" s="10" t="s">
        <v>1562</v>
      </c>
      <c r="R220" s="10">
        <v>80</v>
      </c>
      <c r="S220" s="12">
        <v>6</v>
      </c>
      <c r="T220" s="13">
        <v>41840</v>
      </c>
      <c r="U220" s="14">
        <v>9162.9599999999991</v>
      </c>
      <c r="V220" s="10">
        <v>10.4</v>
      </c>
      <c r="W220" s="15">
        <v>435136</v>
      </c>
      <c r="X220" s="29">
        <f>VLOOKUP($F220,Agendamento!$B:$J,9,0)</f>
        <v>46094</v>
      </c>
      <c r="Y220" s="6">
        <f>COUNTIF(Analise!F:F,'Obras e Acervos'!H220)</f>
        <v>1</v>
      </c>
    </row>
    <row r="221" spans="1:25" ht="15" customHeight="1" x14ac:dyDescent="0.25">
      <c r="A221" s="10" t="str">
        <f>CONCATENATE(LEFT(C221,12),"-",RIGHT(C221,2),"_",TEXT(X221,"ddmmaaaa"),"_",COUNTIF($C$2:C221,C221))</f>
        <v>199621040001-05_11022026_1</v>
      </c>
      <c r="B221" s="10" t="str">
        <f>CONCATENATE(LEFT(C221,12),"-",RIGHT(C221,2),"_",COUNTIF($C$2:C221,C221))</f>
        <v>199621040001-05_1</v>
      </c>
      <c r="C221" s="10" t="s">
        <v>2434</v>
      </c>
      <c r="D221" s="10" t="s">
        <v>312</v>
      </c>
      <c r="E221" s="10" t="s">
        <v>1555</v>
      </c>
      <c r="F221" s="10" t="s">
        <v>313</v>
      </c>
      <c r="G221" s="10" t="s">
        <v>2435</v>
      </c>
      <c r="H221" s="11" t="s">
        <v>2436</v>
      </c>
      <c r="I221" s="11" t="s">
        <v>2437</v>
      </c>
      <c r="J221" s="10" t="s">
        <v>1559</v>
      </c>
      <c r="K221" s="10" t="s">
        <v>1560</v>
      </c>
      <c r="L221" s="10" t="s">
        <v>1561</v>
      </c>
      <c r="M221" s="10" t="s">
        <v>313</v>
      </c>
      <c r="N221" s="10">
        <v>40</v>
      </c>
      <c r="O221" s="11">
        <v>120</v>
      </c>
      <c r="P221" s="11">
        <v>0.12</v>
      </c>
      <c r="Q221" s="10" t="s">
        <v>1562</v>
      </c>
      <c r="R221" s="10">
        <v>80</v>
      </c>
      <c r="S221" s="12">
        <v>6</v>
      </c>
      <c r="T221" s="13">
        <v>48203</v>
      </c>
      <c r="U221" s="14">
        <v>5784.36</v>
      </c>
      <c r="V221" s="10">
        <v>5.49</v>
      </c>
      <c r="W221" s="15">
        <v>264634.47000000003</v>
      </c>
      <c r="X221" s="29">
        <f>VLOOKUP($F221,Agendamento!$B:$J,9,0)</f>
        <v>46064</v>
      </c>
      <c r="Y221" s="6">
        <f>COUNTIF(Analise!F:F,'Obras e Acervos'!H221)</f>
        <v>1</v>
      </c>
    </row>
    <row r="222" spans="1:25" ht="15" customHeight="1" x14ac:dyDescent="0.25">
      <c r="A222" s="10" t="str">
        <f>CONCATENATE(LEFT(C222,12),"-",RIGHT(C222,2),"_",TEXT(X222,"ddmmaaaa"),"_",COUNTIF($C$2:C222,C222))</f>
        <v>343019640001-91_20022026_1</v>
      </c>
      <c r="B222" s="10" t="str">
        <f>CONCATENATE(LEFT(C222,12),"-",RIGHT(C222,2),"_",COUNTIF($C$2:C222,C222))</f>
        <v>343019640001-91_1</v>
      </c>
      <c r="C222" s="10" t="s">
        <v>2438</v>
      </c>
      <c r="D222" s="10" t="s">
        <v>6017</v>
      </c>
      <c r="E222" s="10" t="s">
        <v>1555</v>
      </c>
      <c r="F222" s="10" t="s">
        <v>645</v>
      </c>
      <c r="G222" s="10" t="s">
        <v>2439</v>
      </c>
      <c r="H222" s="11" t="s">
        <v>2440</v>
      </c>
      <c r="I222" s="11" t="s">
        <v>2441</v>
      </c>
      <c r="J222" s="10" t="s">
        <v>1559</v>
      </c>
      <c r="K222" s="10" t="s">
        <v>1560</v>
      </c>
      <c r="L222" s="10" t="s">
        <v>1561</v>
      </c>
      <c r="M222" s="10" t="s">
        <v>6194</v>
      </c>
      <c r="N222" s="10">
        <v>32</v>
      </c>
      <c r="O222" s="11">
        <v>115</v>
      </c>
      <c r="P222" s="11">
        <v>0.115</v>
      </c>
      <c r="Q222" s="10" t="s">
        <v>1562</v>
      </c>
      <c r="R222" s="10">
        <v>80</v>
      </c>
      <c r="S222" s="12">
        <v>6</v>
      </c>
      <c r="T222" s="13">
        <v>36841</v>
      </c>
      <c r="U222" s="14">
        <v>4236.7150000000001</v>
      </c>
      <c r="V222" s="10">
        <v>5.64</v>
      </c>
      <c r="W222" s="15">
        <v>207783.24</v>
      </c>
      <c r="X222" s="29">
        <f>VLOOKUP($F222,Agendamento!$B:$J,9,0)</f>
        <v>46073</v>
      </c>
      <c r="Y222" s="6">
        <f>COUNTIF(Analise!F:F,'Obras e Acervos'!H222)</f>
        <v>1</v>
      </c>
    </row>
    <row r="223" spans="1:25" ht="15" customHeight="1" x14ac:dyDescent="0.25">
      <c r="A223" s="10" t="str">
        <f>CONCATENATE(LEFT(C223,12),"-",RIGHT(C223,2),"_",TEXT(X223,"ddmmaaaa"),"_",COUNTIF($C$2:C223,C223))</f>
        <v>106894240001-69_04032026_1</v>
      </c>
      <c r="B223" s="10" t="str">
        <f>CONCATENATE(LEFT(C223,12),"-",RIGHT(C223,2),"_",COUNTIF($C$2:C223,C223))</f>
        <v>106894240001-69_1</v>
      </c>
      <c r="C223" s="10" t="s">
        <v>2442</v>
      </c>
      <c r="D223" s="10" t="s">
        <v>1179</v>
      </c>
      <c r="E223" s="10" t="s">
        <v>1555</v>
      </c>
      <c r="F223" s="10" t="s">
        <v>1187</v>
      </c>
      <c r="G223" s="10" t="s">
        <v>2443</v>
      </c>
      <c r="H223" s="11" t="s">
        <v>2444</v>
      </c>
      <c r="I223" s="11" t="s">
        <v>2445</v>
      </c>
      <c r="J223" s="10" t="s">
        <v>1559</v>
      </c>
      <c r="K223" s="10" t="s">
        <v>1560</v>
      </c>
      <c r="L223" s="10" t="s">
        <v>1561</v>
      </c>
      <c r="M223" s="10" t="s">
        <v>2446</v>
      </c>
      <c r="N223" s="10">
        <v>32</v>
      </c>
      <c r="O223" s="11">
        <v>100</v>
      </c>
      <c r="P223" s="11">
        <v>0.1</v>
      </c>
      <c r="Q223" s="10" t="s">
        <v>1562</v>
      </c>
      <c r="R223" s="10">
        <v>80</v>
      </c>
      <c r="S223" s="12">
        <v>6</v>
      </c>
      <c r="T223" s="13">
        <v>39568</v>
      </c>
      <c r="U223" s="14">
        <v>3956.8</v>
      </c>
      <c r="V223" s="10">
        <v>5.44</v>
      </c>
      <c r="W223" s="15">
        <v>215249.92000000001</v>
      </c>
      <c r="X223" s="29">
        <f>VLOOKUP($F223,Agendamento!$B:$J,9,0)</f>
        <v>46085</v>
      </c>
      <c r="Y223" s="6">
        <f>COUNTIF(Analise!F:F,'Obras e Acervos'!H223)</f>
        <v>1</v>
      </c>
    </row>
    <row r="224" spans="1:25" ht="15" customHeight="1" x14ac:dyDescent="0.25">
      <c r="A224" s="10" t="str">
        <f>CONCATENATE(LEFT(C224,12),"-",RIGHT(C224,2),"_",TEXT(X224,"ddmmaaaa"),"_",COUNTIF($C$2:C224,C224))</f>
        <v>063260330001-02_11032026_1</v>
      </c>
      <c r="B224" s="10" t="str">
        <f>CONCATENATE(LEFT(C224,12),"-",RIGHT(C224,2),"_",COUNTIF($C$2:C224,C224))</f>
        <v>063260330001-02_1</v>
      </c>
      <c r="C224" s="10" t="s">
        <v>2447</v>
      </c>
      <c r="D224" s="10" t="s">
        <v>1319</v>
      </c>
      <c r="E224" s="10" t="s">
        <v>1555</v>
      </c>
      <c r="F224" s="10" t="s">
        <v>1323</v>
      </c>
      <c r="G224" s="10" t="s">
        <v>2448</v>
      </c>
      <c r="H224" s="11" t="s">
        <v>2449</v>
      </c>
      <c r="I224" s="11" t="s">
        <v>2450</v>
      </c>
      <c r="J224" s="10" t="s">
        <v>1559</v>
      </c>
      <c r="K224" s="10" t="s">
        <v>1560</v>
      </c>
      <c r="L224" s="10" t="s">
        <v>1561</v>
      </c>
      <c r="M224" s="10" t="s">
        <v>1323</v>
      </c>
      <c r="N224" s="10">
        <v>40</v>
      </c>
      <c r="O224" s="11">
        <v>124</v>
      </c>
      <c r="P224" s="11">
        <v>0.124</v>
      </c>
      <c r="Q224" s="10" t="s">
        <v>1599</v>
      </c>
      <c r="R224" s="10">
        <v>80</v>
      </c>
      <c r="S224" s="12">
        <v>6</v>
      </c>
      <c r="T224" s="13">
        <v>84897</v>
      </c>
      <c r="U224" s="14">
        <v>10527.227999999999</v>
      </c>
      <c r="V224" s="10">
        <v>4.82</v>
      </c>
      <c r="W224" s="15">
        <v>409203.54000000004</v>
      </c>
      <c r="X224" s="29">
        <f>VLOOKUP($F224,Agendamento!$B:$J,9,0)</f>
        <v>46092</v>
      </c>
      <c r="Y224" s="6">
        <f>COUNTIF(Analise!F:F,'Obras e Acervos'!H224)</f>
        <v>1</v>
      </c>
    </row>
    <row r="225" spans="1:25" ht="15" customHeight="1" x14ac:dyDescent="0.25">
      <c r="A225" s="10" t="str">
        <f>CONCATENATE(LEFT(C225,12),"-",RIGHT(C225,2),"_",TEXT(X225,"ddmmaaaa"),"_",COUNTIF($C$2:C225,C225))</f>
        <v>046963000001-08_13022026_1</v>
      </c>
      <c r="B225" s="10" t="str">
        <f>CONCATENATE(LEFT(C225,12),"-",RIGHT(C225,2),"_",COUNTIF($C$2:C225,C225))</f>
        <v>046963000001-08_1</v>
      </c>
      <c r="C225" s="10" t="s">
        <v>2451</v>
      </c>
      <c r="D225" s="10" t="s">
        <v>6018</v>
      </c>
      <c r="E225" s="10" t="s">
        <v>1555</v>
      </c>
      <c r="F225" s="10" t="s">
        <v>491</v>
      </c>
      <c r="G225" s="10" t="s">
        <v>2452</v>
      </c>
      <c r="H225" s="11" t="s">
        <v>2453</v>
      </c>
      <c r="I225" s="11" t="s">
        <v>2454</v>
      </c>
      <c r="J225" s="10" t="s">
        <v>1559</v>
      </c>
      <c r="K225" s="10" t="s">
        <v>1560</v>
      </c>
      <c r="L225" s="10" t="s">
        <v>1561</v>
      </c>
      <c r="M225" s="10" t="s">
        <v>491</v>
      </c>
      <c r="N225" s="10">
        <v>32</v>
      </c>
      <c r="O225" s="11">
        <v>120</v>
      </c>
      <c r="P225" s="11">
        <v>0.12</v>
      </c>
      <c r="Q225" s="10" t="s">
        <v>1562</v>
      </c>
      <c r="R225" s="10">
        <v>80</v>
      </c>
      <c r="S225" s="12">
        <v>6</v>
      </c>
      <c r="T225" s="13">
        <v>36932</v>
      </c>
      <c r="U225" s="14">
        <v>4431.84</v>
      </c>
      <c r="V225" s="10">
        <v>5.84</v>
      </c>
      <c r="W225" s="15">
        <v>215682.88</v>
      </c>
      <c r="X225" s="29">
        <f>VLOOKUP($F225,Agendamento!$B:$J,9,0)</f>
        <v>46066</v>
      </c>
      <c r="Y225" s="6">
        <f>COUNTIF(Analise!F:F,'Obras e Acervos'!H225)</f>
        <v>1</v>
      </c>
    </row>
    <row r="226" spans="1:25" ht="15" customHeight="1" x14ac:dyDescent="0.25">
      <c r="A226" s="10" t="str">
        <f>CONCATENATE(LEFT(C226,12),"-",RIGHT(C226,2),"_",TEXT(X226,"ddmmaaaa"),"_",COUNTIF($C$2:C226,C226))</f>
        <v>433913490001-04_03032026_1</v>
      </c>
      <c r="B226" s="10" t="str">
        <f>CONCATENATE(LEFT(C226,12),"-",RIGHT(C226,2),"_",COUNTIF($C$2:C226,C226))</f>
        <v>433913490001-04_1</v>
      </c>
      <c r="C226" s="10" t="s">
        <v>2455</v>
      </c>
      <c r="D226" s="10" t="s">
        <v>1096</v>
      </c>
      <c r="E226" s="10" t="s">
        <v>1555</v>
      </c>
      <c r="F226" s="10" t="s">
        <v>1097</v>
      </c>
      <c r="G226" s="10" t="s">
        <v>2456</v>
      </c>
      <c r="H226" s="11" t="s">
        <v>2457</v>
      </c>
      <c r="I226" s="11" t="s">
        <v>2458</v>
      </c>
      <c r="J226" s="10" t="s">
        <v>1559</v>
      </c>
      <c r="K226" s="10" t="s">
        <v>1560</v>
      </c>
      <c r="L226" s="10" t="s">
        <v>1561</v>
      </c>
      <c r="M226" s="10" t="s">
        <v>1097</v>
      </c>
      <c r="N226" s="10">
        <v>32</v>
      </c>
      <c r="O226" s="11">
        <v>68</v>
      </c>
      <c r="P226" s="11">
        <v>6.8000000000000005E-2</v>
      </c>
      <c r="Q226" s="10" t="s">
        <v>1562</v>
      </c>
      <c r="R226" s="10">
        <v>80</v>
      </c>
      <c r="S226" s="12">
        <v>6</v>
      </c>
      <c r="T226" s="13">
        <v>38780</v>
      </c>
      <c r="U226" s="14">
        <v>2637.04</v>
      </c>
      <c r="V226" s="10">
        <v>5.48</v>
      </c>
      <c r="W226" s="15">
        <v>212514.40000000002</v>
      </c>
      <c r="X226" s="29">
        <f>VLOOKUP($F226,Agendamento!$B:$J,9,0)</f>
        <v>46084</v>
      </c>
      <c r="Y226" s="6">
        <f>COUNTIF(Analise!F:F,'Obras e Acervos'!H226)</f>
        <v>1</v>
      </c>
    </row>
    <row r="227" spans="1:25" ht="15" customHeight="1" x14ac:dyDescent="0.25">
      <c r="A227" s="10" t="str">
        <f>CONCATENATE(LEFT(C227,12),"-",RIGHT(C227,2),"_",TEXT(X227,"ddmmaaaa"),"_",COUNTIF($C$2:C227,C227))</f>
        <v>008029210001-78_16032026_1</v>
      </c>
      <c r="B227" s="10" t="str">
        <f>CONCATENATE(LEFT(C227,12),"-",RIGHT(C227,2),"_",COUNTIF($C$2:C227,C227))</f>
        <v>008029210001-78_1</v>
      </c>
      <c r="C227" s="10" t="s">
        <v>2459</v>
      </c>
      <c r="D227" s="10" t="s">
        <v>6019</v>
      </c>
      <c r="E227" s="10" t="s">
        <v>1555</v>
      </c>
      <c r="F227" s="10" t="s">
        <v>1415</v>
      </c>
      <c r="G227" s="10" t="s">
        <v>2460</v>
      </c>
      <c r="H227" s="11" t="s">
        <v>2461</v>
      </c>
      <c r="I227" s="11" t="s">
        <v>2462</v>
      </c>
      <c r="J227" s="10" t="s">
        <v>1559</v>
      </c>
      <c r="K227" s="10" t="s">
        <v>1560</v>
      </c>
      <c r="L227" s="10" t="s">
        <v>1561</v>
      </c>
      <c r="M227" s="10" t="s">
        <v>1415</v>
      </c>
      <c r="N227" s="10">
        <v>32</v>
      </c>
      <c r="O227" s="11">
        <v>100</v>
      </c>
      <c r="P227" s="11">
        <v>0.1</v>
      </c>
      <c r="Q227" s="10" t="s">
        <v>1599</v>
      </c>
      <c r="R227" s="10">
        <v>80</v>
      </c>
      <c r="S227" s="12">
        <v>6</v>
      </c>
      <c r="T227" s="13">
        <v>36129</v>
      </c>
      <c r="U227" s="14">
        <v>3612.9</v>
      </c>
      <c r="V227" s="10">
        <v>5.42</v>
      </c>
      <c r="W227" s="15">
        <v>195819.18</v>
      </c>
      <c r="X227" s="29">
        <f>VLOOKUP($F227,Agendamento!$B:$J,9,0)</f>
        <v>46097</v>
      </c>
      <c r="Y227" s="6">
        <f>COUNTIF(Analise!F:F,'Obras e Acervos'!H227)</f>
        <v>1</v>
      </c>
    </row>
    <row r="228" spans="1:25" ht="15" customHeight="1" x14ac:dyDescent="0.25">
      <c r="A228" s="10" t="str">
        <f>CONCATENATE(LEFT(C228,12),"-",RIGHT(C228,2),"_",TEXT(X228,"ddmmaaaa"),"_",COUNTIF($C$2:C228,C228))</f>
        <v>191199180001-82_03032026_1</v>
      </c>
      <c r="B228" s="10" t="str">
        <f>CONCATENATE(LEFT(C228,12),"-",RIGHT(C228,2),"_",COUNTIF($C$2:C228,C228))</f>
        <v>191199180001-82_1</v>
      </c>
      <c r="C228" s="10" t="s">
        <v>2463</v>
      </c>
      <c r="D228" s="10" t="s">
        <v>1137</v>
      </c>
      <c r="E228" s="10" t="s">
        <v>1555</v>
      </c>
      <c r="F228" s="10" t="s">
        <v>1138</v>
      </c>
      <c r="G228" s="10" t="s">
        <v>2464</v>
      </c>
      <c r="H228" s="11" t="s">
        <v>2465</v>
      </c>
      <c r="I228" s="11" t="s">
        <v>2466</v>
      </c>
      <c r="J228" s="10" t="s">
        <v>1559</v>
      </c>
      <c r="K228" s="10" t="s">
        <v>1560</v>
      </c>
      <c r="L228" s="10" t="s">
        <v>1561</v>
      </c>
      <c r="M228" s="10" t="s">
        <v>1138</v>
      </c>
      <c r="N228" s="10">
        <v>36</v>
      </c>
      <c r="O228" s="11">
        <v>190</v>
      </c>
      <c r="P228" s="11">
        <v>0.19</v>
      </c>
      <c r="Q228" s="10" t="s">
        <v>1562</v>
      </c>
      <c r="R228" s="10">
        <v>80</v>
      </c>
      <c r="S228" s="12">
        <v>6</v>
      </c>
      <c r="T228" s="13">
        <v>36553</v>
      </c>
      <c r="U228" s="14">
        <v>6945.07</v>
      </c>
      <c r="V228" s="10">
        <v>6.31</v>
      </c>
      <c r="W228" s="15">
        <v>230649.43</v>
      </c>
      <c r="X228" s="29">
        <f>VLOOKUP($F228,Agendamento!$B:$J,9,0)</f>
        <v>46084</v>
      </c>
      <c r="Y228" s="6">
        <f>COUNTIF(Analise!F:F,'Obras e Acervos'!H228)</f>
        <v>1</v>
      </c>
    </row>
    <row r="229" spans="1:25" ht="15" customHeight="1" x14ac:dyDescent="0.25">
      <c r="A229" s="10" t="str">
        <f>CONCATENATE(LEFT(C229,12),"-",RIGHT(C229,2),"_",TEXT(X229,"ddmmaaaa"),"_",COUNTIF($C$2:C229,C229))</f>
        <v>001196970001-14_10022026_1</v>
      </c>
      <c r="B229" s="10" t="str">
        <f>CONCATENATE(LEFT(C229,12),"-",RIGHT(C229,2),"_",COUNTIF($C$2:C229,C229))</f>
        <v>001196970001-14_1</v>
      </c>
      <c r="C229" s="10" t="s">
        <v>2467</v>
      </c>
      <c r="D229" s="10" t="s">
        <v>252</v>
      </c>
      <c r="E229" s="10" t="s">
        <v>1555</v>
      </c>
      <c r="F229" s="10" t="s">
        <v>253</v>
      </c>
      <c r="G229" s="10" t="s">
        <v>2468</v>
      </c>
      <c r="H229" s="11" t="s">
        <v>2469</v>
      </c>
      <c r="I229" s="11" t="s">
        <v>2470</v>
      </c>
      <c r="J229" s="10" t="s">
        <v>1559</v>
      </c>
      <c r="K229" s="10" t="s">
        <v>1560</v>
      </c>
      <c r="L229" s="10" t="s">
        <v>1561</v>
      </c>
      <c r="M229" s="10" t="s">
        <v>253</v>
      </c>
      <c r="N229" s="10">
        <v>32</v>
      </c>
      <c r="O229" s="11">
        <v>103</v>
      </c>
      <c r="P229" s="11">
        <v>0.10299999999999999</v>
      </c>
      <c r="Q229" s="10" t="s">
        <v>1562</v>
      </c>
      <c r="R229" s="10">
        <v>80</v>
      </c>
      <c r="S229" s="12">
        <v>6</v>
      </c>
      <c r="T229" s="13">
        <v>37023</v>
      </c>
      <c r="U229" s="14">
        <v>3813.3689999999997</v>
      </c>
      <c r="V229" s="10">
        <v>5.84</v>
      </c>
      <c r="W229" s="15">
        <v>216214.32</v>
      </c>
      <c r="X229" s="29">
        <f>VLOOKUP($F229,Agendamento!$B:$J,9,0)</f>
        <v>46063</v>
      </c>
      <c r="Y229" s="6">
        <f>COUNTIF(Analise!F:F,'Obras e Acervos'!H229)</f>
        <v>1</v>
      </c>
    </row>
    <row r="230" spans="1:25" ht="15" customHeight="1" x14ac:dyDescent="0.25">
      <c r="A230" s="10" t="str">
        <f>CONCATENATE(LEFT(C230,12),"-",RIGHT(C230,2),"_",TEXT(X230,"ddmmaaaa"),"_",COUNTIF($C$2:C230,C230))</f>
        <v>436787690001-76_03022026_1</v>
      </c>
      <c r="B230" s="10" t="str">
        <f>CONCATENATE(LEFT(C230,12),"-",RIGHT(C230,2),"_",COUNTIF($C$2:C230,C230))</f>
        <v>436787690001-76_1</v>
      </c>
      <c r="C230" s="10" t="s">
        <v>2471</v>
      </c>
      <c r="D230" s="10" t="s">
        <v>6020</v>
      </c>
      <c r="E230" s="10" t="s">
        <v>1555</v>
      </c>
      <c r="F230" s="10" t="s">
        <v>143</v>
      </c>
      <c r="G230" s="10" t="s">
        <v>2472</v>
      </c>
      <c r="H230" s="11" t="s">
        <v>2473</v>
      </c>
      <c r="I230" s="11" t="s">
        <v>2474</v>
      </c>
      <c r="J230" s="10" t="s">
        <v>1559</v>
      </c>
      <c r="K230" s="10" t="s">
        <v>1560</v>
      </c>
      <c r="L230" s="10" t="s">
        <v>1561</v>
      </c>
      <c r="M230" s="10" t="s">
        <v>143</v>
      </c>
      <c r="N230" s="10">
        <v>32</v>
      </c>
      <c r="O230" s="11">
        <v>105</v>
      </c>
      <c r="P230" s="11">
        <v>0.105</v>
      </c>
      <c r="Q230" s="10" t="s">
        <v>1562</v>
      </c>
      <c r="R230" s="10">
        <v>80</v>
      </c>
      <c r="S230" s="12">
        <v>6</v>
      </c>
      <c r="T230" s="13">
        <v>63081</v>
      </c>
      <c r="U230" s="14">
        <v>6623.5050000000001</v>
      </c>
      <c r="V230" s="10">
        <v>4.2699999999999996</v>
      </c>
      <c r="W230" s="15">
        <v>269355.87</v>
      </c>
      <c r="X230" s="29">
        <f>VLOOKUP($F230,Agendamento!$B:$J,9,0)</f>
        <v>46056</v>
      </c>
      <c r="Y230" s="6">
        <f>COUNTIF(Analise!F:F,'Obras e Acervos'!H230)</f>
        <v>1</v>
      </c>
    </row>
    <row r="231" spans="1:25" ht="15" customHeight="1" x14ac:dyDescent="0.25">
      <c r="A231" s="10" t="str">
        <f>CONCATENATE(LEFT(C231,12),"-",RIGHT(C231,2),"_",TEXT(X231,"ddmmaaaa"),"_",COUNTIF($C$2:C231,C231))</f>
        <v>433983000001-83_10032026_1</v>
      </c>
      <c r="B231" s="10" t="str">
        <f>CONCATENATE(LEFT(C231,12),"-",RIGHT(C231,2),"_",COUNTIF($C$2:C231,C231))</f>
        <v>433983000001-83_1</v>
      </c>
      <c r="C231" s="10" t="s">
        <v>2475</v>
      </c>
      <c r="D231" s="10" t="s">
        <v>1330</v>
      </c>
      <c r="E231" s="10" t="s">
        <v>1555</v>
      </c>
      <c r="F231" s="10" t="s">
        <v>1361</v>
      </c>
      <c r="G231" s="10" t="s">
        <v>2476</v>
      </c>
      <c r="H231" s="11" t="s">
        <v>2477</v>
      </c>
      <c r="I231" s="11" t="s">
        <v>2478</v>
      </c>
      <c r="J231" s="10" t="s">
        <v>1559</v>
      </c>
      <c r="K231" s="10" t="s">
        <v>1560</v>
      </c>
      <c r="L231" s="10" t="s">
        <v>1561</v>
      </c>
      <c r="M231" s="10" t="s">
        <v>1361</v>
      </c>
      <c r="N231" s="10">
        <v>48</v>
      </c>
      <c r="O231" s="11">
        <v>150</v>
      </c>
      <c r="P231" s="11">
        <v>0.15</v>
      </c>
      <c r="Q231" s="10" t="s">
        <v>1562</v>
      </c>
      <c r="R231" s="10">
        <v>80</v>
      </c>
      <c r="S231" s="12">
        <v>6</v>
      </c>
      <c r="T231" s="13">
        <v>40477</v>
      </c>
      <c r="U231" s="14">
        <v>6071.55</v>
      </c>
      <c r="V231" s="10">
        <v>7.09</v>
      </c>
      <c r="W231" s="15">
        <v>286981.93</v>
      </c>
      <c r="X231" s="29">
        <f>VLOOKUP($F231,Agendamento!$B:$J,9,0)</f>
        <v>46091</v>
      </c>
      <c r="Y231" s="6">
        <f>COUNTIF(Analise!F:F,'Obras e Acervos'!H231)</f>
        <v>1</v>
      </c>
    </row>
    <row r="232" spans="1:25" ht="15" customHeight="1" x14ac:dyDescent="0.25">
      <c r="A232" s="10" t="str">
        <f>CONCATENATE(LEFT(C232,12),"-",RIGHT(C232,2),"_",TEXT(X232,"ddmmaaaa"),"_",COUNTIF($C$2:C232,C232))</f>
        <v>154717300001-48_27012026_1</v>
      </c>
      <c r="B232" s="10" t="str">
        <f>CONCATENATE(LEFT(C232,12),"-",RIGHT(C232,2),"_",COUNTIF($C$2:C232,C232))</f>
        <v>154717300001-48_1</v>
      </c>
      <c r="C232" s="21" t="s">
        <v>2479</v>
      </c>
      <c r="D232" s="10" t="s">
        <v>6021</v>
      </c>
      <c r="E232" s="10" t="s">
        <v>1555</v>
      </c>
      <c r="F232" s="10" t="s">
        <v>47</v>
      </c>
      <c r="G232" s="10" t="s">
        <v>2480</v>
      </c>
      <c r="H232" s="22" t="s">
        <v>2481</v>
      </c>
      <c r="I232" s="27" t="s">
        <v>2482</v>
      </c>
      <c r="J232" s="10" t="s">
        <v>1559</v>
      </c>
      <c r="K232" s="10" t="s">
        <v>1560</v>
      </c>
      <c r="L232" s="10" t="s">
        <v>1561</v>
      </c>
      <c r="M232" s="10" t="s">
        <v>47</v>
      </c>
      <c r="N232" s="10">
        <v>32</v>
      </c>
      <c r="O232" s="11">
        <v>99</v>
      </c>
      <c r="P232" s="22">
        <v>9.9000000000000005E-2</v>
      </c>
      <c r="Q232" s="10" t="s">
        <v>1562</v>
      </c>
      <c r="R232" s="10">
        <v>80</v>
      </c>
      <c r="S232" s="12">
        <v>4</v>
      </c>
      <c r="T232" s="23">
        <v>44353</v>
      </c>
      <c r="U232" s="24">
        <v>4390.9470000000001</v>
      </c>
      <c r="V232" s="10">
        <v>5.41</v>
      </c>
      <c r="W232" s="15">
        <v>203816.34</v>
      </c>
      <c r="X232" s="29">
        <f>VLOOKUP($F232,Agendamento!$B:$J,9,0)</f>
        <v>46049</v>
      </c>
      <c r="Y232" s="6">
        <f>COUNTIF(Analise!F:F,'Obras e Acervos'!H232)</f>
        <v>1</v>
      </c>
    </row>
    <row r="233" spans="1:25" ht="15" customHeight="1" x14ac:dyDescent="0.25">
      <c r="A233" s="10" t="str">
        <f>CONCATENATE(LEFT(C233,12),"-",RIGHT(C233,2),"_",TEXT(X233,"ddmmaaaa"),"_",COUNTIF($C$2:C233,C233))</f>
        <v>165094860001-28_17032026_1</v>
      </c>
      <c r="B233" s="10" t="str">
        <f>CONCATENATE(LEFT(C233,12),"-",RIGHT(C233,2),"_",COUNTIF($C$2:C233,C233))</f>
        <v>165094860001-28_1</v>
      </c>
      <c r="C233" s="10" t="s">
        <v>2483</v>
      </c>
      <c r="D233" s="10" t="s">
        <v>6022</v>
      </c>
      <c r="E233" s="10" t="s">
        <v>1555</v>
      </c>
      <c r="F233" s="10" t="s">
        <v>1461</v>
      </c>
      <c r="G233" s="10" t="s">
        <v>2484</v>
      </c>
      <c r="H233" s="11" t="s">
        <v>2485</v>
      </c>
      <c r="I233" s="27" t="s">
        <v>2486</v>
      </c>
      <c r="J233" s="10" t="s">
        <v>1559</v>
      </c>
      <c r="K233" s="10" t="s">
        <v>1560</v>
      </c>
      <c r="L233" s="10" t="s">
        <v>1561</v>
      </c>
      <c r="M233" s="10" t="s">
        <v>1461</v>
      </c>
      <c r="N233" s="10">
        <v>40</v>
      </c>
      <c r="O233" s="11">
        <v>100</v>
      </c>
      <c r="P233" s="11">
        <v>0.1</v>
      </c>
      <c r="Q233" s="10" t="s">
        <v>1608</v>
      </c>
      <c r="R233" s="10">
        <v>80</v>
      </c>
      <c r="S233" s="12">
        <v>6</v>
      </c>
      <c r="T233" s="13">
        <v>36644</v>
      </c>
      <c r="U233" s="14">
        <v>3664.4</v>
      </c>
      <c r="V233" s="10">
        <v>5.69</v>
      </c>
      <c r="W233" s="15">
        <v>208504.36000000002</v>
      </c>
      <c r="X233" s="29">
        <f>VLOOKUP($F233,Agendamento!$B:$J,9,0)</f>
        <v>46098</v>
      </c>
      <c r="Y233" s="6">
        <f>COUNTIF(Analise!F:F,'Obras e Acervos'!H233)</f>
        <v>1</v>
      </c>
    </row>
    <row r="234" spans="1:25" ht="15" customHeight="1" x14ac:dyDescent="0.25">
      <c r="A234" s="10" t="str">
        <f>CONCATENATE(LEFT(C234,12),"-",RIGHT(C234,2),"_",TEXT(X234,"ddmmaaaa"),"_",COUNTIF($C$2:C234,C234))</f>
        <v>062853700001-07_09022026_1</v>
      </c>
      <c r="B234" s="10" t="str">
        <f>CONCATENATE(LEFT(C234,12),"-",RIGHT(C234,2),"_",COUNTIF($C$2:C234,C234))</f>
        <v>062853700001-07_1</v>
      </c>
      <c r="C234" s="10" t="s">
        <v>2487</v>
      </c>
      <c r="D234" s="10" t="s">
        <v>6023</v>
      </c>
      <c r="E234" s="10" t="s">
        <v>1555</v>
      </c>
      <c r="F234" s="10" t="s">
        <v>234</v>
      </c>
      <c r="G234" s="10" t="s">
        <v>2488</v>
      </c>
      <c r="H234" s="11" t="s">
        <v>2489</v>
      </c>
      <c r="I234" s="27" t="s">
        <v>2490</v>
      </c>
      <c r="J234" s="10" t="s">
        <v>1559</v>
      </c>
      <c r="K234" s="10" t="s">
        <v>1560</v>
      </c>
      <c r="L234" s="10" t="s">
        <v>1561</v>
      </c>
      <c r="M234" s="10" t="s">
        <v>234</v>
      </c>
      <c r="N234" s="10">
        <v>32</v>
      </c>
      <c r="O234" s="11">
        <v>103</v>
      </c>
      <c r="P234" s="11">
        <v>0.10299999999999999</v>
      </c>
      <c r="Q234" s="10" t="s">
        <v>1562</v>
      </c>
      <c r="R234" s="10">
        <v>80</v>
      </c>
      <c r="S234" s="12">
        <v>6</v>
      </c>
      <c r="T234" s="13">
        <v>38522</v>
      </c>
      <c r="U234" s="14">
        <v>3967.7659999999996</v>
      </c>
      <c r="V234" s="10">
        <v>5.48</v>
      </c>
      <c r="W234" s="15">
        <v>211100.56000000003</v>
      </c>
      <c r="X234" s="29">
        <f>VLOOKUP($F234,Agendamento!$B:$J,9,0)</f>
        <v>46062</v>
      </c>
      <c r="Y234" s="6">
        <f>COUNTIF(Analise!F:F,'Obras e Acervos'!H234)</f>
        <v>1</v>
      </c>
    </row>
    <row r="235" spans="1:25" ht="15" customHeight="1" x14ac:dyDescent="0.25">
      <c r="A235" s="10" t="str">
        <f>CONCATENATE(LEFT(C235,12),"-",RIGHT(C235,2),"_",TEXT(X235,"ddmmaaaa"),"_",COUNTIF($C$2:C235,C235))</f>
        <v>154717300001-48_27012026_2</v>
      </c>
      <c r="B235" s="10" t="str">
        <f>CONCATENATE(LEFT(C235,12),"-",RIGHT(C235,2),"_",COUNTIF($C$2:C235,C235))</f>
        <v>154717300001-48_2</v>
      </c>
      <c r="C235" s="21" t="s">
        <v>2479</v>
      </c>
      <c r="D235" s="10" t="s">
        <v>6021</v>
      </c>
      <c r="E235" s="10" t="s">
        <v>1574</v>
      </c>
      <c r="F235" s="10" t="s">
        <v>48</v>
      </c>
      <c r="G235" s="10" t="s">
        <v>2491</v>
      </c>
      <c r="H235" s="22" t="s">
        <v>2492</v>
      </c>
      <c r="I235" s="27" t="s">
        <v>2493</v>
      </c>
      <c r="J235" s="10" t="s">
        <v>1559</v>
      </c>
      <c r="K235" s="10" t="s">
        <v>1560</v>
      </c>
      <c r="L235" s="10" t="s">
        <v>1578</v>
      </c>
      <c r="M235" s="10" t="s">
        <v>48</v>
      </c>
      <c r="N235" s="10">
        <v>48</v>
      </c>
      <c r="O235" s="11">
        <v>135</v>
      </c>
      <c r="P235" s="22">
        <v>0.13500000000000001</v>
      </c>
      <c r="Q235" s="10" t="s">
        <v>1562</v>
      </c>
      <c r="R235" s="10">
        <v>80</v>
      </c>
      <c r="S235" s="12">
        <v>12</v>
      </c>
      <c r="T235" s="23">
        <v>46765</v>
      </c>
      <c r="U235" s="24">
        <v>6313.2750000000005</v>
      </c>
      <c r="V235" s="10">
        <v>6.73</v>
      </c>
      <c r="W235" s="15">
        <v>249164.79</v>
      </c>
      <c r="X235" s="29">
        <f>VLOOKUP($F235,Agendamento!$B:$J,9,0)</f>
        <v>46049</v>
      </c>
      <c r="Y235" s="6">
        <f>COUNTIF(Analise!F:F,'Obras e Acervos'!H235)</f>
        <v>1</v>
      </c>
    </row>
    <row r="236" spans="1:25" ht="15" customHeight="1" x14ac:dyDescent="0.25">
      <c r="A236" s="10" t="str">
        <f>CONCATENATE(LEFT(C236,12),"-",RIGHT(C236,2),"_",TEXT(X236,"ddmmaaaa"),"_",COUNTIF($C$2:C236,C236))</f>
        <v>130421920001-40_09032026_1</v>
      </c>
      <c r="B236" s="10" t="str">
        <f>CONCATENATE(LEFT(C236,12),"-",RIGHT(C236,2),"_",COUNTIF($C$2:C236,C236))</f>
        <v>130421920001-40_1</v>
      </c>
      <c r="C236" s="10" t="s">
        <v>2494</v>
      </c>
      <c r="D236" s="10" t="s">
        <v>667</v>
      </c>
      <c r="E236" s="10" t="s">
        <v>1555</v>
      </c>
      <c r="F236" s="10" t="s">
        <v>1310</v>
      </c>
      <c r="G236" s="10" t="s">
        <v>2495</v>
      </c>
      <c r="H236" s="11" t="s">
        <v>2496</v>
      </c>
      <c r="I236" s="11" t="s">
        <v>2497</v>
      </c>
      <c r="J236" s="10" t="s">
        <v>1559</v>
      </c>
      <c r="K236" s="10" t="s">
        <v>1560</v>
      </c>
      <c r="L236" s="10" t="s">
        <v>1561</v>
      </c>
      <c r="M236" s="10" t="s">
        <v>1310</v>
      </c>
      <c r="N236" s="10">
        <v>40</v>
      </c>
      <c r="O236" s="11">
        <v>96</v>
      </c>
      <c r="P236" s="11">
        <v>9.6000000000000002E-2</v>
      </c>
      <c r="Q236" s="10" t="s">
        <v>1562</v>
      </c>
      <c r="R236" s="10">
        <v>80</v>
      </c>
      <c r="S236" s="12">
        <v>6</v>
      </c>
      <c r="T236" s="13">
        <v>45370</v>
      </c>
      <c r="U236" s="14">
        <v>4355.5200000000004</v>
      </c>
      <c r="V236" s="10">
        <v>5.84</v>
      </c>
      <c r="W236" s="15">
        <v>264960.8</v>
      </c>
      <c r="X236" s="29">
        <f>VLOOKUP($F236,Agendamento!$B:$J,9,0)</f>
        <v>46090</v>
      </c>
      <c r="Y236" s="6">
        <f>COUNTIF(Analise!F:F,'Obras e Acervos'!H236)</f>
        <v>1</v>
      </c>
    </row>
    <row r="237" spans="1:25" ht="15" customHeight="1" x14ac:dyDescent="0.25">
      <c r="A237" s="10" t="str">
        <f>CONCATENATE(LEFT(C237,12),"-",RIGHT(C237,2),"_",TEXT(X237,"ddmmaaaa"),"_",COUNTIF($C$2:C237,C237))</f>
        <v>073006320001-10_06022026_1</v>
      </c>
      <c r="B237" s="10" t="str">
        <f>CONCATENATE(LEFT(C237,12),"-",RIGHT(C237,2),"_",COUNTIF($C$2:C237,C237))</f>
        <v>073006320001-10_1</v>
      </c>
      <c r="C237" s="10" t="s">
        <v>2498</v>
      </c>
      <c r="D237" s="10" t="s">
        <v>6024</v>
      </c>
      <c r="E237" s="10" t="s">
        <v>1555</v>
      </c>
      <c r="F237" s="10" t="s">
        <v>198</v>
      </c>
      <c r="G237" s="10" t="s">
        <v>2499</v>
      </c>
      <c r="H237" s="11" t="s">
        <v>2500</v>
      </c>
      <c r="I237" s="11" t="s">
        <v>2501</v>
      </c>
      <c r="J237" s="10" t="s">
        <v>1559</v>
      </c>
      <c r="K237" s="10" t="s">
        <v>1560</v>
      </c>
      <c r="L237" s="10" t="s">
        <v>1561</v>
      </c>
      <c r="M237" s="10" t="s">
        <v>198</v>
      </c>
      <c r="N237" s="10">
        <v>32</v>
      </c>
      <c r="O237" s="11">
        <v>105</v>
      </c>
      <c r="P237" s="11">
        <v>0.105</v>
      </c>
      <c r="Q237" s="10" t="s">
        <v>1562</v>
      </c>
      <c r="R237" s="10">
        <v>80</v>
      </c>
      <c r="S237" s="12">
        <v>6</v>
      </c>
      <c r="T237" s="13">
        <v>46022</v>
      </c>
      <c r="U237" s="14">
        <v>4832.3099999999995</v>
      </c>
      <c r="V237" s="10">
        <v>5.03</v>
      </c>
      <c r="W237" s="15">
        <v>231490.66</v>
      </c>
      <c r="X237" s="29">
        <f>VLOOKUP($F237,Agendamento!$B:$J,9,0)</f>
        <v>46059</v>
      </c>
      <c r="Y237" s="6">
        <f>COUNTIF(Analise!F:F,'Obras e Acervos'!H237)</f>
        <v>1</v>
      </c>
    </row>
    <row r="238" spans="1:25" ht="15" customHeight="1" x14ac:dyDescent="0.25">
      <c r="A238" s="10" t="str">
        <f>CONCATENATE(LEFT(C238,12),"-",RIGHT(C238,2),"_",TEXT(X238,"ddmmaaaa"),"_",COUNTIF($C$2:C238,C238))</f>
        <v>271827250001-02_12022026_1</v>
      </c>
      <c r="B238" s="10" t="str">
        <f>CONCATENATE(LEFT(C238,12),"-",RIGHT(C238,2),"_",COUNTIF($C$2:C238,C238))</f>
        <v>271827250001-02_1</v>
      </c>
      <c r="C238" s="10" t="s">
        <v>2502</v>
      </c>
      <c r="D238" s="10" t="s">
        <v>362</v>
      </c>
      <c r="E238" s="10" t="s">
        <v>1555</v>
      </c>
      <c r="F238" s="10" t="s">
        <v>363</v>
      </c>
      <c r="G238" s="10" t="s">
        <v>2503</v>
      </c>
      <c r="H238" s="11" t="s">
        <v>2504</v>
      </c>
      <c r="I238" s="11" t="s">
        <v>2505</v>
      </c>
      <c r="J238" s="10" t="s">
        <v>1559</v>
      </c>
      <c r="K238" s="10" t="s">
        <v>1560</v>
      </c>
      <c r="L238" s="10" t="s">
        <v>1561</v>
      </c>
      <c r="M238" s="10" t="s">
        <v>363</v>
      </c>
      <c r="N238" s="10">
        <v>36</v>
      </c>
      <c r="O238" s="11">
        <v>115</v>
      </c>
      <c r="P238" s="11">
        <v>0.115</v>
      </c>
      <c r="Q238" s="10" t="s">
        <v>1562</v>
      </c>
      <c r="R238" s="10">
        <v>80</v>
      </c>
      <c r="S238" s="12">
        <v>6</v>
      </c>
      <c r="T238" s="13">
        <v>48279</v>
      </c>
      <c r="U238" s="14">
        <v>5552.085</v>
      </c>
      <c r="V238" s="10">
        <v>5.1100000000000003</v>
      </c>
      <c r="W238" s="15">
        <v>246705.69</v>
      </c>
      <c r="X238" s="29">
        <f>VLOOKUP($F238,Agendamento!$B:$J,9,0)</f>
        <v>46065</v>
      </c>
      <c r="Y238" s="6">
        <f>COUNTIF(Analise!F:F,'Obras e Acervos'!H238)</f>
        <v>1</v>
      </c>
    </row>
    <row r="239" spans="1:25" ht="15" customHeight="1" x14ac:dyDescent="0.25">
      <c r="A239" s="10" t="str">
        <f>CONCATENATE(LEFT(C239,12),"-",RIGHT(C239,2),"_",TEXT(X239,"ddmmaaaa"),"_",COUNTIF($C$2:C239,C239))</f>
        <v>967455340001-16_13022026_1</v>
      </c>
      <c r="B239" s="10" t="str">
        <f>CONCATENATE(LEFT(C239,12),"-",RIGHT(C239,2),"_",COUNTIF($C$2:C239,C239))</f>
        <v>967455340001-16_1</v>
      </c>
      <c r="C239" s="10" t="s">
        <v>2506</v>
      </c>
      <c r="D239" s="10" t="s">
        <v>6025</v>
      </c>
      <c r="E239" s="10" t="s">
        <v>1555</v>
      </c>
      <c r="F239" s="10" t="s">
        <v>444</v>
      </c>
      <c r="G239" s="10" t="s">
        <v>2507</v>
      </c>
      <c r="H239" s="11" t="s">
        <v>2508</v>
      </c>
      <c r="I239" s="11" t="s">
        <v>2509</v>
      </c>
      <c r="J239" s="10" t="s">
        <v>1559</v>
      </c>
      <c r="K239" s="10" t="s">
        <v>1560</v>
      </c>
      <c r="L239" s="10" t="s">
        <v>1561</v>
      </c>
      <c r="M239" s="10" t="s">
        <v>444</v>
      </c>
      <c r="N239" s="10">
        <v>24</v>
      </c>
      <c r="O239" s="11">
        <v>115</v>
      </c>
      <c r="P239" s="11">
        <v>0.115</v>
      </c>
      <c r="Q239" s="10" t="s">
        <v>1562</v>
      </c>
      <c r="R239" s="10">
        <v>75</v>
      </c>
      <c r="S239" s="12">
        <v>6</v>
      </c>
      <c r="T239" s="13">
        <v>36992</v>
      </c>
      <c r="U239" s="14">
        <v>4254.08</v>
      </c>
      <c r="V239" s="10">
        <v>4.95</v>
      </c>
      <c r="W239" s="15">
        <v>183110.39999999999</v>
      </c>
      <c r="X239" s="29">
        <f>VLOOKUP($F239,Agendamento!$B:$J,9,0)</f>
        <v>46066</v>
      </c>
      <c r="Y239" s="6">
        <f>COUNTIF(Analise!F:F,'Obras e Acervos'!H239)</f>
        <v>1</v>
      </c>
    </row>
    <row r="240" spans="1:25" ht="15" customHeight="1" x14ac:dyDescent="0.25">
      <c r="A240" s="10" t="str">
        <f>CONCATENATE(LEFT(C240,12),"-",RIGHT(C240,2),"_",TEXT(X240,"ddmmaaaa"),"_",COUNTIF($C$2:C240,C240))</f>
        <v>145463790001-44_04032026_1</v>
      </c>
      <c r="B240" s="10" t="str">
        <f>CONCATENATE(LEFT(C240,12),"-",RIGHT(C240,2),"_",COUNTIF($C$2:C240,C240))</f>
        <v>145463790001-44_1</v>
      </c>
      <c r="C240" s="10" t="s">
        <v>2510</v>
      </c>
      <c r="D240" s="10" t="s">
        <v>1211</v>
      </c>
      <c r="E240" s="10" t="s">
        <v>1555</v>
      </c>
      <c r="F240" s="10" t="s">
        <v>1212</v>
      </c>
      <c r="G240" s="10" t="s">
        <v>2511</v>
      </c>
      <c r="H240" s="11" t="s">
        <v>2512</v>
      </c>
      <c r="I240" s="11" t="s">
        <v>2513</v>
      </c>
      <c r="J240" s="10" t="s">
        <v>1559</v>
      </c>
      <c r="K240" s="10" t="s">
        <v>1560</v>
      </c>
      <c r="L240" s="10" t="s">
        <v>1561</v>
      </c>
      <c r="M240" s="10" t="s">
        <v>1212</v>
      </c>
      <c r="N240" s="10">
        <v>32</v>
      </c>
      <c r="O240" s="11">
        <v>103</v>
      </c>
      <c r="P240" s="11">
        <v>0.10299999999999999</v>
      </c>
      <c r="Q240" s="10" t="s">
        <v>1562</v>
      </c>
      <c r="R240" s="10">
        <v>80</v>
      </c>
      <c r="S240" s="12">
        <v>6</v>
      </c>
      <c r="T240" s="13">
        <v>36356</v>
      </c>
      <c r="U240" s="14">
        <v>3744.6679999999997</v>
      </c>
      <c r="V240" s="10">
        <v>5.85</v>
      </c>
      <c r="W240" s="15">
        <v>212682.59999999998</v>
      </c>
      <c r="X240" s="29">
        <f>VLOOKUP($F240,Agendamento!$B:$J,9,0)</f>
        <v>46085</v>
      </c>
      <c r="Y240" s="6">
        <f>COUNTIF(Analise!F:F,'Obras e Acervos'!H240)</f>
        <v>1</v>
      </c>
    </row>
    <row r="241" spans="1:25" ht="15" customHeight="1" x14ac:dyDescent="0.25">
      <c r="A241" s="10" t="str">
        <f>CONCATENATE(LEFT(C241,12),"-",RIGHT(C241,2),"_",TEXT(X241,"ddmmaaaa"),"_",COUNTIF($C$2:C241,C241))</f>
        <v>071016460001-04_20022026_1</v>
      </c>
      <c r="B241" s="10" t="str">
        <f>CONCATENATE(LEFT(C241,12),"-",RIGHT(C241,2),"_",COUNTIF($C$2:C241,C241))</f>
        <v>071016460001-04_1</v>
      </c>
      <c r="C241" s="10" t="s">
        <v>2514</v>
      </c>
      <c r="D241" s="10" t="s">
        <v>641</v>
      </c>
      <c r="E241" s="10" t="s">
        <v>1555</v>
      </c>
      <c r="F241" s="10" t="s">
        <v>643</v>
      </c>
      <c r="G241" s="10" t="s">
        <v>2515</v>
      </c>
      <c r="H241" s="11" t="s">
        <v>2516</v>
      </c>
      <c r="I241" s="11" t="s">
        <v>2517</v>
      </c>
      <c r="J241" s="10" t="s">
        <v>1559</v>
      </c>
      <c r="K241" s="10" t="s">
        <v>1560</v>
      </c>
      <c r="L241" s="10" t="s">
        <v>1561</v>
      </c>
      <c r="M241" s="10" t="s">
        <v>643</v>
      </c>
      <c r="N241" s="10">
        <v>24</v>
      </c>
      <c r="O241" s="11">
        <v>84</v>
      </c>
      <c r="P241" s="11">
        <v>8.4000000000000005E-2</v>
      </c>
      <c r="Q241" s="10" t="s">
        <v>1562</v>
      </c>
      <c r="R241" s="10">
        <v>80</v>
      </c>
      <c r="S241" s="12">
        <v>6</v>
      </c>
      <c r="T241" s="13">
        <v>56778</v>
      </c>
      <c r="U241" s="14">
        <v>4769.3519999999999</v>
      </c>
      <c r="V241" s="10">
        <v>3.83</v>
      </c>
      <c r="W241" s="15">
        <v>217459.74</v>
      </c>
      <c r="X241" s="29">
        <f>VLOOKUP($F241,Agendamento!$B:$J,9,0)</f>
        <v>46073</v>
      </c>
      <c r="Y241" s="6">
        <f>COUNTIF(Analise!F:F,'Obras e Acervos'!H241)</f>
        <v>1</v>
      </c>
    </row>
    <row r="242" spans="1:25" ht="15" customHeight="1" x14ac:dyDescent="0.25">
      <c r="A242" s="10" t="str">
        <f>CONCATENATE(LEFT(C242,12),"-",RIGHT(C242,2),"_",TEXT(X242,"ddmmaaaa"),"_",COUNTIF($C$2:C242,C242))</f>
        <v>016001270001-04_10032026_1</v>
      </c>
      <c r="B242" s="10" t="str">
        <f>CONCATENATE(LEFT(C242,12),"-",RIGHT(C242,2),"_",COUNTIF($C$2:C242,C242))</f>
        <v>016001270001-04_1</v>
      </c>
      <c r="C242" s="10" t="s">
        <v>2518</v>
      </c>
      <c r="D242" s="10" t="s">
        <v>6026</v>
      </c>
      <c r="E242" s="10" t="s">
        <v>1555</v>
      </c>
      <c r="F242" s="10" t="s">
        <v>1359</v>
      </c>
      <c r="G242" s="10" t="s">
        <v>2519</v>
      </c>
      <c r="H242" s="11" t="s">
        <v>2520</v>
      </c>
      <c r="I242" s="11" t="s">
        <v>2521</v>
      </c>
      <c r="J242" s="10" t="s">
        <v>1559</v>
      </c>
      <c r="K242" s="10" t="s">
        <v>1560</v>
      </c>
      <c r="L242" s="10" t="s">
        <v>1561</v>
      </c>
      <c r="M242" s="10" t="s">
        <v>1359</v>
      </c>
      <c r="N242" s="10">
        <v>48</v>
      </c>
      <c r="O242" s="11">
        <v>136</v>
      </c>
      <c r="P242" s="11">
        <v>0.13600000000000001</v>
      </c>
      <c r="Q242" s="10" t="s">
        <v>1562</v>
      </c>
      <c r="R242" s="10">
        <v>80</v>
      </c>
      <c r="S242" s="12">
        <v>7</v>
      </c>
      <c r="T242" s="13">
        <v>34449</v>
      </c>
      <c r="U242" s="14">
        <v>4685.0640000000003</v>
      </c>
      <c r="V242" s="10">
        <v>7.7</v>
      </c>
      <c r="W242" s="15">
        <v>265257.3</v>
      </c>
      <c r="X242" s="29">
        <f>VLOOKUP($F242,Agendamento!$B:$J,9,0)</f>
        <v>46091</v>
      </c>
      <c r="Y242" s="6">
        <f>COUNTIF(Analise!F:F,'Obras e Acervos'!H242)</f>
        <v>1</v>
      </c>
    </row>
    <row r="243" spans="1:25" ht="15" customHeight="1" x14ac:dyDescent="0.25">
      <c r="A243" s="10" t="str">
        <f>CONCATENATE(LEFT(C243,12),"-",RIGHT(C243,2),"_",TEXT(X243,"ddmmaaaa"),"_",COUNTIF($C$2:C243,C243))</f>
        <v>052881530001-08_09032026_1</v>
      </c>
      <c r="B243" s="10" t="str">
        <f>CONCATENATE(LEFT(C243,12),"-",RIGHT(C243,2),"_",COUNTIF($C$2:C243,C243))</f>
        <v>052881530001-08_1</v>
      </c>
      <c r="C243" s="10" t="s">
        <v>2522</v>
      </c>
      <c r="D243" s="10" t="s">
        <v>6027</v>
      </c>
      <c r="E243" s="10" t="s">
        <v>1555</v>
      </c>
      <c r="F243" s="10" t="s">
        <v>1309</v>
      </c>
      <c r="G243" s="10" t="s">
        <v>2523</v>
      </c>
      <c r="H243" s="11" t="s">
        <v>2524</v>
      </c>
      <c r="I243" s="11" t="s">
        <v>2525</v>
      </c>
      <c r="J243" s="10" t="s">
        <v>1559</v>
      </c>
      <c r="K243" s="10" t="s">
        <v>1560</v>
      </c>
      <c r="L243" s="10" t="s">
        <v>1561</v>
      </c>
      <c r="M243" s="10" t="s">
        <v>6195</v>
      </c>
      <c r="N243" s="10">
        <v>40</v>
      </c>
      <c r="O243" s="11">
        <v>125</v>
      </c>
      <c r="P243" s="11">
        <v>0.125</v>
      </c>
      <c r="Q243" s="10" t="s">
        <v>1562</v>
      </c>
      <c r="R243" s="10">
        <v>80</v>
      </c>
      <c r="S243" s="12">
        <v>7</v>
      </c>
      <c r="T243" s="13">
        <v>32995</v>
      </c>
      <c r="U243" s="14">
        <v>4124.375</v>
      </c>
      <c r="V243" s="10">
        <v>6.86</v>
      </c>
      <c r="W243" s="15">
        <v>226345.7</v>
      </c>
      <c r="X243" s="29">
        <f>VLOOKUP($F243,Agendamento!$B:$J,9,0)</f>
        <v>46090</v>
      </c>
      <c r="Y243" s="6">
        <f>COUNTIF(Analise!F:F,'Obras e Acervos'!H243)</f>
        <v>1</v>
      </c>
    </row>
    <row r="244" spans="1:25" ht="15" customHeight="1" x14ac:dyDescent="0.25">
      <c r="A244" s="10" t="str">
        <f>CONCATENATE(LEFT(C244,12),"-",RIGHT(C244,2),"_",TEXT(X244,"ddmmaaaa"),"_",COUNTIF($C$2:C244,C244))</f>
        <v>016001240001-70_23022026_1</v>
      </c>
      <c r="B244" s="10" t="str">
        <f>CONCATENATE(LEFT(C244,12),"-",RIGHT(C244,2),"_",COUNTIF($C$2:C244,C244))</f>
        <v>016001240001-70_1</v>
      </c>
      <c r="C244" s="10" t="s">
        <v>2526</v>
      </c>
      <c r="D244" s="10" t="s">
        <v>6028</v>
      </c>
      <c r="E244" s="10" t="s">
        <v>1555</v>
      </c>
      <c r="F244" s="10" t="s">
        <v>707</v>
      </c>
      <c r="G244" s="10" t="s">
        <v>2527</v>
      </c>
      <c r="H244" s="11" t="s">
        <v>2528</v>
      </c>
      <c r="I244" s="11" t="s">
        <v>2529</v>
      </c>
      <c r="J244" s="10" t="s">
        <v>1559</v>
      </c>
      <c r="K244" s="10" t="s">
        <v>1560</v>
      </c>
      <c r="L244" s="10" t="s">
        <v>1561</v>
      </c>
      <c r="M244" s="10" t="s">
        <v>707</v>
      </c>
      <c r="N244" s="10">
        <v>48</v>
      </c>
      <c r="O244" s="11">
        <v>143</v>
      </c>
      <c r="P244" s="11">
        <v>0.14299999999999999</v>
      </c>
      <c r="Q244" s="10" t="s">
        <v>1562</v>
      </c>
      <c r="R244" s="10">
        <v>80</v>
      </c>
      <c r="S244" s="12">
        <v>7</v>
      </c>
      <c r="T244" s="13">
        <v>33070</v>
      </c>
      <c r="U244" s="14">
        <v>4729.0099999999993</v>
      </c>
      <c r="V244" s="10">
        <v>7.75</v>
      </c>
      <c r="W244" s="15">
        <v>256292.5</v>
      </c>
      <c r="X244" s="29">
        <f>VLOOKUP($F244,Agendamento!$B:$J,9,0)</f>
        <v>46076</v>
      </c>
      <c r="Y244" s="6">
        <f>COUNTIF(Analise!F:F,'Obras e Acervos'!H244)</f>
        <v>1</v>
      </c>
    </row>
    <row r="245" spans="1:25" ht="15" customHeight="1" x14ac:dyDescent="0.25">
      <c r="A245" s="10" t="str">
        <f>CONCATENATE(LEFT(C245,12),"-",RIGHT(C245,2),"_",TEXT(X245,"ddmmaaaa"),"_",COUNTIF($C$2:C245,C245))</f>
        <v>038785170001-76_18022026_1</v>
      </c>
      <c r="B245" s="10" t="str">
        <f>CONCATENATE(LEFT(C245,12),"-",RIGHT(C245,2),"_",COUNTIF($C$2:C245,C245))</f>
        <v>038785170001-76_1</v>
      </c>
      <c r="C245" s="10" t="s">
        <v>2530</v>
      </c>
      <c r="D245" s="10" t="s">
        <v>557</v>
      </c>
      <c r="E245" s="10" t="s">
        <v>1555</v>
      </c>
      <c r="F245" s="10" t="s">
        <v>558</v>
      </c>
      <c r="G245" s="10" t="s">
        <v>2531</v>
      </c>
      <c r="H245" s="11" t="s">
        <v>2532</v>
      </c>
      <c r="I245" s="11" t="s">
        <v>2533</v>
      </c>
      <c r="J245" s="10" t="s">
        <v>1559</v>
      </c>
      <c r="K245" s="10" t="s">
        <v>1560</v>
      </c>
      <c r="L245" s="10" t="s">
        <v>1561</v>
      </c>
      <c r="M245" s="10" t="s">
        <v>558</v>
      </c>
      <c r="N245" s="10">
        <v>64</v>
      </c>
      <c r="O245" s="11">
        <v>173</v>
      </c>
      <c r="P245" s="11">
        <v>0.17299999999999999</v>
      </c>
      <c r="Q245" s="10" t="s">
        <v>1599</v>
      </c>
      <c r="R245" s="10">
        <v>80</v>
      </c>
      <c r="S245" s="12">
        <v>7</v>
      </c>
      <c r="T245" s="13">
        <v>43145</v>
      </c>
      <c r="U245" s="14">
        <v>7464.0849999999991</v>
      </c>
      <c r="V245" s="10">
        <v>8.23</v>
      </c>
      <c r="W245" s="15">
        <v>355083.35000000003</v>
      </c>
      <c r="X245" s="29">
        <f>VLOOKUP($F245,Agendamento!$B:$J,9,0)</f>
        <v>46071</v>
      </c>
      <c r="Y245" s="6">
        <f>COUNTIF(Analise!F:F,'Obras e Acervos'!H245)</f>
        <v>1</v>
      </c>
    </row>
    <row r="246" spans="1:25" ht="15" customHeight="1" x14ac:dyDescent="0.25">
      <c r="A246" s="10" t="str">
        <f>CONCATENATE(LEFT(C246,12),"-",RIGHT(C246,2),"_",TEXT(X246,"ddmmaaaa"),"_",COUNTIF($C$2:C246,C246))</f>
        <v>132672950001-09_16032026_1</v>
      </c>
      <c r="B246" s="10" t="str">
        <f>CONCATENATE(LEFT(C246,12),"-",RIGHT(C246,2),"_",COUNTIF($C$2:C246,C246))</f>
        <v>132672950001-09_1</v>
      </c>
      <c r="C246" s="10" t="s">
        <v>2534</v>
      </c>
      <c r="D246" s="10" t="s">
        <v>846</v>
      </c>
      <c r="E246" s="10" t="s">
        <v>1555</v>
      </c>
      <c r="F246" s="10" t="s">
        <v>1434</v>
      </c>
      <c r="G246" s="10" t="s">
        <v>2535</v>
      </c>
      <c r="H246" s="11" t="s">
        <v>2536</v>
      </c>
      <c r="I246" s="11" t="s">
        <v>2537</v>
      </c>
      <c r="J246" s="10" t="s">
        <v>1559</v>
      </c>
      <c r="K246" s="10" t="s">
        <v>1560</v>
      </c>
      <c r="L246" s="10" t="s">
        <v>1561</v>
      </c>
      <c r="M246" s="10" t="s">
        <v>6196</v>
      </c>
      <c r="N246" s="10">
        <v>32</v>
      </c>
      <c r="O246" s="11">
        <v>105</v>
      </c>
      <c r="P246" s="11">
        <v>0.105</v>
      </c>
      <c r="Q246" s="10" t="s">
        <v>1562</v>
      </c>
      <c r="R246" s="10">
        <v>80</v>
      </c>
      <c r="S246" s="12">
        <v>7</v>
      </c>
      <c r="T246" s="13">
        <v>34267</v>
      </c>
      <c r="U246" s="14">
        <v>3598.0349999999999</v>
      </c>
      <c r="V246" s="10">
        <v>5.91</v>
      </c>
      <c r="W246" s="15">
        <v>202517.97</v>
      </c>
      <c r="X246" s="29">
        <f>VLOOKUP($F246,Agendamento!$B:$J,9,0)</f>
        <v>46097</v>
      </c>
      <c r="Y246" s="6">
        <f>COUNTIF(Analise!F:F,'Obras e Acervos'!H246)</f>
        <v>1</v>
      </c>
    </row>
    <row r="247" spans="1:25" ht="15" customHeight="1" x14ac:dyDescent="0.25">
      <c r="A247" s="10" t="str">
        <f>CONCATENATE(LEFT(C247,12),"-",RIGHT(C247,2),"_",TEXT(X247,"ddmmaaaa"),"_",COUNTIF($C$2:C247,C247))</f>
        <v>410340580001-33_03032026_1</v>
      </c>
      <c r="B247" s="10" t="str">
        <f>CONCATENATE(LEFT(C247,12),"-",RIGHT(C247,2),"_",COUNTIF($C$2:C247,C247))</f>
        <v>410340580001-33_1</v>
      </c>
      <c r="C247" s="10" t="s">
        <v>2538</v>
      </c>
      <c r="D247" s="10" t="s">
        <v>6029</v>
      </c>
      <c r="E247" s="10" t="s">
        <v>1555</v>
      </c>
      <c r="F247" s="10" t="s">
        <v>1173</v>
      </c>
      <c r="G247" s="10" t="s">
        <v>2539</v>
      </c>
      <c r="H247" s="11" t="s">
        <v>2540</v>
      </c>
      <c r="I247" s="11" t="s">
        <v>2541</v>
      </c>
      <c r="J247" s="10" t="s">
        <v>1559</v>
      </c>
      <c r="K247" s="10" t="s">
        <v>1560</v>
      </c>
      <c r="L247" s="10" t="s">
        <v>1561</v>
      </c>
      <c r="M247" s="10" t="s">
        <v>1173</v>
      </c>
      <c r="N247" s="10">
        <v>36</v>
      </c>
      <c r="O247" s="11">
        <v>120</v>
      </c>
      <c r="P247" s="11">
        <v>0.12</v>
      </c>
      <c r="Q247" s="10" t="s">
        <v>1562</v>
      </c>
      <c r="R247" s="10">
        <v>80</v>
      </c>
      <c r="S247" s="12">
        <v>7</v>
      </c>
      <c r="T247" s="13">
        <v>33298</v>
      </c>
      <c r="U247" s="14">
        <v>3995.7599999999998</v>
      </c>
      <c r="V247" s="10">
        <v>5.91</v>
      </c>
      <c r="W247" s="15">
        <v>196791.18</v>
      </c>
      <c r="X247" s="29">
        <f>VLOOKUP($F247,Agendamento!$B:$J,9,0)</f>
        <v>46084</v>
      </c>
      <c r="Y247" s="6">
        <f>COUNTIF(Analise!F:F,'Obras e Acervos'!H247)</f>
        <v>1</v>
      </c>
    </row>
    <row r="248" spans="1:25" ht="15" customHeight="1" x14ac:dyDescent="0.25">
      <c r="A248" s="10" t="str">
        <f>CONCATENATE(LEFT(C248,12),"-",RIGHT(C248,2),"_",TEXT(X248,"ddmmaaaa"),"_",COUNTIF($C$2:C248,C248))</f>
        <v>442288440001-60_13032026_1</v>
      </c>
      <c r="B248" s="10" t="str">
        <f>CONCATENATE(LEFT(C248,12),"-",RIGHT(C248,2),"_",COUNTIF($C$2:C248,C248))</f>
        <v>442288440001-60_1</v>
      </c>
      <c r="C248" s="10" t="s">
        <v>2542</v>
      </c>
      <c r="D248" s="10" t="s">
        <v>6030</v>
      </c>
      <c r="E248" s="10" t="s">
        <v>1555</v>
      </c>
      <c r="F248" s="10" t="s">
        <v>1453</v>
      </c>
      <c r="G248" s="10" t="s">
        <v>2543</v>
      </c>
      <c r="H248" s="11" t="s">
        <v>2544</v>
      </c>
      <c r="I248" s="11" t="s">
        <v>2545</v>
      </c>
      <c r="J248" s="10" t="s">
        <v>1559</v>
      </c>
      <c r="K248" s="10" t="s">
        <v>1560</v>
      </c>
      <c r="L248" s="10" t="s">
        <v>1561</v>
      </c>
      <c r="M248" s="10" t="s">
        <v>1453</v>
      </c>
      <c r="N248" s="10">
        <v>32</v>
      </c>
      <c r="O248" s="11">
        <v>77</v>
      </c>
      <c r="P248" s="11">
        <v>7.6999999999999999E-2</v>
      </c>
      <c r="Q248" s="10" t="s">
        <v>1562</v>
      </c>
      <c r="R248" s="10">
        <v>80</v>
      </c>
      <c r="S248" s="12">
        <v>7</v>
      </c>
      <c r="T248" s="13">
        <v>36176</v>
      </c>
      <c r="U248" s="14">
        <v>2785.5520000000001</v>
      </c>
      <c r="V248" s="10">
        <v>5.87</v>
      </c>
      <c r="W248" s="15">
        <v>212353.12</v>
      </c>
      <c r="X248" s="29">
        <f>VLOOKUP($F248,Agendamento!$B:$J,9,0)</f>
        <v>46094</v>
      </c>
      <c r="Y248" s="6">
        <f>COUNTIF(Analise!F:F,'Obras e Acervos'!H248)</f>
        <v>1</v>
      </c>
    </row>
    <row r="249" spans="1:25" ht="15" customHeight="1" x14ac:dyDescent="0.25">
      <c r="A249" s="10" t="str">
        <f>CONCATENATE(LEFT(C249,12),"-",RIGHT(C249,2),"_",TEXT(X249,"ddmmaaaa"),"_",COUNTIF($C$2:C249,C249))</f>
        <v>442293190001-69_13032026_1</v>
      </c>
      <c r="B249" s="10" t="str">
        <f>CONCATENATE(LEFT(C249,12),"-",RIGHT(C249,2),"_",COUNTIF($C$2:C249,C249))</f>
        <v>442293190001-69_1</v>
      </c>
      <c r="C249" s="10" t="s">
        <v>2546</v>
      </c>
      <c r="D249" s="10" t="s">
        <v>6031</v>
      </c>
      <c r="E249" s="10" t="s">
        <v>1555</v>
      </c>
      <c r="F249" s="10" t="s">
        <v>1454</v>
      </c>
      <c r="G249" s="10" t="s">
        <v>2547</v>
      </c>
      <c r="H249" s="11" t="s">
        <v>2548</v>
      </c>
      <c r="I249" s="11" t="s">
        <v>2549</v>
      </c>
      <c r="J249" s="10" t="s">
        <v>1559</v>
      </c>
      <c r="K249" s="10" t="s">
        <v>1560</v>
      </c>
      <c r="L249" s="10" t="s">
        <v>1561</v>
      </c>
      <c r="M249" s="10" t="s">
        <v>1454</v>
      </c>
      <c r="N249" s="10">
        <v>32</v>
      </c>
      <c r="O249" s="11">
        <v>77</v>
      </c>
      <c r="P249" s="11">
        <v>7.6999999999999999E-2</v>
      </c>
      <c r="Q249" s="10" t="s">
        <v>1562</v>
      </c>
      <c r="R249" s="10">
        <v>80</v>
      </c>
      <c r="S249" s="12">
        <v>7</v>
      </c>
      <c r="T249" s="13">
        <v>40873</v>
      </c>
      <c r="U249" s="14">
        <v>3147.221</v>
      </c>
      <c r="V249" s="10">
        <v>5.43</v>
      </c>
      <c r="W249" s="15">
        <v>221940.38999999998</v>
      </c>
      <c r="X249" s="29">
        <f>VLOOKUP($F249,Agendamento!$B:$J,9,0)</f>
        <v>46094</v>
      </c>
      <c r="Y249" s="6">
        <f>COUNTIF(Analise!F:F,'Obras e Acervos'!H249)</f>
        <v>1</v>
      </c>
    </row>
    <row r="250" spans="1:25" ht="15" customHeight="1" x14ac:dyDescent="0.25">
      <c r="A250" s="10" t="str">
        <f>CONCATENATE(LEFT(C250,12),"-",RIGHT(C250,2),"_",TEXT(X250,"ddmmaaaa"),"_",COUNTIF($C$2:C250,C250))</f>
        <v>763419570001-63_05032026_1</v>
      </c>
      <c r="B250" s="10" t="str">
        <f>CONCATENATE(LEFT(C250,12),"-",RIGHT(C250,2),"_",COUNTIF($C$2:C250,C250))</f>
        <v>763419570001-63_1</v>
      </c>
      <c r="C250" s="10" t="s">
        <v>2550</v>
      </c>
      <c r="D250" s="10" t="s">
        <v>1169</v>
      </c>
      <c r="E250" s="10" t="s">
        <v>1555</v>
      </c>
      <c r="F250" s="10" t="s">
        <v>1170</v>
      </c>
      <c r="G250" s="10" t="s">
        <v>2551</v>
      </c>
      <c r="H250" s="11" t="s">
        <v>2552</v>
      </c>
      <c r="I250" s="11" t="s">
        <v>2553</v>
      </c>
      <c r="J250" s="10" t="s">
        <v>1559</v>
      </c>
      <c r="K250" s="10" t="s">
        <v>1560</v>
      </c>
      <c r="L250" s="10" t="s">
        <v>1561</v>
      </c>
      <c r="M250" s="10" t="s">
        <v>1170</v>
      </c>
      <c r="N250" s="10">
        <v>36</v>
      </c>
      <c r="O250" s="11">
        <v>120</v>
      </c>
      <c r="P250" s="11">
        <v>0.12</v>
      </c>
      <c r="Q250" s="10" t="s">
        <v>1562</v>
      </c>
      <c r="R250" s="10">
        <v>80</v>
      </c>
      <c r="S250" s="12">
        <v>7</v>
      </c>
      <c r="T250" s="13">
        <v>41600</v>
      </c>
      <c r="U250" s="14">
        <v>4992</v>
      </c>
      <c r="V250" s="10">
        <v>5.83</v>
      </c>
      <c r="W250" s="15">
        <v>242528</v>
      </c>
      <c r="X250" s="29">
        <f>VLOOKUP($F250,Agendamento!$B:$J,9,0)</f>
        <v>46086</v>
      </c>
      <c r="Y250" s="6">
        <f>COUNTIF(Analise!F:F,'Obras e Acervos'!H250)</f>
        <v>1</v>
      </c>
    </row>
    <row r="251" spans="1:25" ht="15" customHeight="1" x14ac:dyDescent="0.25">
      <c r="A251" s="10" t="str">
        <f>CONCATENATE(LEFT(C251,12),"-",RIGHT(C251,2),"_",TEXT(X251,"ddmmaaaa"),"_",COUNTIF($C$2:C251,C251))</f>
        <v>141743050001-24_26022026_1</v>
      </c>
      <c r="B251" s="10" t="str">
        <f>CONCATENATE(LEFT(C251,12),"-",RIGHT(C251,2),"_",COUNTIF($C$2:C251,C251))</f>
        <v>141743050001-24_1</v>
      </c>
      <c r="C251" s="10" t="s">
        <v>2554</v>
      </c>
      <c r="D251" s="10" t="s">
        <v>6032</v>
      </c>
      <c r="E251" s="10" t="s">
        <v>1555</v>
      </c>
      <c r="F251" s="10" t="s">
        <v>1200</v>
      </c>
      <c r="G251" s="10" t="s">
        <v>2555</v>
      </c>
      <c r="H251" s="11" t="s">
        <v>2556</v>
      </c>
      <c r="I251" s="11" t="s">
        <v>2557</v>
      </c>
      <c r="J251" s="10" t="s">
        <v>1559</v>
      </c>
      <c r="K251" s="10" t="s">
        <v>1560</v>
      </c>
      <c r="L251" s="10" t="s">
        <v>1561</v>
      </c>
      <c r="M251" s="10" t="s">
        <v>1200</v>
      </c>
      <c r="N251" s="10">
        <v>40</v>
      </c>
      <c r="O251" s="11">
        <v>120</v>
      </c>
      <c r="P251" s="11">
        <v>0.12</v>
      </c>
      <c r="Q251" s="10" t="s">
        <v>1562</v>
      </c>
      <c r="R251" s="10">
        <v>80</v>
      </c>
      <c r="S251" s="12">
        <v>7</v>
      </c>
      <c r="T251" s="13">
        <v>33343</v>
      </c>
      <c r="U251" s="14">
        <v>4001.16</v>
      </c>
      <c r="V251" s="10">
        <v>6.83</v>
      </c>
      <c r="W251" s="15">
        <v>227732.69</v>
      </c>
      <c r="X251" s="29">
        <f>VLOOKUP($F251,Agendamento!$B:$J,9,0)</f>
        <v>46079</v>
      </c>
      <c r="Y251" s="6">
        <f>COUNTIF(Analise!F:F,'Obras e Acervos'!H251)</f>
        <v>1</v>
      </c>
    </row>
    <row r="252" spans="1:25" ht="15" customHeight="1" x14ac:dyDescent="0.25">
      <c r="A252" s="10" t="str">
        <f>CONCATENATE(LEFT(C252,12),"-",RIGHT(C252,2),"_",TEXT(X252,"ddmmaaaa"),"_",COUNTIF($C$2:C252,C252))</f>
        <v>640355610001-09_27012026_1</v>
      </c>
      <c r="B252" s="10" t="str">
        <f>CONCATENATE(LEFT(C252,12),"-",RIGHT(C252,2),"_",COUNTIF($C$2:C252,C252))</f>
        <v>640355610001-09_1</v>
      </c>
      <c r="C252" s="21" t="s">
        <v>2558</v>
      </c>
      <c r="D252" s="10" t="s">
        <v>6033</v>
      </c>
      <c r="E252" s="10" t="s">
        <v>1555</v>
      </c>
      <c r="F252" s="10" t="s">
        <v>58</v>
      </c>
      <c r="G252" s="10" t="s">
        <v>2559</v>
      </c>
      <c r="H252" s="22" t="s">
        <v>2560</v>
      </c>
      <c r="I252" s="27" t="s">
        <v>2561</v>
      </c>
      <c r="J252" s="10" t="s">
        <v>1559</v>
      </c>
      <c r="K252" s="10" t="s">
        <v>1560</v>
      </c>
      <c r="L252" s="10" t="s">
        <v>1561</v>
      </c>
      <c r="M252" s="10" t="s">
        <v>58</v>
      </c>
      <c r="N252" s="10">
        <v>64</v>
      </c>
      <c r="O252" s="11">
        <v>92</v>
      </c>
      <c r="P252" s="22">
        <v>9.1999999999999998E-2</v>
      </c>
      <c r="Q252" s="10" t="s">
        <v>1608</v>
      </c>
      <c r="R252" s="10">
        <v>80</v>
      </c>
      <c r="S252" s="12">
        <v>3</v>
      </c>
      <c r="T252" s="23">
        <v>86938</v>
      </c>
      <c r="U252" s="24">
        <v>7998.2960000000003</v>
      </c>
      <c r="V252" s="10">
        <v>6.83</v>
      </c>
      <c r="W252" s="15">
        <v>229494.83000000002</v>
      </c>
      <c r="X252" s="29">
        <f>VLOOKUP($F252,Agendamento!$B:$J,9,0)</f>
        <v>46049</v>
      </c>
      <c r="Y252" s="6">
        <f>COUNTIF(Analise!F:F,'Obras e Acervos'!H252)</f>
        <v>1</v>
      </c>
    </row>
    <row r="253" spans="1:25" ht="15" customHeight="1" x14ac:dyDescent="0.25">
      <c r="A253" s="10" t="str">
        <f>CONCATENATE(LEFT(C253,12),"-",RIGHT(C253,2),"_",TEXT(X253,"ddmmaaaa"),"_",COUNTIF($C$2:C253,C253))</f>
        <v>037681350001-90_24022026_1</v>
      </c>
      <c r="B253" s="10" t="str">
        <f>CONCATENATE(LEFT(C253,12),"-",RIGHT(C253,2),"_",COUNTIF($C$2:C253,C253))</f>
        <v>037681350001-90_1</v>
      </c>
      <c r="C253" s="10" t="s">
        <v>2562</v>
      </c>
      <c r="D253" s="10" t="s">
        <v>6034</v>
      </c>
      <c r="E253" s="10" t="s">
        <v>1555</v>
      </c>
      <c r="F253" s="10" t="s">
        <v>799</v>
      </c>
      <c r="G253" s="10" t="s">
        <v>2563</v>
      </c>
      <c r="H253" s="11" t="s">
        <v>2564</v>
      </c>
      <c r="I253" s="11" t="s">
        <v>2565</v>
      </c>
      <c r="J253" s="10" t="s">
        <v>1559</v>
      </c>
      <c r="K253" s="10" t="s">
        <v>1560</v>
      </c>
      <c r="L253" s="10" t="s">
        <v>1561</v>
      </c>
      <c r="M253" s="10" t="s">
        <v>799</v>
      </c>
      <c r="N253" s="10">
        <v>36</v>
      </c>
      <c r="O253" s="11">
        <v>110</v>
      </c>
      <c r="P253" s="11">
        <v>0.11</v>
      </c>
      <c r="Q253" s="10" t="s">
        <v>1562</v>
      </c>
      <c r="R253" s="10">
        <v>80</v>
      </c>
      <c r="S253" s="12">
        <v>7</v>
      </c>
      <c r="T253" s="13">
        <v>33328</v>
      </c>
      <c r="U253" s="14">
        <v>3666.08</v>
      </c>
      <c r="V253" s="10">
        <v>6.4</v>
      </c>
      <c r="W253" s="15">
        <v>213299.20000000001</v>
      </c>
      <c r="X253" s="29">
        <f>VLOOKUP($F253,Agendamento!$B:$J,9,0)</f>
        <v>46077</v>
      </c>
      <c r="Y253" s="6">
        <f>COUNTIF(Analise!F:F,'Obras e Acervos'!H253)</f>
        <v>1</v>
      </c>
    </row>
    <row r="254" spans="1:25" ht="15" customHeight="1" x14ac:dyDescent="0.25">
      <c r="A254" s="10" t="str">
        <f>CONCATENATE(LEFT(C254,12),"-",RIGHT(C254,2),"_",TEXT(X254,"ddmmaaaa"),"_",COUNTIF($C$2:C254,C254))</f>
        <v>435963310001-49_03032026_1</v>
      </c>
      <c r="B254" s="10" t="str">
        <f>CONCATENATE(LEFT(C254,12),"-",RIGHT(C254,2),"_",COUNTIF($C$2:C254,C254))</f>
        <v>435963310001-49_1</v>
      </c>
      <c r="C254" s="10" t="s">
        <v>2566</v>
      </c>
      <c r="D254" s="10" t="s">
        <v>6035</v>
      </c>
      <c r="E254" s="10" t="s">
        <v>1555</v>
      </c>
      <c r="F254" s="10" t="s">
        <v>1141</v>
      </c>
      <c r="G254" s="10" t="s">
        <v>2567</v>
      </c>
      <c r="H254" s="11" t="s">
        <v>2568</v>
      </c>
      <c r="I254" s="11" t="s">
        <v>2569</v>
      </c>
      <c r="J254" s="10" t="s">
        <v>1559</v>
      </c>
      <c r="K254" s="10" t="s">
        <v>1560</v>
      </c>
      <c r="L254" s="10" t="s">
        <v>1561</v>
      </c>
      <c r="M254" s="10" t="s">
        <v>6197</v>
      </c>
      <c r="N254" s="10">
        <v>112</v>
      </c>
      <c r="O254" s="11">
        <v>295</v>
      </c>
      <c r="P254" s="11">
        <v>0.29499999999999998</v>
      </c>
      <c r="Q254" s="10" t="s">
        <v>1562</v>
      </c>
      <c r="R254" s="10">
        <v>80</v>
      </c>
      <c r="S254" s="12">
        <v>7</v>
      </c>
      <c r="T254" s="13">
        <v>34040</v>
      </c>
      <c r="U254" s="14">
        <v>10041.799999999999</v>
      </c>
      <c r="V254" s="10">
        <v>14.84</v>
      </c>
      <c r="W254" s="15">
        <v>505153.6</v>
      </c>
      <c r="X254" s="29">
        <f>VLOOKUP($F254,Agendamento!$B:$J,9,0)</f>
        <v>46084</v>
      </c>
      <c r="Y254" s="6">
        <f>COUNTIF(Analise!F:F,'Obras e Acervos'!H254)</f>
        <v>1</v>
      </c>
    </row>
    <row r="255" spans="1:25" ht="15" customHeight="1" x14ac:dyDescent="0.25">
      <c r="A255" s="10" t="str">
        <f>CONCATENATE(LEFT(C255,12),"-",RIGHT(C255,2),"_",TEXT(X255,"ddmmaaaa"),"_",COUNTIF($C$2:C255,C255))</f>
        <v>048643160001-82_16032026_1</v>
      </c>
      <c r="B255" s="10" t="str">
        <f>CONCATENATE(LEFT(C255,12),"-",RIGHT(C255,2),"_",COUNTIF($C$2:C255,C255))</f>
        <v>048643160001-82_1</v>
      </c>
      <c r="C255" s="10" t="s">
        <v>2570</v>
      </c>
      <c r="D255" s="10" t="s">
        <v>167</v>
      </c>
      <c r="E255" s="10" t="s">
        <v>1555</v>
      </c>
      <c r="F255" s="10" t="s">
        <v>1466</v>
      </c>
      <c r="G255" s="10" t="s">
        <v>2571</v>
      </c>
      <c r="H255" s="11" t="s">
        <v>2572</v>
      </c>
      <c r="I255" s="11" t="s">
        <v>2573</v>
      </c>
      <c r="J255" s="10" t="s">
        <v>1559</v>
      </c>
      <c r="K255" s="10" t="s">
        <v>1560</v>
      </c>
      <c r="L255" s="10" t="s">
        <v>1561</v>
      </c>
      <c r="M255" s="10" t="s">
        <v>1466</v>
      </c>
      <c r="N255" s="10">
        <v>24</v>
      </c>
      <c r="O255" s="11">
        <v>50</v>
      </c>
      <c r="P255" s="11">
        <v>0.05</v>
      </c>
      <c r="Q255" s="10" t="s">
        <v>1608</v>
      </c>
      <c r="R255" s="10">
        <v>80</v>
      </c>
      <c r="S255" s="12">
        <v>7</v>
      </c>
      <c r="T255" s="13">
        <v>33116</v>
      </c>
      <c r="U255" s="14">
        <v>1655.8000000000002</v>
      </c>
      <c r="V255" s="10">
        <v>4.38</v>
      </c>
      <c r="W255" s="15">
        <v>145048.07999999999</v>
      </c>
      <c r="X255" s="29">
        <f>VLOOKUP($F255,Agendamento!$B:$J,9,0)</f>
        <v>46097</v>
      </c>
      <c r="Y255" s="6">
        <f>COUNTIF(Analise!F:F,'Obras e Acervos'!H255)</f>
        <v>1</v>
      </c>
    </row>
    <row r="256" spans="1:25" ht="15" customHeight="1" x14ac:dyDescent="0.25">
      <c r="A256" s="10" t="str">
        <f>CONCATENATE(LEFT(C256,12),"-",RIGHT(C256,2),"_",TEXT(X256,"ddmmaaaa"),"_",COUNTIF($C$2:C256,C256))</f>
        <v>293414670001-87_09032026_1</v>
      </c>
      <c r="B256" s="10" t="str">
        <f>CONCATENATE(LEFT(C256,12),"-",RIGHT(C256,2),"_",COUNTIF($C$2:C256,C256))</f>
        <v>293414670001-87_1</v>
      </c>
      <c r="C256" s="10" t="s">
        <v>2574</v>
      </c>
      <c r="D256" s="10" t="s">
        <v>6036</v>
      </c>
      <c r="E256" s="10" t="s">
        <v>1555</v>
      </c>
      <c r="F256" s="10" t="s">
        <v>1324</v>
      </c>
      <c r="G256" s="10" t="s">
        <v>2575</v>
      </c>
      <c r="H256" s="11" t="s">
        <v>2576</v>
      </c>
      <c r="I256" s="11" t="s">
        <v>2577</v>
      </c>
      <c r="J256" s="10" t="s">
        <v>1559</v>
      </c>
      <c r="K256" s="10" t="s">
        <v>1560</v>
      </c>
      <c r="L256" s="10" t="s">
        <v>1561</v>
      </c>
      <c r="M256" s="10" t="s">
        <v>1324</v>
      </c>
      <c r="N256" s="10">
        <v>40</v>
      </c>
      <c r="O256" s="11">
        <v>96</v>
      </c>
      <c r="P256" s="11">
        <v>9.6000000000000002E-2</v>
      </c>
      <c r="Q256" s="10" t="s">
        <v>1562</v>
      </c>
      <c r="R256" s="10">
        <v>80</v>
      </c>
      <c r="S256" s="12">
        <v>7</v>
      </c>
      <c r="T256" s="13">
        <v>33404</v>
      </c>
      <c r="U256" s="14">
        <v>3206.7840000000001</v>
      </c>
      <c r="V256" s="10">
        <v>6.83</v>
      </c>
      <c r="W256" s="15">
        <v>228149.32</v>
      </c>
      <c r="X256" s="29">
        <f>VLOOKUP($F256,Agendamento!$B:$J,9,0)</f>
        <v>46090</v>
      </c>
      <c r="Y256" s="6">
        <f>COUNTIF(Analise!F:F,'Obras e Acervos'!H256)</f>
        <v>1</v>
      </c>
    </row>
    <row r="257" spans="1:25" ht="15" customHeight="1" x14ac:dyDescent="0.25">
      <c r="A257" s="10" t="str">
        <f>CONCATENATE(LEFT(C257,12),"-",RIGHT(C257,2),"_",TEXT(X257,"ddmmaaaa"),"_",COUNTIF($C$2:C257,C257))</f>
        <v>434142770001-73_26022026_1</v>
      </c>
      <c r="B257" s="10" t="str">
        <f>CONCATENATE(LEFT(C257,12),"-",RIGHT(C257,2),"_",COUNTIF($C$2:C257,C257))</f>
        <v>434142770001-73_1</v>
      </c>
      <c r="C257" s="10" t="s">
        <v>2578</v>
      </c>
      <c r="D257" s="10" t="s">
        <v>1110</v>
      </c>
      <c r="E257" s="10" t="s">
        <v>1555</v>
      </c>
      <c r="F257" s="10" t="s">
        <v>1200</v>
      </c>
      <c r="G257" s="10" t="s">
        <v>2579</v>
      </c>
      <c r="H257" s="11" t="s">
        <v>2580</v>
      </c>
      <c r="I257" s="11" t="s">
        <v>2581</v>
      </c>
      <c r="J257" s="10" t="s">
        <v>1559</v>
      </c>
      <c r="K257" s="10" t="s">
        <v>1560</v>
      </c>
      <c r="L257" s="10" t="s">
        <v>1561</v>
      </c>
      <c r="M257" s="10" t="s">
        <v>1200</v>
      </c>
      <c r="N257" s="10">
        <v>24</v>
      </c>
      <c r="O257" s="11">
        <v>68</v>
      </c>
      <c r="P257" s="11">
        <v>6.8000000000000005E-2</v>
      </c>
      <c r="Q257" s="10" t="s">
        <v>1599</v>
      </c>
      <c r="R257" s="10">
        <v>80</v>
      </c>
      <c r="S257" s="12">
        <v>7</v>
      </c>
      <c r="T257" s="13">
        <v>36085</v>
      </c>
      <c r="U257" s="14">
        <v>2453.7800000000002</v>
      </c>
      <c r="V257" s="10">
        <v>4.97</v>
      </c>
      <c r="W257" s="15">
        <v>179342.44999999998</v>
      </c>
      <c r="X257" s="29">
        <f>VLOOKUP($F257,Agendamento!$B:$J,9,0)</f>
        <v>46079</v>
      </c>
      <c r="Y257" s="6">
        <f>COUNTIF(Analise!F:F,'Obras e Acervos'!H257)</f>
        <v>1</v>
      </c>
    </row>
    <row r="258" spans="1:25" ht="15" customHeight="1" x14ac:dyDescent="0.25">
      <c r="A258" s="10" t="str">
        <f>CONCATENATE(LEFT(C258,12),"-",RIGHT(C258,2),"_",TEXT(X258,"ddmmaaaa"),"_",COUNTIF($C$2:C258,C258))</f>
        <v>200001830001-52_11022026_1</v>
      </c>
      <c r="B258" s="10" t="str">
        <f>CONCATENATE(LEFT(C258,12),"-",RIGHT(C258,2),"_",COUNTIF($C$2:C258,C258))</f>
        <v>200001830001-52_1</v>
      </c>
      <c r="C258" s="10" t="s">
        <v>2582</v>
      </c>
      <c r="D258" s="10" t="s">
        <v>305</v>
      </c>
      <c r="E258" s="10" t="s">
        <v>1555</v>
      </c>
      <c r="F258" s="10" t="s">
        <v>308</v>
      </c>
      <c r="G258" s="10" t="s">
        <v>2583</v>
      </c>
      <c r="H258" s="11" t="s">
        <v>2584</v>
      </c>
      <c r="I258" s="11" t="s">
        <v>2585</v>
      </c>
      <c r="J258" s="10" t="s">
        <v>1559</v>
      </c>
      <c r="K258" s="10" t="s">
        <v>1560</v>
      </c>
      <c r="L258" s="10" t="s">
        <v>1561</v>
      </c>
      <c r="M258" s="10" t="s">
        <v>2586</v>
      </c>
      <c r="N258" s="10">
        <v>40</v>
      </c>
      <c r="O258" s="11">
        <v>120</v>
      </c>
      <c r="P258" s="11">
        <v>0.12</v>
      </c>
      <c r="Q258" s="10" t="s">
        <v>1562</v>
      </c>
      <c r="R258" s="10">
        <v>80</v>
      </c>
      <c r="S258" s="12">
        <v>7</v>
      </c>
      <c r="T258" s="13">
        <v>39964</v>
      </c>
      <c r="U258" s="14">
        <v>4795.6799999999994</v>
      </c>
      <c r="V258" s="10">
        <v>6.27</v>
      </c>
      <c r="W258" s="15">
        <v>250574.27999999997</v>
      </c>
      <c r="X258" s="29">
        <f>VLOOKUP($F258,Agendamento!$B:$J,9,0)</f>
        <v>46064</v>
      </c>
      <c r="Y258" s="6">
        <f>COUNTIF(Analise!F:F,'Obras e Acervos'!H258)</f>
        <v>1</v>
      </c>
    </row>
    <row r="259" spans="1:25" ht="15" customHeight="1" x14ac:dyDescent="0.25">
      <c r="A259" s="10" t="str">
        <f>CONCATENATE(LEFT(C259,12),"-",RIGHT(C259,2),"_",TEXT(X259,"ddmmaaaa"),"_",COUNTIF($C$2:C259,C259))</f>
        <v>016021770001-20_12022026_1</v>
      </c>
      <c r="B259" s="10" t="str">
        <f>CONCATENATE(LEFT(C259,12),"-",RIGHT(C259,2),"_",COUNTIF($C$2:C259,C259))</f>
        <v>016021770001-20_1</v>
      </c>
      <c r="C259" s="10" t="s">
        <v>2587</v>
      </c>
      <c r="D259" s="10" t="s">
        <v>6037</v>
      </c>
      <c r="E259" s="10" t="s">
        <v>1555</v>
      </c>
      <c r="F259" s="10" t="s">
        <v>405</v>
      </c>
      <c r="G259" s="10" t="s">
        <v>2588</v>
      </c>
      <c r="H259" s="11" t="s">
        <v>2589</v>
      </c>
      <c r="I259" s="11" t="s">
        <v>2590</v>
      </c>
      <c r="J259" s="10" t="s">
        <v>1559</v>
      </c>
      <c r="K259" s="10" t="s">
        <v>1560</v>
      </c>
      <c r="L259" s="10" t="s">
        <v>1561</v>
      </c>
      <c r="M259" s="10" t="s">
        <v>405</v>
      </c>
      <c r="N259" s="10">
        <v>32</v>
      </c>
      <c r="O259" s="11">
        <v>94</v>
      </c>
      <c r="P259" s="11">
        <v>9.4E-2</v>
      </c>
      <c r="Q259" s="10" t="s">
        <v>1562</v>
      </c>
      <c r="R259" s="10">
        <v>75</v>
      </c>
      <c r="S259" s="12">
        <v>7</v>
      </c>
      <c r="T259" s="13">
        <v>34358</v>
      </c>
      <c r="U259" s="14">
        <v>3229.652</v>
      </c>
      <c r="V259" s="10">
        <v>5.83</v>
      </c>
      <c r="W259" s="15">
        <v>200307.14</v>
      </c>
      <c r="X259" s="29">
        <f>VLOOKUP($F259,Agendamento!$B:$J,9,0)</f>
        <v>46065</v>
      </c>
      <c r="Y259" s="6">
        <f>COUNTIF(Analise!F:F,'Obras e Acervos'!H259)</f>
        <v>1</v>
      </c>
    </row>
    <row r="260" spans="1:25" ht="15" customHeight="1" x14ac:dyDescent="0.25">
      <c r="A260" s="10" t="str">
        <f>CONCATENATE(LEFT(C260,12),"-",RIGHT(C260,2),"_",TEXT(X260,"ddmmaaaa"),"_",COUNTIF($C$2:C260,C260))</f>
        <v>243638320001-30_13022026_2</v>
      </c>
      <c r="B260" s="10" t="str">
        <f>CONCATENATE(LEFT(C260,12),"-",RIGHT(C260,2),"_",COUNTIF($C$2:C260,C260))</f>
        <v>243638320001-30_2</v>
      </c>
      <c r="C260" s="11" t="s">
        <v>2331</v>
      </c>
      <c r="D260" s="11" t="s">
        <v>5999</v>
      </c>
      <c r="E260" s="11" t="s">
        <v>1574</v>
      </c>
      <c r="F260" s="11" t="s">
        <v>495</v>
      </c>
      <c r="G260" s="11" t="s">
        <v>2591</v>
      </c>
      <c r="H260" s="11" t="s">
        <v>2592</v>
      </c>
      <c r="I260" s="11" t="s">
        <v>2593</v>
      </c>
      <c r="J260" s="11" t="s">
        <v>1559</v>
      </c>
      <c r="K260" s="11" t="s">
        <v>1560</v>
      </c>
      <c r="L260" s="11" t="s">
        <v>1578</v>
      </c>
      <c r="M260" s="10" t="s">
        <v>495</v>
      </c>
      <c r="N260" s="11">
        <v>80</v>
      </c>
      <c r="O260" s="11">
        <v>94</v>
      </c>
      <c r="P260" s="11">
        <v>9.4E-2</v>
      </c>
      <c r="Q260" s="11" t="s">
        <v>1608</v>
      </c>
      <c r="R260" s="11">
        <v>80</v>
      </c>
      <c r="S260" s="12">
        <v>12</v>
      </c>
      <c r="T260" s="25">
        <v>30752</v>
      </c>
      <c r="U260" s="14">
        <v>2890.6880000000001</v>
      </c>
      <c r="V260" s="11">
        <v>7.73</v>
      </c>
      <c r="W260" s="26">
        <v>255870.73</v>
      </c>
      <c r="X260" s="29">
        <f>VLOOKUP($F260,Agendamento!$B:$J,9,0)</f>
        <v>46066</v>
      </c>
      <c r="Y260" s="6">
        <f>COUNTIF(Analise!F:F,'Obras e Acervos'!H260)</f>
        <v>2</v>
      </c>
    </row>
    <row r="261" spans="1:25" ht="15" customHeight="1" x14ac:dyDescent="0.25">
      <c r="A261" s="10" t="str">
        <f>CONCATENATE(LEFT(C261,12),"-",RIGHT(C261,2),"_",TEXT(X261,"ddmmaaaa"),"_",COUNTIF($C$2:C261,C261))</f>
        <v>435978090001-55_28012026_2</v>
      </c>
      <c r="B261" s="10" t="str">
        <f>CONCATENATE(LEFT(C261,12),"-",RIGHT(C261,2),"_",COUNTIF($C$2:C261,C261))</f>
        <v>435978090001-55_2</v>
      </c>
      <c r="C261" s="10" t="s">
        <v>2246</v>
      </c>
      <c r="D261" s="10" t="s">
        <v>75</v>
      </c>
      <c r="E261" s="10" t="s">
        <v>1574</v>
      </c>
      <c r="F261" s="10" t="s">
        <v>77</v>
      </c>
      <c r="G261" s="10" t="s">
        <v>2594</v>
      </c>
      <c r="H261" s="11" t="s">
        <v>2595</v>
      </c>
      <c r="I261" s="11" t="s">
        <v>2596</v>
      </c>
      <c r="J261" s="10" t="s">
        <v>1559</v>
      </c>
      <c r="K261" s="10" t="s">
        <v>1560</v>
      </c>
      <c r="L261" s="10" t="s">
        <v>1578</v>
      </c>
      <c r="M261" s="10" t="s">
        <v>77</v>
      </c>
      <c r="N261" s="10">
        <v>32</v>
      </c>
      <c r="O261" s="11">
        <v>105</v>
      </c>
      <c r="P261" s="11">
        <v>0.105</v>
      </c>
      <c r="Q261" s="10" t="s">
        <v>1562</v>
      </c>
      <c r="R261" s="10">
        <v>80</v>
      </c>
      <c r="S261" s="12">
        <v>12</v>
      </c>
      <c r="T261" s="13">
        <v>29115</v>
      </c>
      <c r="U261" s="14">
        <v>3057.0749999999998</v>
      </c>
      <c r="V261" s="10">
        <v>5.8</v>
      </c>
      <c r="W261" s="15">
        <v>202791.19999999998</v>
      </c>
      <c r="X261" s="29">
        <f>VLOOKUP($F261,Agendamento!$B:$J,9,0)</f>
        <v>46050</v>
      </c>
      <c r="Y261" s="6">
        <f>COUNTIF(Analise!F:F,'Obras e Acervos'!H261)</f>
        <v>1</v>
      </c>
    </row>
    <row r="262" spans="1:25" ht="15" customHeight="1" x14ac:dyDescent="0.25">
      <c r="A262" s="10" t="str">
        <f>CONCATENATE(LEFT(C262,12),"-",RIGHT(C262,2),"_",TEXT(X262,"ddmmaaaa"),"_",COUNTIF($C$2:C262,C262))</f>
        <v>435908740001-59_27022026_1</v>
      </c>
      <c r="B262" s="10" t="str">
        <f>CONCATENATE(LEFT(C262,12),"-",RIGHT(C262,2),"_",COUNTIF($C$2:C262,C262))</f>
        <v>435908740001-59_1</v>
      </c>
      <c r="C262" s="10" t="s">
        <v>2597</v>
      </c>
      <c r="D262" s="10" t="s">
        <v>1014</v>
      </c>
      <c r="E262" s="10" t="s">
        <v>1555</v>
      </c>
      <c r="F262" s="10" t="s">
        <v>1015</v>
      </c>
      <c r="G262" s="10" t="s">
        <v>2598</v>
      </c>
      <c r="H262" s="11" t="s">
        <v>2599</v>
      </c>
      <c r="I262" s="11" t="s">
        <v>2600</v>
      </c>
      <c r="J262" s="10" t="s">
        <v>1559</v>
      </c>
      <c r="K262" s="10" t="s">
        <v>1560</v>
      </c>
      <c r="L262" s="10" t="s">
        <v>1561</v>
      </c>
      <c r="M262" s="10" t="s">
        <v>1015</v>
      </c>
      <c r="N262" s="10">
        <v>28</v>
      </c>
      <c r="O262" s="11">
        <v>80</v>
      </c>
      <c r="P262" s="11">
        <v>0.08</v>
      </c>
      <c r="Q262" s="10" t="s">
        <v>1562</v>
      </c>
      <c r="R262" s="10">
        <v>75</v>
      </c>
      <c r="S262" s="12">
        <v>7</v>
      </c>
      <c r="T262" s="13">
        <v>33995</v>
      </c>
      <c r="U262" s="14">
        <v>2719.6</v>
      </c>
      <c r="V262" s="10">
        <v>5.41</v>
      </c>
      <c r="W262" s="15">
        <v>183912.95</v>
      </c>
      <c r="X262" s="29">
        <f>VLOOKUP($F262,Agendamento!$B:$J,9,0)</f>
        <v>46080</v>
      </c>
      <c r="Y262" s="6">
        <f>COUNTIF(Analise!F:F,'Obras e Acervos'!H262)</f>
        <v>1</v>
      </c>
    </row>
    <row r="263" spans="1:25" ht="15" customHeight="1" x14ac:dyDescent="0.25">
      <c r="A263" s="10" t="str">
        <f>CONCATENATE(LEFT(C263,12),"-",RIGHT(C263,2),"_",TEXT(X263,"ddmmaaaa"),"_",COUNTIF($C$2:C263,C263))</f>
        <v>430482200001-06_19022026_1</v>
      </c>
      <c r="B263" s="10" t="str">
        <f>CONCATENATE(LEFT(C263,12),"-",RIGHT(C263,2),"_",COUNTIF($C$2:C263,C263))</f>
        <v>430482200001-06_1</v>
      </c>
      <c r="C263" s="10" t="s">
        <v>2601</v>
      </c>
      <c r="D263" s="10" t="s">
        <v>626</v>
      </c>
      <c r="E263" s="10" t="s">
        <v>1555</v>
      </c>
      <c r="F263" s="10" t="s">
        <v>627</v>
      </c>
      <c r="G263" s="10" t="s">
        <v>2602</v>
      </c>
      <c r="H263" s="11" t="s">
        <v>2603</v>
      </c>
      <c r="I263" s="11" t="s">
        <v>2604</v>
      </c>
      <c r="J263" s="10" t="s">
        <v>1559</v>
      </c>
      <c r="K263" s="10" t="s">
        <v>1560</v>
      </c>
      <c r="L263" s="10" t="s">
        <v>1561</v>
      </c>
      <c r="M263" s="10" t="s">
        <v>627</v>
      </c>
      <c r="N263" s="10">
        <v>32</v>
      </c>
      <c r="O263" s="11">
        <v>110</v>
      </c>
      <c r="P263" s="11">
        <v>0.11</v>
      </c>
      <c r="Q263" s="10" t="s">
        <v>1562</v>
      </c>
      <c r="R263" s="10">
        <v>75</v>
      </c>
      <c r="S263" s="12">
        <v>7</v>
      </c>
      <c r="T263" s="13">
        <v>50175</v>
      </c>
      <c r="U263" s="14">
        <v>5519.25</v>
      </c>
      <c r="V263" s="10">
        <v>4.21</v>
      </c>
      <c r="W263" s="15">
        <v>211236.75</v>
      </c>
      <c r="X263" s="29">
        <f>VLOOKUP($F263,Agendamento!$B:$J,9,0)</f>
        <v>46072</v>
      </c>
      <c r="Y263" s="6">
        <f>COUNTIF(Analise!F:F,'Obras e Acervos'!H263)</f>
        <v>1</v>
      </c>
    </row>
    <row r="264" spans="1:25" ht="15" customHeight="1" x14ac:dyDescent="0.25">
      <c r="A264" s="10" t="str">
        <f>CONCATENATE(LEFT(C264,12),"-",RIGHT(C264,2),"_",TEXT(X264,"ddmmaaaa"),"_",COUNTIF($C$2:C264,C264))</f>
        <v>093234310001-63_10022026_1</v>
      </c>
      <c r="B264" s="10" t="str">
        <f>CONCATENATE(LEFT(C264,12),"-",RIGHT(C264,2),"_",COUNTIF($C$2:C264,C264))</f>
        <v>093234310001-63_1</v>
      </c>
      <c r="C264" s="10" t="s">
        <v>2605</v>
      </c>
      <c r="D264" s="10" t="s">
        <v>255</v>
      </c>
      <c r="E264" s="10" t="s">
        <v>1555</v>
      </c>
      <c r="F264" s="10" t="s">
        <v>256</v>
      </c>
      <c r="G264" s="10" t="s">
        <v>2606</v>
      </c>
      <c r="H264" s="11" t="s">
        <v>2607</v>
      </c>
      <c r="I264" s="11" t="s">
        <v>2608</v>
      </c>
      <c r="J264" s="10" t="s">
        <v>1559</v>
      </c>
      <c r="K264" s="10" t="s">
        <v>1560</v>
      </c>
      <c r="L264" s="10" t="s">
        <v>1561</v>
      </c>
      <c r="M264" s="10" t="s">
        <v>256</v>
      </c>
      <c r="N264" s="10">
        <v>24</v>
      </c>
      <c r="O264" s="11">
        <v>42</v>
      </c>
      <c r="P264" s="11">
        <v>4.2000000000000003E-2</v>
      </c>
      <c r="Q264" s="10" t="s">
        <v>1562</v>
      </c>
      <c r="R264" s="10">
        <v>80</v>
      </c>
      <c r="S264" s="12">
        <v>7</v>
      </c>
      <c r="T264" s="13">
        <v>33116</v>
      </c>
      <c r="U264" s="14">
        <v>1390.8720000000001</v>
      </c>
      <c r="V264" s="10">
        <v>5.07</v>
      </c>
      <c r="W264" s="15">
        <v>167898.12</v>
      </c>
      <c r="X264" s="29">
        <f>VLOOKUP($F264,Agendamento!$B:$J,9,0)</f>
        <v>46063</v>
      </c>
      <c r="Y264" s="6">
        <f>COUNTIF(Analise!F:F,'Obras e Acervos'!H264)</f>
        <v>1</v>
      </c>
    </row>
    <row r="265" spans="1:25" ht="15" customHeight="1" x14ac:dyDescent="0.25">
      <c r="A265" s="10" t="str">
        <f>CONCATENATE(LEFT(C265,12),"-",RIGHT(C265,2),"_",TEXT(X265,"ddmmaaaa"),"_",COUNTIF($C$2:C265,C265))</f>
        <v>072756370001-30_12022026_1</v>
      </c>
      <c r="B265" s="10" t="str">
        <f>CONCATENATE(LEFT(C265,12),"-",RIGHT(C265,2),"_",COUNTIF($C$2:C265,C265))</f>
        <v>072756370001-30_1</v>
      </c>
      <c r="C265" s="10" t="s">
        <v>2609</v>
      </c>
      <c r="D265" s="10" t="s">
        <v>6038</v>
      </c>
      <c r="E265" s="10" t="s">
        <v>1555</v>
      </c>
      <c r="F265" s="10" t="s">
        <v>349</v>
      </c>
      <c r="G265" s="10" t="s">
        <v>2610</v>
      </c>
      <c r="H265" s="11" t="s">
        <v>2611</v>
      </c>
      <c r="I265" s="11" t="s">
        <v>2612</v>
      </c>
      <c r="J265" s="10" t="s">
        <v>1559</v>
      </c>
      <c r="K265" s="10" t="s">
        <v>1560</v>
      </c>
      <c r="L265" s="10" t="s">
        <v>1561</v>
      </c>
      <c r="M265" s="10" t="s">
        <v>349</v>
      </c>
      <c r="N265" s="10">
        <v>32</v>
      </c>
      <c r="O265" s="11">
        <v>120</v>
      </c>
      <c r="P265" s="11">
        <v>0.12</v>
      </c>
      <c r="Q265" s="10" t="s">
        <v>1562</v>
      </c>
      <c r="R265" s="10">
        <v>80</v>
      </c>
      <c r="S265" s="12">
        <v>7</v>
      </c>
      <c r="T265" s="13">
        <v>34404</v>
      </c>
      <c r="U265" s="14">
        <v>4128.4799999999996</v>
      </c>
      <c r="V265" s="10">
        <v>5.91</v>
      </c>
      <c r="W265" s="15">
        <v>203327.64</v>
      </c>
      <c r="X265" s="29">
        <f>VLOOKUP($F265,Agendamento!$B:$J,9,0)</f>
        <v>46065</v>
      </c>
      <c r="Y265" s="6">
        <f>COUNTIF(Analise!F:F,'Obras e Acervos'!H265)</f>
        <v>1</v>
      </c>
    </row>
    <row r="266" spans="1:25" ht="15" customHeight="1" x14ac:dyDescent="0.25">
      <c r="A266" s="10" t="str">
        <f>CONCATENATE(LEFT(C266,12),"-",RIGHT(C266,2),"_",TEXT(X266,"ddmmaaaa"),"_",COUNTIF($C$2:C266,C266))</f>
        <v>297566970001-07_20022026_1</v>
      </c>
      <c r="B266" s="10" t="str">
        <f>CONCATENATE(LEFT(C266,12),"-",RIGHT(C266,2),"_",COUNTIF($C$2:C266,C266))</f>
        <v>297566970001-07_1</v>
      </c>
      <c r="C266" s="10" t="s">
        <v>2613</v>
      </c>
      <c r="D266" s="10" t="s">
        <v>6039</v>
      </c>
      <c r="E266" s="10" t="s">
        <v>1555</v>
      </c>
      <c r="F266" s="10" t="s">
        <v>683</v>
      </c>
      <c r="G266" s="10" t="s">
        <v>2614</v>
      </c>
      <c r="H266" s="11" t="s">
        <v>2615</v>
      </c>
      <c r="I266" s="11" t="s">
        <v>2616</v>
      </c>
      <c r="J266" s="10" t="s">
        <v>1559</v>
      </c>
      <c r="K266" s="10" t="s">
        <v>1560</v>
      </c>
      <c r="L266" s="10" t="s">
        <v>1561</v>
      </c>
      <c r="M266" s="10" t="s">
        <v>6198</v>
      </c>
      <c r="N266" s="10">
        <v>36</v>
      </c>
      <c r="O266" s="11">
        <v>86</v>
      </c>
      <c r="P266" s="11">
        <v>8.5999999999999993E-2</v>
      </c>
      <c r="Q266" s="10" t="s">
        <v>1599</v>
      </c>
      <c r="R266" s="10">
        <v>80</v>
      </c>
      <c r="S266" s="12">
        <v>7</v>
      </c>
      <c r="T266" s="13">
        <v>33692</v>
      </c>
      <c r="U266" s="14">
        <v>2897.5119999999997</v>
      </c>
      <c r="V266" s="10">
        <v>6.39</v>
      </c>
      <c r="W266" s="15">
        <v>215291.87999999998</v>
      </c>
      <c r="X266" s="29">
        <f>VLOOKUP($F266,Agendamento!$B:$J,9,0)</f>
        <v>46073</v>
      </c>
      <c r="Y266" s="6">
        <f>COUNTIF(Analise!F:F,'Obras e Acervos'!H266)</f>
        <v>1</v>
      </c>
    </row>
    <row r="267" spans="1:25" ht="15" customHeight="1" x14ac:dyDescent="0.25">
      <c r="A267" s="10" t="str">
        <f>CONCATENATE(LEFT(C267,12),"-",RIGHT(C267,2),"_",TEXT(X267,"ddmmaaaa"),"_",COUNTIF($C$2:C267,C267))</f>
        <v>063465660001-56_11032026_1</v>
      </c>
      <c r="B267" s="10" t="str">
        <f>CONCATENATE(LEFT(C267,12),"-",RIGHT(C267,2),"_",COUNTIF($C$2:C267,C267))</f>
        <v>063465660001-56_1</v>
      </c>
      <c r="C267" s="10" t="s">
        <v>2617</v>
      </c>
      <c r="D267" s="10" t="s">
        <v>6040</v>
      </c>
      <c r="E267" s="10" t="s">
        <v>1555</v>
      </c>
      <c r="F267" s="10" t="s">
        <v>1410</v>
      </c>
      <c r="G267" s="10" t="s">
        <v>2618</v>
      </c>
      <c r="H267" s="11" t="s">
        <v>2619</v>
      </c>
      <c r="I267" s="11" t="s">
        <v>2620</v>
      </c>
      <c r="J267" s="10" t="s">
        <v>1559</v>
      </c>
      <c r="K267" s="10" t="s">
        <v>1560</v>
      </c>
      <c r="L267" s="10" t="s">
        <v>1561</v>
      </c>
      <c r="M267" s="10" t="s">
        <v>1410</v>
      </c>
      <c r="N267" s="10">
        <v>48</v>
      </c>
      <c r="O267" s="11">
        <v>140</v>
      </c>
      <c r="P267" s="11">
        <v>0.14000000000000001</v>
      </c>
      <c r="Q267" s="10" t="s">
        <v>1599</v>
      </c>
      <c r="R267" s="10">
        <v>80</v>
      </c>
      <c r="S267" s="12">
        <v>7</v>
      </c>
      <c r="T267" s="13">
        <v>33298</v>
      </c>
      <c r="U267" s="14">
        <v>4661.72</v>
      </c>
      <c r="V267" s="10">
        <v>7.73</v>
      </c>
      <c r="W267" s="15">
        <v>257393.54</v>
      </c>
      <c r="X267" s="29">
        <f>VLOOKUP($F267,Agendamento!$B:$J,9,0)</f>
        <v>46092</v>
      </c>
      <c r="Y267" s="6">
        <f>COUNTIF(Analise!F:F,'Obras e Acervos'!H267)</f>
        <v>1</v>
      </c>
    </row>
    <row r="268" spans="1:25" ht="15" customHeight="1" x14ac:dyDescent="0.25">
      <c r="A268" s="10" t="str">
        <f>CONCATENATE(LEFT(C268,12),"-",RIGHT(C268,2),"_",TEXT(X268,"ddmmaaaa"),"_",COUNTIF($C$2:C268,C268))</f>
        <v>062220050001-45_27022026_1</v>
      </c>
      <c r="B268" s="10" t="str">
        <f>CONCATENATE(LEFT(C268,12),"-",RIGHT(C268,2),"_",COUNTIF($C$2:C268,C268))</f>
        <v>062220050001-45_1</v>
      </c>
      <c r="C268" s="10" t="s">
        <v>2621</v>
      </c>
      <c r="D268" s="10" t="s">
        <v>570</v>
      </c>
      <c r="E268" s="10" t="s">
        <v>1555</v>
      </c>
      <c r="F268" s="10" t="s">
        <v>978</v>
      </c>
      <c r="G268" s="10" t="s">
        <v>2622</v>
      </c>
      <c r="H268" s="11" t="s">
        <v>2623</v>
      </c>
      <c r="I268" s="11" t="s">
        <v>2624</v>
      </c>
      <c r="J268" s="10" t="s">
        <v>1559</v>
      </c>
      <c r="K268" s="10" t="s">
        <v>1560</v>
      </c>
      <c r="L268" s="10" t="s">
        <v>1561</v>
      </c>
      <c r="M268" s="10" t="s">
        <v>978</v>
      </c>
      <c r="N268" s="10">
        <v>48</v>
      </c>
      <c r="O268" s="11">
        <v>67</v>
      </c>
      <c r="P268" s="11">
        <v>6.7000000000000004E-2</v>
      </c>
      <c r="Q268" s="10" t="s">
        <v>1608</v>
      </c>
      <c r="R268" s="10">
        <v>80</v>
      </c>
      <c r="S268" s="12">
        <v>7</v>
      </c>
      <c r="T268" s="13">
        <v>33086</v>
      </c>
      <c r="U268" s="14">
        <v>2216.7620000000002</v>
      </c>
      <c r="V268" s="10">
        <v>6.49</v>
      </c>
      <c r="W268" s="15">
        <v>214728.14</v>
      </c>
      <c r="X268" s="29">
        <f>VLOOKUP($F268,Agendamento!$B:$J,9,0)</f>
        <v>46080</v>
      </c>
      <c r="Y268" s="6">
        <f>COUNTIF(Analise!F:F,'Obras e Acervos'!H268)</f>
        <v>1</v>
      </c>
    </row>
    <row r="269" spans="1:25" ht="15" customHeight="1" x14ac:dyDescent="0.25">
      <c r="A269" s="10" t="str">
        <f>CONCATENATE(LEFT(C269,12),"-",RIGHT(C269,2),"_",TEXT(X269,"ddmmaaaa"),"_",COUNTIF($C$2:C269,C269))</f>
        <v>444120450001-49_26022026_1</v>
      </c>
      <c r="B269" s="10" t="str">
        <f>CONCATENATE(LEFT(C269,12),"-",RIGHT(C269,2),"_",COUNTIF($C$2:C269,C269))</f>
        <v>444120450001-49_1</v>
      </c>
      <c r="C269" s="10" t="s">
        <v>2625</v>
      </c>
      <c r="D269" s="10" t="s">
        <v>408</v>
      </c>
      <c r="E269" s="10" t="s">
        <v>1555</v>
      </c>
      <c r="F269" s="10" t="s">
        <v>932</v>
      </c>
      <c r="G269" s="10" t="s">
        <v>2626</v>
      </c>
      <c r="H269" s="11" t="s">
        <v>2627</v>
      </c>
      <c r="I269" s="11" t="s">
        <v>2628</v>
      </c>
      <c r="J269" s="10" t="s">
        <v>1559</v>
      </c>
      <c r="K269" s="10" t="s">
        <v>1560</v>
      </c>
      <c r="L269" s="10" t="s">
        <v>1561</v>
      </c>
      <c r="M269" s="10" t="s">
        <v>932</v>
      </c>
      <c r="N269" s="10">
        <v>32</v>
      </c>
      <c r="O269" s="11">
        <v>93</v>
      </c>
      <c r="P269" s="11">
        <v>9.2999999999999999E-2</v>
      </c>
      <c r="Q269" s="10" t="s">
        <v>1562</v>
      </c>
      <c r="R269" s="10">
        <v>80</v>
      </c>
      <c r="S269" s="12">
        <v>7</v>
      </c>
      <c r="T269" s="13">
        <v>33222</v>
      </c>
      <c r="U269" s="14">
        <v>3089.6460000000002</v>
      </c>
      <c r="V269" s="10">
        <v>5.94</v>
      </c>
      <c r="W269" s="15">
        <v>197338.68000000002</v>
      </c>
      <c r="X269" s="29">
        <f>VLOOKUP($F269,Agendamento!$B:$J,9,0)</f>
        <v>46079</v>
      </c>
      <c r="Y269" s="6">
        <f>COUNTIF(Analise!F:F,'Obras e Acervos'!H269)</f>
        <v>3</v>
      </c>
    </row>
    <row r="270" spans="1:25" ht="15" customHeight="1" x14ac:dyDescent="0.25">
      <c r="A270" s="10" t="str">
        <f>CONCATENATE(LEFT(C270,12),"-",RIGHT(C270,2),"_",TEXT(X270,"ddmmaaaa"),"_",COUNTIF($C$2:C270,C270))</f>
        <v>444114050001-98_25022026_1</v>
      </c>
      <c r="B270" s="10" t="str">
        <f>CONCATENATE(LEFT(C270,12),"-",RIGHT(C270,2),"_",COUNTIF($C$2:C270,C270))</f>
        <v>444114050001-98_1</v>
      </c>
      <c r="C270" s="10" t="s">
        <v>2629</v>
      </c>
      <c r="D270" s="10" t="s">
        <v>883</v>
      </c>
      <c r="E270" s="10" t="s">
        <v>1555</v>
      </c>
      <c r="F270" s="10" t="s">
        <v>884</v>
      </c>
      <c r="G270" s="10" t="s">
        <v>2630</v>
      </c>
      <c r="H270" s="11" t="s">
        <v>2631</v>
      </c>
      <c r="I270" s="11" t="s">
        <v>2632</v>
      </c>
      <c r="J270" s="10" t="s">
        <v>1559</v>
      </c>
      <c r="K270" s="10" t="s">
        <v>1560</v>
      </c>
      <c r="L270" s="10" t="s">
        <v>1561</v>
      </c>
      <c r="M270" s="10" t="s">
        <v>884</v>
      </c>
      <c r="N270" s="10">
        <v>48</v>
      </c>
      <c r="O270" s="11">
        <v>129</v>
      </c>
      <c r="P270" s="11">
        <v>0.129</v>
      </c>
      <c r="Q270" s="10" t="s">
        <v>1562</v>
      </c>
      <c r="R270" s="10">
        <v>80</v>
      </c>
      <c r="S270" s="12">
        <v>7</v>
      </c>
      <c r="T270" s="13">
        <v>34343</v>
      </c>
      <c r="U270" s="14">
        <v>4430.2470000000003</v>
      </c>
      <c r="V270" s="10">
        <v>7.7</v>
      </c>
      <c r="W270" s="15">
        <v>264441.10000000003</v>
      </c>
      <c r="X270" s="29">
        <f>VLOOKUP($F270,Agendamento!$B:$J,9,0)</f>
        <v>46078</v>
      </c>
      <c r="Y270" s="6">
        <f>COUNTIF(Analise!F:F,'Obras e Acervos'!H270)</f>
        <v>1</v>
      </c>
    </row>
    <row r="271" spans="1:25" ht="15" customHeight="1" x14ac:dyDescent="0.25">
      <c r="A271" s="10" t="str">
        <f>CONCATENATE(LEFT(C271,12),"-",RIGHT(C271,2),"_",TEXT(X271,"ddmmaaaa"),"_",COUNTIF($C$2:C271,C271))</f>
        <v>117057780001-12_16022026_1</v>
      </c>
      <c r="B271" s="10" t="str">
        <f>CONCATENATE(LEFT(C271,12),"-",RIGHT(C271,2),"_",COUNTIF($C$2:C271,C271))</f>
        <v>117057780001-12_1</v>
      </c>
      <c r="C271" s="10" t="s">
        <v>2633</v>
      </c>
      <c r="D271" s="10" t="s">
        <v>6041</v>
      </c>
      <c r="E271" s="10" t="s">
        <v>1555</v>
      </c>
      <c r="F271" s="10" t="s">
        <v>522</v>
      </c>
      <c r="G271" s="10" t="s">
        <v>2634</v>
      </c>
      <c r="H271" s="11" t="s">
        <v>2635</v>
      </c>
      <c r="I271" s="11" t="s">
        <v>2636</v>
      </c>
      <c r="J271" s="10" t="s">
        <v>1559</v>
      </c>
      <c r="K271" s="10" t="s">
        <v>1560</v>
      </c>
      <c r="L271" s="10" t="s">
        <v>1561</v>
      </c>
      <c r="M271" s="10" t="s">
        <v>6199</v>
      </c>
      <c r="N271" s="10">
        <v>28</v>
      </c>
      <c r="O271" s="11">
        <v>39</v>
      </c>
      <c r="P271" s="11">
        <v>3.9E-2</v>
      </c>
      <c r="Q271" s="10" t="s">
        <v>1608</v>
      </c>
      <c r="R271" s="10">
        <v>80</v>
      </c>
      <c r="S271" s="12">
        <v>7</v>
      </c>
      <c r="T271" s="13">
        <v>33131</v>
      </c>
      <c r="U271" s="14">
        <v>1292.1089999999999</v>
      </c>
      <c r="V271" s="10">
        <v>4.72</v>
      </c>
      <c r="W271" s="15">
        <v>156378.31999999998</v>
      </c>
      <c r="X271" s="29">
        <f>VLOOKUP($F271,Agendamento!$B:$J,9,0)</f>
        <v>46069</v>
      </c>
      <c r="Y271" s="6">
        <f>COUNTIF(Analise!F:F,'Obras e Acervos'!H271)</f>
        <v>1</v>
      </c>
    </row>
    <row r="272" spans="1:25" ht="15" customHeight="1" x14ac:dyDescent="0.25">
      <c r="A272" s="10" t="str">
        <f>CONCATENATE(LEFT(C272,12),"-",RIGHT(C272,2),"_",TEXT(X272,"ddmmaaaa"),"_",COUNTIF($C$2:C272,C272))</f>
        <v>014850630001-48_02032026_1</v>
      </c>
      <c r="B272" s="10" t="str">
        <f>CONCATENATE(LEFT(C272,12),"-",RIGHT(C272,2),"_",COUNTIF($C$2:C272,C272))</f>
        <v>014850630001-48_1</v>
      </c>
      <c r="C272" s="10" t="s">
        <v>2637</v>
      </c>
      <c r="D272" s="10" t="s">
        <v>921</v>
      </c>
      <c r="E272" s="10" t="s">
        <v>1555</v>
      </c>
      <c r="F272" s="10" t="s">
        <v>1056</v>
      </c>
      <c r="G272" s="10" t="s">
        <v>2638</v>
      </c>
      <c r="H272" s="11" t="s">
        <v>2639</v>
      </c>
      <c r="I272" s="11" t="s">
        <v>2640</v>
      </c>
      <c r="J272" s="10" t="s">
        <v>1559</v>
      </c>
      <c r="K272" s="10" t="s">
        <v>1560</v>
      </c>
      <c r="L272" s="10" t="s">
        <v>1561</v>
      </c>
      <c r="M272" s="10" t="s">
        <v>1056</v>
      </c>
      <c r="N272" s="10">
        <v>40</v>
      </c>
      <c r="O272" s="11">
        <v>117</v>
      </c>
      <c r="P272" s="11">
        <v>0.11700000000000001</v>
      </c>
      <c r="Q272" s="10" t="s">
        <v>1608</v>
      </c>
      <c r="R272" s="10">
        <v>80</v>
      </c>
      <c r="S272" s="12">
        <v>7</v>
      </c>
      <c r="T272" s="13">
        <v>35101</v>
      </c>
      <c r="U272" s="14">
        <v>4106.817</v>
      </c>
      <c r="V272" s="10">
        <v>5.72</v>
      </c>
      <c r="W272" s="15">
        <v>200777.72</v>
      </c>
      <c r="X272" s="29">
        <f>VLOOKUP($F272,Agendamento!$B:$J,9,0)</f>
        <v>46083</v>
      </c>
      <c r="Y272" s="6">
        <f>COUNTIF(Analise!F:F,'Obras e Acervos'!H272)</f>
        <v>1</v>
      </c>
    </row>
    <row r="273" spans="1:25" ht="15" customHeight="1" x14ac:dyDescent="0.25">
      <c r="A273" s="10" t="str">
        <f>CONCATENATE(LEFT(C273,12),"-",RIGHT(C273,2),"_",TEXT(X273,"ddmmaaaa"),"_",COUNTIF($C$2:C273,C273))</f>
        <v>165092620001-16_20022026_1</v>
      </c>
      <c r="B273" s="10" t="str">
        <f>CONCATENATE(LEFT(C273,12),"-",RIGHT(C273,2),"_",COUNTIF($C$2:C273,C273))</f>
        <v>165092620001-16_1</v>
      </c>
      <c r="C273" s="10" t="s">
        <v>2641</v>
      </c>
      <c r="D273" s="10" t="s">
        <v>6042</v>
      </c>
      <c r="E273" s="10" t="s">
        <v>1555</v>
      </c>
      <c r="F273" s="10" t="s">
        <v>681</v>
      </c>
      <c r="G273" s="10" t="s">
        <v>2642</v>
      </c>
      <c r="H273" s="11" t="s">
        <v>2643</v>
      </c>
      <c r="I273" s="11" t="s">
        <v>2644</v>
      </c>
      <c r="J273" s="10" t="s">
        <v>1559</v>
      </c>
      <c r="K273" s="10" t="s">
        <v>1560</v>
      </c>
      <c r="L273" s="10" t="s">
        <v>1561</v>
      </c>
      <c r="M273" s="10" t="s">
        <v>6200</v>
      </c>
      <c r="N273" s="10">
        <v>44</v>
      </c>
      <c r="O273" s="11">
        <v>134</v>
      </c>
      <c r="P273" s="11">
        <v>0.13400000000000001</v>
      </c>
      <c r="Q273" s="10" t="s">
        <v>1599</v>
      </c>
      <c r="R273" s="10">
        <v>80</v>
      </c>
      <c r="S273" s="12">
        <v>7</v>
      </c>
      <c r="T273" s="13">
        <v>40615</v>
      </c>
      <c r="U273" s="14">
        <v>5442.4100000000008</v>
      </c>
      <c r="V273" s="10">
        <v>6.68</v>
      </c>
      <c r="W273" s="15">
        <v>271308.2</v>
      </c>
      <c r="X273" s="29">
        <f>VLOOKUP($F273,Agendamento!$B:$J,9,0)</f>
        <v>46073</v>
      </c>
      <c r="Y273" s="6">
        <f>COUNTIF(Analise!F:F,'Obras e Acervos'!H273)</f>
        <v>1</v>
      </c>
    </row>
    <row r="274" spans="1:25" ht="15" customHeight="1" x14ac:dyDescent="0.25">
      <c r="A274" s="10" t="str">
        <f>CONCATENATE(LEFT(C274,12),"-",RIGHT(C274,2),"_",TEXT(X274,"ddmmaaaa"),"_",COUNTIF($C$2:C274,C274))</f>
        <v>433953470001-93_03032026_1</v>
      </c>
      <c r="B274" s="10" t="str">
        <f>CONCATENATE(LEFT(C274,12),"-",RIGHT(C274,2),"_",COUNTIF($C$2:C274,C274))</f>
        <v>433953470001-93_1</v>
      </c>
      <c r="C274" s="10" t="s">
        <v>2645</v>
      </c>
      <c r="D274" s="10" t="s">
        <v>1162</v>
      </c>
      <c r="E274" s="10" t="s">
        <v>1555</v>
      </c>
      <c r="F274" s="10" t="s">
        <v>1163</v>
      </c>
      <c r="G274" s="10" t="s">
        <v>2646</v>
      </c>
      <c r="H274" s="11" t="s">
        <v>2647</v>
      </c>
      <c r="I274" s="11" t="s">
        <v>2648</v>
      </c>
      <c r="J274" s="10" t="s">
        <v>1559</v>
      </c>
      <c r="K274" s="10" t="s">
        <v>1560</v>
      </c>
      <c r="L274" s="10" t="s">
        <v>1561</v>
      </c>
      <c r="M274" s="10" t="s">
        <v>1163</v>
      </c>
      <c r="N274" s="10">
        <v>40</v>
      </c>
      <c r="O274" s="11">
        <v>104</v>
      </c>
      <c r="P274" s="11">
        <v>0.104</v>
      </c>
      <c r="Q274" s="10" t="s">
        <v>1562</v>
      </c>
      <c r="R274" s="10">
        <v>80</v>
      </c>
      <c r="S274" s="12">
        <v>7</v>
      </c>
      <c r="T274" s="13">
        <v>34161</v>
      </c>
      <c r="U274" s="14">
        <v>3552.7439999999997</v>
      </c>
      <c r="V274" s="10">
        <v>6.81</v>
      </c>
      <c r="W274" s="15">
        <v>232636.40999999997</v>
      </c>
      <c r="X274" s="29">
        <f>VLOOKUP($F274,Agendamento!$B:$J,9,0)</f>
        <v>46084</v>
      </c>
      <c r="Y274" s="6">
        <f>COUNTIF(Analise!F:F,'Obras e Acervos'!H274)</f>
        <v>1</v>
      </c>
    </row>
    <row r="275" spans="1:25" ht="15" customHeight="1" x14ac:dyDescent="0.25">
      <c r="A275" s="10" t="str">
        <f>CONCATENATE(LEFT(C275,12),"-",RIGHT(C275,2),"_",TEXT(X275,"ddmmaaaa"),"_",COUNTIF($C$2:C275,C275))</f>
        <v>109737150001-84_24022026_1</v>
      </c>
      <c r="B275" s="10" t="str">
        <f>CONCATENATE(LEFT(C275,12),"-",RIGHT(C275,2),"_",COUNTIF($C$2:C275,C275))</f>
        <v>109737150001-84_1</v>
      </c>
      <c r="C275" s="10" t="s">
        <v>2649</v>
      </c>
      <c r="D275" s="10" t="s">
        <v>6043</v>
      </c>
      <c r="E275" s="10" t="s">
        <v>1555</v>
      </c>
      <c r="F275" s="10" t="s">
        <v>765</v>
      </c>
      <c r="G275" s="10" t="s">
        <v>2650</v>
      </c>
      <c r="H275" s="11" t="s">
        <v>2651</v>
      </c>
      <c r="I275" s="11" t="s">
        <v>2652</v>
      </c>
      <c r="J275" s="10" t="s">
        <v>1559</v>
      </c>
      <c r="K275" s="10" t="s">
        <v>1560</v>
      </c>
      <c r="L275" s="10" t="s">
        <v>1561</v>
      </c>
      <c r="M275" s="10" t="s">
        <v>6201</v>
      </c>
      <c r="N275" s="10">
        <v>44</v>
      </c>
      <c r="O275" s="11">
        <v>123</v>
      </c>
      <c r="P275" s="11">
        <v>0.123</v>
      </c>
      <c r="Q275" s="10" t="s">
        <v>1599</v>
      </c>
      <c r="R275" s="10">
        <v>80</v>
      </c>
      <c r="S275" s="12">
        <v>7</v>
      </c>
      <c r="T275" s="13">
        <v>33328</v>
      </c>
      <c r="U275" s="14">
        <v>4099.3440000000001</v>
      </c>
      <c r="V275" s="10">
        <v>7.29</v>
      </c>
      <c r="W275" s="15">
        <v>242961.12</v>
      </c>
      <c r="X275" s="29">
        <f>VLOOKUP($F275,Agendamento!$B:$J,9,0)</f>
        <v>46077</v>
      </c>
      <c r="Y275" s="6">
        <f>COUNTIF(Analise!F:F,'Obras e Acervos'!H275)</f>
        <v>1</v>
      </c>
    </row>
    <row r="276" spans="1:25" ht="15" customHeight="1" x14ac:dyDescent="0.25">
      <c r="A276" s="10" t="str">
        <f>CONCATENATE(LEFT(C276,12),"-",RIGHT(C276,2),"_",TEXT(X276,"ddmmaaaa"),"_",COUNTIF($C$2:C276,C276))</f>
        <v>879324630001-70_19022026_1</v>
      </c>
      <c r="B276" s="10" t="str">
        <f>CONCATENATE(LEFT(C276,12),"-",RIGHT(C276,2),"_",COUNTIF($C$2:C276,C276))</f>
        <v>879324630001-70_1</v>
      </c>
      <c r="C276" s="10" t="s">
        <v>2653</v>
      </c>
      <c r="D276" s="10" t="s">
        <v>6044</v>
      </c>
      <c r="E276" s="10" t="s">
        <v>1555</v>
      </c>
      <c r="F276" s="10" t="s">
        <v>629</v>
      </c>
      <c r="G276" s="10" t="s">
        <v>2654</v>
      </c>
      <c r="H276" s="11" t="s">
        <v>2655</v>
      </c>
      <c r="I276" s="11" t="s">
        <v>2656</v>
      </c>
      <c r="J276" s="10" t="s">
        <v>1559</v>
      </c>
      <c r="K276" s="10" t="s">
        <v>1560</v>
      </c>
      <c r="L276" s="10" t="s">
        <v>1561</v>
      </c>
      <c r="M276" s="10" t="s">
        <v>629</v>
      </c>
      <c r="N276" s="10">
        <v>128</v>
      </c>
      <c r="O276" s="11">
        <v>156</v>
      </c>
      <c r="P276" s="11">
        <v>0.156</v>
      </c>
      <c r="Q276" s="10" t="s">
        <v>1608</v>
      </c>
      <c r="R276" s="10">
        <v>80</v>
      </c>
      <c r="S276" s="12">
        <v>7</v>
      </c>
      <c r="T276" s="13">
        <v>33025</v>
      </c>
      <c r="U276" s="14">
        <v>5151.8999999999996</v>
      </c>
      <c r="V276" s="10">
        <v>12.36</v>
      </c>
      <c r="W276" s="15">
        <v>408189</v>
      </c>
      <c r="X276" s="29">
        <f>VLOOKUP($F276,Agendamento!$B:$J,9,0)</f>
        <v>46072</v>
      </c>
      <c r="Y276" s="6">
        <f>COUNTIF(Analise!F:F,'Obras e Acervos'!H276)</f>
        <v>1</v>
      </c>
    </row>
    <row r="277" spans="1:25" ht="15" customHeight="1" x14ac:dyDescent="0.25">
      <c r="A277" s="10" t="str">
        <f>CONCATENATE(LEFT(C277,12),"-",RIGHT(C277,2),"_",TEXT(X277,"ddmmaaaa"),"_",COUNTIF($C$2:C277,C277))</f>
        <v>050044170001-46_19022026_1</v>
      </c>
      <c r="B277" s="10" t="str">
        <f>CONCATENATE(LEFT(C277,12),"-",RIGHT(C277,2),"_",COUNTIF($C$2:C277,C277))</f>
        <v>050044170001-46_1</v>
      </c>
      <c r="C277" s="10" t="s">
        <v>2657</v>
      </c>
      <c r="D277" s="10" t="s">
        <v>6045</v>
      </c>
      <c r="E277" s="10" t="s">
        <v>1555</v>
      </c>
      <c r="F277" s="10" t="s">
        <v>621</v>
      </c>
      <c r="G277" s="10" t="s">
        <v>2658</v>
      </c>
      <c r="H277" s="11" t="s">
        <v>2659</v>
      </c>
      <c r="I277" s="11" t="s">
        <v>2660</v>
      </c>
      <c r="J277" s="10" t="s">
        <v>1559</v>
      </c>
      <c r="K277" s="10" t="s">
        <v>1560</v>
      </c>
      <c r="L277" s="10" t="s">
        <v>1561</v>
      </c>
      <c r="M277" s="10" t="s">
        <v>621</v>
      </c>
      <c r="N277" s="10">
        <v>72</v>
      </c>
      <c r="O277" s="11">
        <v>200</v>
      </c>
      <c r="P277" s="11">
        <v>0.2</v>
      </c>
      <c r="Q277" s="10" t="s">
        <v>1562</v>
      </c>
      <c r="R277" s="10">
        <v>75</v>
      </c>
      <c r="S277" s="12">
        <v>7</v>
      </c>
      <c r="T277" s="13">
        <v>63598</v>
      </c>
      <c r="U277" s="14">
        <v>12719.6</v>
      </c>
      <c r="V277" s="10">
        <v>7.52</v>
      </c>
      <c r="W277" s="15">
        <v>478256.95999999996</v>
      </c>
      <c r="X277" s="29">
        <f>VLOOKUP($F277,Agendamento!$B:$J,9,0)</f>
        <v>46072</v>
      </c>
      <c r="Y277" s="6">
        <f>COUNTIF(Analise!F:F,'Obras e Acervos'!H277)</f>
        <v>1</v>
      </c>
    </row>
    <row r="278" spans="1:25" ht="15" customHeight="1" x14ac:dyDescent="0.25">
      <c r="A278" s="10" t="str">
        <f>CONCATENATE(LEFT(C278,12),"-",RIGHT(C278,2),"_",TEXT(X278,"ddmmaaaa"),"_",COUNTIF($C$2:C278,C278))</f>
        <v>082775930001-40_13022026_1</v>
      </c>
      <c r="B278" s="10" t="str">
        <f>CONCATENATE(LEFT(C278,12),"-",RIGHT(C278,2),"_",COUNTIF($C$2:C278,C278))</f>
        <v>082775930001-40_1</v>
      </c>
      <c r="C278" s="10" t="s">
        <v>2661</v>
      </c>
      <c r="D278" s="10" t="s">
        <v>6046</v>
      </c>
      <c r="E278" s="10" t="s">
        <v>1555</v>
      </c>
      <c r="F278" s="10" t="s">
        <v>499</v>
      </c>
      <c r="G278" s="10" t="s">
        <v>2662</v>
      </c>
      <c r="H278" s="11" t="s">
        <v>2663</v>
      </c>
      <c r="I278" s="11" t="s">
        <v>2664</v>
      </c>
      <c r="J278" s="10" t="s">
        <v>1559</v>
      </c>
      <c r="K278" s="10" t="s">
        <v>1560</v>
      </c>
      <c r="L278" s="10" t="s">
        <v>1561</v>
      </c>
      <c r="M278" s="10" t="s">
        <v>6202</v>
      </c>
      <c r="N278" s="10">
        <v>40</v>
      </c>
      <c r="O278" s="11">
        <v>108</v>
      </c>
      <c r="P278" s="11">
        <v>0.108</v>
      </c>
      <c r="Q278" s="10" t="s">
        <v>1562</v>
      </c>
      <c r="R278" s="10">
        <v>80</v>
      </c>
      <c r="S278" s="12">
        <v>7</v>
      </c>
      <c r="T278" s="13">
        <v>33283</v>
      </c>
      <c r="U278" s="14">
        <v>3594.5639999999999</v>
      </c>
      <c r="V278" s="10">
        <v>6.81</v>
      </c>
      <c r="W278" s="15">
        <v>226657.22999999998</v>
      </c>
      <c r="X278" s="29">
        <f>VLOOKUP($F278,Agendamento!$B:$J,9,0)</f>
        <v>46066</v>
      </c>
      <c r="Y278" s="6">
        <f>COUNTIF(Analise!F:F,'Obras e Acervos'!H278)</f>
        <v>1</v>
      </c>
    </row>
    <row r="279" spans="1:25" ht="15" customHeight="1" x14ac:dyDescent="0.25">
      <c r="A279" s="10" t="str">
        <f>CONCATENATE(LEFT(C279,12),"-",RIGHT(C279,2),"_",TEXT(X279,"ddmmaaaa"),"_",COUNTIF($C$2:C279,C279))</f>
        <v>284752980001-05_13032026_1</v>
      </c>
      <c r="B279" s="10" t="str">
        <f>CONCATENATE(LEFT(C279,12),"-",RIGHT(C279,2),"_",COUNTIF($C$2:C279,C279))</f>
        <v>284752980001-05_1</v>
      </c>
      <c r="C279" s="10" t="s">
        <v>2665</v>
      </c>
      <c r="D279" s="10" t="s">
        <v>1362</v>
      </c>
      <c r="E279" s="10" t="s">
        <v>1555</v>
      </c>
      <c r="F279" s="10" t="s">
        <v>1476</v>
      </c>
      <c r="G279" s="10" t="s">
        <v>2666</v>
      </c>
      <c r="H279" s="11" t="s">
        <v>2667</v>
      </c>
      <c r="I279" s="11" t="s">
        <v>2668</v>
      </c>
      <c r="J279" s="10" t="s">
        <v>1559</v>
      </c>
      <c r="K279" s="10" t="s">
        <v>1560</v>
      </c>
      <c r="L279" s="10" t="s">
        <v>1561</v>
      </c>
      <c r="M279" s="10" t="s">
        <v>1476</v>
      </c>
      <c r="N279" s="10">
        <v>40</v>
      </c>
      <c r="O279" s="11">
        <v>124</v>
      </c>
      <c r="P279" s="11">
        <v>0.124</v>
      </c>
      <c r="Q279" s="10" t="s">
        <v>1599</v>
      </c>
      <c r="R279" s="10">
        <v>80</v>
      </c>
      <c r="S279" s="12">
        <v>7</v>
      </c>
      <c r="T279" s="13">
        <v>33070</v>
      </c>
      <c r="U279" s="14">
        <v>4100.68</v>
      </c>
      <c r="V279" s="10">
        <v>6.86</v>
      </c>
      <c r="W279" s="15">
        <v>226860.2</v>
      </c>
      <c r="X279" s="29">
        <f>VLOOKUP($F279,Agendamento!$B:$J,9,0)</f>
        <v>46094</v>
      </c>
      <c r="Y279" s="6">
        <f>COUNTIF(Analise!F:F,'Obras e Acervos'!H279)</f>
        <v>1</v>
      </c>
    </row>
    <row r="280" spans="1:25" ht="15" customHeight="1" x14ac:dyDescent="0.25">
      <c r="A280" s="10" t="str">
        <f>CONCATENATE(LEFT(C280,12),"-",RIGHT(C280,2),"_",TEXT(X280,"ddmmaaaa"),"_",COUNTIF($C$2:C280,C280))</f>
        <v>076809040001-54_04032026_1</v>
      </c>
      <c r="B280" s="10" t="str">
        <f>CONCATENATE(LEFT(C280,12),"-",RIGHT(C280,2),"_",COUNTIF($C$2:C280,C280))</f>
        <v>076809040001-54_1</v>
      </c>
      <c r="C280" s="10" t="s">
        <v>2669</v>
      </c>
      <c r="D280" s="10" t="s">
        <v>1215</v>
      </c>
      <c r="E280" s="10" t="s">
        <v>1555</v>
      </c>
      <c r="F280" s="10" t="s">
        <v>1216</v>
      </c>
      <c r="G280" s="10" t="s">
        <v>2670</v>
      </c>
      <c r="H280" s="11" t="s">
        <v>2671</v>
      </c>
      <c r="I280" s="11" t="s">
        <v>2672</v>
      </c>
      <c r="J280" s="10" t="s">
        <v>1559</v>
      </c>
      <c r="K280" s="10" t="s">
        <v>1560</v>
      </c>
      <c r="L280" s="10" t="s">
        <v>1561</v>
      </c>
      <c r="M280" s="10" t="s">
        <v>1216</v>
      </c>
      <c r="N280" s="10">
        <v>40</v>
      </c>
      <c r="O280" s="11">
        <v>121</v>
      </c>
      <c r="P280" s="11">
        <v>0.121</v>
      </c>
      <c r="Q280" s="10" t="s">
        <v>1562</v>
      </c>
      <c r="R280" s="10">
        <v>80</v>
      </c>
      <c r="S280" s="12">
        <v>7</v>
      </c>
      <c r="T280" s="13">
        <v>49629</v>
      </c>
      <c r="U280" s="14">
        <v>6005.1089999999995</v>
      </c>
      <c r="V280" s="10">
        <v>5.46</v>
      </c>
      <c r="W280" s="15">
        <v>270974.34000000003</v>
      </c>
      <c r="X280" s="29">
        <f>VLOOKUP($F280,Agendamento!$B:$J,9,0)</f>
        <v>46085</v>
      </c>
      <c r="Y280" s="6">
        <f>COUNTIF(Analise!F:F,'Obras e Acervos'!H280)</f>
        <v>1</v>
      </c>
    </row>
    <row r="281" spans="1:25" ht="15" customHeight="1" x14ac:dyDescent="0.25">
      <c r="A281" s="10" t="str">
        <f>CONCATENATE(LEFT(C281,12),"-",RIGHT(C281,2),"_",TEXT(X281,"ddmmaaaa"),"_",COUNTIF($C$2:C281,C281))</f>
        <v>310100970001-47_23022026_1</v>
      </c>
      <c r="B281" s="10" t="str">
        <f>CONCATENATE(LEFT(C281,12),"-",RIGHT(C281,2),"_",COUNTIF($C$2:C281,C281))</f>
        <v>310100970001-47_1</v>
      </c>
      <c r="C281" s="10" t="s">
        <v>2673</v>
      </c>
      <c r="D281" s="10" t="s">
        <v>6047</v>
      </c>
      <c r="E281" s="10" t="s">
        <v>1555</v>
      </c>
      <c r="F281" s="10" t="s">
        <v>731</v>
      </c>
      <c r="G281" s="10" t="s">
        <v>2674</v>
      </c>
      <c r="H281" s="11" t="s">
        <v>2675</v>
      </c>
      <c r="I281" s="11" t="s">
        <v>2676</v>
      </c>
      <c r="J281" s="10" t="s">
        <v>1559</v>
      </c>
      <c r="K281" s="10" t="s">
        <v>1560</v>
      </c>
      <c r="L281" s="10" t="s">
        <v>1561</v>
      </c>
      <c r="M281" s="10" t="s">
        <v>731</v>
      </c>
      <c r="N281" s="10">
        <v>24</v>
      </c>
      <c r="O281" s="11">
        <v>95</v>
      </c>
      <c r="P281" s="11">
        <v>9.5000000000000001E-2</v>
      </c>
      <c r="Q281" s="10" t="s">
        <v>1599</v>
      </c>
      <c r="R281" s="10">
        <v>80</v>
      </c>
      <c r="S281" s="12">
        <v>7</v>
      </c>
      <c r="T281" s="13">
        <v>33177</v>
      </c>
      <c r="U281" s="14">
        <v>3151.8150000000001</v>
      </c>
      <c r="V281" s="10">
        <v>5.1100000000000003</v>
      </c>
      <c r="W281" s="15">
        <v>169534.47</v>
      </c>
      <c r="X281" s="29">
        <f>VLOOKUP($F281,Agendamento!$B:$J,9,0)</f>
        <v>46076</v>
      </c>
      <c r="Y281" s="6">
        <f>COUNTIF(Analise!F:F,'Obras e Acervos'!H281)</f>
        <v>1</v>
      </c>
    </row>
    <row r="282" spans="1:25" ht="15" customHeight="1" x14ac:dyDescent="0.25">
      <c r="A282" s="10" t="str">
        <f>CONCATENATE(LEFT(C282,12),"-",RIGHT(C282,2),"_",TEXT(X282,"ddmmaaaa"),"_",COUNTIF($C$2:C282,C282))</f>
        <v>584071070001-39_11022026_1</v>
      </c>
      <c r="B282" s="10" t="str">
        <f>CONCATENATE(LEFT(C282,12),"-",RIGHT(C282,2),"_",COUNTIF($C$2:C282,C282))</f>
        <v>584071070001-39_1</v>
      </c>
      <c r="C282" s="10" t="s">
        <v>2677</v>
      </c>
      <c r="D282" s="10" t="s">
        <v>6048</v>
      </c>
      <c r="E282" s="10" t="s">
        <v>1555</v>
      </c>
      <c r="F282" s="10" t="s">
        <v>423</v>
      </c>
      <c r="G282" s="10" t="s">
        <v>2678</v>
      </c>
      <c r="H282" s="11" t="s">
        <v>2679</v>
      </c>
      <c r="I282" s="11" t="s">
        <v>2680</v>
      </c>
      <c r="J282" s="10" t="s">
        <v>1559</v>
      </c>
      <c r="K282" s="10" t="s">
        <v>1560</v>
      </c>
      <c r="L282" s="10" t="s">
        <v>1561</v>
      </c>
      <c r="M282" s="10" t="s">
        <v>423</v>
      </c>
      <c r="N282" s="10">
        <v>32</v>
      </c>
      <c r="O282" s="11">
        <v>101</v>
      </c>
      <c r="P282" s="11">
        <v>0.10100000000000001</v>
      </c>
      <c r="Q282" s="10" t="s">
        <v>1562</v>
      </c>
      <c r="R282" s="10">
        <v>80</v>
      </c>
      <c r="S282" s="12">
        <v>8</v>
      </c>
      <c r="T282" s="13">
        <v>202299</v>
      </c>
      <c r="U282" s="14">
        <v>20432.199000000001</v>
      </c>
      <c r="V282" s="10">
        <v>3.18</v>
      </c>
      <c r="W282" s="15">
        <v>643310.82000000007</v>
      </c>
      <c r="X282" s="29">
        <f>VLOOKUP($F282,Agendamento!$B:$J,9,0)</f>
        <v>46064</v>
      </c>
      <c r="Y282" s="6">
        <f>COUNTIF(Analise!F:F,'Obras e Acervos'!H282)</f>
        <v>1</v>
      </c>
    </row>
    <row r="283" spans="1:25" ht="15" customHeight="1" x14ac:dyDescent="0.25">
      <c r="A283" s="10" t="str">
        <f>CONCATENATE(LEFT(C283,12),"-",RIGHT(C283,2),"_",TEXT(X283,"ddmmaaaa"),"_",COUNTIF($C$2:C283,C283))</f>
        <v>314849740001-11_03032026_1</v>
      </c>
      <c r="B283" s="10" t="str">
        <f>CONCATENATE(LEFT(C283,12),"-",RIGHT(C283,2),"_",COUNTIF($C$2:C283,C283))</f>
        <v>314849740001-11_1</v>
      </c>
      <c r="C283" s="10" t="s">
        <v>2681</v>
      </c>
      <c r="D283" s="10" t="s">
        <v>6049</v>
      </c>
      <c r="E283" s="10" t="s">
        <v>1555</v>
      </c>
      <c r="F283" s="10" t="s">
        <v>1132</v>
      </c>
      <c r="G283" s="10" t="s">
        <v>2682</v>
      </c>
      <c r="H283" s="11" t="s">
        <v>2683</v>
      </c>
      <c r="I283" s="11" t="s">
        <v>2684</v>
      </c>
      <c r="J283" s="10" t="s">
        <v>1559</v>
      </c>
      <c r="K283" s="10" t="s">
        <v>1560</v>
      </c>
      <c r="L283" s="10" t="s">
        <v>1561</v>
      </c>
      <c r="M283" s="10" t="s">
        <v>1132</v>
      </c>
      <c r="N283" s="10">
        <v>64</v>
      </c>
      <c r="O283" s="11">
        <v>181</v>
      </c>
      <c r="P283" s="11">
        <v>0.18099999999999999</v>
      </c>
      <c r="Q283" s="10" t="s">
        <v>1562</v>
      </c>
      <c r="R283" s="10">
        <v>80</v>
      </c>
      <c r="S283" s="12">
        <v>8</v>
      </c>
      <c r="T283" s="13">
        <v>33089</v>
      </c>
      <c r="U283" s="14">
        <v>5989.1089999999995</v>
      </c>
      <c r="V283" s="10">
        <v>9.51</v>
      </c>
      <c r="W283" s="15">
        <v>314676.39</v>
      </c>
      <c r="X283" s="29">
        <f>VLOOKUP($F283,Agendamento!$B:$J,9,0)</f>
        <v>46084</v>
      </c>
      <c r="Y283" s="6">
        <f>COUNTIF(Analise!F:F,'Obras e Acervos'!H283)</f>
        <v>1</v>
      </c>
    </row>
    <row r="284" spans="1:25" ht="15" customHeight="1" x14ac:dyDescent="0.25">
      <c r="A284" s="10" t="str">
        <f>CONCATENATE(LEFT(C284,12),"-",RIGHT(C284,2),"_",TEXT(X284,"ddmmaaaa"),"_",COUNTIF($C$2:C284,C284))</f>
        <v>076083200001-78_26022026_1</v>
      </c>
      <c r="B284" s="10" t="str">
        <f>CONCATENATE(LEFT(C284,12),"-",RIGHT(C284,2),"_",COUNTIF($C$2:C284,C284))</f>
        <v>076083200001-78_1</v>
      </c>
      <c r="C284" s="10" t="s">
        <v>2685</v>
      </c>
      <c r="D284" s="10" t="s">
        <v>6050</v>
      </c>
      <c r="E284" s="10" t="s">
        <v>1555</v>
      </c>
      <c r="F284" s="10" t="s">
        <v>939</v>
      </c>
      <c r="G284" s="10" t="s">
        <v>2686</v>
      </c>
      <c r="H284" s="11" t="s">
        <v>2687</v>
      </c>
      <c r="I284" s="11" t="s">
        <v>2688</v>
      </c>
      <c r="J284" s="10" t="s">
        <v>1559</v>
      </c>
      <c r="K284" s="10" t="s">
        <v>1560</v>
      </c>
      <c r="L284" s="10" t="s">
        <v>1561</v>
      </c>
      <c r="M284" s="10" t="s">
        <v>939</v>
      </c>
      <c r="N284" s="10">
        <v>24</v>
      </c>
      <c r="O284" s="11">
        <v>75</v>
      </c>
      <c r="P284" s="11">
        <v>7.4999999999999997E-2</v>
      </c>
      <c r="Q284" s="10" t="s">
        <v>1562</v>
      </c>
      <c r="R284" s="10">
        <v>80</v>
      </c>
      <c r="S284" s="12">
        <v>8</v>
      </c>
      <c r="T284" s="13">
        <v>33286</v>
      </c>
      <c r="U284" s="14">
        <v>2496.4499999999998</v>
      </c>
      <c r="V284" s="10">
        <v>5.05</v>
      </c>
      <c r="W284" s="15">
        <v>168094.3</v>
      </c>
      <c r="X284" s="29">
        <f>VLOOKUP($F284,Agendamento!$B:$J,9,0)</f>
        <v>46079</v>
      </c>
      <c r="Y284" s="6">
        <f>COUNTIF(Analise!F:F,'Obras e Acervos'!H284)</f>
        <v>1</v>
      </c>
    </row>
    <row r="285" spans="1:25" ht="15" customHeight="1" x14ac:dyDescent="0.25">
      <c r="A285" s="10" t="str">
        <f>CONCATENATE(LEFT(C285,12),"-",RIGHT(C285,2),"_",TEXT(X285,"ddmmaaaa"),"_",COUNTIF($C$2:C285,C285))</f>
        <v>222280700001-34_12022026_1</v>
      </c>
      <c r="B285" s="10" t="str">
        <f>CONCATENATE(LEFT(C285,12),"-",RIGHT(C285,2),"_",COUNTIF($C$2:C285,C285))</f>
        <v>222280700001-34_1</v>
      </c>
      <c r="C285" s="10" t="s">
        <v>2689</v>
      </c>
      <c r="D285" s="10" t="s">
        <v>6051</v>
      </c>
      <c r="E285" s="10" t="s">
        <v>1555</v>
      </c>
      <c r="F285" s="10" t="s">
        <v>421</v>
      </c>
      <c r="G285" s="10" t="s">
        <v>2690</v>
      </c>
      <c r="H285" s="11" t="s">
        <v>2691</v>
      </c>
      <c r="I285" s="11" t="s">
        <v>2692</v>
      </c>
      <c r="J285" s="10" t="s">
        <v>1559</v>
      </c>
      <c r="K285" s="10" t="s">
        <v>1560</v>
      </c>
      <c r="L285" s="10" t="s">
        <v>1561</v>
      </c>
      <c r="M285" s="10" t="s">
        <v>421</v>
      </c>
      <c r="N285" s="10">
        <v>32</v>
      </c>
      <c r="O285" s="11">
        <v>96</v>
      </c>
      <c r="P285" s="11">
        <v>9.6000000000000002E-2</v>
      </c>
      <c r="Q285" s="10" t="s">
        <v>1562</v>
      </c>
      <c r="R285" s="10">
        <v>75</v>
      </c>
      <c r="S285" s="12">
        <v>8</v>
      </c>
      <c r="T285" s="13">
        <v>33119</v>
      </c>
      <c r="U285" s="14">
        <v>3179.424</v>
      </c>
      <c r="V285" s="10">
        <v>5.87</v>
      </c>
      <c r="W285" s="15">
        <v>194408.53</v>
      </c>
      <c r="X285" s="29">
        <f>VLOOKUP($F285,Agendamento!$B:$J,9,0)</f>
        <v>46065</v>
      </c>
      <c r="Y285" s="6">
        <f>COUNTIF(Analise!F:F,'Obras e Acervos'!H285)</f>
        <v>1</v>
      </c>
    </row>
    <row r="286" spans="1:25" ht="15" customHeight="1" x14ac:dyDescent="0.25">
      <c r="A286" s="10" t="str">
        <f>CONCATENATE(LEFT(C286,12),"-",RIGHT(C286,2),"_",TEXT(X286,"ddmmaaaa"),"_",COUNTIF($C$2:C286,C286))</f>
        <v>442721010001-97_03022026_1</v>
      </c>
      <c r="B286" s="10" t="str">
        <f>CONCATENATE(LEFT(C286,12),"-",RIGHT(C286,2),"_",COUNTIF($C$2:C286,C286))</f>
        <v>442721010001-97_1</v>
      </c>
      <c r="C286" s="10" t="s">
        <v>2693</v>
      </c>
      <c r="D286" s="10" t="s">
        <v>6052</v>
      </c>
      <c r="E286" s="10" t="s">
        <v>1555</v>
      </c>
      <c r="F286" s="10" t="s">
        <v>147</v>
      </c>
      <c r="G286" s="10" t="s">
        <v>2694</v>
      </c>
      <c r="H286" s="11" t="s">
        <v>2695</v>
      </c>
      <c r="I286" s="11" t="s">
        <v>2696</v>
      </c>
      <c r="J286" s="10" t="s">
        <v>1559</v>
      </c>
      <c r="K286" s="10" t="s">
        <v>1560</v>
      </c>
      <c r="L286" s="10" t="s">
        <v>1561</v>
      </c>
      <c r="M286" s="10" t="s">
        <v>147</v>
      </c>
      <c r="N286" s="10">
        <v>32</v>
      </c>
      <c r="O286" s="11">
        <v>77</v>
      </c>
      <c r="P286" s="11">
        <v>7.6999999999999999E-2</v>
      </c>
      <c r="Q286" s="10" t="s">
        <v>1562</v>
      </c>
      <c r="R286" s="10">
        <v>80</v>
      </c>
      <c r="S286" s="12">
        <v>8</v>
      </c>
      <c r="T286" s="13">
        <v>33437</v>
      </c>
      <c r="U286" s="14">
        <v>2574.6489999999999</v>
      </c>
      <c r="V286" s="10">
        <v>5.94</v>
      </c>
      <c r="W286" s="15">
        <v>198615.78</v>
      </c>
      <c r="X286" s="29">
        <f>VLOOKUP($F286,Agendamento!$B:$J,9,0)</f>
        <v>46056</v>
      </c>
      <c r="Y286" s="6">
        <f>COUNTIF(Analise!F:F,'Obras e Acervos'!H286)</f>
        <v>1</v>
      </c>
    </row>
    <row r="287" spans="1:25" ht="15" customHeight="1" x14ac:dyDescent="0.25">
      <c r="A287" s="10" t="str">
        <f>CONCATENATE(LEFT(C287,12),"-",RIGHT(C287,2),"_",TEXT(X287,"ddmmaaaa"),"_",COUNTIF($C$2:C287,C287))</f>
        <v>442226150001-38_03022026_1</v>
      </c>
      <c r="B287" s="10" t="str">
        <f>CONCATENATE(LEFT(C287,12),"-",RIGHT(C287,2),"_",COUNTIF($C$2:C287,C287))</f>
        <v>442226150001-38_1</v>
      </c>
      <c r="C287" s="10" t="s">
        <v>2697</v>
      </c>
      <c r="D287" s="10" t="s">
        <v>6053</v>
      </c>
      <c r="E287" s="10" t="s">
        <v>1555</v>
      </c>
      <c r="F287" s="10" t="s">
        <v>138</v>
      </c>
      <c r="G287" s="10" t="s">
        <v>2698</v>
      </c>
      <c r="H287" s="11" t="s">
        <v>2699</v>
      </c>
      <c r="I287" s="11" t="s">
        <v>2700</v>
      </c>
      <c r="J287" s="10" t="s">
        <v>1559</v>
      </c>
      <c r="K287" s="10" t="s">
        <v>1560</v>
      </c>
      <c r="L287" s="10" t="s">
        <v>1561</v>
      </c>
      <c r="M287" s="10" t="s">
        <v>138</v>
      </c>
      <c r="N287" s="10">
        <v>32</v>
      </c>
      <c r="O287" s="11">
        <v>77</v>
      </c>
      <c r="P287" s="11">
        <v>7.6999999999999999E-2</v>
      </c>
      <c r="Q287" s="10" t="s">
        <v>1562</v>
      </c>
      <c r="R287" s="10">
        <v>80</v>
      </c>
      <c r="S287" s="12">
        <v>8</v>
      </c>
      <c r="T287" s="13">
        <v>33180</v>
      </c>
      <c r="U287" s="14">
        <v>2554.86</v>
      </c>
      <c r="V287" s="10">
        <v>5.96</v>
      </c>
      <c r="W287" s="15">
        <v>197752.8</v>
      </c>
      <c r="X287" s="29">
        <f>VLOOKUP($F287,Agendamento!$B:$J,9,0)</f>
        <v>46056</v>
      </c>
      <c r="Y287" s="6">
        <f>COUNTIF(Analise!F:F,'Obras e Acervos'!H287)</f>
        <v>1</v>
      </c>
    </row>
    <row r="288" spans="1:25" ht="15" customHeight="1" x14ac:dyDescent="0.25">
      <c r="A288" s="10" t="str">
        <f>CONCATENATE(LEFT(C288,12),"-",RIGHT(C288,2),"_",TEXT(X288,"ddmmaaaa"),"_",COUNTIF($C$2:C288,C288))</f>
        <v>334617510001-64_09032026_1</v>
      </c>
      <c r="B288" s="10" t="str">
        <f>CONCATENATE(LEFT(C288,12),"-",RIGHT(C288,2),"_",COUNTIF($C$2:C288,C288))</f>
        <v>334617510001-64_1</v>
      </c>
      <c r="C288" s="10" t="s">
        <v>2701</v>
      </c>
      <c r="D288" s="10" t="s">
        <v>6054</v>
      </c>
      <c r="E288" s="10" t="s">
        <v>1555</v>
      </c>
      <c r="F288" s="10" t="s">
        <v>1311</v>
      </c>
      <c r="G288" s="10" t="s">
        <v>2702</v>
      </c>
      <c r="H288" s="11" t="s">
        <v>2703</v>
      </c>
      <c r="I288" s="11" t="s">
        <v>2704</v>
      </c>
      <c r="J288" s="10" t="s">
        <v>1559</v>
      </c>
      <c r="K288" s="10" t="s">
        <v>1560</v>
      </c>
      <c r="L288" s="10" t="s">
        <v>1561</v>
      </c>
      <c r="M288" s="10" t="s">
        <v>1311</v>
      </c>
      <c r="N288" s="10">
        <v>40</v>
      </c>
      <c r="O288" s="11">
        <v>120</v>
      </c>
      <c r="P288" s="11">
        <v>0.12</v>
      </c>
      <c r="Q288" s="10" t="s">
        <v>1562</v>
      </c>
      <c r="R288" s="10">
        <v>80</v>
      </c>
      <c r="S288" s="12">
        <v>8</v>
      </c>
      <c r="T288" s="13">
        <v>35210</v>
      </c>
      <c r="U288" s="14">
        <v>4225.2</v>
      </c>
      <c r="V288" s="10">
        <v>6.78</v>
      </c>
      <c r="W288" s="15">
        <v>238723.80000000002</v>
      </c>
      <c r="X288" s="29">
        <f>VLOOKUP($F288,Agendamento!$B:$J,9,0)</f>
        <v>46090</v>
      </c>
      <c r="Y288" s="6">
        <f>COUNTIF(Analise!F:F,'Obras e Acervos'!H288)</f>
        <v>1</v>
      </c>
    </row>
    <row r="289" spans="1:25" ht="15" customHeight="1" x14ac:dyDescent="0.25">
      <c r="A289" s="10" t="str">
        <f>CONCATENATE(LEFT(C289,12),"-",RIGHT(C289,2),"_",TEXT(X289,"ddmmaaaa"),"_",COUNTIF($C$2:C289,C289))</f>
        <v>041609200001-28_03022026_1</v>
      </c>
      <c r="B289" s="10" t="str">
        <f>CONCATENATE(LEFT(C289,12),"-",RIGHT(C289,2),"_",COUNTIF($C$2:C289,C289))</f>
        <v>041609200001-28_1</v>
      </c>
      <c r="C289" s="10" t="s">
        <v>2705</v>
      </c>
      <c r="D289" s="10" t="s">
        <v>123</v>
      </c>
      <c r="E289" s="10" t="s">
        <v>1555</v>
      </c>
      <c r="F289" s="10" t="s">
        <v>129</v>
      </c>
      <c r="G289" s="10" t="s">
        <v>2706</v>
      </c>
      <c r="H289" s="11" t="s">
        <v>2707</v>
      </c>
      <c r="I289" s="11" t="s">
        <v>2708</v>
      </c>
      <c r="J289" s="10" t="s">
        <v>1559</v>
      </c>
      <c r="K289" s="10" t="s">
        <v>1560</v>
      </c>
      <c r="L289" s="10" t="s">
        <v>1561</v>
      </c>
      <c r="M289" s="10" t="s">
        <v>129</v>
      </c>
      <c r="N289" s="10">
        <v>32</v>
      </c>
      <c r="O289" s="11">
        <v>96</v>
      </c>
      <c r="P289" s="11">
        <v>9.6000000000000002E-2</v>
      </c>
      <c r="Q289" s="10" t="s">
        <v>1562</v>
      </c>
      <c r="R289" s="10">
        <v>75</v>
      </c>
      <c r="S289" s="12">
        <v>8</v>
      </c>
      <c r="T289" s="13">
        <v>41754</v>
      </c>
      <c r="U289" s="14">
        <v>4008.384</v>
      </c>
      <c r="V289" s="10">
        <v>5.31</v>
      </c>
      <c r="W289" s="15">
        <v>221713.74</v>
      </c>
      <c r="X289" s="29">
        <f>VLOOKUP($F289,Agendamento!$B:$J,9,0)</f>
        <v>46056</v>
      </c>
      <c r="Y289" s="6">
        <f>COUNTIF(Analise!F:F,'Obras e Acervos'!H289)</f>
        <v>1</v>
      </c>
    </row>
    <row r="290" spans="1:25" ht="15" customHeight="1" x14ac:dyDescent="0.25">
      <c r="A290" s="10" t="str">
        <f>CONCATENATE(LEFT(C290,12),"-",RIGHT(C290,2),"_",TEXT(X290,"ddmmaaaa"),"_",COUNTIF($C$2:C290,C290))</f>
        <v>146514220001-31_23022026_1</v>
      </c>
      <c r="B290" s="10" t="str">
        <f>CONCATENATE(LEFT(C290,12),"-",RIGHT(C290,2),"_",COUNTIF($C$2:C290,C290))</f>
        <v>146514220001-31_1</v>
      </c>
      <c r="C290" s="10" t="s">
        <v>2709</v>
      </c>
      <c r="D290" s="10" t="s">
        <v>6055</v>
      </c>
      <c r="E290" s="10" t="s">
        <v>1555</v>
      </c>
      <c r="F290" s="10" t="s">
        <v>695</v>
      </c>
      <c r="G290" s="10" t="s">
        <v>2710</v>
      </c>
      <c r="H290" s="11" t="s">
        <v>2711</v>
      </c>
      <c r="I290" s="11" t="s">
        <v>2712</v>
      </c>
      <c r="J290" s="10" t="s">
        <v>1559</v>
      </c>
      <c r="K290" s="10" t="s">
        <v>1560</v>
      </c>
      <c r="L290" s="10" t="s">
        <v>1561</v>
      </c>
      <c r="M290" s="10" t="s">
        <v>695</v>
      </c>
      <c r="N290" s="10">
        <v>24</v>
      </c>
      <c r="O290" s="11">
        <v>85</v>
      </c>
      <c r="P290" s="11">
        <v>8.5000000000000006E-2</v>
      </c>
      <c r="Q290" s="10" t="s">
        <v>1599</v>
      </c>
      <c r="R290" s="10">
        <v>80</v>
      </c>
      <c r="S290" s="12">
        <v>8</v>
      </c>
      <c r="T290" s="13">
        <v>38891</v>
      </c>
      <c r="U290" s="14">
        <v>3305.7350000000001</v>
      </c>
      <c r="V290" s="10">
        <v>4.63</v>
      </c>
      <c r="W290" s="15">
        <v>180065.33</v>
      </c>
      <c r="X290" s="29">
        <f>VLOOKUP($F290,Agendamento!$B:$J,9,0)</f>
        <v>46076</v>
      </c>
      <c r="Y290" s="6">
        <f>COUNTIF(Analise!F:F,'Obras e Acervos'!H290)</f>
        <v>1</v>
      </c>
    </row>
    <row r="291" spans="1:25" ht="15" customHeight="1" x14ac:dyDescent="0.25">
      <c r="A291" s="10" t="str">
        <f>CONCATENATE(LEFT(C291,12),"-",RIGHT(C291,2),"_",TEXT(X291,"ddmmaaaa"),"_",COUNTIF($C$2:C291,C291))</f>
        <v>438852910001-55_16032026_1</v>
      </c>
      <c r="B291" s="10" t="str">
        <f>CONCATENATE(LEFT(C291,12),"-",RIGHT(C291,2),"_",COUNTIF($C$2:C291,C291))</f>
        <v>438852910001-55_1</v>
      </c>
      <c r="C291" s="10" t="s">
        <v>2713</v>
      </c>
      <c r="D291" s="10" t="s">
        <v>6056</v>
      </c>
      <c r="E291" s="10" t="s">
        <v>1555</v>
      </c>
      <c r="F291" s="10" t="s">
        <v>1377</v>
      </c>
      <c r="G291" s="10" t="s">
        <v>2714</v>
      </c>
      <c r="H291" s="11" t="s">
        <v>2715</v>
      </c>
      <c r="I291" s="11" t="s">
        <v>2716</v>
      </c>
      <c r="J291" s="10" t="s">
        <v>1559</v>
      </c>
      <c r="K291" s="10" t="s">
        <v>1560</v>
      </c>
      <c r="L291" s="10" t="s">
        <v>1561</v>
      </c>
      <c r="M291" s="10" t="s">
        <v>6203</v>
      </c>
      <c r="N291" s="10">
        <v>48</v>
      </c>
      <c r="O291" s="11">
        <v>75</v>
      </c>
      <c r="P291" s="11">
        <v>7.4999999999999997E-2</v>
      </c>
      <c r="Q291" s="10" t="s">
        <v>1562</v>
      </c>
      <c r="R291" s="10">
        <v>80</v>
      </c>
      <c r="S291" s="12">
        <v>8</v>
      </c>
      <c r="T291" s="13">
        <v>51072</v>
      </c>
      <c r="U291" s="14">
        <v>3830.3999999999996</v>
      </c>
      <c r="V291" s="10">
        <v>6.08</v>
      </c>
      <c r="W291" s="15">
        <v>310517.76000000001</v>
      </c>
      <c r="X291" s="29">
        <f>VLOOKUP($F291,Agendamento!$B:$J,9,0)</f>
        <v>46097</v>
      </c>
      <c r="Y291" s="6">
        <f>COUNTIF(Analise!F:F,'Obras e Acervos'!H291)</f>
        <v>1</v>
      </c>
    </row>
    <row r="292" spans="1:25" ht="15" customHeight="1" x14ac:dyDescent="0.25">
      <c r="A292" s="10" t="str">
        <f>CONCATENATE(LEFT(C292,12),"-",RIGHT(C292,2),"_",TEXT(X292,"ddmmaaaa"),"_",COUNTIF($C$2:C292,C292))</f>
        <v>435974100001-74_02032026_1</v>
      </c>
      <c r="B292" s="10" t="str">
        <f>CONCATENATE(LEFT(C292,12),"-",RIGHT(C292,2),"_",COUNTIF($C$2:C292,C292))</f>
        <v>435974100001-74_1</v>
      </c>
      <c r="C292" s="10" t="s">
        <v>2717</v>
      </c>
      <c r="D292" s="10" t="s">
        <v>1061</v>
      </c>
      <c r="E292" s="10" t="s">
        <v>1555</v>
      </c>
      <c r="F292" s="10" t="s">
        <v>1062</v>
      </c>
      <c r="G292" s="10" t="s">
        <v>2718</v>
      </c>
      <c r="H292" s="11" t="s">
        <v>2719</v>
      </c>
      <c r="I292" s="11" t="s">
        <v>2720</v>
      </c>
      <c r="J292" s="10" t="s">
        <v>1559</v>
      </c>
      <c r="K292" s="10" t="s">
        <v>1560</v>
      </c>
      <c r="L292" s="10" t="s">
        <v>1561</v>
      </c>
      <c r="M292" s="10" t="s">
        <v>1062</v>
      </c>
      <c r="N292" s="10">
        <v>32</v>
      </c>
      <c r="O292" s="11">
        <v>105</v>
      </c>
      <c r="P292" s="11">
        <v>0.105</v>
      </c>
      <c r="Q292" s="10" t="s">
        <v>1562</v>
      </c>
      <c r="R292" s="10">
        <v>80</v>
      </c>
      <c r="S292" s="12">
        <v>8</v>
      </c>
      <c r="T292" s="13">
        <v>33528</v>
      </c>
      <c r="U292" s="14">
        <v>3520.44</v>
      </c>
      <c r="V292" s="10">
        <v>5.94</v>
      </c>
      <c r="W292" s="15">
        <v>199156.32</v>
      </c>
      <c r="X292" s="29">
        <f>VLOOKUP($F292,Agendamento!$B:$J,9,0)</f>
        <v>46083</v>
      </c>
      <c r="Y292" s="6">
        <f>COUNTIF(Analise!F:F,'Obras e Acervos'!H292)</f>
        <v>1</v>
      </c>
    </row>
    <row r="293" spans="1:25" ht="15" customHeight="1" x14ac:dyDescent="0.25">
      <c r="A293" s="10" t="str">
        <f>CONCATENATE(LEFT(C293,12),"-",RIGHT(C293,2),"_",TEXT(X293,"ddmmaaaa"),"_",COUNTIF($C$2:C293,C293))</f>
        <v>330386960001-02_26022026_1</v>
      </c>
      <c r="B293" s="10" t="str">
        <f>CONCATENATE(LEFT(C293,12),"-",RIGHT(C293,2),"_",COUNTIF($C$2:C293,C293))</f>
        <v>330386960001-02_1</v>
      </c>
      <c r="C293" s="10" t="s">
        <v>2721</v>
      </c>
      <c r="D293" s="10" t="s">
        <v>6057</v>
      </c>
      <c r="E293" s="10" t="s">
        <v>1555</v>
      </c>
      <c r="F293" s="10" t="s">
        <v>937</v>
      </c>
      <c r="G293" s="10" t="s">
        <v>2722</v>
      </c>
      <c r="H293" s="11" t="s">
        <v>2723</v>
      </c>
      <c r="I293" s="11" t="s">
        <v>2724</v>
      </c>
      <c r="J293" s="10" t="s">
        <v>1559</v>
      </c>
      <c r="K293" s="10" t="s">
        <v>1560</v>
      </c>
      <c r="L293" s="10" t="s">
        <v>1561</v>
      </c>
      <c r="M293" s="10" t="s">
        <v>937</v>
      </c>
      <c r="N293" s="10">
        <v>56</v>
      </c>
      <c r="O293" s="11">
        <v>175</v>
      </c>
      <c r="P293" s="11">
        <v>0.17499999999999999</v>
      </c>
      <c r="Q293" s="10" t="s">
        <v>1562</v>
      </c>
      <c r="R293" s="10">
        <v>80</v>
      </c>
      <c r="S293" s="12">
        <v>8</v>
      </c>
      <c r="T293" s="13">
        <v>186801</v>
      </c>
      <c r="U293" s="14">
        <v>32690.174999999999</v>
      </c>
      <c r="V293" s="10">
        <v>3.89</v>
      </c>
      <c r="W293" s="15">
        <v>726655.89</v>
      </c>
      <c r="X293" s="29">
        <f>VLOOKUP($F293,Agendamento!$B:$J,9,0)</f>
        <v>46079</v>
      </c>
      <c r="Y293" s="6">
        <f>COUNTIF(Analise!F:F,'Obras e Acervos'!H293)</f>
        <v>1</v>
      </c>
    </row>
    <row r="294" spans="1:25" ht="15" customHeight="1" x14ac:dyDescent="0.25">
      <c r="A294" s="10" t="str">
        <f>CONCATENATE(LEFT(C294,12),"-",RIGHT(C294,2),"_",TEXT(X294,"ddmmaaaa"),"_",COUNTIF($C$2:C294,C294))</f>
        <v>434112740001-86_04032026_1</v>
      </c>
      <c r="B294" s="10" t="str">
        <f>CONCATENATE(LEFT(C294,12),"-",RIGHT(C294,2),"_",COUNTIF($C$2:C294,C294))</f>
        <v>434112740001-86_1</v>
      </c>
      <c r="C294" s="10" t="s">
        <v>2725</v>
      </c>
      <c r="D294" s="10" t="s">
        <v>1194</v>
      </c>
      <c r="E294" s="10" t="s">
        <v>1555</v>
      </c>
      <c r="F294" s="10" t="s">
        <v>1205</v>
      </c>
      <c r="G294" s="10" t="s">
        <v>2726</v>
      </c>
      <c r="H294" s="11" t="s">
        <v>2727</v>
      </c>
      <c r="I294" s="11" t="s">
        <v>2728</v>
      </c>
      <c r="J294" s="10" t="s">
        <v>1559</v>
      </c>
      <c r="K294" s="10" t="s">
        <v>1560</v>
      </c>
      <c r="L294" s="10" t="s">
        <v>1561</v>
      </c>
      <c r="M294" s="10" t="s">
        <v>1205</v>
      </c>
      <c r="N294" s="10">
        <v>40</v>
      </c>
      <c r="O294" s="11">
        <v>104</v>
      </c>
      <c r="P294" s="11">
        <v>0.104</v>
      </c>
      <c r="Q294" s="10" t="s">
        <v>1599</v>
      </c>
      <c r="R294" s="10">
        <v>80</v>
      </c>
      <c r="S294" s="12">
        <v>8</v>
      </c>
      <c r="T294" s="13">
        <v>33346</v>
      </c>
      <c r="U294" s="14">
        <v>3467.9839999999999</v>
      </c>
      <c r="V294" s="10">
        <v>6.83</v>
      </c>
      <c r="W294" s="15">
        <v>227753.18</v>
      </c>
      <c r="X294" s="29">
        <f>VLOOKUP($F294,Agendamento!$B:$J,9,0)</f>
        <v>46085</v>
      </c>
      <c r="Y294" s="6">
        <f>COUNTIF(Analise!F:F,'Obras e Acervos'!H294)</f>
        <v>1</v>
      </c>
    </row>
    <row r="295" spans="1:25" ht="15" customHeight="1" x14ac:dyDescent="0.25">
      <c r="A295" s="10" t="str">
        <f>CONCATENATE(LEFT(C295,12),"-",RIGHT(C295,2),"_",TEXT(X295,"ddmmaaaa"),"_",COUNTIF($C$2:C295,C295))</f>
        <v>435970000001-23_11032026_1</v>
      </c>
      <c r="B295" s="10" t="str">
        <f>CONCATENATE(LEFT(C295,12),"-",RIGHT(C295,2),"_",COUNTIF($C$2:C295,C295))</f>
        <v>435970000001-23_1</v>
      </c>
      <c r="C295" s="10" t="s">
        <v>2729</v>
      </c>
      <c r="D295" s="10" t="s">
        <v>1314</v>
      </c>
      <c r="E295" s="10" t="s">
        <v>1555</v>
      </c>
      <c r="F295" s="10" t="s">
        <v>1315</v>
      </c>
      <c r="G295" s="10" t="s">
        <v>2730</v>
      </c>
      <c r="H295" s="11" t="s">
        <v>2731</v>
      </c>
      <c r="I295" s="11" t="s">
        <v>2732</v>
      </c>
      <c r="J295" s="10" t="s">
        <v>1559</v>
      </c>
      <c r="K295" s="10" t="s">
        <v>1560</v>
      </c>
      <c r="L295" s="10" t="s">
        <v>1561</v>
      </c>
      <c r="M295" s="10" t="s">
        <v>1315</v>
      </c>
      <c r="N295" s="10">
        <v>48</v>
      </c>
      <c r="O295" s="11">
        <v>150</v>
      </c>
      <c r="P295" s="11">
        <v>0.15</v>
      </c>
      <c r="Q295" s="10" t="s">
        <v>1562</v>
      </c>
      <c r="R295" s="10">
        <v>80</v>
      </c>
      <c r="S295" s="12">
        <v>8</v>
      </c>
      <c r="T295" s="13">
        <v>33558</v>
      </c>
      <c r="U295" s="14">
        <v>5033.7</v>
      </c>
      <c r="V295" s="10">
        <v>7.73</v>
      </c>
      <c r="W295" s="15">
        <v>259403.34000000003</v>
      </c>
      <c r="X295" s="29">
        <f>VLOOKUP($F295,Agendamento!$B:$J,9,0)</f>
        <v>46092</v>
      </c>
      <c r="Y295" s="6">
        <f>COUNTIF(Analise!F:F,'Obras e Acervos'!H295)</f>
        <v>1</v>
      </c>
    </row>
    <row r="296" spans="1:25" ht="15" customHeight="1" x14ac:dyDescent="0.25">
      <c r="A296" s="10" t="str">
        <f>CONCATENATE(LEFT(C296,12),"-",RIGHT(C296,2),"_",TEXT(X296,"ddmmaaaa"),"_",COUNTIF($C$2:C296,C296))</f>
        <v>436812550001-70_16032026_1</v>
      </c>
      <c r="B296" s="10" t="str">
        <f>CONCATENATE(LEFT(C296,12),"-",RIGHT(C296,2),"_",COUNTIF($C$2:C296,C296))</f>
        <v>436812550001-70_1</v>
      </c>
      <c r="C296" s="10" t="s">
        <v>2733</v>
      </c>
      <c r="D296" s="10" t="s">
        <v>6058</v>
      </c>
      <c r="E296" s="10" t="s">
        <v>1555</v>
      </c>
      <c r="F296" s="10" t="s">
        <v>1385</v>
      </c>
      <c r="G296" s="10" t="s">
        <v>2734</v>
      </c>
      <c r="H296" s="11" t="s">
        <v>2735</v>
      </c>
      <c r="I296" s="11" t="s">
        <v>2736</v>
      </c>
      <c r="J296" s="10" t="s">
        <v>1559</v>
      </c>
      <c r="K296" s="10" t="s">
        <v>1560</v>
      </c>
      <c r="L296" s="10" t="s">
        <v>1561</v>
      </c>
      <c r="M296" s="10" t="s">
        <v>1385</v>
      </c>
      <c r="N296" s="10">
        <v>40</v>
      </c>
      <c r="O296" s="11">
        <v>124</v>
      </c>
      <c r="P296" s="11">
        <v>0.124</v>
      </c>
      <c r="Q296" s="10" t="s">
        <v>1599</v>
      </c>
      <c r="R296" s="10">
        <v>80</v>
      </c>
      <c r="S296" s="12">
        <v>8</v>
      </c>
      <c r="T296" s="13">
        <v>33074</v>
      </c>
      <c r="U296" s="14">
        <v>4101.1760000000004</v>
      </c>
      <c r="V296" s="10">
        <v>6.86</v>
      </c>
      <c r="W296" s="15">
        <v>226887.64</v>
      </c>
      <c r="X296" s="29">
        <f>VLOOKUP($F296,Agendamento!$B:$J,9,0)</f>
        <v>46097</v>
      </c>
      <c r="Y296" s="6">
        <f>COUNTIF(Analise!F:F,'Obras e Acervos'!H296)</f>
        <v>1</v>
      </c>
    </row>
    <row r="297" spans="1:25" ht="15" customHeight="1" x14ac:dyDescent="0.25">
      <c r="A297" s="10" t="str">
        <f>CONCATENATE(LEFT(C297,12),"-",RIGHT(C297,2),"_",TEXT(X297,"ddmmaaaa"),"_",COUNTIF($C$2:C297,C297))</f>
        <v>156941140001-56_26012026_1</v>
      </c>
      <c r="B297" s="10" t="str">
        <f>CONCATENATE(LEFT(C297,12),"-",RIGHT(C297,2),"_",COUNTIF($C$2:C297,C297))</f>
        <v>156941140001-56_1</v>
      </c>
      <c r="C297" s="16" t="s">
        <v>2737</v>
      </c>
      <c r="D297" s="16" t="s">
        <v>6059</v>
      </c>
      <c r="E297" s="16" t="s">
        <v>1555</v>
      </c>
      <c r="F297" s="16" t="s">
        <v>27</v>
      </c>
      <c r="G297" s="16" t="s">
        <v>2738</v>
      </c>
      <c r="H297" s="16" t="s">
        <v>2739</v>
      </c>
      <c r="I297" s="16" t="s">
        <v>2740</v>
      </c>
      <c r="J297" s="16" t="s">
        <v>1559</v>
      </c>
      <c r="K297" s="16" t="s">
        <v>1560</v>
      </c>
      <c r="L297" s="16" t="s">
        <v>1561</v>
      </c>
      <c r="M297" s="10" t="s">
        <v>27</v>
      </c>
      <c r="N297" s="16">
        <v>56</v>
      </c>
      <c r="O297" s="16">
        <v>153</v>
      </c>
      <c r="P297" s="16">
        <v>0.153</v>
      </c>
      <c r="Q297" s="16" t="s">
        <v>1562</v>
      </c>
      <c r="R297" s="16">
        <v>80</v>
      </c>
      <c r="S297" s="17">
        <v>1</v>
      </c>
      <c r="T297" s="18">
        <v>63912</v>
      </c>
      <c r="U297" s="19">
        <v>9778.5360000000001</v>
      </c>
      <c r="V297" s="16">
        <v>7.73</v>
      </c>
      <c r="W297" s="20">
        <v>256829.25</v>
      </c>
      <c r="X297" s="29">
        <f>VLOOKUP($F297,Agendamento!$B:$J,9,0)</f>
        <v>46048</v>
      </c>
      <c r="Y297" s="6">
        <f>COUNTIF(Analise!F:F,'Obras e Acervos'!H297)</f>
        <v>1</v>
      </c>
    </row>
    <row r="298" spans="1:25" ht="15" customHeight="1" x14ac:dyDescent="0.25">
      <c r="A298" s="10" t="str">
        <f>CONCATENATE(LEFT(C298,12),"-",RIGHT(C298,2),"_",TEXT(X298,"ddmmaaaa"),"_",COUNTIF($C$2:C298,C298))</f>
        <v>057642360001-18_10022026_1</v>
      </c>
      <c r="B298" s="10" t="str">
        <f>CONCATENATE(LEFT(C298,12),"-",RIGHT(C298,2),"_",COUNTIF($C$2:C298,C298))</f>
        <v>057642360001-18_1</v>
      </c>
      <c r="C298" s="10" t="s">
        <v>2741</v>
      </c>
      <c r="D298" s="10" t="s">
        <v>266</v>
      </c>
      <c r="E298" s="10" t="s">
        <v>1555</v>
      </c>
      <c r="F298" s="10" t="s">
        <v>267</v>
      </c>
      <c r="G298" s="10" t="s">
        <v>2742</v>
      </c>
      <c r="H298" s="11" t="s">
        <v>2743</v>
      </c>
      <c r="I298" s="11" t="s">
        <v>2744</v>
      </c>
      <c r="J298" s="10" t="s">
        <v>1559</v>
      </c>
      <c r="K298" s="10" t="s">
        <v>1560</v>
      </c>
      <c r="L298" s="10" t="s">
        <v>1561</v>
      </c>
      <c r="M298" s="10" t="s">
        <v>267</v>
      </c>
      <c r="N298" s="10">
        <v>40</v>
      </c>
      <c r="O298" s="11">
        <v>125</v>
      </c>
      <c r="P298" s="11">
        <v>0.125</v>
      </c>
      <c r="Q298" s="10" t="s">
        <v>1562</v>
      </c>
      <c r="R298" s="10">
        <v>75</v>
      </c>
      <c r="S298" s="12">
        <v>8</v>
      </c>
      <c r="T298" s="13">
        <v>33498</v>
      </c>
      <c r="U298" s="14">
        <v>4187.25</v>
      </c>
      <c r="V298" s="10">
        <v>6.72</v>
      </c>
      <c r="W298" s="15">
        <v>225106.56</v>
      </c>
      <c r="X298" s="29">
        <f>VLOOKUP($F298,Agendamento!$B:$J,9,0)</f>
        <v>46063</v>
      </c>
      <c r="Y298" s="6">
        <f>COUNTIF(Analise!F:F,'Obras e Acervos'!H298)</f>
        <v>1</v>
      </c>
    </row>
    <row r="299" spans="1:25" ht="15" customHeight="1" x14ac:dyDescent="0.25">
      <c r="A299" s="10" t="str">
        <f>CONCATENATE(LEFT(C299,12),"-",RIGHT(C299,2),"_",TEXT(X299,"ddmmaaaa"),"_",COUNTIF($C$2:C299,C299))</f>
        <v>302205010001-44_11032026_1</v>
      </c>
      <c r="B299" s="10" t="str">
        <f>CONCATENATE(LEFT(C299,12),"-",RIGHT(C299,2),"_",COUNTIF($C$2:C299,C299))</f>
        <v>302205010001-44_1</v>
      </c>
      <c r="C299" s="10" t="s">
        <v>2745</v>
      </c>
      <c r="D299" s="10" t="s">
        <v>6060</v>
      </c>
      <c r="E299" s="10" t="s">
        <v>1555</v>
      </c>
      <c r="F299" s="10" t="s">
        <v>1389</v>
      </c>
      <c r="G299" s="10" t="s">
        <v>2746</v>
      </c>
      <c r="H299" s="11" t="s">
        <v>2747</v>
      </c>
      <c r="I299" s="11" t="s">
        <v>2748</v>
      </c>
      <c r="J299" s="10" t="s">
        <v>1559</v>
      </c>
      <c r="K299" s="10" t="s">
        <v>1560</v>
      </c>
      <c r="L299" s="10" t="s">
        <v>1561</v>
      </c>
      <c r="M299" s="10" t="s">
        <v>1389</v>
      </c>
      <c r="N299" s="10">
        <v>48</v>
      </c>
      <c r="O299" s="11">
        <v>143</v>
      </c>
      <c r="P299" s="11">
        <v>0.14299999999999999</v>
      </c>
      <c r="Q299" s="10" t="s">
        <v>1562</v>
      </c>
      <c r="R299" s="10">
        <v>80</v>
      </c>
      <c r="S299" s="12">
        <v>8</v>
      </c>
      <c r="T299" s="13">
        <v>34270</v>
      </c>
      <c r="U299" s="14">
        <v>4900.6099999999997</v>
      </c>
      <c r="V299" s="10">
        <v>7.7</v>
      </c>
      <c r="W299" s="15">
        <v>263879</v>
      </c>
      <c r="X299" s="29">
        <f>VLOOKUP($F299,Agendamento!$B:$J,9,0)</f>
        <v>46092</v>
      </c>
      <c r="Y299" s="6">
        <f>COUNTIF(Analise!F:F,'Obras e Acervos'!H299)</f>
        <v>1</v>
      </c>
    </row>
    <row r="300" spans="1:25" ht="15" customHeight="1" x14ac:dyDescent="0.25">
      <c r="A300" s="10" t="str">
        <f>CONCATENATE(LEFT(C300,12),"-",RIGHT(C300,2),"_",TEXT(X300,"ddmmaaaa"),"_",COUNTIF($C$2:C300,C300))</f>
        <v>106211080001-55_18022026_1</v>
      </c>
      <c r="B300" s="10" t="str">
        <f>CONCATENATE(LEFT(C300,12),"-",RIGHT(C300,2),"_",COUNTIF($C$2:C300,C300))</f>
        <v>106211080001-55_1</v>
      </c>
      <c r="C300" s="10" t="s">
        <v>2749</v>
      </c>
      <c r="D300" s="10" t="s">
        <v>6061</v>
      </c>
      <c r="E300" s="10" t="s">
        <v>1555</v>
      </c>
      <c r="F300" s="10" t="s">
        <v>588</v>
      </c>
      <c r="G300" s="10" t="s">
        <v>2750</v>
      </c>
      <c r="H300" s="11" t="s">
        <v>2751</v>
      </c>
      <c r="I300" s="11" t="s">
        <v>2752</v>
      </c>
      <c r="J300" s="10" t="s">
        <v>1559</v>
      </c>
      <c r="K300" s="10" t="s">
        <v>1560</v>
      </c>
      <c r="L300" s="10" t="s">
        <v>1561</v>
      </c>
      <c r="M300" s="10" t="s">
        <v>588</v>
      </c>
      <c r="N300" s="10">
        <v>80</v>
      </c>
      <c r="O300" s="11">
        <v>198</v>
      </c>
      <c r="P300" s="11">
        <v>0.19800000000000001</v>
      </c>
      <c r="Q300" s="10" t="s">
        <v>1562</v>
      </c>
      <c r="R300" s="10">
        <v>80</v>
      </c>
      <c r="S300" s="12">
        <v>8</v>
      </c>
      <c r="T300" s="13">
        <v>41270</v>
      </c>
      <c r="U300" s="14">
        <v>8171.46</v>
      </c>
      <c r="V300" s="10">
        <v>10.43</v>
      </c>
      <c r="W300" s="15">
        <v>430446.1</v>
      </c>
      <c r="X300" s="29">
        <f>VLOOKUP($F300,Agendamento!$B:$J,9,0)</f>
        <v>46071</v>
      </c>
      <c r="Y300" s="6">
        <f>COUNTIF(Analise!F:F,'Obras e Acervos'!H300)</f>
        <v>1</v>
      </c>
    </row>
    <row r="301" spans="1:25" ht="15" customHeight="1" x14ac:dyDescent="0.25">
      <c r="A301" s="10" t="str">
        <f>CONCATENATE(LEFT(C301,12),"-",RIGHT(C301,2),"_",TEXT(X301,"ddmmaaaa"),"_",COUNTIF($C$2:C301,C301))</f>
        <v>143078900001-93_19022026_1</v>
      </c>
      <c r="B301" s="10" t="str">
        <f>CONCATENATE(LEFT(C301,12),"-",RIGHT(C301,2),"_",COUNTIF($C$2:C301,C301))</f>
        <v>143078900001-93_1</v>
      </c>
      <c r="C301" s="10" t="s">
        <v>2753</v>
      </c>
      <c r="D301" s="10" t="s">
        <v>6062</v>
      </c>
      <c r="E301" s="10" t="s">
        <v>1555</v>
      </c>
      <c r="F301" s="10" t="s">
        <v>601</v>
      </c>
      <c r="G301" s="10" t="s">
        <v>2754</v>
      </c>
      <c r="H301" s="11" t="s">
        <v>2755</v>
      </c>
      <c r="I301" s="11" t="s">
        <v>2756</v>
      </c>
      <c r="J301" s="10" t="s">
        <v>1559</v>
      </c>
      <c r="K301" s="10" t="s">
        <v>1560</v>
      </c>
      <c r="L301" s="10" t="s">
        <v>1561</v>
      </c>
      <c r="M301" s="10" t="s">
        <v>601</v>
      </c>
      <c r="N301" s="10">
        <v>72</v>
      </c>
      <c r="O301" s="11">
        <v>200</v>
      </c>
      <c r="P301" s="11">
        <v>0.2</v>
      </c>
      <c r="Q301" s="10" t="s">
        <v>1599</v>
      </c>
      <c r="R301" s="10">
        <v>80</v>
      </c>
      <c r="S301" s="12">
        <v>8</v>
      </c>
      <c r="T301" s="13">
        <v>34210</v>
      </c>
      <c r="U301" s="14">
        <v>6842</v>
      </c>
      <c r="V301" s="10">
        <v>10.38</v>
      </c>
      <c r="W301" s="15">
        <v>355099.80000000005</v>
      </c>
      <c r="X301" s="29">
        <f>VLOOKUP($F301,Agendamento!$B:$J,9,0)</f>
        <v>46072</v>
      </c>
      <c r="Y301" s="6">
        <f>COUNTIF(Analise!F:F,'Obras e Acervos'!H301)</f>
        <v>1</v>
      </c>
    </row>
    <row r="302" spans="1:25" ht="15" customHeight="1" x14ac:dyDescent="0.25">
      <c r="A302" s="10" t="str">
        <f>CONCATENATE(LEFT(C302,12),"-",RIGHT(C302,2),"_",TEXT(X302,"ddmmaaaa"),"_",COUNTIF($C$2:C302,C302))</f>
        <v>181104490001-78_10022026_1</v>
      </c>
      <c r="B302" s="10" t="str">
        <f>CONCATENATE(LEFT(C302,12),"-",RIGHT(C302,2),"_",COUNTIF($C$2:C302,C302))</f>
        <v>181104490001-78_1</v>
      </c>
      <c r="C302" s="10" t="s">
        <v>2757</v>
      </c>
      <c r="D302" s="10" t="s">
        <v>6063</v>
      </c>
      <c r="E302" s="10" t="s">
        <v>1555</v>
      </c>
      <c r="F302" s="10" t="s">
        <v>242</v>
      </c>
      <c r="G302" s="10" t="s">
        <v>2758</v>
      </c>
      <c r="H302" s="11" t="s">
        <v>2759</v>
      </c>
      <c r="I302" s="11" t="s">
        <v>2760</v>
      </c>
      <c r="J302" s="10" t="s">
        <v>1559</v>
      </c>
      <c r="K302" s="10" t="s">
        <v>1560</v>
      </c>
      <c r="L302" s="10" t="s">
        <v>1561</v>
      </c>
      <c r="M302" s="10" t="s">
        <v>242</v>
      </c>
      <c r="N302" s="10">
        <v>40</v>
      </c>
      <c r="O302" s="11">
        <v>120</v>
      </c>
      <c r="P302" s="11">
        <v>0.12</v>
      </c>
      <c r="Q302" s="10" t="s">
        <v>1562</v>
      </c>
      <c r="R302" s="10">
        <v>80</v>
      </c>
      <c r="S302" s="12">
        <v>8</v>
      </c>
      <c r="T302" s="13">
        <v>35422</v>
      </c>
      <c r="U302" s="14">
        <v>4250.6399999999994</v>
      </c>
      <c r="V302" s="10">
        <v>6.78</v>
      </c>
      <c r="W302" s="15">
        <v>240161.16</v>
      </c>
      <c r="X302" s="29">
        <f>VLOOKUP($F302,Agendamento!$B:$J,9,0)</f>
        <v>46063</v>
      </c>
      <c r="Y302" s="6">
        <f>COUNTIF(Analise!F:F,'Obras e Acervos'!H302)</f>
        <v>1</v>
      </c>
    </row>
    <row r="303" spans="1:25" ht="15" customHeight="1" x14ac:dyDescent="0.25">
      <c r="A303" s="10" t="str">
        <f>CONCATENATE(LEFT(C303,12),"-",RIGHT(C303,2),"_",TEXT(X303,"ddmmaaaa"),"_",COUNTIF($C$2:C303,C303))</f>
        <v>436806870001-66_04032026_1</v>
      </c>
      <c r="B303" s="10" t="str">
        <f>CONCATENATE(LEFT(C303,12),"-",RIGHT(C303,2),"_",COUNTIF($C$2:C303,C303))</f>
        <v>436806870001-66_1</v>
      </c>
      <c r="C303" s="10" t="s">
        <v>2761</v>
      </c>
      <c r="D303" s="10" t="s">
        <v>6064</v>
      </c>
      <c r="E303" s="10" t="s">
        <v>1555</v>
      </c>
      <c r="F303" s="10" t="s">
        <v>1227</v>
      </c>
      <c r="G303" s="10" t="s">
        <v>2762</v>
      </c>
      <c r="H303" s="11" t="s">
        <v>2763</v>
      </c>
      <c r="I303" s="11" t="s">
        <v>2764</v>
      </c>
      <c r="J303" s="10" t="s">
        <v>1559</v>
      </c>
      <c r="K303" s="10" t="s">
        <v>1560</v>
      </c>
      <c r="L303" s="10" t="s">
        <v>1561</v>
      </c>
      <c r="M303" s="10" t="s">
        <v>1227</v>
      </c>
      <c r="N303" s="10">
        <v>64</v>
      </c>
      <c r="O303" s="11">
        <v>181</v>
      </c>
      <c r="P303" s="11">
        <v>0.18099999999999999</v>
      </c>
      <c r="Q303" s="10" t="s">
        <v>1562</v>
      </c>
      <c r="R303" s="10">
        <v>80</v>
      </c>
      <c r="S303" s="12">
        <v>8</v>
      </c>
      <c r="T303" s="13">
        <v>52753</v>
      </c>
      <c r="U303" s="14">
        <v>9548.2929999999997</v>
      </c>
      <c r="V303" s="10">
        <v>7.52</v>
      </c>
      <c r="W303" s="15">
        <v>396702.56</v>
      </c>
      <c r="X303" s="29">
        <f>VLOOKUP($F303,Agendamento!$B:$J,9,0)</f>
        <v>46085</v>
      </c>
      <c r="Y303" s="6">
        <f>COUNTIF(Analise!F:F,'Obras e Acervos'!H303)</f>
        <v>1</v>
      </c>
    </row>
    <row r="304" spans="1:25" ht="15" customHeight="1" x14ac:dyDescent="0.25">
      <c r="A304" s="10" t="str">
        <f>CONCATENATE(LEFT(C304,12),"-",RIGHT(C304,2),"_",TEXT(X304,"ddmmaaaa"),"_",COUNTIF($C$2:C304,C304))</f>
        <v>119503950001-00_16022026_1</v>
      </c>
      <c r="B304" s="10" t="str">
        <f>CONCATENATE(LEFT(C304,12),"-",RIGHT(C304,2),"_",COUNTIF($C$2:C304,C304))</f>
        <v>119503950001-00_1</v>
      </c>
      <c r="C304" s="10" t="s">
        <v>2765</v>
      </c>
      <c r="D304" s="10" t="s">
        <v>6065</v>
      </c>
      <c r="E304" s="10" t="s">
        <v>1555</v>
      </c>
      <c r="F304" s="10" t="s">
        <v>521</v>
      </c>
      <c r="G304" s="10" t="s">
        <v>2766</v>
      </c>
      <c r="H304" s="11" t="s">
        <v>2767</v>
      </c>
      <c r="I304" s="11" t="s">
        <v>2768</v>
      </c>
      <c r="J304" s="10" t="s">
        <v>1559</v>
      </c>
      <c r="K304" s="10" t="s">
        <v>1560</v>
      </c>
      <c r="L304" s="10" t="s">
        <v>1561</v>
      </c>
      <c r="M304" s="10" t="s">
        <v>521</v>
      </c>
      <c r="N304" s="10">
        <v>64</v>
      </c>
      <c r="O304" s="11">
        <v>89</v>
      </c>
      <c r="P304" s="11">
        <v>8.8999999999999996E-2</v>
      </c>
      <c r="Q304" s="10" t="s">
        <v>2290</v>
      </c>
      <c r="R304" s="10">
        <v>80</v>
      </c>
      <c r="S304" s="12">
        <v>8</v>
      </c>
      <c r="T304" s="13">
        <v>33210</v>
      </c>
      <c r="U304" s="14">
        <v>2955.69</v>
      </c>
      <c r="V304" s="10">
        <v>7.9</v>
      </c>
      <c r="W304" s="15">
        <v>262359</v>
      </c>
      <c r="X304" s="29">
        <f>VLOOKUP($F304,Agendamento!$B:$J,9,0)</f>
        <v>46069</v>
      </c>
      <c r="Y304" s="6">
        <f>COUNTIF(Analise!F:F,'Obras e Acervos'!H304)</f>
        <v>1</v>
      </c>
    </row>
    <row r="305" spans="1:25" ht="15" customHeight="1" x14ac:dyDescent="0.25">
      <c r="A305" s="10" t="str">
        <f>CONCATENATE(LEFT(C305,12),"-",RIGHT(C305,2),"_",TEXT(X305,"ddmmaaaa"),"_",COUNTIF($C$2:C305,C305))</f>
        <v>436804970001-49_09032026_1</v>
      </c>
      <c r="B305" s="10" t="str">
        <f>CONCATENATE(LEFT(C305,12),"-",RIGHT(C305,2),"_",COUNTIF($C$2:C305,C305))</f>
        <v>436804970001-49_1</v>
      </c>
      <c r="C305" s="10" t="s">
        <v>2769</v>
      </c>
      <c r="D305" s="10" t="s">
        <v>6066</v>
      </c>
      <c r="E305" s="10" t="s">
        <v>1555</v>
      </c>
      <c r="F305" s="10" t="s">
        <v>1308</v>
      </c>
      <c r="G305" s="10" t="s">
        <v>2770</v>
      </c>
      <c r="H305" s="11" t="s">
        <v>2771</v>
      </c>
      <c r="I305" s="11" t="s">
        <v>2772</v>
      </c>
      <c r="J305" s="10" t="s">
        <v>1559</v>
      </c>
      <c r="K305" s="10" t="s">
        <v>1560</v>
      </c>
      <c r="L305" s="10" t="s">
        <v>1561</v>
      </c>
      <c r="M305" s="10" t="s">
        <v>1308</v>
      </c>
      <c r="N305" s="10">
        <v>40</v>
      </c>
      <c r="O305" s="11">
        <v>124</v>
      </c>
      <c r="P305" s="11">
        <v>0.124</v>
      </c>
      <c r="Q305" s="10" t="s">
        <v>1562</v>
      </c>
      <c r="R305" s="10">
        <v>80</v>
      </c>
      <c r="S305" s="12">
        <v>8</v>
      </c>
      <c r="T305" s="13">
        <v>33331</v>
      </c>
      <c r="U305" s="14">
        <v>4133.0439999999999</v>
      </c>
      <c r="V305" s="10">
        <v>6.83</v>
      </c>
      <c r="W305" s="15">
        <v>227650.73</v>
      </c>
      <c r="X305" s="29">
        <f>VLOOKUP($F305,Agendamento!$B:$J,9,0)</f>
        <v>46090</v>
      </c>
      <c r="Y305" s="6">
        <f>COUNTIF(Analise!F:F,'Obras e Acervos'!H305)</f>
        <v>1</v>
      </c>
    </row>
    <row r="306" spans="1:25" ht="15" customHeight="1" x14ac:dyDescent="0.25">
      <c r="A306" s="10" t="str">
        <f>CONCATENATE(LEFT(C306,12),"-",RIGHT(C306,2),"_",TEXT(X306,"ddmmaaaa"),"_",COUNTIF($C$2:C306,C306))</f>
        <v>020228400001-80_16022026_1</v>
      </c>
      <c r="B306" s="10" t="str">
        <f>CONCATENATE(LEFT(C306,12),"-",RIGHT(C306,2),"_",COUNTIF($C$2:C306,C306))</f>
        <v>020228400001-80_1</v>
      </c>
      <c r="C306" s="10" t="s">
        <v>2773</v>
      </c>
      <c r="D306" s="10" t="s">
        <v>6067</v>
      </c>
      <c r="E306" s="10" t="s">
        <v>1555</v>
      </c>
      <c r="F306" s="10" t="s">
        <v>526</v>
      </c>
      <c r="G306" s="10" t="s">
        <v>2774</v>
      </c>
      <c r="H306" s="11" t="s">
        <v>2775</v>
      </c>
      <c r="I306" s="11" t="s">
        <v>2776</v>
      </c>
      <c r="J306" s="10" t="s">
        <v>1559</v>
      </c>
      <c r="K306" s="10" t="s">
        <v>1560</v>
      </c>
      <c r="L306" s="10" t="s">
        <v>1561</v>
      </c>
      <c r="M306" s="10" t="s">
        <v>526</v>
      </c>
      <c r="N306" s="10">
        <v>36</v>
      </c>
      <c r="O306" s="11">
        <v>100</v>
      </c>
      <c r="P306" s="11">
        <v>0.1</v>
      </c>
      <c r="Q306" s="10" t="s">
        <v>1599</v>
      </c>
      <c r="R306" s="10">
        <v>80</v>
      </c>
      <c r="S306" s="12">
        <v>8</v>
      </c>
      <c r="T306" s="13">
        <v>35619</v>
      </c>
      <c r="U306" s="14">
        <v>3561.9</v>
      </c>
      <c r="V306" s="10">
        <v>6.32</v>
      </c>
      <c r="W306" s="15">
        <v>225112.08000000002</v>
      </c>
      <c r="X306" s="29">
        <f>VLOOKUP($F306,Agendamento!$B:$J,9,0)</f>
        <v>46069</v>
      </c>
      <c r="Y306" s="6">
        <f>COUNTIF(Analise!F:F,'Obras e Acervos'!H306)</f>
        <v>1</v>
      </c>
    </row>
    <row r="307" spans="1:25" ht="15" customHeight="1" x14ac:dyDescent="0.25">
      <c r="A307" s="10" t="str">
        <f>CONCATENATE(LEFT(C307,12),"-",RIGHT(C307,2),"_",TEXT(X307,"ddmmaaaa"),"_",COUNTIF($C$2:C307,C307))</f>
        <v>089816910001-63_18022026_1</v>
      </c>
      <c r="B307" s="10" t="str">
        <f>CONCATENATE(LEFT(C307,12),"-",RIGHT(C307,2),"_",COUNTIF($C$2:C307,C307))</f>
        <v>089816910001-63_1</v>
      </c>
      <c r="C307" s="10" t="s">
        <v>2777</v>
      </c>
      <c r="D307" s="10" t="s">
        <v>6068</v>
      </c>
      <c r="E307" s="10" t="s">
        <v>1555</v>
      </c>
      <c r="F307" s="10" t="s">
        <v>574</v>
      </c>
      <c r="G307" s="10" t="s">
        <v>2778</v>
      </c>
      <c r="H307" s="11" t="s">
        <v>2779</v>
      </c>
      <c r="I307" s="11" t="s">
        <v>2780</v>
      </c>
      <c r="J307" s="10" t="s">
        <v>1559</v>
      </c>
      <c r="K307" s="10" t="s">
        <v>1560</v>
      </c>
      <c r="L307" s="10" t="s">
        <v>1561</v>
      </c>
      <c r="M307" s="10" t="s">
        <v>574</v>
      </c>
      <c r="N307" s="10">
        <v>32</v>
      </c>
      <c r="O307" s="11">
        <v>100</v>
      </c>
      <c r="P307" s="11">
        <v>0.1</v>
      </c>
      <c r="Q307" s="10" t="s">
        <v>1562</v>
      </c>
      <c r="R307" s="10">
        <v>80</v>
      </c>
      <c r="S307" s="12">
        <v>8</v>
      </c>
      <c r="T307" s="13">
        <v>35240</v>
      </c>
      <c r="U307" s="14">
        <v>3524</v>
      </c>
      <c r="V307" s="10">
        <v>5.89</v>
      </c>
      <c r="W307" s="15">
        <v>207563.59999999998</v>
      </c>
      <c r="X307" s="29">
        <f>VLOOKUP($F307,Agendamento!$B:$J,9,0)</f>
        <v>46071</v>
      </c>
      <c r="Y307" s="6">
        <f>COUNTIF(Analise!F:F,'Obras e Acervos'!H307)</f>
        <v>1</v>
      </c>
    </row>
    <row r="308" spans="1:25" ht="15" customHeight="1" x14ac:dyDescent="0.25">
      <c r="A308" s="10" t="str">
        <f>CONCATENATE(LEFT(C308,12),"-",RIGHT(C308,2),"_",TEXT(X308,"ddmmaaaa"),"_",COUNTIF($C$2:C308,C308))</f>
        <v>433990010001-63_03032026_1</v>
      </c>
      <c r="B308" s="10" t="str">
        <f>CONCATENATE(LEFT(C308,12),"-",RIGHT(C308,2),"_",COUNTIF($C$2:C308,C308))</f>
        <v>433990010001-63_1</v>
      </c>
      <c r="C308" s="10" t="s">
        <v>2781</v>
      </c>
      <c r="D308" s="10" t="s">
        <v>187</v>
      </c>
      <c r="E308" s="10" t="s">
        <v>1555</v>
      </c>
      <c r="F308" s="10" t="s">
        <v>1120</v>
      </c>
      <c r="G308" s="10" t="s">
        <v>2782</v>
      </c>
      <c r="H308" s="11" t="s">
        <v>2783</v>
      </c>
      <c r="I308" s="11" t="s">
        <v>2784</v>
      </c>
      <c r="J308" s="10" t="s">
        <v>1559</v>
      </c>
      <c r="K308" s="10" t="s">
        <v>1560</v>
      </c>
      <c r="L308" s="10" t="s">
        <v>1561</v>
      </c>
      <c r="M308" s="10" t="s">
        <v>1120</v>
      </c>
      <c r="N308" s="10">
        <v>24</v>
      </c>
      <c r="O308" s="11">
        <v>85</v>
      </c>
      <c r="P308" s="11">
        <v>8.5000000000000006E-2</v>
      </c>
      <c r="Q308" s="10" t="s">
        <v>1562</v>
      </c>
      <c r="R308" s="10">
        <v>80</v>
      </c>
      <c r="S308" s="12">
        <v>8</v>
      </c>
      <c r="T308" s="13">
        <v>35346</v>
      </c>
      <c r="U308" s="14">
        <v>3004.4100000000003</v>
      </c>
      <c r="V308" s="10">
        <v>5</v>
      </c>
      <c r="W308" s="15">
        <v>176730</v>
      </c>
      <c r="X308" s="29">
        <f>VLOOKUP($F308,Agendamento!$B:$J,9,0)</f>
        <v>46084</v>
      </c>
      <c r="Y308" s="6">
        <f>COUNTIF(Analise!F:F,'Obras e Acervos'!H308)</f>
        <v>1</v>
      </c>
    </row>
    <row r="309" spans="1:25" ht="15" customHeight="1" x14ac:dyDescent="0.25">
      <c r="A309" s="10" t="str">
        <f>CONCATENATE(LEFT(C309,12),"-",RIGHT(C309,2),"_",TEXT(X309,"ddmmaaaa"),"_",COUNTIF($C$2:C309,C309))</f>
        <v>261601350001-08_05032026_1</v>
      </c>
      <c r="B309" s="10" t="str">
        <f>CONCATENATE(LEFT(C309,12),"-",RIGHT(C309,2),"_",COUNTIF($C$2:C309,C309))</f>
        <v>261601350001-08_1</v>
      </c>
      <c r="C309" s="10" t="s">
        <v>2785</v>
      </c>
      <c r="D309" s="10" t="s">
        <v>6069</v>
      </c>
      <c r="E309" s="10" t="s">
        <v>1555</v>
      </c>
      <c r="F309" s="10" t="s">
        <v>1088</v>
      </c>
      <c r="G309" s="10" t="s">
        <v>2786</v>
      </c>
      <c r="H309" s="11" t="s">
        <v>2787</v>
      </c>
      <c r="I309" s="11" t="s">
        <v>2788</v>
      </c>
      <c r="J309" s="10" t="s">
        <v>1559</v>
      </c>
      <c r="K309" s="10" t="s">
        <v>1560</v>
      </c>
      <c r="L309" s="10" t="s">
        <v>1561</v>
      </c>
      <c r="M309" s="10" t="s">
        <v>1088</v>
      </c>
      <c r="N309" s="10">
        <v>28</v>
      </c>
      <c r="O309" s="11">
        <v>70</v>
      </c>
      <c r="P309" s="11">
        <v>7.0000000000000007E-2</v>
      </c>
      <c r="Q309" s="10" t="s">
        <v>1562</v>
      </c>
      <c r="R309" s="10">
        <v>80</v>
      </c>
      <c r="S309" s="12">
        <v>8</v>
      </c>
      <c r="T309" s="13">
        <v>33301</v>
      </c>
      <c r="U309" s="14">
        <v>2331.0700000000002</v>
      </c>
      <c r="V309" s="10">
        <v>5.51</v>
      </c>
      <c r="W309" s="15">
        <v>183488.50999999998</v>
      </c>
      <c r="X309" s="29">
        <f>VLOOKUP($F309,Agendamento!$B:$J,9,0)</f>
        <v>46086</v>
      </c>
      <c r="Y309" s="6">
        <f>COUNTIF(Analise!F:F,'Obras e Acervos'!H309)</f>
        <v>1</v>
      </c>
    </row>
    <row r="310" spans="1:25" ht="15" customHeight="1" x14ac:dyDescent="0.25">
      <c r="A310" s="10" t="str">
        <f>CONCATENATE(LEFT(C310,12),"-",RIGHT(C310,2),"_",TEXT(X310,"ddmmaaaa"),"_",COUNTIF($C$2:C310,C310))</f>
        <v>026161240001-21_18022026_1</v>
      </c>
      <c r="B310" s="10" t="str">
        <f>CONCATENATE(LEFT(C310,12),"-",RIGHT(C310,2),"_",COUNTIF($C$2:C310,C310))</f>
        <v>026161240001-21_1</v>
      </c>
      <c r="C310" s="10" t="s">
        <v>2789</v>
      </c>
      <c r="D310" s="10" t="s">
        <v>6070</v>
      </c>
      <c r="E310" s="10" t="s">
        <v>1555</v>
      </c>
      <c r="F310" s="10" t="s">
        <v>584</v>
      </c>
      <c r="G310" s="10" t="s">
        <v>2790</v>
      </c>
      <c r="H310" s="11" t="s">
        <v>2791</v>
      </c>
      <c r="I310" s="11" t="s">
        <v>2792</v>
      </c>
      <c r="J310" s="10" t="s">
        <v>1559</v>
      </c>
      <c r="K310" s="10" t="s">
        <v>1560</v>
      </c>
      <c r="L310" s="10" t="s">
        <v>1561</v>
      </c>
      <c r="M310" s="10" t="s">
        <v>584</v>
      </c>
      <c r="N310" s="10">
        <v>48</v>
      </c>
      <c r="O310" s="11">
        <v>119</v>
      </c>
      <c r="P310" s="11">
        <v>0.11899999999999999</v>
      </c>
      <c r="Q310" s="10" t="s">
        <v>1562</v>
      </c>
      <c r="R310" s="10">
        <v>80</v>
      </c>
      <c r="S310" s="12">
        <v>8</v>
      </c>
      <c r="T310" s="13">
        <v>35361</v>
      </c>
      <c r="U310" s="14">
        <v>4207.9589999999998</v>
      </c>
      <c r="V310" s="10">
        <v>7.68</v>
      </c>
      <c r="W310" s="15">
        <v>271572.47999999998</v>
      </c>
      <c r="X310" s="29">
        <f>VLOOKUP($F310,Agendamento!$B:$J,9,0)</f>
        <v>46071</v>
      </c>
      <c r="Y310" s="6">
        <f>COUNTIF(Analise!F:F,'Obras e Acervos'!H310)</f>
        <v>1</v>
      </c>
    </row>
    <row r="311" spans="1:25" ht="15" customHeight="1" x14ac:dyDescent="0.25">
      <c r="A311" s="10" t="str">
        <f>CONCATENATE(LEFT(C311,12),"-",RIGHT(C311,2),"_",TEXT(X311,"ddmmaaaa"),"_",COUNTIF($C$2:C311,C311))</f>
        <v>133609660001-81_19022026_1</v>
      </c>
      <c r="B311" s="10" t="str">
        <f>CONCATENATE(LEFT(C311,12),"-",RIGHT(C311,2),"_",COUNTIF($C$2:C311,C311))</f>
        <v>133609660001-81_1</v>
      </c>
      <c r="C311" s="10" t="s">
        <v>2793</v>
      </c>
      <c r="D311" s="10" t="s">
        <v>6071</v>
      </c>
      <c r="E311" s="10" t="s">
        <v>1555</v>
      </c>
      <c r="F311" s="10" t="s">
        <v>612</v>
      </c>
      <c r="G311" s="10" t="s">
        <v>2794</v>
      </c>
      <c r="H311" s="11" t="s">
        <v>2795</v>
      </c>
      <c r="I311" s="11" t="s">
        <v>2796</v>
      </c>
      <c r="J311" s="10" t="s">
        <v>1559</v>
      </c>
      <c r="K311" s="10" t="s">
        <v>1560</v>
      </c>
      <c r="L311" s="10" t="s">
        <v>1561</v>
      </c>
      <c r="M311" s="10" t="s">
        <v>612</v>
      </c>
      <c r="N311" s="10">
        <v>44</v>
      </c>
      <c r="O311" s="11">
        <v>63</v>
      </c>
      <c r="P311" s="11">
        <v>6.3E-2</v>
      </c>
      <c r="Q311" s="10" t="s">
        <v>1608</v>
      </c>
      <c r="R311" s="10">
        <v>80</v>
      </c>
      <c r="S311" s="12">
        <v>8</v>
      </c>
      <c r="T311" s="13">
        <v>35710</v>
      </c>
      <c r="U311" s="14">
        <v>2249.73</v>
      </c>
      <c r="V311" s="10">
        <v>6.06</v>
      </c>
      <c r="W311" s="15">
        <v>216402.59999999998</v>
      </c>
      <c r="X311" s="29">
        <f>VLOOKUP($F311,Agendamento!$B:$J,9,0)</f>
        <v>46072</v>
      </c>
      <c r="Y311" s="6">
        <f>COUNTIF(Analise!F:F,'Obras e Acervos'!H311)</f>
        <v>1</v>
      </c>
    </row>
    <row r="312" spans="1:25" ht="15" customHeight="1" x14ac:dyDescent="0.25">
      <c r="A312" s="10" t="str">
        <f>CONCATENATE(LEFT(C312,12),"-",RIGHT(C312,2),"_",TEXT(X312,"ddmmaaaa"),"_",COUNTIF($C$2:C312,C312))</f>
        <v>110481170001-61_03022026_1</v>
      </c>
      <c r="B312" s="10" t="str">
        <f>CONCATENATE(LEFT(C312,12),"-",RIGHT(C312,2),"_",COUNTIF($C$2:C312,C312))</f>
        <v>110481170001-61_1</v>
      </c>
      <c r="C312" s="10" t="s">
        <v>2797</v>
      </c>
      <c r="D312" s="10" t="s">
        <v>6072</v>
      </c>
      <c r="E312" s="10" t="s">
        <v>1555</v>
      </c>
      <c r="F312" s="10" t="s">
        <v>140</v>
      </c>
      <c r="G312" s="10" t="s">
        <v>2798</v>
      </c>
      <c r="H312" s="11" t="s">
        <v>2799</v>
      </c>
      <c r="I312" s="11" t="s">
        <v>2800</v>
      </c>
      <c r="J312" s="10" t="s">
        <v>1559</v>
      </c>
      <c r="K312" s="10" t="s">
        <v>1560</v>
      </c>
      <c r="L312" s="10" t="s">
        <v>1561</v>
      </c>
      <c r="M312" s="10" t="s">
        <v>140</v>
      </c>
      <c r="N312" s="10">
        <v>32</v>
      </c>
      <c r="O312" s="11">
        <v>100</v>
      </c>
      <c r="P312" s="11">
        <v>0.1</v>
      </c>
      <c r="Q312" s="10" t="s">
        <v>1562</v>
      </c>
      <c r="R312" s="10">
        <v>80</v>
      </c>
      <c r="S312" s="12">
        <v>8</v>
      </c>
      <c r="T312" s="13">
        <v>33270</v>
      </c>
      <c r="U312" s="14">
        <v>3327</v>
      </c>
      <c r="V312" s="10">
        <v>5.94</v>
      </c>
      <c r="W312" s="15">
        <v>197623.80000000002</v>
      </c>
      <c r="X312" s="29">
        <f>VLOOKUP($F312,Agendamento!$B:$J,9,0)</f>
        <v>46056</v>
      </c>
      <c r="Y312" s="6">
        <f>COUNTIF(Analise!F:F,'Obras e Acervos'!H312)</f>
        <v>1</v>
      </c>
    </row>
    <row r="313" spans="1:25" ht="15" customHeight="1" x14ac:dyDescent="0.25">
      <c r="A313" s="10" t="str">
        <f>CONCATENATE(LEFT(C313,12),"-",RIGHT(C313,2),"_",TEXT(X313,"ddmmaaaa"),"_",COUNTIF($C$2:C313,C313))</f>
        <v>578889190001-80_10022026_1</v>
      </c>
      <c r="B313" s="10" t="str">
        <f>CONCATENATE(LEFT(C313,12),"-",RIGHT(C313,2),"_",COUNTIF($C$2:C313,C313))</f>
        <v>578889190001-80_1</v>
      </c>
      <c r="C313" s="10" t="s">
        <v>2801</v>
      </c>
      <c r="D313" s="10" t="s">
        <v>273</v>
      </c>
      <c r="E313" s="10" t="s">
        <v>1555</v>
      </c>
      <c r="F313" s="10" t="s">
        <v>279</v>
      </c>
      <c r="G313" s="10" t="s">
        <v>2802</v>
      </c>
      <c r="H313" s="11" t="s">
        <v>2803</v>
      </c>
      <c r="I313" s="11" t="s">
        <v>2804</v>
      </c>
      <c r="J313" s="10" t="s">
        <v>1559</v>
      </c>
      <c r="K313" s="10" t="s">
        <v>1560</v>
      </c>
      <c r="L313" s="10" t="s">
        <v>1561</v>
      </c>
      <c r="M313" s="10" t="s">
        <v>279</v>
      </c>
      <c r="N313" s="10">
        <v>32</v>
      </c>
      <c r="O313" s="11">
        <v>75</v>
      </c>
      <c r="P313" s="11">
        <v>7.4999999999999997E-2</v>
      </c>
      <c r="Q313" s="10" t="s">
        <v>1562</v>
      </c>
      <c r="R313" s="10">
        <v>80</v>
      </c>
      <c r="S313" s="12">
        <v>8</v>
      </c>
      <c r="T313" s="13">
        <v>33377</v>
      </c>
      <c r="U313" s="14">
        <v>2503.2750000000001</v>
      </c>
      <c r="V313" s="10">
        <v>5.94</v>
      </c>
      <c r="W313" s="15">
        <v>198259.38</v>
      </c>
      <c r="X313" s="29">
        <f>VLOOKUP($F313,Agendamento!$B:$J,9,0)</f>
        <v>46063</v>
      </c>
      <c r="Y313" s="6">
        <f>COUNTIF(Analise!F:F,'Obras e Acervos'!H313)</f>
        <v>1</v>
      </c>
    </row>
    <row r="314" spans="1:25" ht="15" customHeight="1" x14ac:dyDescent="0.25">
      <c r="A314" s="10" t="str">
        <f>CONCATENATE(LEFT(C314,12),"-",RIGHT(C314,2),"_",TEXT(X314,"ddmmaaaa"),"_",COUNTIF($C$2:C314,C314))</f>
        <v>313453190001-82_13032026_1</v>
      </c>
      <c r="B314" s="10" t="str">
        <f>CONCATENATE(LEFT(C314,12),"-",RIGHT(C314,2),"_",COUNTIF($C$2:C314,C314))</f>
        <v>313453190001-82_1</v>
      </c>
      <c r="C314" s="10" t="s">
        <v>2805</v>
      </c>
      <c r="D314" s="10" t="s">
        <v>6073</v>
      </c>
      <c r="E314" s="10" t="s">
        <v>1555</v>
      </c>
      <c r="F314" s="10" t="s">
        <v>1487</v>
      </c>
      <c r="G314" s="10" t="s">
        <v>2806</v>
      </c>
      <c r="H314" s="11" t="s">
        <v>2807</v>
      </c>
      <c r="I314" s="11" t="s">
        <v>2808</v>
      </c>
      <c r="J314" s="10" t="s">
        <v>1559</v>
      </c>
      <c r="K314" s="10" t="s">
        <v>1560</v>
      </c>
      <c r="L314" s="10" t="s">
        <v>1561</v>
      </c>
      <c r="M314" s="10" t="s">
        <v>1487</v>
      </c>
      <c r="N314" s="10">
        <v>32</v>
      </c>
      <c r="O314" s="11">
        <v>71</v>
      </c>
      <c r="P314" s="11">
        <v>7.0999999999999994E-2</v>
      </c>
      <c r="Q314" s="10" t="s">
        <v>1562</v>
      </c>
      <c r="R314" s="10">
        <v>75</v>
      </c>
      <c r="S314" s="12">
        <v>8</v>
      </c>
      <c r="T314" s="13">
        <v>35528</v>
      </c>
      <c r="U314" s="14">
        <v>2522.4879999999998</v>
      </c>
      <c r="V314" s="10">
        <v>5.79</v>
      </c>
      <c r="W314" s="15">
        <v>205707.12</v>
      </c>
      <c r="X314" s="29">
        <f>VLOOKUP($F314,Agendamento!$B:$J,9,0)</f>
        <v>46094</v>
      </c>
      <c r="Y314" s="6">
        <f>COUNTIF(Analise!F:F,'Obras e Acervos'!H314)</f>
        <v>1</v>
      </c>
    </row>
    <row r="315" spans="1:25" ht="15" customHeight="1" x14ac:dyDescent="0.25">
      <c r="A315" s="10" t="str">
        <f>CONCATENATE(LEFT(C315,12),"-",RIGHT(C315,2),"_",TEXT(X315,"ddmmaaaa"),"_",COUNTIF($C$2:C315,C315))</f>
        <v>433993560001-52_16022026_1</v>
      </c>
      <c r="B315" s="10" t="str">
        <f>CONCATENATE(LEFT(C315,12),"-",RIGHT(C315,2),"_",COUNTIF($C$2:C315,C315))</f>
        <v>433993560001-52_1</v>
      </c>
      <c r="C315" s="10" t="s">
        <v>2809</v>
      </c>
      <c r="D315" s="10" t="s">
        <v>538</v>
      </c>
      <c r="E315" s="10" t="s">
        <v>1555</v>
      </c>
      <c r="F315" s="10" t="s">
        <v>539</v>
      </c>
      <c r="G315" s="10" t="s">
        <v>2810</v>
      </c>
      <c r="H315" s="11" t="s">
        <v>2811</v>
      </c>
      <c r="I315" s="11" t="s">
        <v>2812</v>
      </c>
      <c r="J315" s="10" t="s">
        <v>1559</v>
      </c>
      <c r="K315" s="10" t="s">
        <v>1560</v>
      </c>
      <c r="L315" s="10" t="s">
        <v>1561</v>
      </c>
      <c r="M315" s="10" t="s">
        <v>539</v>
      </c>
      <c r="N315" s="10">
        <v>16</v>
      </c>
      <c r="O315" s="11">
        <v>65</v>
      </c>
      <c r="P315" s="11">
        <v>6.5000000000000002E-2</v>
      </c>
      <c r="Q315" s="10" t="s">
        <v>1562</v>
      </c>
      <c r="R315" s="10">
        <v>80</v>
      </c>
      <c r="S315" s="12">
        <v>8</v>
      </c>
      <c r="T315" s="13">
        <v>33134</v>
      </c>
      <c r="U315" s="14">
        <v>2153.71</v>
      </c>
      <c r="V315" s="10">
        <v>4.18</v>
      </c>
      <c r="W315" s="15">
        <v>138500.12</v>
      </c>
      <c r="X315" s="29">
        <f>VLOOKUP($F315,Agendamento!$B:$J,9,0)</f>
        <v>46069</v>
      </c>
      <c r="Y315" s="6">
        <f>COUNTIF(Analise!F:F,'Obras e Acervos'!H315)</f>
        <v>1</v>
      </c>
    </row>
    <row r="316" spans="1:25" ht="15" customHeight="1" x14ac:dyDescent="0.25">
      <c r="A316" s="10" t="str">
        <f>CONCATENATE(LEFT(C316,12),"-",RIGHT(C316,2),"_",TEXT(X316,"ddmmaaaa"),"_",COUNTIF($C$2:C316,C316))</f>
        <v>285670730002-60_10032026_1</v>
      </c>
      <c r="B316" s="10" t="str">
        <f>CONCATENATE(LEFT(C316,12),"-",RIGHT(C316,2),"_",COUNTIF($C$2:C316,C316))</f>
        <v>285670730002-60_1</v>
      </c>
      <c r="C316" s="38" t="s">
        <v>5762</v>
      </c>
      <c r="D316" s="10" t="s">
        <v>1332</v>
      </c>
      <c r="E316" s="10" t="s">
        <v>1555</v>
      </c>
      <c r="F316" s="10" t="s">
        <v>1335</v>
      </c>
      <c r="G316" s="10" t="s">
        <v>2813</v>
      </c>
      <c r="H316" s="11" t="s">
        <v>2814</v>
      </c>
      <c r="I316" s="11" t="s">
        <v>2815</v>
      </c>
      <c r="J316" s="10" t="s">
        <v>1559</v>
      </c>
      <c r="K316" s="10" t="s">
        <v>1560</v>
      </c>
      <c r="L316" s="10" t="s">
        <v>1561</v>
      </c>
      <c r="M316" s="10" t="s">
        <v>1335</v>
      </c>
      <c r="N316" s="10">
        <v>40</v>
      </c>
      <c r="O316" s="11">
        <v>120</v>
      </c>
      <c r="P316" s="11">
        <v>0.12</v>
      </c>
      <c r="Q316" s="10" t="s">
        <v>1562</v>
      </c>
      <c r="R316" s="10">
        <v>80</v>
      </c>
      <c r="S316" s="12">
        <v>8</v>
      </c>
      <c r="T316" s="13">
        <v>37497</v>
      </c>
      <c r="U316" s="14">
        <v>4499.6399999999994</v>
      </c>
      <c r="V316" s="10">
        <v>6.72</v>
      </c>
      <c r="W316" s="15">
        <v>251979.84</v>
      </c>
      <c r="X316" s="29">
        <f>VLOOKUP($F316,Agendamento!$B:$J,9,0)</f>
        <v>46091</v>
      </c>
      <c r="Y316" s="6">
        <f>COUNTIF(Analise!F:F,'Obras e Acervos'!H316)</f>
        <v>1</v>
      </c>
    </row>
    <row r="317" spans="1:25" ht="15" customHeight="1" x14ac:dyDescent="0.25">
      <c r="A317" s="10" t="str">
        <f>CONCATENATE(LEFT(C317,12),"-",RIGHT(C317,2),"_",TEXT(X317,"ddmmaaaa"),"_",COUNTIF($C$2:C317,C317))</f>
        <v>436814000001-12_05022026_1</v>
      </c>
      <c r="B317" s="10" t="str">
        <f>CONCATENATE(LEFT(C317,12),"-",RIGHT(C317,2),"_",COUNTIF($C$2:C317,C317))</f>
        <v>436814000001-12_1</v>
      </c>
      <c r="C317" s="10" t="s">
        <v>2816</v>
      </c>
      <c r="D317" s="10" t="s">
        <v>6074</v>
      </c>
      <c r="E317" s="10" t="s">
        <v>1555</v>
      </c>
      <c r="F317" s="10" t="s">
        <v>174</v>
      </c>
      <c r="G317" s="10" t="s">
        <v>2817</v>
      </c>
      <c r="H317" s="11" t="s">
        <v>2818</v>
      </c>
      <c r="I317" s="11" t="s">
        <v>2819</v>
      </c>
      <c r="J317" s="10" t="s">
        <v>1559</v>
      </c>
      <c r="K317" s="10" t="s">
        <v>1560</v>
      </c>
      <c r="L317" s="10" t="s">
        <v>1561</v>
      </c>
      <c r="M317" s="10" t="s">
        <v>174</v>
      </c>
      <c r="N317" s="10">
        <v>32</v>
      </c>
      <c r="O317" s="11">
        <v>105</v>
      </c>
      <c r="P317" s="11">
        <v>0.105</v>
      </c>
      <c r="Q317" s="10" t="s">
        <v>1562</v>
      </c>
      <c r="R317" s="10">
        <v>80</v>
      </c>
      <c r="S317" s="12">
        <v>8</v>
      </c>
      <c r="T317" s="13">
        <v>33225</v>
      </c>
      <c r="U317" s="14">
        <v>3488.625</v>
      </c>
      <c r="V317" s="10">
        <v>5.94</v>
      </c>
      <c r="W317" s="15">
        <v>197356.5</v>
      </c>
      <c r="X317" s="29">
        <f>VLOOKUP($F317,Agendamento!$B:$J,9,0)</f>
        <v>46058</v>
      </c>
      <c r="Y317" s="6">
        <f>COUNTIF(Analise!F:F,'Obras e Acervos'!H317)</f>
        <v>1</v>
      </c>
    </row>
    <row r="318" spans="1:25" ht="15" customHeight="1" x14ac:dyDescent="0.25">
      <c r="A318" s="10" t="str">
        <f>CONCATENATE(LEFT(C318,12),"-",RIGHT(C318,2),"_",TEXT(X318,"ddmmaaaa"),"_",COUNTIF($C$2:C318,C318))</f>
        <v>886304130002-81_12022026_1</v>
      </c>
      <c r="B318" s="10" t="str">
        <f>CONCATENATE(LEFT(C318,12),"-",RIGHT(C318,2),"_",COUNTIF($C$2:C318,C318))</f>
        <v>886304130002-81_1</v>
      </c>
      <c r="C318" s="10" t="s">
        <v>2820</v>
      </c>
      <c r="D318" s="10" t="s">
        <v>6075</v>
      </c>
      <c r="E318" s="10" t="s">
        <v>1555</v>
      </c>
      <c r="F318" s="10" t="s">
        <v>398</v>
      </c>
      <c r="G318" s="10" t="s">
        <v>2821</v>
      </c>
      <c r="H318" s="11" t="s">
        <v>2822</v>
      </c>
      <c r="I318" s="11" t="s">
        <v>2823</v>
      </c>
      <c r="J318" s="10" t="s">
        <v>1559</v>
      </c>
      <c r="K318" s="10" t="s">
        <v>1560</v>
      </c>
      <c r="L318" s="10" t="s">
        <v>1561</v>
      </c>
      <c r="M318" s="10" t="s">
        <v>398</v>
      </c>
      <c r="N318" s="10">
        <v>40</v>
      </c>
      <c r="O318" s="11">
        <v>111</v>
      </c>
      <c r="P318" s="11">
        <v>0.111</v>
      </c>
      <c r="Q318" s="10" t="s">
        <v>1562</v>
      </c>
      <c r="R318" s="10">
        <v>75</v>
      </c>
      <c r="S318" s="12">
        <v>8</v>
      </c>
      <c r="T318" s="13">
        <v>61374</v>
      </c>
      <c r="U318" s="14">
        <v>6812.5140000000001</v>
      </c>
      <c r="V318" s="10">
        <v>5.14</v>
      </c>
      <c r="W318" s="15">
        <v>315462.36</v>
      </c>
      <c r="X318" s="29">
        <f>VLOOKUP($F318,Agendamento!$B:$J,9,0)</f>
        <v>46065</v>
      </c>
      <c r="Y318" s="6">
        <f>COUNTIF(Analise!F:F,'Obras e Acervos'!H318)</f>
        <v>1</v>
      </c>
    </row>
    <row r="319" spans="1:25" ht="15" customHeight="1" x14ac:dyDescent="0.25">
      <c r="A319" s="10" t="str">
        <f>CONCATENATE(LEFT(C319,12),"-",RIGHT(C319,2),"_",TEXT(X319,"ddmmaaaa"),"_",COUNTIF($C$2:C319,C319))</f>
        <v>443071100001-76_12022026_1</v>
      </c>
      <c r="B319" s="10" t="str">
        <f>CONCATENATE(LEFT(C319,12),"-",RIGHT(C319,2),"_",COUNTIF($C$2:C319,C319))</f>
        <v>443071100001-76_1</v>
      </c>
      <c r="C319" s="10" t="s">
        <v>2824</v>
      </c>
      <c r="D319" s="10" t="s">
        <v>6076</v>
      </c>
      <c r="E319" s="10" t="s">
        <v>1555</v>
      </c>
      <c r="F319" s="10" t="s">
        <v>381</v>
      </c>
      <c r="G319" s="10" t="s">
        <v>2825</v>
      </c>
      <c r="H319" s="11" t="s">
        <v>2826</v>
      </c>
      <c r="I319" s="11" t="s">
        <v>2827</v>
      </c>
      <c r="J319" s="10" t="s">
        <v>1559</v>
      </c>
      <c r="K319" s="10" t="s">
        <v>1560</v>
      </c>
      <c r="L319" s="10" t="s">
        <v>1561</v>
      </c>
      <c r="M319" s="10" t="s">
        <v>381</v>
      </c>
      <c r="N319" s="10">
        <v>32</v>
      </c>
      <c r="O319" s="11">
        <v>100</v>
      </c>
      <c r="P319" s="11">
        <v>0.1</v>
      </c>
      <c r="Q319" s="10" t="s">
        <v>1562</v>
      </c>
      <c r="R319" s="10">
        <v>80</v>
      </c>
      <c r="S319" s="12">
        <v>8</v>
      </c>
      <c r="T319" s="13">
        <v>35816</v>
      </c>
      <c r="U319" s="14">
        <v>3581.6000000000004</v>
      </c>
      <c r="V319" s="10">
        <v>5.87</v>
      </c>
      <c r="W319" s="15">
        <v>210239.92</v>
      </c>
      <c r="X319" s="29">
        <f>VLOOKUP($F319,Agendamento!$B:$J,9,0)</f>
        <v>46065</v>
      </c>
      <c r="Y319" s="6">
        <f>COUNTIF(Analise!F:F,'Obras e Acervos'!H319)</f>
        <v>1</v>
      </c>
    </row>
    <row r="320" spans="1:25" ht="15" customHeight="1" x14ac:dyDescent="0.25">
      <c r="A320" s="10" t="str">
        <f>CONCATENATE(LEFT(C320,12),"-",RIGHT(C320,2),"_",TEXT(X320,"ddmmaaaa"),"_",COUNTIF($C$2:C320,C320))</f>
        <v>433994490001-87_25022026_1</v>
      </c>
      <c r="B320" s="10" t="str">
        <f>CONCATENATE(LEFT(C320,12),"-",RIGHT(C320,2),"_",COUNTIF($C$2:C320,C320))</f>
        <v>433994490001-87_1</v>
      </c>
      <c r="C320" s="10" t="s">
        <v>2828</v>
      </c>
      <c r="D320" s="10" t="s">
        <v>785</v>
      </c>
      <c r="E320" s="10" t="s">
        <v>1555</v>
      </c>
      <c r="F320" s="10" t="s">
        <v>861</v>
      </c>
      <c r="G320" s="10" t="s">
        <v>2829</v>
      </c>
      <c r="H320" s="11" t="s">
        <v>2830</v>
      </c>
      <c r="I320" s="11" t="s">
        <v>2831</v>
      </c>
      <c r="J320" s="10" t="s">
        <v>1559</v>
      </c>
      <c r="K320" s="10" t="s">
        <v>1560</v>
      </c>
      <c r="L320" s="10" t="s">
        <v>1561</v>
      </c>
      <c r="M320" s="10" t="s">
        <v>861</v>
      </c>
      <c r="N320" s="10">
        <v>40</v>
      </c>
      <c r="O320" s="11">
        <v>104</v>
      </c>
      <c r="P320" s="11">
        <v>0.104</v>
      </c>
      <c r="Q320" s="10" t="s">
        <v>1599</v>
      </c>
      <c r="R320" s="10">
        <v>80</v>
      </c>
      <c r="S320" s="12">
        <v>8</v>
      </c>
      <c r="T320" s="13">
        <v>41421</v>
      </c>
      <c r="U320" s="14">
        <v>4307.7839999999997</v>
      </c>
      <c r="V320" s="10">
        <v>6.25</v>
      </c>
      <c r="W320" s="15">
        <v>258881.25</v>
      </c>
      <c r="X320" s="29">
        <f>VLOOKUP($F320,Agendamento!$B:$J,9,0)</f>
        <v>46078</v>
      </c>
      <c r="Y320" s="6">
        <f>COUNTIF(Analise!F:F,'Obras e Acervos'!H320)</f>
        <v>1</v>
      </c>
    </row>
    <row r="321" spans="1:25" ht="15" customHeight="1" x14ac:dyDescent="0.25">
      <c r="A321" s="10" t="str">
        <f>CONCATENATE(LEFT(C321,12),"-",RIGHT(C321,2),"_",TEXT(X321,"ddmmaaaa"),"_",COUNTIF($C$2:C321,C321))</f>
        <v>401505140001-48_12022026_1</v>
      </c>
      <c r="B321" s="10" t="str">
        <f>CONCATENATE(LEFT(C321,12),"-",RIGHT(C321,2),"_",COUNTIF($C$2:C321,C321))</f>
        <v>401505140001-48_1</v>
      </c>
      <c r="C321" s="10" t="s">
        <v>2832</v>
      </c>
      <c r="D321" s="10" t="s">
        <v>6077</v>
      </c>
      <c r="E321" s="10" t="s">
        <v>1555</v>
      </c>
      <c r="F321" s="10" t="s">
        <v>412</v>
      </c>
      <c r="G321" s="10" t="s">
        <v>2833</v>
      </c>
      <c r="H321" s="11" t="s">
        <v>2834</v>
      </c>
      <c r="I321" s="11" t="s">
        <v>2835</v>
      </c>
      <c r="J321" s="10" t="s">
        <v>1559</v>
      </c>
      <c r="K321" s="10" t="s">
        <v>1560</v>
      </c>
      <c r="L321" s="10" t="s">
        <v>1561</v>
      </c>
      <c r="M321" s="10" t="s">
        <v>412</v>
      </c>
      <c r="N321" s="10">
        <v>24</v>
      </c>
      <c r="O321" s="11">
        <v>79</v>
      </c>
      <c r="P321" s="11">
        <v>7.9000000000000001E-2</v>
      </c>
      <c r="Q321" s="10" t="s">
        <v>1562</v>
      </c>
      <c r="R321" s="10">
        <v>75</v>
      </c>
      <c r="S321" s="12">
        <v>9</v>
      </c>
      <c r="T321" s="13">
        <v>37870</v>
      </c>
      <c r="U321" s="14">
        <v>2991.73</v>
      </c>
      <c r="V321" s="10">
        <v>4.59</v>
      </c>
      <c r="W321" s="15">
        <v>173823.3</v>
      </c>
      <c r="X321" s="29">
        <f>VLOOKUP($F321,Agendamento!$B:$J,9,0)</f>
        <v>46065</v>
      </c>
      <c r="Y321" s="6">
        <f>COUNTIF(Analise!F:F,'Obras e Acervos'!H321)</f>
        <v>1</v>
      </c>
    </row>
    <row r="322" spans="1:25" ht="15" customHeight="1" x14ac:dyDescent="0.25">
      <c r="A322" s="10" t="str">
        <f>CONCATENATE(LEFT(C322,12),"-",RIGHT(C322,2),"_",TEXT(X322,"ddmmaaaa"),"_",COUNTIF($C$2:C322,C322))</f>
        <v>378498960001-98_27022026_1</v>
      </c>
      <c r="B322" s="10" t="str">
        <f>CONCATENATE(LEFT(C322,12),"-",RIGHT(C322,2),"_",COUNTIF($C$2:C322,C322))</f>
        <v>378498960001-98_1</v>
      </c>
      <c r="C322" s="10" t="s">
        <v>2836</v>
      </c>
      <c r="D322" s="10" t="s">
        <v>1017</v>
      </c>
      <c r="E322" s="10" t="s">
        <v>1555</v>
      </c>
      <c r="F322" s="10" t="s">
        <v>1018</v>
      </c>
      <c r="G322" s="10" t="s">
        <v>2837</v>
      </c>
      <c r="H322" s="11" t="s">
        <v>2838</v>
      </c>
      <c r="I322" s="11" t="s">
        <v>2839</v>
      </c>
      <c r="J322" s="10" t="s">
        <v>1559</v>
      </c>
      <c r="K322" s="10" t="s">
        <v>1560</v>
      </c>
      <c r="L322" s="10" t="s">
        <v>1561</v>
      </c>
      <c r="M322" s="10" t="s">
        <v>1018</v>
      </c>
      <c r="N322" s="10">
        <v>28</v>
      </c>
      <c r="O322" s="11">
        <v>99</v>
      </c>
      <c r="P322" s="11">
        <v>9.9000000000000005E-2</v>
      </c>
      <c r="Q322" s="10" t="s">
        <v>1562</v>
      </c>
      <c r="R322" s="10">
        <v>80</v>
      </c>
      <c r="S322" s="12">
        <v>9</v>
      </c>
      <c r="T322" s="13">
        <v>33446</v>
      </c>
      <c r="U322" s="14">
        <v>3311.154</v>
      </c>
      <c r="V322" s="10">
        <v>5.56</v>
      </c>
      <c r="W322" s="15">
        <v>185959.75999999998</v>
      </c>
      <c r="X322" s="29">
        <f>VLOOKUP($F322,Agendamento!$B:$J,9,0)</f>
        <v>46080</v>
      </c>
      <c r="Y322" s="6">
        <f>COUNTIF(Analise!F:F,'Obras e Acervos'!H322)</f>
        <v>1</v>
      </c>
    </row>
    <row r="323" spans="1:25" ht="15" customHeight="1" x14ac:dyDescent="0.25">
      <c r="A323" s="10" t="str">
        <f>CONCATENATE(LEFT(C323,12),"-",RIGHT(C323,2),"_",TEXT(X323,"ddmmaaaa"),"_",COUNTIF($C$2:C323,C323))</f>
        <v>684878670001-57_02032026_1</v>
      </c>
      <c r="B323" s="10" t="str">
        <f>CONCATENATE(LEFT(C323,12),"-",RIGHT(C323,2),"_",COUNTIF($C$2:C323,C323))</f>
        <v>684878670001-57_1</v>
      </c>
      <c r="C323" s="10" t="s">
        <v>2840</v>
      </c>
      <c r="D323" s="10" t="s">
        <v>1030</v>
      </c>
      <c r="E323" s="10" t="s">
        <v>1555</v>
      </c>
      <c r="F323" s="10" t="s">
        <v>1031</v>
      </c>
      <c r="G323" s="10" t="s">
        <v>2841</v>
      </c>
      <c r="H323" s="11" t="s">
        <v>2842</v>
      </c>
      <c r="I323" s="11" t="s">
        <v>2843</v>
      </c>
      <c r="J323" s="10" t="s">
        <v>1559</v>
      </c>
      <c r="K323" s="10" t="s">
        <v>1560</v>
      </c>
      <c r="L323" s="10" t="s">
        <v>1561</v>
      </c>
      <c r="M323" s="10" t="s">
        <v>6204</v>
      </c>
      <c r="N323" s="10">
        <v>52</v>
      </c>
      <c r="O323" s="11">
        <v>150</v>
      </c>
      <c r="P323" s="11">
        <v>0.15</v>
      </c>
      <c r="Q323" s="10" t="s">
        <v>1599</v>
      </c>
      <c r="R323" s="10">
        <v>80</v>
      </c>
      <c r="S323" s="12">
        <v>9</v>
      </c>
      <c r="T323" s="13">
        <v>33583</v>
      </c>
      <c r="U323" s="14">
        <v>5037.45</v>
      </c>
      <c r="V323" s="10">
        <v>8.17</v>
      </c>
      <c r="W323" s="15">
        <v>274373.11</v>
      </c>
      <c r="X323" s="29">
        <f>VLOOKUP($F323,Agendamento!$B:$J,9,0)</f>
        <v>46083</v>
      </c>
      <c r="Y323" s="6">
        <f>COUNTIF(Analise!F:F,'Obras e Acervos'!H323)</f>
        <v>1</v>
      </c>
    </row>
    <row r="324" spans="1:25" ht="15" customHeight="1" x14ac:dyDescent="0.25">
      <c r="A324" s="10" t="str">
        <f>CONCATENATE(LEFT(C324,12),"-",RIGHT(C324,2),"_",TEXT(X324,"ddmmaaaa"),"_",COUNTIF($C$2:C324,C324))</f>
        <v>409978130001-12_10032026_1</v>
      </c>
      <c r="B324" s="10" t="str">
        <f>CONCATENATE(LEFT(C324,12),"-",RIGHT(C324,2),"_",COUNTIF($C$2:C324,C324))</f>
        <v>409978130001-12_1</v>
      </c>
      <c r="C324" s="10" t="s">
        <v>2844</v>
      </c>
      <c r="D324" s="10" t="s">
        <v>6078</v>
      </c>
      <c r="E324" s="10" t="s">
        <v>1555</v>
      </c>
      <c r="F324" s="10" t="s">
        <v>1364</v>
      </c>
      <c r="G324" s="10" t="s">
        <v>2845</v>
      </c>
      <c r="H324" s="11" t="s">
        <v>2846</v>
      </c>
      <c r="I324" s="11" t="s">
        <v>2847</v>
      </c>
      <c r="J324" s="10" t="s">
        <v>1559</v>
      </c>
      <c r="K324" s="10" t="s">
        <v>1560</v>
      </c>
      <c r="L324" s="10" t="s">
        <v>1561</v>
      </c>
      <c r="M324" s="10" t="s">
        <v>1364</v>
      </c>
      <c r="N324" s="10">
        <v>64</v>
      </c>
      <c r="O324" s="11">
        <v>181</v>
      </c>
      <c r="P324" s="11">
        <v>0.18099999999999999</v>
      </c>
      <c r="Q324" s="10" t="s">
        <v>1599</v>
      </c>
      <c r="R324" s="10">
        <v>80</v>
      </c>
      <c r="S324" s="12">
        <v>9</v>
      </c>
      <c r="T324" s="13">
        <v>34749</v>
      </c>
      <c r="U324" s="14">
        <v>6289.5689999999995</v>
      </c>
      <c r="V324" s="10">
        <v>9.4700000000000006</v>
      </c>
      <c r="W324" s="15">
        <v>329073.03000000003</v>
      </c>
      <c r="X324" s="29">
        <f>VLOOKUP($F324,Agendamento!$B:$J,9,0)</f>
        <v>46091</v>
      </c>
      <c r="Y324" s="6">
        <f>COUNTIF(Analise!F:F,'Obras e Acervos'!H324)</f>
        <v>1</v>
      </c>
    </row>
    <row r="325" spans="1:25" ht="15" customHeight="1" x14ac:dyDescent="0.25">
      <c r="A325" s="10" t="str">
        <f>CONCATENATE(LEFT(C325,12),"-",RIGHT(C325,2),"_",TEXT(X325,"ddmmaaaa"),"_",COUNTIF($C$2:C325,C325))</f>
        <v>120282750001-12_23022026_1</v>
      </c>
      <c r="B325" s="10" t="str">
        <f>CONCATENATE(LEFT(C325,12),"-",RIGHT(C325,2),"_",COUNTIF($C$2:C325,C325))</f>
        <v>120282750001-12_1</v>
      </c>
      <c r="C325" s="10" t="s">
        <v>2848</v>
      </c>
      <c r="D325" s="10" t="s">
        <v>691</v>
      </c>
      <c r="E325" s="10" t="s">
        <v>1555</v>
      </c>
      <c r="F325" s="10" t="s">
        <v>692</v>
      </c>
      <c r="G325" s="10" t="s">
        <v>2849</v>
      </c>
      <c r="H325" s="11" t="s">
        <v>2850</v>
      </c>
      <c r="I325" s="11" t="s">
        <v>2851</v>
      </c>
      <c r="J325" s="10" t="s">
        <v>1559</v>
      </c>
      <c r="K325" s="10" t="s">
        <v>1560</v>
      </c>
      <c r="L325" s="10" t="s">
        <v>1561</v>
      </c>
      <c r="M325" s="10" t="s">
        <v>692</v>
      </c>
      <c r="N325" s="10">
        <v>24</v>
      </c>
      <c r="O325" s="11">
        <v>85</v>
      </c>
      <c r="P325" s="11">
        <v>8.5000000000000006E-2</v>
      </c>
      <c r="Q325" s="10" t="s">
        <v>1562</v>
      </c>
      <c r="R325" s="10">
        <v>80</v>
      </c>
      <c r="S325" s="12">
        <v>9</v>
      </c>
      <c r="T325" s="13">
        <v>43748</v>
      </c>
      <c r="U325" s="14">
        <v>3718.5800000000004</v>
      </c>
      <c r="V325" s="10">
        <v>4.99</v>
      </c>
      <c r="W325" s="15">
        <v>218302.52000000002</v>
      </c>
      <c r="X325" s="29">
        <f>VLOOKUP($F325,Agendamento!$B:$J,9,0)</f>
        <v>46076</v>
      </c>
      <c r="Y325" s="6">
        <f>COUNTIF(Analise!F:F,'Obras e Acervos'!H325)</f>
        <v>1</v>
      </c>
    </row>
    <row r="326" spans="1:25" ht="15" customHeight="1" x14ac:dyDescent="0.25">
      <c r="A326" s="10" t="str">
        <f>CONCATENATE(LEFT(C326,12),"-",RIGHT(C326,2),"_",TEXT(X326,"ddmmaaaa"),"_",COUNTIF($C$2:C326,C326))</f>
        <v>362221560001-64_12022026_1</v>
      </c>
      <c r="B326" s="10" t="str">
        <f>CONCATENATE(LEFT(C326,12),"-",RIGHT(C326,2),"_",COUNTIF($C$2:C326,C326))</f>
        <v>362221560001-64_1</v>
      </c>
      <c r="C326" s="10" t="s">
        <v>2852</v>
      </c>
      <c r="D326" s="10" t="s">
        <v>337</v>
      </c>
      <c r="E326" s="10" t="s">
        <v>1555</v>
      </c>
      <c r="F326" s="10" t="s">
        <v>338</v>
      </c>
      <c r="G326" s="10" t="s">
        <v>2853</v>
      </c>
      <c r="H326" s="11" t="s">
        <v>2854</v>
      </c>
      <c r="I326" s="11" t="s">
        <v>2855</v>
      </c>
      <c r="J326" s="10" t="s">
        <v>1559</v>
      </c>
      <c r="K326" s="10" t="s">
        <v>1560</v>
      </c>
      <c r="L326" s="10" t="s">
        <v>1561</v>
      </c>
      <c r="M326" s="10" t="s">
        <v>338</v>
      </c>
      <c r="N326" s="10">
        <v>32</v>
      </c>
      <c r="O326" s="11">
        <v>100</v>
      </c>
      <c r="P326" s="11">
        <v>0.1</v>
      </c>
      <c r="Q326" s="10" t="s">
        <v>1562</v>
      </c>
      <c r="R326" s="10">
        <v>80</v>
      </c>
      <c r="S326" s="12">
        <v>9</v>
      </c>
      <c r="T326" s="13">
        <v>35870</v>
      </c>
      <c r="U326" s="14">
        <v>3587</v>
      </c>
      <c r="V326" s="10">
        <v>5.87</v>
      </c>
      <c r="W326" s="15">
        <v>210556.9</v>
      </c>
      <c r="X326" s="29">
        <f>VLOOKUP($F326,Agendamento!$B:$J,9,0)</f>
        <v>46065</v>
      </c>
      <c r="Y326" s="6">
        <f>COUNTIF(Analise!F:F,'Obras e Acervos'!H326)</f>
        <v>1</v>
      </c>
    </row>
    <row r="327" spans="1:25" ht="15" customHeight="1" x14ac:dyDescent="0.25">
      <c r="A327" s="10" t="str">
        <f>CONCATENATE(LEFT(C327,12),"-",RIGHT(C327,2),"_",TEXT(X327,"ddmmaaaa"),"_",COUNTIF($C$2:C327,C327))</f>
        <v>074741500001-86_24022026_1</v>
      </c>
      <c r="B327" s="10" t="str">
        <f>CONCATENATE(LEFT(C327,12),"-",RIGHT(C327,2),"_",COUNTIF($C$2:C327,C327))</f>
        <v>074741500001-86_1</v>
      </c>
      <c r="C327" s="10" t="s">
        <v>2856</v>
      </c>
      <c r="D327" s="10" t="s">
        <v>6079</v>
      </c>
      <c r="E327" s="10" t="s">
        <v>1555</v>
      </c>
      <c r="F327" s="10" t="s">
        <v>770</v>
      </c>
      <c r="G327" s="10" t="s">
        <v>2857</v>
      </c>
      <c r="H327" s="11" t="s">
        <v>2858</v>
      </c>
      <c r="I327" s="11" t="s">
        <v>2859</v>
      </c>
      <c r="J327" s="10" t="s">
        <v>1559</v>
      </c>
      <c r="K327" s="10" t="s">
        <v>1560</v>
      </c>
      <c r="L327" s="10" t="s">
        <v>1561</v>
      </c>
      <c r="M327" s="10" t="s">
        <v>770</v>
      </c>
      <c r="N327" s="10">
        <v>48</v>
      </c>
      <c r="O327" s="11">
        <v>150</v>
      </c>
      <c r="P327" s="11">
        <v>0.15</v>
      </c>
      <c r="Q327" s="10" t="s">
        <v>1562</v>
      </c>
      <c r="R327" s="10">
        <v>80</v>
      </c>
      <c r="S327" s="12">
        <v>9</v>
      </c>
      <c r="T327" s="13">
        <v>35628</v>
      </c>
      <c r="U327" s="14">
        <v>5344.2</v>
      </c>
      <c r="V327" s="10">
        <v>7.68</v>
      </c>
      <c r="W327" s="15">
        <v>273623.03999999998</v>
      </c>
      <c r="X327" s="29">
        <f>VLOOKUP($F327,Agendamento!$B:$J,9,0)</f>
        <v>46077</v>
      </c>
      <c r="Y327" s="6">
        <f>COUNTIF(Analise!F:F,'Obras e Acervos'!H327)</f>
        <v>1</v>
      </c>
    </row>
    <row r="328" spans="1:25" ht="15" customHeight="1" x14ac:dyDescent="0.25">
      <c r="A328" s="10" t="str">
        <f>CONCATENATE(LEFT(C328,12),"-",RIGHT(C328,2),"_",TEXT(X328,"ddmmaaaa"),"_",COUNTIF($C$2:C328,C328))</f>
        <v>334957710001-56_24022026_1</v>
      </c>
      <c r="B328" s="10" t="str">
        <f>CONCATENATE(LEFT(C328,12),"-",RIGHT(C328,2),"_",COUNTIF($C$2:C328,C328))</f>
        <v>334957710001-56_1</v>
      </c>
      <c r="C328" s="10" t="s">
        <v>2860</v>
      </c>
      <c r="D328" s="10" t="s">
        <v>6080</v>
      </c>
      <c r="E328" s="10" t="s">
        <v>1555</v>
      </c>
      <c r="F328" s="10" t="s">
        <v>825</v>
      </c>
      <c r="G328" s="10" t="s">
        <v>2861</v>
      </c>
      <c r="H328" s="11" t="s">
        <v>2862</v>
      </c>
      <c r="I328" s="11" t="s">
        <v>2863</v>
      </c>
      <c r="J328" s="10" t="s">
        <v>1559</v>
      </c>
      <c r="K328" s="10" t="s">
        <v>1560</v>
      </c>
      <c r="L328" s="10" t="s">
        <v>1561</v>
      </c>
      <c r="M328" s="10" t="s">
        <v>825</v>
      </c>
      <c r="N328" s="10">
        <v>32</v>
      </c>
      <c r="O328" s="11">
        <v>100</v>
      </c>
      <c r="P328" s="11">
        <v>0.1</v>
      </c>
      <c r="Q328" s="10" t="s">
        <v>1562</v>
      </c>
      <c r="R328" s="10">
        <v>80</v>
      </c>
      <c r="S328" s="12">
        <v>9</v>
      </c>
      <c r="T328" s="13">
        <v>33416</v>
      </c>
      <c r="U328" s="14">
        <v>3341.6000000000004</v>
      </c>
      <c r="V328" s="10">
        <v>5.94</v>
      </c>
      <c r="W328" s="15">
        <v>198491.04</v>
      </c>
      <c r="X328" s="29">
        <f>VLOOKUP($F328,Agendamento!$B:$J,9,0)</f>
        <v>46077</v>
      </c>
      <c r="Y328" s="6">
        <f>COUNTIF(Analise!F:F,'Obras e Acervos'!H328)</f>
        <v>1</v>
      </c>
    </row>
    <row r="329" spans="1:25" ht="15" customHeight="1" x14ac:dyDescent="0.25">
      <c r="A329" s="10" t="str">
        <f>CONCATENATE(LEFT(C329,12),"-",RIGHT(C329,2),"_",TEXT(X329,"ddmmaaaa"),"_",COUNTIF($C$2:C329,C329))</f>
        <v>275669510001-89_18022026_1</v>
      </c>
      <c r="B329" s="10" t="str">
        <f>CONCATENATE(LEFT(C329,12),"-",RIGHT(C329,2),"_",COUNTIF($C$2:C329,C329))</f>
        <v>275669510001-89_1</v>
      </c>
      <c r="C329" s="10" t="s">
        <v>2864</v>
      </c>
      <c r="D329" s="10" t="s">
        <v>6081</v>
      </c>
      <c r="E329" s="10" t="s">
        <v>1555</v>
      </c>
      <c r="F329" s="10" t="s">
        <v>595</v>
      </c>
      <c r="G329" s="10" t="s">
        <v>2865</v>
      </c>
      <c r="H329" s="11" t="s">
        <v>2866</v>
      </c>
      <c r="I329" s="11" t="s">
        <v>2867</v>
      </c>
      <c r="J329" s="10" t="s">
        <v>1559</v>
      </c>
      <c r="K329" s="10" t="s">
        <v>1560</v>
      </c>
      <c r="L329" s="10" t="s">
        <v>1561</v>
      </c>
      <c r="M329" s="10" t="s">
        <v>595</v>
      </c>
      <c r="N329" s="10">
        <v>32</v>
      </c>
      <c r="O329" s="11">
        <v>100</v>
      </c>
      <c r="P329" s="11">
        <v>0.1</v>
      </c>
      <c r="Q329" s="10" t="s">
        <v>1599</v>
      </c>
      <c r="R329" s="10">
        <v>80</v>
      </c>
      <c r="S329" s="12">
        <v>9</v>
      </c>
      <c r="T329" s="13">
        <v>36431</v>
      </c>
      <c r="U329" s="14">
        <v>3643.1000000000004</v>
      </c>
      <c r="V329" s="10">
        <v>5.85</v>
      </c>
      <c r="W329" s="15">
        <v>213121.34999999998</v>
      </c>
      <c r="X329" s="29">
        <f>VLOOKUP($F329,Agendamento!$B:$J,9,0)</f>
        <v>46071</v>
      </c>
      <c r="Y329" s="6">
        <f>COUNTIF(Analise!F:F,'Obras e Acervos'!H329)</f>
        <v>1</v>
      </c>
    </row>
    <row r="330" spans="1:25" ht="15" customHeight="1" x14ac:dyDescent="0.25">
      <c r="A330" s="10" t="str">
        <f>CONCATENATE(LEFT(C330,12),"-",RIGHT(C330,2),"_",TEXT(X330,"ddmmaaaa"),"_",COUNTIF($C$2:C330,C330))</f>
        <v>011836130001-74_03022026_1</v>
      </c>
      <c r="B330" s="10" t="str">
        <f>CONCATENATE(LEFT(C330,12),"-",RIGHT(C330,2),"_",COUNTIF($C$2:C330,C330))</f>
        <v>011836130001-74_1</v>
      </c>
      <c r="C330" s="10" t="s">
        <v>2868</v>
      </c>
      <c r="D330" s="10" t="s">
        <v>126</v>
      </c>
      <c r="E330" s="10" t="s">
        <v>1555</v>
      </c>
      <c r="F330" s="10" t="s">
        <v>127</v>
      </c>
      <c r="G330" s="10" t="s">
        <v>2869</v>
      </c>
      <c r="H330" s="11" t="s">
        <v>2870</v>
      </c>
      <c r="I330" s="11" t="s">
        <v>2871</v>
      </c>
      <c r="J330" s="10" t="s">
        <v>1559</v>
      </c>
      <c r="K330" s="10" t="s">
        <v>1560</v>
      </c>
      <c r="L330" s="10" t="s">
        <v>1561</v>
      </c>
      <c r="M330" s="10" t="s">
        <v>127</v>
      </c>
      <c r="N330" s="10">
        <v>24</v>
      </c>
      <c r="O330" s="11">
        <v>79</v>
      </c>
      <c r="P330" s="11">
        <v>7.9000000000000001E-2</v>
      </c>
      <c r="Q330" s="10" t="s">
        <v>1562</v>
      </c>
      <c r="R330" s="10">
        <v>75</v>
      </c>
      <c r="S330" s="12">
        <v>9</v>
      </c>
      <c r="T330" s="13">
        <v>33219</v>
      </c>
      <c r="U330" s="14">
        <v>2624.3009999999999</v>
      </c>
      <c r="V330" s="10">
        <v>5</v>
      </c>
      <c r="W330" s="15">
        <v>166095</v>
      </c>
      <c r="X330" s="29">
        <f>VLOOKUP($F330,Agendamento!$B:$J,9,0)</f>
        <v>46056</v>
      </c>
      <c r="Y330" s="6">
        <f>COUNTIF(Analise!F:F,'Obras e Acervos'!H330)</f>
        <v>1</v>
      </c>
    </row>
    <row r="331" spans="1:25" ht="15" customHeight="1" x14ac:dyDescent="0.25">
      <c r="A331" s="10" t="str">
        <f>CONCATENATE(LEFT(C331,12),"-",RIGHT(C331,2),"_",TEXT(X331,"ddmmaaaa"),"_",COUNTIF($C$2:C331,C331))</f>
        <v>436794590001-76_04032026_1</v>
      </c>
      <c r="B331" s="10" t="str">
        <f>CONCATENATE(LEFT(C331,12),"-",RIGHT(C331,2),"_",COUNTIF($C$2:C331,C331))</f>
        <v>436794590001-76_1</v>
      </c>
      <c r="C331" s="10" t="s">
        <v>2872</v>
      </c>
      <c r="D331" s="10" t="s">
        <v>6082</v>
      </c>
      <c r="E331" s="10" t="s">
        <v>1555</v>
      </c>
      <c r="F331" s="10" t="s">
        <v>1206</v>
      </c>
      <c r="G331" s="10" t="s">
        <v>2873</v>
      </c>
      <c r="H331" s="11" t="s">
        <v>2874</v>
      </c>
      <c r="I331" s="11" t="s">
        <v>2875</v>
      </c>
      <c r="J331" s="10" t="s">
        <v>1559</v>
      </c>
      <c r="K331" s="10" t="s">
        <v>1560</v>
      </c>
      <c r="L331" s="10" t="s">
        <v>1561</v>
      </c>
      <c r="M331" s="10" t="s">
        <v>1206</v>
      </c>
      <c r="N331" s="10">
        <v>32</v>
      </c>
      <c r="O331" s="11">
        <v>105</v>
      </c>
      <c r="P331" s="11">
        <v>0.105</v>
      </c>
      <c r="Q331" s="10" t="s">
        <v>1562</v>
      </c>
      <c r="R331" s="10">
        <v>80</v>
      </c>
      <c r="S331" s="12">
        <v>9</v>
      </c>
      <c r="T331" s="13">
        <v>33264</v>
      </c>
      <c r="U331" s="14">
        <v>3492.72</v>
      </c>
      <c r="V331" s="10">
        <v>5.94</v>
      </c>
      <c r="W331" s="15">
        <v>197588.16</v>
      </c>
      <c r="X331" s="29">
        <f>VLOOKUP($F331,Agendamento!$B:$J,9,0)</f>
        <v>46085</v>
      </c>
      <c r="Y331" s="6">
        <f>COUNTIF(Analise!F:F,'Obras e Acervos'!H331)</f>
        <v>1</v>
      </c>
    </row>
    <row r="332" spans="1:25" ht="15" customHeight="1" x14ac:dyDescent="0.25">
      <c r="A332" s="10" t="str">
        <f>CONCATENATE(LEFT(C332,12),"-",RIGHT(C332,2),"_",TEXT(X332,"ddmmaaaa"),"_",COUNTIF($C$2:C332,C332))</f>
        <v>434139110001-53_03032026_1</v>
      </c>
      <c r="B332" s="10" t="str">
        <f>CONCATENATE(LEFT(C332,12),"-",RIGHT(C332,2),"_",COUNTIF($C$2:C332,C332))</f>
        <v>434139110001-53_1</v>
      </c>
      <c r="C332" s="10" t="s">
        <v>2876</v>
      </c>
      <c r="D332" s="10" t="s">
        <v>1090</v>
      </c>
      <c r="E332" s="10" t="s">
        <v>1555</v>
      </c>
      <c r="F332" s="10" t="s">
        <v>1091</v>
      </c>
      <c r="G332" s="10" t="s">
        <v>2877</v>
      </c>
      <c r="H332" s="11" t="s">
        <v>2878</v>
      </c>
      <c r="I332" s="11" t="s">
        <v>2879</v>
      </c>
      <c r="J332" s="10" t="s">
        <v>1559</v>
      </c>
      <c r="K332" s="10" t="s">
        <v>1560</v>
      </c>
      <c r="L332" s="10" t="s">
        <v>1561</v>
      </c>
      <c r="M332" s="10" t="s">
        <v>1091</v>
      </c>
      <c r="N332" s="10">
        <v>48</v>
      </c>
      <c r="O332" s="11">
        <v>92</v>
      </c>
      <c r="P332" s="11">
        <v>9.1999999999999998E-2</v>
      </c>
      <c r="Q332" s="10" t="s">
        <v>1562</v>
      </c>
      <c r="R332" s="10">
        <v>80</v>
      </c>
      <c r="S332" s="12">
        <v>9</v>
      </c>
      <c r="T332" s="13">
        <v>33476</v>
      </c>
      <c r="U332" s="14">
        <v>3079.7919999999999</v>
      </c>
      <c r="V332" s="10">
        <v>7.73</v>
      </c>
      <c r="W332" s="15">
        <v>258769.48</v>
      </c>
      <c r="X332" s="29">
        <f>VLOOKUP($F332,Agendamento!$B:$J,9,0)</f>
        <v>46084</v>
      </c>
      <c r="Y332" s="6">
        <f>COUNTIF(Analise!F:F,'Obras e Acervos'!H332)</f>
        <v>1</v>
      </c>
    </row>
    <row r="333" spans="1:25" ht="15" customHeight="1" x14ac:dyDescent="0.25">
      <c r="A333" s="10" t="str">
        <f>CONCATENATE(LEFT(C333,12),"-",RIGHT(C333,2),"_",TEXT(X333,"ddmmaaaa"),"_",COUNTIF($C$2:C333,C333))</f>
        <v>436795990001-44_16032026_1</v>
      </c>
      <c r="B333" s="10" t="str">
        <f>CONCATENATE(LEFT(C333,12),"-",RIGHT(C333,2),"_",COUNTIF($C$2:C333,C333))</f>
        <v>436795990001-44_1</v>
      </c>
      <c r="C333" s="10" t="s">
        <v>2880</v>
      </c>
      <c r="D333" s="10" t="s">
        <v>6083</v>
      </c>
      <c r="E333" s="10" t="s">
        <v>1555</v>
      </c>
      <c r="F333" s="10" t="s">
        <v>1370</v>
      </c>
      <c r="G333" s="10" t="s">
        <v>2881</v>
      </c>
      <c r="H333" s="11" t="s">
        <v>2882</v>
      </c>
      <c r="I333" s="11" t="s">
        <v>2883</v>
      </c>
      <c r="J333" s="10" t="s">
        <v>1559</v>
      </c>
      <c r="K333" s="10" t="s">
        <v>1560</v>
      </c>
      <c r="L333" s="10" t="s">
        <v>1561</v>
      </c>
      <c r="M333" s="10" t="s">
        <v>6205</v>
      </c>
      <c r="N333" s="10">
        <v>32</v>
      </c>
      <c r="O333" s="11">
        <v>105</v>
      </c>
      <c r="P333" s="11">
        <v>0.105</v>
      </c>
      <c r="Q333" s="10" t="s">
        <v>1599</v>
      </c>
      <c r="R333" s="10">
        <v>80</v>
      </c>
      <c r="S333" s="12">
        <v>9</v>
      </c>
      <c r="T333" s="13">
        <v>40673</v>
      </c>
      <c r="U333" s="14">
        <v>4270.665</v>
      </c>
      <c r="V333" s="10">
        <v>5.43</v>
      </c>
      <c r="W333" s="15">
        <v>220854.38999999998</v>
      </c>
      <c r="X333" s="29">
        <f>VLOOKUP($F333,Agendamento!$B:$J,9,0)</f>
        <v>46097</v>
      </c>
      <c r="Y333" s="6">
        <f>COUNTIF(Analise!F:F,'Obras e Acervos'!H333)</f>
        <v>1</v>
      </c>
    </row>
    <row r="334" spans="1:25" ht="15" customHeight="1" x14ac:dyDescent="0.25">
      <c r="A334" s="10" t="str">
        <f>CONCATENATE(LEFT(C334,12),"-",RIGHT(C334,2),"_",TEXT(X334,"ddmmaaaa"),"_",COUNTIF($C$2:C334,C334))</f>
        <v>086868630001-76_12022026_1</v>
      </c>
      <c r="B334" s="10" t="str">
        <f>CONCATENATE(LEFT(C334,12),"-",RIGHT(C334,2),"_",COUNTIF($C$2:C334,C334))</f>
        <v>086868630001-76_1</v>
      </c>
      <c r="C334" s="10" t="s">
        <v>2884</v>
      </c>
      <c r="D334" s="10" t="s">
        <v>327</v>
      </c>
      <c r="E334" s="10" t="s">
        <v>1555</v>
      </c>
      <c r="F334" s="10" t="s">
        <v>334</v>
      </c>
      <c r="G334" s="10" t="s">
        <v>2885</v>
      </c>
      <c r="H334" s="11" t="s">
        <v>2886</v>
      </c>
      <c r="I334" s="11" t="s">
        <v>2887</v>
      </c>
      <c r="J334" s="10" t="s">
        <v>1559</v>
      </c>
      <c r="K334" s="10" t="s">
        <v>1560</v>
      </c>
      <c r="L334" s="10" t="s">
        <v>1561</v>
      </c>
      <c r="M334" s="10" t="s">
        <v>334</v>
      </c>
      <c r="N334" s="10">
        <v>32</v>
      </c>
      <c r="O334" s="11">
        <v>100</v>
      </c>
      <c r="P334" s="11">
        <v>0.1</v>
      </c>
      <c r="Q334" s="10" t="s">
        <v>1562</v>
      </c>
      <c r="R334" s="10">
        <v>80</v>
      </c>
      <c r="S334" s="12">
        <v>9</v>
      </c>
      <c r="T334" s="13">
        <v>33067</v>
      </c>
      <c r="U334" s="14">
        <v>3306.7000000000003</v>
      </c>
      <c r="V334" s="10">
        <v>5.96</v>
      </c>
      <c r="W334" s="15">
        <v>197079.32</v>
      </c>
      <c r="X334" s="29">
        <f>VLOOKUP($F334,Agendamento!$B:$J,9,0)</f>
        <v>46065</v>
      </c>
      <c r="Y334" s="6">
        <f>COUNTIF(Analise!F:F,'Obras e Acervos'!H334)</f>
        <v>1</v>
      </c>
    </row>
    <row r="335" spans="1:25" ht="15" customHeight="1" x14ac:dyDescent="0.25">
      <c r="A335" s="10" t="str">
        <f>CONCATENATE(LEFT(C335,12),"-",RIGHT(C335,2),"_",TEXT(X335,"ddmmaaaa"),"_",COUNTIF($C$2:C335,C335))</f>
        <v>002986000001-88_10022026_1</v>
      </c>
      <c r="B335" s="10" t="str">
        <f>CONCATENATE(LEFT(C335,12),"-",RIGHT(C335,2),"_",COUNTIF($C$2:C335,C335))</f>
        <v>002986000001-88_1</v>
      </c>
      <c r="C335" s="10" t="s">
        <v>2888</v>
      </c>
      <c r="D335" s="10" t="s">
        <v>259</v>
      </c>
      <c r="E335" s="10" t="s">
        <v>1555</v>
      </c>
      <c r="F335" s="10" t="s">
        <v>262</v>
      </c>
      <c r="G335" s="10" t="s">
        <v>2889</v>
      </c>
      <c r="H335" s="11" t="s">
        <v>2890</v>
      </c>
      <c r="I335" s="11" t="s">
        <v>2891</v>
      </c>
      <c r="J335" s="10" t="s">
        <v>1559</v>
      </c>
      <c r="K335" s="10" t="s">
        <v>1560</v>
      </c>
      <c r="L335" s="10" t="s">
        <v>1561</v>
      </c>
      <c r="M335" s="10" t="s">
        <v>262</v>
      </c>
      <c r="N335" s="10">
        <v>40</v>
      </c>
      <c r="O335" s="11">
        <v>122</v>
      </c>
      <c r="P335" s="11">
        <v>0.122</v>
      </c>
      <c r="Q335" s="10" t="s">
        <v>1562</v>
      </c>
      <c r="R335" s="10">
        <v>80</v>
      </c>
      <c r="S335" s="12">
        <v>9</v>
      </c>
      <c r="T335" s="13">
        <v>33552</v>
      </c>
      <c r="U335" s="14">
        <v>4093.3440000000001</v>
      </c>
      <c r="V335" s="10">
        <v>6.83</v>
      </c>
      <c r="W335" s="15">
        <v>229160.16</v>
      </c>
      <c r="X335" s="29">
        <f>VLOOKUP($F335,Agendamento!$B:$J,9,0)</f>
        <v>46063</v>
      </c>
      <c r="Y335" s="6">
        <f>COUNTIF(Analise!F:F,'Obras e Acervos'!H335)</f>
        <v>1</v>
      </c>
    </row>
    <row r="336" spans="1:25" ht="15" customHeight="1" x14ac:dyDescent="0.25">
      <c r="A336" s="10" t="str">
        <f>CONCATENATE(LEFT(C336,12),"-",RIGHT(C336,2),"_",TEXT(X336,"ddmmaaaa"),"_",COUNTIF($C$2:C336,C336))</f>
        <v>049983930001-25_13022026_1</v>
      </c>
      <c r="B336" s="10" t="str">
        <f>CONCATENATE(LEFT(C336,12),"-",RIGHT(C336,2),"_",COUNTIF($C$2:C336,C336))</f>
        <v>049983930001-25_1</v>
      </c>
      <c r="C336" s="10" t="s">
        <v>2892</v>
      </c>
      <c r="D336" s="10" t="s">
        <v>6084</v>
      </c>
      <c r="E336" s="10" t="s">
        <v>1555</v>
      </c>
      <c r="F336" s="10" t="s">
        <v>466</v>
      </c>
      <c r="G336" s="10" t="s">
        <v>2893</v>
      </c>
      <c r="H336" s="11" t="s">
        <v>2894</v>
      </c>
      <c r="I336" s="11" t="s">
        <v>2895</v>
      </c>
      <c r="J336" s="10" t="s">
        <v>1559</v>
      </c>
      <c r="K336" s="10" t="s">
        <v>1560</v>
      </c>
      <c r="L336" s="10" t="s">
        <v>1561</v>
      </c>
      <c r="M336" s="10" t="s">
        <v>466</v>
      </c>
      <c r="N336" s="10">
        <v>24</v>
      </c>
      <c r="O336" s="11">
        <v>85</v>
      </c>
      <c r="P336" s="11">
        <v>8.5000000000000006E-2</v>
      </c>
      <c r="Q336" s="10" t="s">
        <v>1562</v>
      </c>
      <c r="R336" s="10">
        <v>80</v>
      </c>
      <c r="S336" s="12">
        <v>9</v>
      </c>
      <c r="T336" s="13">
        <v>33173</v>
      </c>
      <c r="U336" s="14">
        <v>2819.7050000000004</v>
      </c>
      <c r="V336" s="10">
        <v>5.07</v>
      </c>
      <c r="W336" s="15">
        <v>168187.11000000002</v>
      </c>
      <c r="X336" s="29">
        <f>VLOOKUP($F336,Agendamento!$B:$J,9,0)</f>
        <v>46066</v>
      </c>
      <c r="Y336" s="6">
        <f>COUNTIF(Analise!F:F,'Obras e Acervos'!H336)</f>
        <v>1</v>
      </c>
    </row>
    <row r="337" spans="1:25" ht="15" customHeight="1" x14ac:dyDescent="0.25">
      <c r="A337" s="10" t="str">
        <f>CONCATENATE(LEFT(C337,12),"-",RIGHT(C337,2),"_",TEXT(X337,"ddmmaaaa"),"_",COUNTIF($C$2:C337,C337))</f>
        <v>434143670001-64_09022026_1</v>
      </c>
      <c r="B337" s="10" t="str">
        <f>CONCATENATE(LEFT(C337,12),"-",RIGHT(C337,2),"_",COUNTIF($C$2:C337,C337))</f>
        <v>434143670001-64_1</v>
      </c>
      <c r="C337" s="10" t="s">
        <v>2896</v>
      </c>
      <c r="D337" s="10" t="s">
        <v>223</v>
      </c>
      <c r="E337" s="10" t="s">
        <v>1555</v>
      </c>
      <c r="F337" s="10" t="s">
        <v>224</v>
      </c>
      <c r="G337" s="10" t="s">
        <v>2897</v>
      </c>
      <c r="H337" s="11" t="s">
        <v>2898</v>
      </c>
      <c r="I337" s="11" t="s">
        <v>2899</v>
      </c>
      <c r="J337" s="10" t="s">
        <v>1559</v>
      </c>
      <c r="K337" s="10" t="s">
        <v>1560</v>
      </c>
      <c r="L337" s="10" t="s">
        <v>1561</v>
      </c>
      <c r="M337" s="10" t="s">
        <v>6206</v>
      </c>
      <c r="N337" s="10">
        <v>32</v>
      </c>
      <c r="O337" s="11">
        <v>103</v>
      </c>
      <c r="P337" s="11">
        <v>0.10299999999999999</v>
      </c>
      <c r="Q337" s="10" t="s">
        <v>1562</v>
      </c>
      <c r="R337" s="10">
        <v>80</v>
      </c>
      <c r="S337" s="12">
        <v>9</v>
      </c>
      <c r="T337" s="13">
        <v>33173</v>
      </c>
      <c r="U337" s="14">
        <v>3416.819</v>
      </c>
      <c r="V337" s="10">
        <v>5.96</v>
      </c>
      <c r="W337" s="15">
        <v>197711.08</v>
      </c>
      <c r="X337" s="29">
        <f>VLOOKUP($F337,Agendamento!$B:$J,9,0)</f>
        <v>46062</v>
      </c>
      <c r="Y337" s="6">
        <f>COUNTIF(Analise!F:F,'Obras e Acervos'!H337)</f>
        <v>1</v>
      </c>
    </row>
    <row r="338" spans="1:25" ht="15" customHeight="1" x14ac:dyDescent="0.25">
      <c r="A338" s="10" t="str">
        <f>CONCATENATE(LEFT(C338,12),"-",RIGHT(C338,2),"_",TEXT(X338,"ddmmaaaa"),"_",COUNTIF($C$2:C338,C338))</f>
        <v>038495380001-63_27022026_1</v>
      </c>
      <c r="B338" s="10" t="str">
        <f>CONCATENATE(LEFT(C338,12),"-",RIGHT(C338,2),"_",COUNTIF($C$2:C338,C338))</f>
        <v>038495380001-63_1</v>
      </c>
      <c r="C338" s="10" t="s">
        <v>2900</v>
      </c>
      <c r="D338" s="10" t="s">
        <v>6085</v>
      </c>
      <c r="E338" s="10" t="s">
        <v>1555</v>
      </c>
      <c r="F338" s="10" t="s">
        <v>960</v>
      </c>
      <c r="G338" s="10" t="s">
        <v>2901</v>
      </c>
      <c r="H338" s="11" t="s">
        <v>2902</v>
      </c>
      <c r="I338" s="11" t="s">
        <v>2903</v>
      </c>
      <c r="J338" s="10" t="s">
        <v>1559</v>
      </c>
      <c r="K338" s="10" t="s">
        <v>1560</v>
      </c>
      <c r="L338" s="10" t="s">
        <v>1561</v>
      </c>
      <c r="M338" s="10" t="s">
        <v>960</v>
      </c>
      <c r="N338" s="10">
        <v>40</v>
      </c>
      <c r="O338" s="11">
        <v>100</v>
      </c>
      <c r="P338" s="11">
        <v>0.1</v>
      </c>
      <c r="Q338" s="10" t="s">
        <v>1562</v>
      </c>
      <c r="R338" s="10">
        <v>80</v>
      </c>
      <c r="S338" s="12">
        <v>9</v>
      </c>
      <c r="T338" s="13">
        <v>59216</v>
      </c>
      <c r="U338" s="14">
        <v>5921.6</v>
      </c>
      <c r="V338" s="10">
        <v>5.27</v>
      </c>
      <c r="W338" s="15">
        <v>312068.31999999995</v>
      </c>
      <c r="X338" s="29">
        <f>VLOOKUP($F338,Agendamento!$B:$J,9,0)</f>
        <v>46080</v>
      </c>
      <c r="Y338" s="6">
        <f>COUNTIF(Analise!F:F,'Obras e Acervos'!H338)</f>
        <v>1</v>
      </c>
    </row>
    <row r="339" spans="1:25" ht="15" customHeight="1" x14ac:dyDescent="0.25">
      <c r="A339" s="10" t="str">
        <f>CONCATENATE(LEFT(C339,12),"-",RIGHT(C339,2),"_",TEXT(X339,"ddmmaaaa"),"_",COUNTIF($C$2:C339,C339))</f>
        <v>354142250001-79_27022026_1</v>
      </c>
      <c r="B339" s="10" t="str">
        <f>CONCATENATE(LEFT(C339,12),"-",RIGHT(C339,2),"_",COUNTIF($C$2:C339,C339))</f>
        <v>354142250001-79_1</v>
      </c>
      <c r="C339" s="10" t="s">
        <v>2904</v>
      </c>
      <c r="D339" s="10" t="s">
        <v>6086</v>
      </c>
      <c r="E339" s="10" t="s">
        <v>1555</v>
      </c>
      <c r="F339" s="10" t="s">
        <v>968</v>
      </c>
      <c r="G339" s="10" t="s">
        <v>2905</v>
      </c>
      <c r="H339" s="11" t="s">
        <v>2906</v>
      </c>
      <c r="I339" s="11" t="s">
        <v>2907</v>
      </c>
      <c r="J339" s="10" t="s">
        <v>1559</v>
      </c>
      <c r="K339" s="10" t="s">
        <v>1560</v>
      </c>
      <c r="L339" s="10" t="s">
        <v>1561</v>
      </c>
      <c r="M339" s="10" t="s">
        <v>968</v>
      </c>
      <c r="N339" s="10">
        <v>32</v>
      </c>
      <c r="O339" s="11">
        <v>103</v>
      </c>
      <c r="P339" s="11">
        <v>0.10299999999999999</v>
      </c>
      <c r="Q339" s="10" t="s">
        <v>1562</v>
      </c>
      <c r="R339" s="10">
        <v>80</v>
      </c>
      <c r="S339" s="12">
        <v>9</v>
      </c>
      <c r="T339" s="13">
        <v>33476</v>
      </c>
      <c r="U339" s="14">
        <v>3448.0279999999998</v>
      </c>
      <c r="V339" s="10">
        <v>5.94</v>
      </c>
      <c r="W339" s="15">
        <v>198847.44</v>
      </c>
      <c r="X339" s="29">
        <f>VLOOKUP($F339,Agendamento!$B:$J,9,0)</f>
        <v>46080</v>
      </c>
      <c r="Y339" s="6">
        <f>COUNTIF(Analise!F:F,'Obras e Acervos'!H339)</f>
        <v>1</v>
      </c>
    </row>
    <row r="340" spans="1:25" ht="15" customHeight="1" x14ac:dyDescent="0.25">
      <c r="A340" s="10" t="str">
        <f>CONCATENATE(LEFT(C340,12),"-",RIGHT(C340,2),"_",TEXT(X340,"ddmmaaaa"),"_",COUNTIF($C$2:C340,C340))</f>
        <v>308500170001-07_16022026_1</v>
      </c>
      <c r="B340" s="10" t="str">
        <f>CONCATENATE(LEFT(C340,12),"-",RIGHT(C340,2),"_",COUNTIF($C$2:C340,C340))</f>
        <v>308500170001-07_1</v>
      </c>
      <c r="C340" s="10" t="s">
        <v>2908</v>
      </c>
      <c r="D340" s="10" t="s">
        <v>6087</v>
      </c>
      <c r="E340" s="10" t="s">
        <v>1555</v>
      </c>
      <c r="F340" s="10" t="s">
        <v>511</v>
      </c>
      <c r="G340" s="10" t="s">
        <v>2909</v>
      </c>
      <c r="H340" s="11" t="s">
        <v>2910</v>
      </c>
      <c r="I340" s="11" t="s">
        <v>2911</v>
      </c>
      <c r="J340" s="10" t="s">
        <v>1559</v>
      </c>
      <c r="K340" s="10" t="s">
        <v>1560</v>
      </c>
      <c r="L340" s="10" t="s">
        <v>1561</v>
      </c>
      <c r="M340" s="10" t="s">
        <v>511</v>
      </c>
      <c r="N340" s="10">
        <v>32</v>
      </c>
      <c r="O340" s="11">
        <v>103</v>
      </c>
      <c r="P340" s="11">
        <v>0.10299999999999999</v>
      </c>
      <c r="Q340" s="10" t="s">
        <v>1562</v>
      </c>
      <c r="R340" s="10">
        <v>80</v>
      </c>
      <c r="S340" s="12">
        <v>9</v>
      </c>
      <c r="T340" s="13">
        <v>39112</v>
      </c>
      <c r="U340" s="14">
        <v>4028.5359999999996</v>
      </c>
      <c r="V340" s="10">
        <v>5.46</v>
      </c>
      <c r="W340" s="15">
        <v>213551.52</v>
      </c>
      <c r="X340" s="29">
        <f>VLOOKUP($F340,Agendamento!$B:$J,9,0)</f>
        <v>46069</v>
      </c>
      <c r="Y340" s="6">
        <f>COUNTIF(Analise!F:F,'Obras e Acervos'!H340)</f>
        <v>1</v>
      </c>
    </row>
    <row r="341" spans="1:25" ht="15" customHeight="1" x14ac:dyDescent="0.25">
      <c r="A341" s="10" t="str">
        <f>CONCATENATE(LEFT(C341,12),"-",RIGHT(C341,2),"_",TEXT(X341,"ddmmaaaa"),"_",COUNTIF($C$2:C341,C341))</f>
        <v>421506520001-52_30012026_1</v>
      </c>
      <c r="B341" s="10" t="str">
        <f>CONCATENATE(LEFT(C341,12),"-",RIGHT(C341,2),"_",COUNTIF($C$2:C341,C341))</f>
        <v>421506520001-52_1</v>
      </c>
      <c r="C341" s="10" t="s">
        <v>2912</v>
      </c>
      <c r="D341" s="10" t="s">
        <v>6088</v>
      </c>
      <c r="E341" s="10" t="s">
        <v>1555</v>
      </c>
      <c r="F341" s="10" t="s">
        <v>119</v>
      </c>
      <c r="G341" s="10" t="s">
        <v>2913</v>
      </c>
      <c r="H341" s="11" t="s">
        <v>2914</v>
      </c>
      <c r="I341" s="11" t="s">
        <v>2915</v>
      </c>
      <c r="J341" s="10" t="s">
        <v>1559</v>
      </c>
      <c r="K341" s="10" t="s">
        <v>1560</v>
      </c>
      <c r="L341" s="10" t="s">
        <v>1561</v>
      </c>
      <c r="M341" s="10" t="s">
        <v>119</v>
      </c>
      <c r="N341" s="10">
        <v>40</v>
      </c>
      <c r="O341" s="11">
        <v>113</v>
      </c>
      <c r="P341" s="11">
        <v>0.113</v>
      </c>
      <c r="Q341" s="10" t="s">
        <v>1562</v>
      </c>
      <c r="R341" s="10">
        <v>75</v>
      </c>
      <c r="S341" s="12">
        <v>9</v>
      </c>
      <c r="T341" s="13">
        <v>33052</v>
      </c>
      <c r="U341" s="14">
        <v>3734.8760000000002</v>
      </c>
      <c r="V341" s="10">
        <v>6.73</v>
      </c>
      <c r="W341" s="15">
        <v>222439.96000000002</v>
      </c>
      <c r="X341" s="29">
        <f>VLOOKUP($F341,Agendamento!$B:$J,9,0)</f>
        <v>46052</v>
      </c>
      <c r="Y341" s="6">
        <f>COUNTIF(Analise!F:F,'Obras e Acervos'!H341)</f>
        <v>1</v>
      </c>
    </row>
    <row r="342" spans="1:25" ht="15" customHeight="1" x14ac:dyDescent="0.25">
      <c r="A342" s="10" t="str">
        <f>CONCATENATE(LEFT(C342,12),"-",RIGHT(C342,2),"_",TEXT(X342,"ddmmaaaa"),"_",COUNTIF($C$2:C342,C342))</f>
        <v>115043840001-04_05032026_1</v>
      </c>
      <c r="B342" s="10" t="str">
        <f>CONCATENATE(LEFT(C342,12),"-",RIGHT(C342,2),"_",COUNTIF($C$2:C342,C342))</f>
        <v>115043840001-04_1</v>
      </c>
      <c r="C342" s="10" t="s">
        <v>2916</v>
      </c>
      <c r="D342" s="10" t="s">
        <v>1245</v>
      </c>
      <c r="E342" s="10" t="s">
        <v>1555</v>
      </c>
      <c r="F342" s="10" t="s">
        <v>1246</v>
      </c>
      <c r="G342" s="10" t="s">
        <v>2917</v>
      </c>
      <c r="H342" s="11" t="s">
        <v>2918</v>
      </c>
      <c r="I342" s="11" t="s">
        <v>2919</v>
      </c>
      <c r="J342" s="10" t="s">
        <v>1559</v>
      </c>
      <c r="K342" s="10" t="s">
        <v>1560</v>
      </c>
      <c r="L342" s="10" t="s">
        <v>1561</v>
      </c>
      <c r="M342" s="10" t="s">
        <v>1246</v>
      </c>
      <c r="N342" s="10">
        <v>36</v>
      </c>
      <c r="O342" s="11">
        <v>120</v>
      </c>
      <c r="P342" s="11">
        <v>0.12</v>
      </c>
      <c r="Q342" s="10" t="s">
        <v>1562</v>
      </c>
      <c r="R342" s="10">
        <v>80</v>
      </c>
      <c r="S342" s="12">
        <v>9</v>
      </c>
      <c r="T342" s="13">
        <v>33628</v>
      </c>
      <c r="U342" s="14">
        <v>4035.3599999999997</v>
      </c>
      <c r="V342" s="10">
        <v>6.45</v>
      </c>
      <c r="W342" s="15">
        <v>216900.6</v>
      </c>
      <c r="X342" s="29">
        <f>VLOOKUP($F342,Agendamento!$B:$J,9,0)</f>
        <v>46086</v>
      </c>
      <c r="Y342" s="6">
        <f>COUNTIF(Analise!F:F,'Obras e Acervos'!H342)</f>
        <v>1</v>
      </c>
    </row>
    <row r="343" spans="1:25" ht="15" customHeight="1" x14ac:dyDescent="0.25">
      <c r="A343" s="10" t="str">
        <f>CONCATENATE(LEFT(C343,12),"-",RIGHT(C343,2),"_",TEXT(X343,"ddmmaaaa"),"_",COUNTIF($C$2:C343,C343))</f>
        <v>084631700001-14_02032026_1</v>
      </c>
      <c r="B343" s="10" t="str">
        <f>CONCATENATE(LEFT(C343,12),"-",RIGHT(C343,2),"_",COUNTIF($C$2:C343,C343))</f>
        <v>084631700001-14_1</v>
      </c>
      <c r="C343" s="10" t="s">
        <v>2920</v>
      </c>
      <c r="D343" s="10" t="s">
        <v>6089</v>
      </c>
      <c r="E343" s="10" t="s">
        <v>1555</v>
      </c>
      <c r="F343" s="10" t="s">
        <v>1036</v>
      </c>
      <c r="G343" s="10" t="s">
        <v>2921</v>
      </c>
      <c r="H343" s="11" t="s">
        <v>2922</v>
      </c>
      <c r="I343" s="11" t="s">
        <v>2923</v>
      </c>
      <c r="J343" s="10" t="s">
        <v>1559</v>
      </c>
      <c r="K343" s="10" t="s">
        <v>1560</v>
      </c>
      <c r="L343" s="10" t="s">
        <v>1561</v>
      </c>
      <c r="M343" s="10" t="s">
        <v>6207</v>
      </c>
      <c r="N343" s="10">
        <v>56</v>
      </c>
      <c r="O343" s="11">
        <v>150</v>
      </c>
      <c r="P343" s="11">
        <v>0.15</v>
      </c>
      <c r="Q343" s="10" t="s">
        <v>1599</v>
      </c>
      <c r="R343" s="10">
        <v>80</v>
      </c>
      <c r="S343" s="12">
        <v>9</v>
      </c>
      <c r="T343" s="13">
        <v>35582</v>
      </c>
      <c r="U343" s="14">
        <v>5337.3</v>
      </c>
      <c r="V343" s="10">
        <v>8.5399999999999991</v>
      </c>
      <c r="W343" s="15">
        <v>303870.27999999997</v>
      </c>
      <c r="X343" s="29">
        <f>VLOOKUP($F343,Agendamento!$B:$J,9,0)</f>
        <v>46083</v>
      </c>
      <c r="Y343" s="6">
        <f>COUNTIF(Analise!F:F,'Obras e Acervos'!H343)</f>
        <v>1</v>
      </c>
    </row>
    <row r="344" spans="1:25" ht="15" customHeight="1" x14ac:dyDescent="0.25">
      <c r="A344" s="10" t="str">
        <f>CONCATENATE(LEFT(C344,12),"-",RIGHT(C344,2),"_",TEXT(X344,"ddmmaaaa"),"_",COUNTIF($C$2:C344,C344))</f>
        <v>438870180001-60_03032026_1</v>
      </c>
      <c r="B344" s="10" t="str">
        <f>CONCATENATE(LEFT(C344,12),"-",RIGHT(C344,2),"_",COUNTIF($C$2:C344,C344))</f>
        <v>438870180001-60_1</v>
      </c>
      <c r="C344" s="10" t="s">
        <v>2924</v>
      </c>
      <c r="D344" s="10" t="s">
        <v>6090</v>
      </c>
      <c r="E344" s="10" t="s">
        <v>1555</v>
      </c>
      <c r="F344" s="10" t="s">
        <v>1143</v>
      </c>
      <c r="G344" s="10" t="s">
        <v>2925</v>
      </c>
      <c r="H344" s="11" t="s">
        <v>2926</v>
      </c>
      <c r="I344" s="11" t="s">
        <v>2927</v>
      </c>
      <c r="J344" s="10" t="s">
        <v>1559</v>
      </c>
      <c r="K344" s="10" t="s">
        <v>1560</v>
      </c>
      <c r="L344" s="10" t="s">
        <v>1561</v>
      </c>
      <c r="M344" s="10" t="s">
        <v>6208</v>
      </c>
      <c r="N344" s="10">
        <v>40</v>
      </c>
      <c r="O344" s="11">
        <v>124</v>
      </c>
      <c r="P344" s="11">
        <v>0.124</v>
      </c>
      <c r="Q344" s="10" t="s">
        <v>1562</v>
      </c>
      <c r="R344" s="10">
        <v>80</v>
      </c>
      <c r="S344" s="12">
        <v>9</v>
      </c>
      <c r="T344" s="13">
        <v>40036</v>
      </c>
      <c r="U344" s="14">
        <v>4964.4639999999999</v>
      </c>
      <c r="V344" s="10">
        <v>6.27</v>
      </c>
      <c r="W344" s="15">
        <v>251025.71999999997</v>
      </c>
      <c r="X344" s="29">
        <f>VLOOKUP($F344,Agendamento!$B:$J,9,0)</f>
        <v>46084</v>
      </c>
      <c r="Y344" s="6">
        <f>COUNTIF(Analise!F:F,'Obras e Acervos'!H344)</f>
        <v>1</v>
      </c>
    </row>
    <row r="345" spans="1:25" ht="15" customHeight="1" x14ac:dyDescent="0.25">
      <c r="A345" s="10" t="str">
        <f>CONCATENATE(LEFT(C345,12),"-",RIGHT(C345,2),"_",TEXT(X345,"ddmmaaaa"),"_",COUNTIF($C$2:C345,C345))</f>
        <v>070529780001-46_06022026_1</v>
      </c>
      <c r="B345" s="10" t="str">
        <f>CONCATENATE(LEFT(C345,12),"-",RIGHT(C345,2),"_",COUNTIF($C$2:C345,C345))</f>
        <v>070529780001-46_1</v>
      </c>
      <c r="C345" s="10" t="s">
        <v>2928</v>
      </c>
      <c r="D345" s="10" t="s">
        <v>6091</v>
      </c>
      <c r="E345" s="10" t="s">
        <v>1555</v>
      </c>
      <c r="F345" s="10" t="s">
        <v>181</v>
      </c>
      <c r="G345" s="10" t="s">
        <v>2929</v>
      </c>
      <c r="H345" s="11" t="s">
        <v>2930</v>
      </c>
      <c r="I345" s="11" t="s">
        <v>2931</v>
      </c>
      <c r="J345" s="10" t="s">
        <v>1559</v>
      </c>
      <c r="K345" s="10" t="s">
        <v>1560</v>
      </c>
      <c r="L345" s="10" t="s">
        <v>1561</v>
      </c>
      <c r="M345" s="10" t="s">
        <v>181</v>
      </c>
      <c r="N345" s="10">
        <v>32</v>
      </c>
      <c r="O345" s="11">
        <v>105</v>
      </c>
      <c r="P345" s="11">
        <v>0.105</v>
      </c>
      <c r="Q345" s="10" t="s">
        <v>1562</v>
      </c>
      <c r="R345" s="10">
        <v>80</v>
      </c>
      <c r="S345" s="12">
        <v>9</v>
      </c>
      <c r="T345" s="13">
        <v>34249</v>
      </c>
      <c r="U345" s="14">
        <v>3596.145</v>
      </c>
      <c r="V345" s="10">
        <v>5.91</v>
      </c>
      <c r="W345" s="15">
        <v>202411.59</v>
      </c>
      <c r="X345" s="29">
        <f>VLOOKUP($F345,Agendamento!$B:$J,9,0)</f>
        <v>46059</v>
      </c>
      <c r="Y345" s="6">
        <f>COUNTIF(Analise!F:F,'Obras e Acervos'!H345)</f>
        <v>1</v>
      </c>
    </row>
    <row r="346" spans="1:25" ht="15" customHeight="1" x14ac:dyDescent="0.25">
      <c r="A346" s="10" t="str">
        <f>CONCATENATE(LEFT(C346,12),"-",RIGHT(C346,2),"_",TEXT(X346,"ddmmaaaa"),"_",COUNTIF($C$2:C346,C346))</f>
        <v>026325580001-15_20022026_1</v>
      </c>
      <c r="B346" s="10" t="str">
        <f>CONCATENATE(LEFT(C346,12),"-",RIGHT(C346,2),"_",COUNTIF($C$2:C346,C346))</f>
        <v>026325580001-15_1</v>
      </c>
      <c r="C346" s="10" t="s">
        <v>2932</v>
      </c>
      <c r="D346" s="10" t="s">
        <v>6092</v>
      </c>
      <c r="E346" s="10" t="s">
        <v>1555</v>
      </c>
      <c r="F346" s="10" t="s">
        <v>674</v>
      </c>
      <c r="G346" s="10" t="s">
        <v>2933</v>
      </c>
      <c r="H346" s="11" t="s">
        <v>2934</v>
      </c>
      <c r="I346" s="11" t="s">
        <v>2935</v>
      </c>
      <c r="J346" s="10" t="s">
        <v>1559</v>
      </c>
      <c r="K346" s="10" t="s">
        <v>1560</v>
      </c>
      <c r="L346" s="10" t="s">
        <v>1561</v>
      </c>
      <c r="M346" s="10" t="s">
        <v>674</v>
      </c>
      <c r="N346" s="10">
        <v>32</v>
      </c>
      <c r="O346" s="11">
        <v>136</v>
      </c>
      <c r="P346" s="11">
        <v>0.13600000000000001</v>
      </c>
      <c r="Q346" s="10" t="s">
        <v>1562</v>
      </c>
      <c r="R346" s="10">
        <v>84</v>
      </c>
      <c r="S346" s="12">
        <v>9</v>
      </c>
      <c r="T346" s="13">
        <v>33264</v>
      </c>
      <c r="U346" s="14">
        <v>4523.9040000000005</v>
      </c>
      <c r="V346" s="10">
        <v>6</v>
      </c>
      <c r="W346" s="15">
        <v>199584</v>
      </c>
      <c r="X346" s="29">
        <f>VLOOKUP($F346,Agendamento!$B:$J,9,0)</f>
        <v>46073</v>
      </c>
      <c r="Y346" s="6">
        <f>COUNTIF(Analise!F:F,'Obras e Acervos'!H346)</f>
        <v>1</v>
      </c>
    </row>
    <row r="347" spans="1:25" ht="15" customHeight="1" x14ac:dyDescent="0.25">
      <c r="A347" s="10" t="str">
        <f>CONCATENATE(LEFT(C347,12),"-",RIGHT(C347,2),"_",TEXT(X347,"ddmmaaaa"),"_",COUNTIF($C$2:C347,C347))</f>
        <v>093747510001-42_26032026_1</v>
      </c>
      <c r="B347" s="10" t="str">
        <f>CONCATENATE(LEFT(C347,12),"-",RIGHT(C347,2),"_",COUNTIF($C$2:C347,C347))</f>
        <v>093747510001-42_1</v>
      </c>
      <c r="C347" s="10" t="s">
        <v>2936</v>
      </c>
      <c r="D347" s="10" t="s">
        <v>6093</v>
      </c>
      <c r="E347" s="10" t="s">
        <v>1555</v>
      </c>
      <c r="F347" s="10" t="s">
        <v>1512</v>
      </c>
      <c r="G347" s="10" t="s">
        <v>2937</v>
      </c>
      <c r="H347" s="11" t="s">
        <v>2938</v>
      </c>
      <c r="I347" s="11" t="s">
        <v>2939</v>
      </c>
      <c r="J347" s="10" t="s">
        <v>1559</v>
      </c>
      <c r="K347" s="10" t="s">
        <v>1560</v>
      </c>
      <c r="L347" s="10" t="s">
        <v>1561</v>
      </c>
      <c r="M347" s="10" t="s">
        <v>1512</v>
      </c>
      <c r="N347" s="10">
        <v>44</v>
      </c>
      <c r="O347" s="11">
        <v>100</v>
      </c>
      <c r="P347" s="11">
        <v>0.1</v>
      </c>
      <c r="Q347" s="10" t="s">
        <v>1562</v>
      </c>
      <c r="R347" s="10">
        <v>80</v>
      </c>
      <c r="S347" s="12">
        <v>9</v>
      </c>
      <c r="T347" s="13">
        <v>33507</v>
      </c>
      <c r="U347" s="14">
        <v>3350.7000000000003</v>
      </c>
      <c r="V347" s="10">
        <v>7.28</v>
      </c>
      <c r="W347" s="15">
        <v>243930.96000000002</v>
      </c>
      <c r="X347" s="29">
        <f>VLOOKUP($F347,Agendamento!$B:$J,9,0)</f>
        <v>46107</v>
      </c>
      <c r="Y347" s="6">
        <f>COUNTIF(Analise!F:F,'Obras e Acervos'!H347)</f>
        <v>1</v>
      </c>
    </row>
    <row r="348" spans="1:25" ht="15" customHeight="1" x14ac:dyDescent="0.25">
      <c r="A348" s="10" t="str">
        <f>CONCATENATE(LEFT(C348,12),"-",RIGHT(C348,2),"_",TEXT(X348,"ddmmaaaa"),"_",COUNTIF($C$2:C348,C348))</f>
        <v>720440500001-81_06022026_1</v>
      </c>
      <c r="B348" s="10" t="str">
        <f>CONCATENATE(LEFT(C348,12),"-",RIGHT(C348,2),"_",COUNTIF($C$2:C348,C348))</f>
        <v>720440500001-81_1</v>
      </c>
      <c r="C348" s="10" t="s">
        <v>2940</v>
      </c>
      <c r="D348" s="10" t="s">
        <v>205</v>
      </c>
      <c r="E348" s="10" t="s">
        <v>1555</v>
      </c>
      <c r="F348" s="10" t="s">
        <v>206</v>
      </c>
      <c r="G348" s="10" t="s">
        <v>2941</v>
      </c>
      <c r="H348" s="11" t="s">
        <v>2942</v>
      </c>
      <c r="I348" s="11" t="s">
        <v>2943</v>
      </c>
      <c r="J348" s="10" t="s">
        <v>1559</v>
      </c>
      <c r="K348" s="10" t="s">
        <v>1560</v>
      </c>
      <c r="L348" s="10" t="s">
        <v>1561</v>
      </c>
      <c r="M348" s="10" t="s">
        <v>206</v>
      </c>
      <c r="N348" s="10">
        <v>32</v>
      </c>
      <c r="O348" s="11">
        <v>105</v>
      </c>
      <c r="P348" s="11">
        <v>0.105</v>
      </c>
      <c r="Q348" s="10" t="s">
        <v>1562</v>
      </c>
      <c r="R348" s="10">
        <v>80</v>
      </c>
      <c r="S348" s="12">
        <v>9</v>
      </c>
      <c r="T348" s="13">
        <v>37900</v>
      </c>
      <c r="U348" s="14">
        <v>3979.5</v>
      </c>
      <c r="V348" s="10">
        <v>5.49</v>
      </c>
      <c r="W348" s="15">
        <v>208071</v>
      </c>
      <c r="X348" s="29">
        <f>VLOOKUP($F348,Agendamento!$B:$J,9,0)</f>
        <v>46059</v>
      </c>
      <c r="Y348" s="6">
        <f>COUNTIF(Analise!F:F,'Obras e Acervos'!H348)</f>
        <v>1</v>
      </c>
    </row>
    <row r="349" spans="1:25" ht="15" customHeight="1" x14ac:dyDescent="0.25">
      <c r="A349" s="10" t="str">
        <f>CONCATENATE(LEFT(C349,12),"-",RIGHT(C349,2),"_",TEXT(X349,"ddmmaaaa"),"_",COUNTIF($C$2:C349,C349))</f>
        <v>442989380001-05_26022026_1</v>
      </c>
      <c r="B349" s="10" t="str">
        <f>CONCATENATE(LEFT(C349,12),"-",RIGHT(C349,2),"_",COUNTIF($C$2:C349,C349))</f>
        <v>442989380001-05_1</v>
      </c>
      <c r="C349" s="10" t="s">
        <v>2944</v>
      </c>
      <c r="D349" s="10" t="s">
        <v>941</v>
      </c>
      <c r="E349" s="10" t="s">
        <v>1555</v>
      </c>
      <c r="F349" s="10" t="s">
        <v>942</v>
      </c>
      <c r="G349" s="10" t="s">
        <v>2945</v>
      </c>
      <c r="H349" s="11" t="s">
        <v>2946</v>
      </c>
      <c r="I349" s="11" t="s">
        <v>2947</v>
      </c>
      <c r="J349" s="10" t="s">
        <v>1559</v>
      </c>
      <c r="K349" s="10" t="s">
        <v>1560</v>
      </c>
      <c r="L349" s="10" t="s">
        <v>1561</v>
      </c>
      <c r="M349" s="10" t="s">
        <v>942</v>
      </c>
      <c r="N349" s="10">
        <v>32</v>
      </c>
      <c r="O349" s="11">
        <v>93</v>
      </c>
      <c r="P349" s="11">
        <v>9.2999999999999999E-2</v>
      </c>
      <c r="Q349" s="10" t="s">
        <v>1562</v>
      </c>
      <c r="R349" s="10">
        <v>80</v>
      </c>
      <c r="S349" s="12">
        <v>9</v>
      </c>
      <c r="T349" s="13">
        <v>44778</v>
      </c>
      <c r="U349" s="14">
        <v>4164.3540000000003</v>
      </c>
      <c r="V349" s="10">
        <v>5.07</v>
      </c>
      <c r="W349" s="15">
        <v>227024.46000000002</v>
      </c>
      <c r="X349" s="29">
        <f>VLOOKUP($F349,Agendamento!$B:$J,9,0)</f>
        <v>46079</v>
      </c>
      <c r="Y349" s="6">
        <f>COUNTIF(Analise!F:F,'Obras e Acervos'!H349)</f>
        <v>1</v>
      </c>
    </row>
    <row r="350" spans="1:25" ht="15" customHeight="1" x14ac:dyDescent="0.25">
      <c r="A350" s="10" t="str">
        <f>CONCATENATE(LEFT(C350,12),"-",RIGHT(C350,2),"_",TEXT(X350,"ddmmaaaa"),"_",COUNTIF($C$2:C350,C350))</f>
        <v>115740340001-06_11022026_1</v>
      </c>
      <c r="B350" s="10" t="str">
        <f>CONCATENATE(LEFT(C350,12),"-",RIGHT(C350,2),"_",COUNTIF($C$2:C350,C350))</f>
        <v>115740340001-06_1</v>
      </c>
      <c r="C350" s="10" t="s">
        <v>2948</v>
      </c>
      <c r="D350" s="10" t="s">
        <v>6094</v>
      </c>
      <c r="E350" s="10" t="s">
        <v>1555</v>
      </c>
      <c r="F350" s="10" t="s">
        <v>332</v>
      </c>
      <c r="G350" s="10" t="s">
        <v>2949</v>
      </c>
      <c r="H350" s="11" t="s">
        <v>2950</v>
      </c>
      <c r="I350" s="11" t="s">
        <v>2951</v>
      </c>
      <c r="J350" s="10" t="s">
        <v>1559</v>
      </c>
      <c r="K350" s="10" t="s">
        <v>1560</v>
      </c>
      <c r="L350" s="10" t="s">
        <v>1561</v>
      </c>
      <c r="M350" s="10" t="s">
        <v>332</v>
      </c>
      <c r="N350" s="10">
        <v>24</v>
      </c>
      <c r="O350" s="11">
        <v>85</v>
      </c>
      <c r="P350" s="11">
        <v>8.5000000000000006E-2</v>
      </c>
      <c r="Q350" s="10" t="s">
        <v>1599</v>
      </c>
      <c r="R350" s="10">
        <v>80</v>
      </c>
      <c r="S350" s="12">
        <v>9</v>
      </c>
      <c r="T350" s="13">
        <v>33704</v>
      </c>
      <c r="U350" s="14">
        <v>2864.84</v>
      </c>
      <c r="V350" s="10">
        <v>5.13</v>
      </c>
      <c r="W350" s="15">
        <v>172901.52</v>
      </c>
      <c r="X350" s="29">
        <f>VLOOKUP($F350,Agendamento!$B:$J,9,0)</f>
        <v>46064</v>
      </c>
      <c r="Y350" s="6">
        <f>COUNTIF(Analise!F:F,'Obras e Acervos'!H350)</f>
        <v>1</v>
      </c>
    </row>
    <row r="351" spans="1:25" ht="15" customHeight="1" x14ac:dyDescent="0.25">
      <c r="A351" s="10" t="str">
        <f>CONCATENATE(LEFT(C351,12),"-",RIGHT(C351,2),"_",TEXT(X351,"ddmmaaaa"),"_",COUNTIF($C$2:C351,C351))</f>
        <v>801907960001-21_12022026_1</v>
      </c>
      <c r="B351" s="10" t="str">
        <f>CONCATENATE(LEFT(C351,12),"-",RIGHT(C351,2),"_",COUNTIF($C$2:C351,C351))</f>
        <v>801907960001-21_1</v>
      </c>
      <c r="C351" s="10" t="s">
        <v>2952</v>
      </c>
      <c r="D351" s="10" t="s">
        <v>343</v>
      </c>
      <c r="E351" s="10" t="s">
        <v>1555</v>
      </c>
      <c r="F351" s="10" t="s">
        <v>345</v>
      </c>
      <c r="G351" s="10" t="s">
        <v>2953</v>
      </c>
      <c r="H351" s="11" t="s">
        <v>2954</v>
      </c>
      <c r="I351" s="11" t="s">
        <v>2955</v>
      </c>
      <c r="J351" s="10" t="s">
        <v>1559</v>
      </c>
      <c r="K351" s="10" t="s">
        <v>1560</v>
      </c>
      <c r="L351" s="10" t="s">
        <v>1561</v>
      </c>
      <c r="M351" s="10" t="s">
        <v>345</v>
      </c>
      <c r="N351" s="10">
        <v>48</v>
      </c>
      <c r="O351" s="11">
        <v>138</v>
      </c>
      <c r="P351" s="11">
        <v>0.13800000000000001</v>
      </c>
      <c r="Q351" s="10" t="s">
        <v>1599</v>
      </c>
      <c r="R351" s="10">
        <v>80</v>
      </c>
      <c r="S351" s="12">
        <v>9</v>
      </c>
      <c r="T351" s="13">
        <v>33567</v>
      </c>
      <c r="U351" s="14">
        <v>4632.2460000000001</v>
      </c>
      <c r="V351" s="10">
        <v>7.73</v>
      </c>
      <c r="W351" s="15">
        <v>259472.91</v>
      </c>
      <c r="X351" s="29">
        <f>VLOOKUP($F351,Agendamento!$B:$J,9,0)</f>
        <v>46065</v>
      </c>
      <c r="Y351" s="6">
        <f>COUNTIF(Analise!F:F,'Obras e Acervos'!H351)</f>
        <v>1</v>
      </c>
    </row>
    <row r="352" spans="1:25" ht="15" customHeight="1" x14ac:dyDescent="0.25">
      <c r="A352" s="10" t="str">
        <f>CONCATENATE(LEFT(C352,12),"-",RIGHT(C352,2),"_",TEXT(X352,"ddmmaaaa"),"_",COUNTIF($C$2:C352,C352))</f>
        <v>408431650001-40_23022026_1</v>
      </c>
      <c r="B352" s="10" t="str">
        <f>CONCATENATE(LEFT(C352,12),"-",RIGHT(C352,2),"_",COUNTIF($C$2:C352,C352))</f>
        <v>408431650001-40_1</v>
      </c>
      <c r="C352" s="10" t="s">
        <v>2956</v>
      </c>
      <c r="D352" s="10" t="s">
        <v>742</v>
      </c>
      <c r="E352" s="10" t="s">
        <v>1555</v>
      </c>
      <c r="F352" s="10" t="s">
        <v>745</v>
      </c>
      <c r="G352" s="10" t="s">
        <v>2957</v>
      </c>
      <c r="H352" s="11" t="s">
        <v>2958</v>
      </c>
      <c r="I352" s="11" t="s">
        <v>2959</v>
      </c>
      <c r="J352" s="10" t="s">
        <v>1559</v>
      </c>
      <c r="K352" s="10" t="s">
        <v>1560</v>
      </c>
      <c r="L352" s="10" t="s">
        <v>1561</v>
      </c>
      <c r="M352" s="10" t="s">
        <v>745</v>
      </c>
      <c r="N352" s="10">
        <v>48</v>
      </c>
      <c r="O352" s="11">
        <v>230</v>
      </c>
      <c r="P352" s="11">
        <v>0.23</v>
      </c>
      <c r="Q352" s="10" t="s">
        <v>1562</v>
      </c>
      <c r="R352" s="10">
        <v>80</v>
      </c>
      <c r="S352" s="12">
        <v>9</v>
      </c>
      <c r="T352" s="13">
        <v>45248</v>
      </c>
      <c r="U352" s="14">
        <v>10407.040000000001</v>
      </c>
      <c r="V352" s="10">
        <v>6.62</v>
      </c>
      <c r="W352" s="15">
        <v>299541.76000000001</v>
      </c>
      <c r="X352" s="29">
        <f>VLOOKUP($F352,Agendamento!$B:$J,9,0)</f>
        <v>46076</v>
      </c>
      <c r="Y352" s="6">
        <f>COUNTIF(Analise!F:F,'Obras e Acervos'!H352)</f>
        <v>1</v>
      </c>
    </row>
    <row r="353" spans="1:25" ht="15" customHeight="1" x14ac:dyDescent="0.25">
      <c r="A353" s="10" t="str">
        <f>CONCATENATE(LEFT(C353,12),"-",RIGHT(C353,2),"_",TEXT(X353,"ddmmaaaa"),"_",COUNTIF($C$2:C353,C353))</f>
        <v>400869740001-54_23022026_1</v>
      </c>
      <c r="B353" s="10" t="str">
        <f>CONCATENATE(LEFT(C353,12),"-",RIGHT(C353,2),"_",COUNTIF($C$2:C353,C353))</f>
        <v>400869740001-54_1</v>
      </c>
      <c r="C353" s="10" t="s">
        <v>2960</v>
      </c>
      <c r="D353" s="10" t="s">
        <v>697</v>
      </c>
      <c r="E353" s="10" t="s">
        <v>1555</v>
      </c>
      <c r="F353" s="10" t="s">
        <v>698</v>
      </c>
      <c r="G353" s="10" t="s">
        <v>2961</v>
      </c>
      <c r="H353" s="11" t="s">
        <v>2962</v>
      </c>
      <c r="I353" s="11" t="s">
        <v>2963</v>
      </c>
      <c r="J353" s="10" t="s">
        <v>1559</v>
      </c>
      <c r="K353" s="10" t="s">
        <v>1560</v>
      </c>
      <c r="L353" s="10" t="s">
        <v>1561</v>
      </c>
      <c r="M353" s="10" t="s">
        <v>698</v>
      </c>
      <c r="N353" s="10">
        <v>32</v>
      </c>
      <c r="O353" s="11">
        <v>100</v>
      </c>
      <c r="P353" s="11">
        <v>0.1</v>
      </c>
      <c r="Q353" s="10" t="s">
        <v>1599</v>
      </c>
      <c r="R353" s="10">
        <v>80</v>
      </c>
      <c r="S353" s="12">
        <v>9</v>
      </c>
      <c r="T353" s="13">
        <v>33143</v>
      </c>
      <c r="U353" s="14">
        <v>3314.3</v>
      </c>
      <c r="V353" s="10">
        <v>5.96</v>
      </c>
      <c r="W353" s="15">
        <v>197532.28</v>
      </c>
      <c r="X353" s="29">
        <f>VLOOKUP($F353,Agendamento!$B:$J,9,0)</f>
        <v>46076</v>
      </c>
      <c r="Y353" s="6">
        <f>COUNTIF(Analise!F:F,'Obras e Acervos'!H353)</f>
        <v>1</v>
      </c>
    </row>
    <row r="354" spans="1:25" ht="15" customHeight="1" x14ac:dyDescent="0.25">
      <c r="A354" s="10" t="str">
        <f>CONCATENATE(LEFT(C354,12),"-",RIGHT(C354,2),"_",TEXT(X354,"ddmmaaaa"),"_",COUNTIF($C$2:C354,C354))</f>
        <v>150589190001-03_23022026_1</v>
      </c>
      <c r="B354" s="10" t="str">
        <f>CONCATENATE(LEFT(C354,12),"-",RIGHT(C354,2),"_",COUNTIF($C$2:C354,C354))</f>
        <v>150589190001-03_1</v>
      </c>
      <c r="C354" s="10" t="s">
        <v>2964</v>
      </c>
      <c r="D354" s="10" t="s">
        <v>705</v>
      </c>
      <c r="E354" s="10" t="s">
        <v>1555</v>
      </c>
      <c r="F354" s="10" t="s">
        <v>706</v>
      </c>
      <c r="G354" s="10" t="s">
        <v>2965</v>
      </c>
      <c r="H354" s="11" t="s">
        <v>2966</v>
      </c>
      <c r="I354" s="11" t="s">
        <v>2967</v>
      </c>
      <c r="J354" s="10" t="s">
        <v>1559</v>
      </c>
      <c r="K354" s="10" t="s">
        <v>1560</v>
      </c>
      <c r="L354" s="10" t="s">
        <v>1561</v>
      </c>
      <c r="M354" s="10" t="s">
        <v>706</v>
      </c>
      <c r="N354" s="10">
        <v>48</v>
      </c>
      <c r="O354" s="11">
        <v>143</v>
      </c>
      <c r="P354" s="11">
        <v>0.14299999999999999</v>
      </c>
      <c r="Q354" s="10" t="s">
        <v>1562</v>
      </c>
      <c r="R354" s="10">
        <v>80</v>
      </c>
      <c r="S354" s="12">
        <v>9</v>
      </c>
      <c r="T354" s="13">
        <v>33234</v>
      </c>
      <c r="U354" s="14">
        <v>4752.4619999999995</v>
      </c>
      <c r="V354" s="10">
        <v>7.73</v>
      </c>
      <c r="W354" s="15">
        <v>256898.82</v>
      </c>
      <c r="X354" s="29">
        <f>VLOOKUP($F354,Agendamento!$B:$J,9,0)</f>
        <v>46076</v>
      </c>
      <c r="Y354" s="6">
        <f>COUNTIF(Analise!F:F,'Obras e Acervos'!H354)</f>
        <v>1</v>
      </c>
    </row>
    <row r="355" spans="1:25" ht="15" customHeight="1" x14ac:dyDescent="0.25">
      <c r="A355" s="10" t="str">
        <f>CONCATENATE(LEFT(C355,12),"-",RIGHT(C355,2),"_",TEXT(X355,"ddmmaaaa"),"_",COUNTIF($C$2:C355,C355))</f>
        <v>039872280001-05_10022026_1</v>
      </c>
      <c r="B355" s="10" t="str">
        <f>CONCATENATE(LEFT(C355,12),"-",RIGHT(C355,2),"_",COUNTIF($C$2:C355,C355))</f>
        <v>039872280001-05_1</v>
      </c>
      <c r="C355" s="10" t="s">
        <v>2968</v>
      </c>
      <c r="D355" s="10" t="s">
        <v>277</v>
      </c>
      <c r="E355" s="10" t="s">
        <v>1555</v>
      </c>
      <c r="F355" s="10" t="s">
        <v>278</v>
      </c>
      <c r="G355" s="10" t="s">
        <v>2969</v>
      </c>
      <c r="H355" s="11" t="s">
        <v>2970</v>
      </c>
      <c r="I355" s="11" t="s">
        <v>2971</v>
      </c>
      <c r="J355" s="10" t="s">
        <v>1559</v>
      </c>
      <c r="K355" s="10" t="s">
        <v>1560</v>
      </c>
      <c r="L355" s="10" t="s">
        <v>1561</v>
      </c>
      <c r="M355" s="10" t="s">
        <v>278</v>
      </c>
      <c r="N355" s="10">
        <v>32</v>
      </c>
      <c r="O355" s="11">
        <v>75</v>
      </c>
      <c r="P355" s="11">
        <v>7.4999999999999997E-2</v>
      </c>
      <c r="Q355" s="10" t="s">
        <v>1562</v>
      </c>
      <c r="R355" s="10">
        <v>80</v>
      </c>
      <c r="S355" s="12">
        <v>9</v>
      </c>
      <c r="T355" s="13">
        <v>36052</v>
      </c>
      <c r="U355" s="14">
        <v>2703.9</v>
      </c>
      <c r="V355" s="10">
        <v>5.87</v>
      </c>
      <c r="W355" s="15">
        <v>211625.24</v>
      </c>
      <c r="X355" s="29">
        <f>VLOOKUP($F355,Agendamento!$B:$J,9,0)</f>
        <v>46063</v>
      </c>
      <c r="Y355" s="6">
        <f>COUNTIF(Analise!F:F,'Obras e Acervos'!H355)</f>
        <v>1</v>
      </c>
    </row>
    <row r="356" spans="1:25" ht="15" customHeight="1" x14ac:dyDescent="0.25">
      <c r="A356" s="10" t="str">
        <f>CONCATENATE(LEFT(C356,12),"-",RIGHT(C356,2),"_",TEXT(X356,"ddmmaaaa"),"_",COUNTIF($C$2:C356,C356))</f>
        <v>134985990001-87_10022026_1</v>
      </c>
      <c r="B356" s="10" t="str">
        <f>CONCATENATE(LEFT(C356,12),"-",RIGHT(C356,2),"_",COUNTIF($C$2:C356,C356))</f>
        <v>134985990001-87_1</v>
      </c>
      <c r="C356" s="10" t="s">
        <v>2972</v>
      </c>
      <c r="D356" s="10" t="s">
        <v>6095</v>
      </c>
      <c r="E356" s="10" t="s">
        <v>1555</v>
      </c>
      <c r="F356" s="10" t="s">
        <v>270</v>
      </c>
      <c r="G356" s="10" t="s">
        <v>2973</v>
      </c>
      <c r="H356" s="11" t="s">
        <v>2974</v>
      </c>
      <c r="I356" s="11" t="s">
        <v>2975</v>
      </c>
      <c r="J356" s="10" t="s">
        <v>1559</v>
      </c>
      <c r="K356" s="10" t="s">
        <v>1560</v>
      </c>
      <c r="L356" s="10" t="s">
        <v>1561</v>
      </c>
      <c r="M356" s="10" t="s">
        <v>270</v>
      </c>
      <c r="N356" s="10">
        <v>32</v>
      </c>
      <c r="O356" s="11">
        <v>94</v>
      </c>
      <c r="P356" s="11">
        <v>9.4E-2</v>
      </c>
      <c r="Q356" s="10" t="s">
        <v>1562</v>
      </c>
      <c r="R356" s="10">
        <v>75</v>
      </c>
      <c r="S356" s="12">
        <v>9</v>
      </c>
      <c r="T356" s="13">
        <v>55853</v>
      </c>
      <c r="U356" s="14">
        <v>5250.1819999999998</v>
      </c>
      <c r="V356" s="10">
        <v>5.8</v>
      </c>
      <c r="W356" s="15">
        <v>323947.39999999997</v>
      </c>
      <c r="X356" s="29">
        <f>VLOOKUP($F356,Agendamento!$B:$J,9,0)</f>
        <v>46063</v>
      </c>
      <c r="Y356" s="6">
        <f>COUNTIF(Analise!F:F,'Obras e Acervos'!H356)</f>
        <v>1</v>
      </c>
    </row>
    <row r="357" spans="1:25" ht="15" customHeight="1" x14ac:dyDescent="0.25">
      <c r="A357" s="10" t="str">
        <f>CONCATENATE(LEFT(C357,12),"-",RIGHT(C357,2),"_",TEXT(X357,"ddmmaaaa"),"_",COUNTIF($C$2:C357,C357))</f>
        <v>433986540001-28_02032026_1</v>
      </c>
      <c r="B357" s="10" t="str">
        <f>CONCATENATE(LEFT(C357,12),"-",RIGHT(C357,2),"_",COUNTIF($C$2:C357,C357))</f>
        <v>433986540001-28_1</v>
      </c>
      <c r="C357" s="10" t="s">
        <v>2976</v>
      </c>
      <c r="D357" s="10" t="s">
        <v>1059</v>
      </c>
      <c r="E357" s="10" t="s">
        <v>1555</v>
      </c>
      <c r="F357" s="10" t="s">
        <v>1060</v>
      </c>
      <c r="G357" s="10" t="s">
        <v>2977</v>
      </c>
      <c r="H357" s="11" t="s">
        <v>2978</v>
      </c>
      <c r="I357" s="11" t="s">
        <v>2979</v>
      </c>
      <c r="J357" s="10" t="s">
        <v>1559</v>
      </c>
      <c r="K357" s="10" t="s">
        <v>1560</v>
      </c>
      <c r="L357" s="10" t="s">
        <v>1561</v>
      </c>
      <c r="M357" s="10" t="s">
        <v>1060</v>
      </c>
      <c r="N357" s="10">
        <v>32</v>
      </c>
      <c r="O357" s="11">
        <v>115</v>
      </c>
      <c r="P357" s="11">
        <v>0.115</v>
      </c>
      <c r="Q357" s="10" t="s">
        <v>1562</v>
      </c>
      <c r="R357" s="10">
        <v>80</v>
      </c>
      <c r="S357" s="12">
        <v>9</v>
      </c>
      <c r="T357" s="13">
        <v>33370</v>
      </c>
      <c r="U357" s="14">
        <v>3837.55</v>
      </c>
      <c r="V357" s="10">
        <v>5.94</v>
      </c>
      <c r="W357" s="15">
        <v>198217.80000000002</v>
      </c>
      <c r="X357" s="29">
        <f>VLOOKUP($F357,Agendamento!$B:$J,9,0)</f>
        <v>46083</v>
      </c>
      <c r="Y357" s="6">
        <f>COUNTIF(Analise!F:F,'Obras e Acervos'!H357)</f>
        <v>1</v>
      </c>
    </row>
    <row r="358" spans="1:25" ht="15" customHeight="1" x14ac:dyDescent="0.25">
      <c r="A358" s="10" t="str">
        <f>CONCATENATE(LEFT(C358,12),"-",RIGHT(C358,2),"_",TEXT(X358,"ddmmaaaa"),"_",COUNTIF($C$2:C358,C358))</f>
        <v>240817340001-00_12022026_1</v>
      </c>
      <c r="B358" s="10" t="str">
        <f>CONCATENATE(LEFT(C358,12),"-",RIGHT(C358,2),"_",COUNTIF($C$2:C358,C358))</f>
        <v>240817340001-00_1</v>
      </c>
      <c r="C358" s="10" t="s">
        <v>2980</v>
      </c>
      <c r="D358" s="10" t="s">
        <v>353</v>
      </c>
      <c r="E358" s="10" t="s">
        <v>1555</v>
      </c>
      <c r="F358" s="10" t="s">
        <v>354</v>
      </c>
      <c r="G358" s="10" t="s">
        <v>2981</v>
      </c>
      <c r="H358" s="11" t="s">
        <v>2982</v>
      </c>
      <c r="I358" s="11" t="s">
        <v>2983</v>
      </c>
      <c r="J358" s="10" t="s">
        <v>1559</v>
      </c>
      <c r="K358" s="10" t="s">
        <v>1560</v>
      </c>
      <c r="L358" s="10" t="s">
        <v>1561</v>
      </c>
      <c r="M358" s="10" t="s">
        <v>354</v>
      </c>
      <c r="N358" s="10">
        <v>56</v>
      </c>
      <c r="O358" s="11">
        <v>156</v>
      </c>
      <c r="P358" s="11">
        <v>0.156</v>
      </c>
      <c r="Q358" s="10" t="s">
        <v>1562</v>
      </c>
      <c r="R358" s="10">
        <v>80</v>
      </c>
      <c r="S358" s="12">
        <v>9</v>
      </c>
      <c r="T358" s="13">
        <v>36461</v>
      </c>
      <c r="U358" s="14">
        <v>5687.9160000000002</v>
      </c>
      <c r="V358" s="10">
        <v>8.5299999999999994</v>
      </c>
      <c r="W358" s="15">
        <v>311012.32999999996</v>
      </c>
      <c r="X358" s="29">
        <f>VLOOKUP($F358,Agendamento!$B:$J,9,0)</f>
        <v>46065</v>
      </c>
      <c r="Y358" s="6">
        <f>COUNTIF(Analise!F:F,'Obras e Acervos'!H358)</f>
        <v>1</v>
      </c>
    </row>
    <row r="359" spans="1:25" ht="15" customHeight="1" x14ac:dyDescent="0.25">
      <c r="A359" s="10" t="str">
        <f>CONCATENATE(LEFT(C359,12),"-",RIGHT(C359,2),"_",TEXT(X359,"ddmmaaaa"),"_",COUNTIF($C$2:C359,C359))</f>
        <v>263107240001-25_18022026_1</v>
      </c>
      <c r="B359" s="10" t="str">
        <f>CONCATENATE(LEFT(C359,12),"-",RIGHT(C359,2),"_",COUNTIF($C$2:C359,C359))</f>
        <v>263107240001-25_1</v>
      </c>
      <c r="C359" s="10" t="s">
        <v>2984</v>
      </c>
      <c r="D359" s="10" t="s">
        <v>577</v>
      </c>
      <c r="E359" s="10" t="s">
        <v>1555</v>
      </c>
      <c r="F359" s="10" t="s">
        <v>578</v>
      </c>
      <c r="G359" s="10" t="s">
        <v>2985</v>
      </c>
      <c r="H359" s="11" t="s">
        <v>2986</v>
      </c>
      <c r="I359" s="11" t="s">
        <v>2987</v>
      </c>
      <c r="J359" s="10" t="s">
        <v>1559</v>
      </c>
      <c r="K359" s="10" t="s">
        <v>1560</v>
      </c>
      <c r="L359" s="10" t="s">
        <v>1561</v>
      </c>
      <c r="M359" s="10" t="s">
        <v>578</v>
      </c>
      <c r="N359" s="10">
        <v>32</v>
      </c>
      <c r="O359" s="11">
        <v>100</v>
      </c>
      <c r="P359" s="11">
        <v>0.1</v>
      </c>
      <c r="Q359" s="10" t="s">
        <v>1599</v>
      </c>
      <c r="R359" s="10">
        <v>80</v>
      </c>
      <c r="S359" s="12">
        <v>9</v>
      </c>
      <c r="T359" s="13">
        <v>33446</v>
      </c>
      <c r="U359" s="14">
        <v>3344.6000000000004</v>
      </c>
      <c r="V359" s="10">
        <v>5.94</v>
      </c>
      <c r="W359" s="15">
        <v>198669.24000000002</v>
      </c>
      <c r="X359" s="29">
        <f>VLOOKUP($F359,Agendamento!$B:$J,9,0)</f>
        <v>46071</v>
      </c>
      <c r="Y359" s="6">
        <f>COUNTIF(Analise!F:F,'Obras e Acervos'!H359)</f>
        <v>1</v>
      </c>
    </row>
    <row r="360" spans="1:25" ht="15" customHeight="1" x14ac:dyDescent="0.25">
      <c r="A360" s="10" t="str">
        <f>CONCATENATE(LEFT(C360,12),"-",RIGHT(C360,2),"_",TEXT(X360,"ddmmaaaa"),"_",COUNTIF($C$2:C360,C360))</f>
        <v>053600510001-48_16022026_1</v>
      </c>
      <c r="B360" s="10" t="str">
        <f>CONCATENATE(LEFT(C360,12),"-",RIGHT(C360,2),"_",COUNTIF($C$2:C360,C360))</f>
        <v>053600510001-48_1</v>
      </c>
      <c r="C360" s="10" t="s">
        <v>2988</v>
      </c>
      <c r="D360" s="10" t="s">
        <v>6096</v>
      </c>
      <c r="E360" s="10" t="s">
        <v>1555</v>
      </c>
      <c r="F360" s="10" t="s">
        <v>503</v>
      </c>
      <c r="G360" s="10" t="s">
        <v>2989</v>
      </c>
      <c r="H360" s="11" t="s">
        <v>2990</v>
      </c>
      <c r="I360" s="11" t="s">
        <v>2991</v>
      </c>
      <c r="J360" s="10" t="s">
        <v>1559</v>
      </c>
      <c r="K360" s="10" t="s">
        <v>1560</v>
      </c>
      <c r="L360" s="10" t="s">
        <v>1561</v>
      </c>
      <c r="M360" s="10" t="s">
        <v>503</v>
      </c>
      <c r="N360" s="10">
        <v>32</v>
      </c>
      <c r="O360" s="11">
        <v>200</v>
      </c>
      <c r="P360" s="11">
        <v>0.2</v>
      </c>
      <c r="Q360" s="10" t="s">
        <v>1562</v>
      </c>
      <c r="R360" s="10">
        <v>80</v>
      </c>
      <c r="S360" s="12">
        <v>9</v>
      </c>
      <c r="T360" s="13">
        <v>93395</v>
      </c>
      <c r="U360" s="14">
        <v>18679</v>
      </c>
      <c r="V360" s="10">
        <v>3.89</v>
      </c>
      <c r="W360" s="15">
        <v>363306.55</v>
      </c>
      <c r="X360" s="29">
        <f>VLOOKUP($F360,Agendamento!$B:$J,9,0)</f>
        <v>46069</v>
      </c>
      <c r="Y360" s="6">
        <f>COUNTIF(Analise!F:F,'Obras e Acervos'!H360)</f>
        <v>1</v>
      </c>
    </row>
    <row r="361" spans="1:25" ht="15" customHeight="1" x14ac:dyDescent="0.25">
      <c r="A361" s="10" t="str">
        <f>CONCATENATE(LEFT(C361,12),"-",RIGHT(C361,2),"_",TEXT(X361,"ddmmaaaa"),"_",COUNTIF($C$2:C361,C361))</f>
        <v>107286130001-01_04032026_1</v>
      </c>
      <c r="B361" s="10" t="str">
        <f>CONCATENATE(LEFT(C361,12),"-",RIGHT(C361,2),"_",COUNTIF($C$2:C361,C361))</f>
        <v>107286130001-01_1</v>
      </c>
      <c r="C361" s="10" t="s">
        <v>2992</v>
      </c>
      <c r="D361" s="10" t="s">
        <v>463</v>
      </c>
      <c r="E361" s="10" t="s">
        <v>1555</v>
      </c>
      <c r="F361" s="10" t="s">
        <v>1177</v>
      </c>
      <c r="G361" s="10" t="s">
        <v>2993</v>
      </c>
      <c r="H361" s="11" t="s">
        <v>2994</v>
      </c>
      <c r="I361" s="11" t="s">
        <v>2995</v>
      </c>
      <c r="J361" s="10" t="s">
        <v>1559</v>
      </c>
      <c r="K361" s="10" t="s">
        <v>1560</v>
      </c>
      <c r="L361" s="10" t="s">
        <v>1561</v>
      </c>
      <c r="M361" s="10" t="s">
        <v>1177</v>
      </c>
      <c r="N361" s="10">
        <v>24</v>
      </c>
      <c r="O361" s="11">
        <v>83</v>
      </c>
      <c r="P361" s="11">
        <v>8.3000000000000004E-2</v>
      </c>
      <c r="Q361" s="10" t="s">
        <v>1562</v>
      </c>
      <c r="R361" s="10">
        <v>80</v>
      </c>
      <c r="S361" s="12">
        <v>9</v>
      </c>
      <c r="T361" s="13">
        <v>33507</v>
      </c>
      <c r="U361" s="14">
        <v>2781.0810000000001</v>
      </c>
      <c r="V361" s="10">
        <v>5.05</v>
      </c>
      <c r="W361" s="15">
        <v>169210.35</v>
      </c>
      <c r="X361" s="29">
        <f>VLOOKUP($F361,Agendamento!$B:$J,9,0)</f>
        <v>46085</v>
      </c>
      <c r="Y361" s="6">
        <f>COUNTIF(Analise!F:F,'Obras e Acervos'!H361)</f>
        <v>1</v>
      </c>
    </row>
    <row r="362" spans="1:25" ht="15" customHeight="1" x14ac:dyDescent="0.25">
      <c r="A362" s="10" t="str">
        <f>CONCATENATE(LEFT(C362,12),"-",RIGHT(C362,2),"_",TEXT(X362,"ddmmaaaa"),"_",COUNTIF($C$2:C362,C362))</f>
        <v>401507120001-01_28012026_1</v>
      </c>
      <c r="B362" s="10" t="str">
        <f>CONCATENATE(LEFT(C362,12),"-",RIGHT(C362,2),"_",COUNTIF($C$2:C362,C362))</f>
        <v>401507120001-01_1</v>
      </c>
      <c r="C362" s="10" t="s">
        <v>2996</v>
      </c>
      <c r="D362" s="10" t="s">
        <v>6097</v>
      </c>
      <c r="E362" s="10" t="s">
        <v>1555</v>
      </c>
      <c r="F362" s="10" t="s">
        <v>72</v>
      </c>
      <c r="G362" s="10" t="s">
        <v>2997</v>
      </c>
      <c r="H362" s="11" t="s">
        <v>2998</v>
      </c>
      <c r="I362" s="11" t="s">
        <v>2999</v>
      </c>
      <c r="J362" s="10" t="s">
        <v>1559</v>
      </c>
      <c r="K362" s="10" t="s">
        <v>1560</v>
      </c>
      <c r="L362" s="10" t="s">
        <v>1561</v>
      </c>
      <c r="M362" s="10" t="s">
        <v>72</v>
      </c>
      <c r="N362" s="10">
        <v>32</v>
      </c>
      <c r="O362" s="11">
        <v>96</v>
      </c>
      <c r="P362" s="11">
        <v>9.6000000000000002E-2</v>
      </c>
      <c r="Q362" s="10" t="s">
        <v>1562</v>
      </c>
      <c r="R362" s="10">
        <v>75</v>
      </c>
      <c r="S362" s="12">
        <v>7</v>
      </c>
      <c r="T362" s="13">
        <v>34964</v>
      </c>
      <c r="U362" s="14">
        <v>3356.5439999999999</v>
      </c>
      <c r="V362" s="10">
        <v>5.94</v>
      </c>
      <c r="W362" s="15">
        <v>197588.16</v>
      </c>
      <c r="X362" s="29">
        <f>VLOOKUP($F362,Agendamento!$B:$J,9,0)</f>
        <v>46050</v>
      </c>
      <c r="Y362" s="6">
        <f>COUNTIF(Analise!F:F,'Obras e Acervos'!H362)</f>
        <v>1</v>
      </c>
    </row>
    <row r="363" spans="1:25" ht="15" customHeight="1" x14ac:dyDescent="0.25">
      <c r="A363" s="10" t="str">
        <f>CONCATENATE(LEFT(C363,12),"-",RIGHT(C363,2),"_",TEXT(X363,"ddmmaaaa"),"_",COUNTIF($C$2:C363,C363))</f>
        <v>417695750001-50_05032026_1</v>
      </c>
      <c r="B363" s="10" t="str">
        <f>CONCATENATE(LEFT(C363,12),"-",RIGHT(C363,2),"_",COUNTIF($C$2:C363,C363))</f>
        <v>417695750001-50_1</v>
      </c>
      <c r="C363" s="10" t="s">
        <v>3000</v>
      </c>
      <c r="D363" s="10" t="s">
        <v>6098</v>
      </c>
      <c r="E363" s="10" t="s">
        <v>1555</v>
      </c>
      <c r="F363" s="10" t="s">
        <v>1242</v>
      </c>
      <c r="G363" s="10" t="s">
        <v>3001</v>
      </c>
      <c r="H363" s="11" t="s">
        <v>3002</v>
      </c>
      <c r="I363" s="11" t="s">
        <v>3003</v>
      </c>
      <c r="J363" s="10" t="s">
        <v>1559</v>
      </c>
      <c r="K363" s="10" t="s">
        <v>1560</v>
      </c>
      <c r="L363" s="10" t="s">
        <v>1561</v>
      </c>
      <c r="M363" s="10" t="s">
        <v>1242</v>
      </c>
      <c r="N363" s="10">
        <v>36</v>
      </c>
      <c r="O363" s="11">
        <v>105</v>
      </c>
      <c r="P363" s="11">
        <v>0.105</v>
      </c>
      <c r="Q363" s="10" t="s">
        <v>1562</v>
      </c>
      <c r="R363" s="10">
        <v>80</v>
      </c>
      <c r="S363" s="12">
        <v>10</v>
      </c>
      <c r="T363" s="13">
        <v>33116</v>
      </c>
      <c r="U363" s="14">
        <v>3477.18</v>
      </c>
      <c r="V363" s="10">
        <v>6.4</v>
      </c>
      <c r="W363" s="15">
        <v>211942.40000000002</v>
      </c>
      <c r="X363" s="29">
        <f>VLOOKUP($F363,Agendamento!$B:$J,9,0)</f>
        <v>46086</v>
      </c>
      <c r="Y363" s="6">
        <f>COUNTIF(Analise!F:F,'Obras e Acervos'!H363)</f>
        <v>1</v>
      </c>
    </row>
    <row r="364" spans="1:25" ht="15" customHeight="1" x14ac:dyDescent="0.25">
      <c r="A364" s="10" t="str">
        <f>CONCATENATE(LEFT(C364,12),"-",RIGHT(C364,2),"_",TEXT(X364,"ddmmaaaa"),"_",COUNTIF($C$2:C364,C364))</f>
        <v>435967300001-00_25022026_1</v>
      </c>
      <c r="B364" s="10" t="str">
        <f>CONCATENATE(LEFT(C364,12),"-",RIGHT(C364,2),"_",COUNTIF($C$2:C364,C364))</f>
        <v>435967300001-00_1</v>
      </c>
      <c r="C364" s="10" t="s">
        <v>3004</v>
      </c>
      <c r="D364" s="10" t="s">
        <v>862</v>
      </c>
      <c r="E364" s="10" t="s">
        <v>1555</v>
      </c>
      <c r="F364" s="10" t="s">
        <v>863</v>
      </c>
      <c r="G364" s="10" t="s">
        <v>3005</v>
      </c>
      <c r="H364" s="11" t="s">
        <v>3006</v>
      </c>
      <c r="I364" s="11" t="s">
        <v>3007</v>
      </c>
      <c r="J364" s="10" t="s">
        <v>1559</v>
      </c>
      <c r="K364" s="10" t="s">
        <v>1560</v>
      </c>
      <c r="L364" s="10" t="s">
        <v>1561</v>
      </c>
      <c r="M364" s="10" t="s">
        <v>6209</v>
      </c>
      <c r="N364" s="10">
        <v>40</v>
      </c>
      <c r="O364" s="11">
        <v>124</v>
      </c>
      <c r="P364" s="11">
        <v>0.124</v>
      </c>
      <c r="Q364" s="10" t="s">
        <v>1562</v>
      </c>
      <c r="R364" s="10">
        <v>80</v>
      </c>
      <c r="S364" s="12">
        <v>10</v>
      </c>
      <c r="T364" s="13">
        <v>33116</v>
      </c>
      <c r="U364" s="14">
        <v>4106.384</v>
      </c>
      <c r="V364" s="10">
        <v>6.86</v>
      </c>
      <c r="W364" s="15">
        <v>227175.76</v>
      </c>
      <c r="X364" s="29">
        <f>VLOOKUP($F364,Agendamento!$B:$J,9,0)</f>
        <v>46078</v>
      </c>
      <c r="Y364" s="6">
        <f>COUNTIF(Analise!F:F,'Obras e Acervos'!H364)</f>
        <v>1</v>
      </c>
    </row>
    <row r="365" spans="1:25" ht="15" customHeight="1" x14ac:dyDescent="0.25">
      <c r="A365" s="10" t="str">
        <f>CONCATENATE(LEFT(C365,12),"-",RIGHT(C365,2),"_",TEXT(X365,"ddmmaaaa"),"_",COUNTIF($C$2:C365,C365))</f>
        <v>432000760001-73_24022026_1</v>
      </c>
      <c r="B365" s="10" t="str">
        <f>CONCATENATE(LEFT(C365,12),"-",RIGHT(C365,2),"_",COUNTIF($C$2:C365,C365))</f>
        <v>432000760001-73_1</v>
      </c>
      <c r="C365" s="10" t="s">
        <v>3008</v>
      </c>
      <c r="D365" s="10" t="s">
        <v>787</v>
      </c>
      <c r="E365" s="10" t="s">
        <v>1555</v>
      </c>
      <c r="F365" s="10" t="s">
        <v>788</v>
      </c>
      <c r="G365" s="10" t="s">
        <v>3009</v>
      </c>
      <c r="H365" s="11" t="s">
        <v>3010</v>
      </c>
      <c r="I365" s="11" t="s">
        <v>3011</v>
      </c>
      <c r="J365" s="10" t="s">
        <v>1559</v>
      </c>
      <c r="K365" s="10" t="s">
        <v>1560</v>
      </c>
      <c r="L365" s="10" t="s">
        <v>1561</v>
      </c>
      <c r="M365" s="10" t="s">
        <v>788</v>
      </c>
      <c r="N365" s="10">
        <v>64</v>
      </c>
      <c r="O365" s="11">
        <v>200</v>
      </c>
      <c r="P365" s="11">
        <v>0.2</v>
      </c>
      <c r="Q365" s="10" t="s">
        <v>1562</v>
      </c>
      <c r="R365" s="10">
        <v>80</v>
      </c>
      <c r="S365" s="12">
        <v>10</v>
      </c>
      <c r="T365" s="13">
        <v>76733</v>
      </c>
      <c r="U365" s="14">
        <v>15346.6</v>
      </c>
      <c r="V365" s="10">
        <v>6.94</v>
      </c>
      <c r="W365" s="15">
        <v>532527.02</v>
      </c>
      <c r="X365" s="29">
        <f>VLOOKUP($F365,Agendamento!$B:$J,9,0)</f>
        <v>46077</v>
      </c>
      <c r="Y365" s="6">
        <f>COUNTIF(Analise!F:F,'Obras e Acervos'!H365)</f>
        <v>1</v>
      </c>
    </row>
    <row r="366" spans="1:25" ht="15" customHeight="1" x14ac:dyDescent="0.25">
      <c r="A366" s="10" t="str">
        <f>CONCATENATE(LEFT(C366,12),"-",RIGHT(C366,2),"_",TEXT(X366,"ddmmaaaa"),"_",COUNTIF($C$2:C366,C366))</f>
        <v>288258240001-10_16032026_1</v>
      </c>
      <c r="B366" s="10" t="str">
        <f>CONCATENATE(LEFT(C366,12),"-",RIGHT(C366,2),"_",COUNTIF($C$2:C366,C366))</f>
        <v>288258240001-10_1</v>
      </c>
      <c r="C366" s="10" t="s">
        <v>3012</v>
      </c>
      <c r="D366" s="10" t="s">
        <v>6099</v>
      </c>
      <c r="E366" s="10" t="s">
        <v>1555</v>
      </c>
      <c r="F366" s="10" t="s">
        <v>1374</v>
      </c>
      <c r="G366" s="10" t="s">
        <v>3013</v>
      </c>
      <c r="H366" s="11" t="s">
        <v>3014</v>
      </c>
      <c r="I366" s="11" t="s">
        <v>3015</v>
      </c>
      <c r="J366" s="10" t="s">
        <v>1559</v>
      </c>
      <c r="K366" s="10" t="s">
        <v>1560</v>
      </c>
      <c r="L366" s="10" t="s">
        <v>1561</v>
      </c>
      <c r="M366" s="10" t="s">
        <v>1374</v>
      </c>
      <c r="N366" s="10">
        <v>36</v>
      </c>
      <c r="O366" s="11">
        <v>100</v>
      </c>
      <c r="P366" s="11">
        <v>0.1</v>
      </c>
      <c r="Q366" s="10" t="s">
        <v>1599</v>
      </c>
      <c r="R366" s="10">
        <v>80</v>
      </c>
      <c r="S366" s="12">
        <v>10</v>
      </c>
      <c r="T366" s="13">
        <v>35373</v>
      </c>
      <c r="U366" s="14">
        <v>3537.3</v>
      </c>
      <c r="V366" s="10">
        <v>6.34</v>
      </c>
      <c r="W366" s="15">
        <v>224264.82</v>
      </c>
      <c r="X366" s="29">
        <f>VLOOKUP($F366,Agendamento!$B:$J,9,0)</f>
        <v>46097</v>
      </c>
      <c r="Y366" s="6">
        <f>COUNTIF(Analise!F:F,'Obras e Acervos'!H366)</f>
        <v>1</v>
      </c>
    </row>
    <row r="367" spans="1:25" ht="15" customHeight="1" x14ac:dyDescent="0.25">
      <c r="A367" s="10" t="str">
        <f>CONCATENATE(LEFT(C367,12),"-",RIGHT(C367,2),"_",TEXT(X367,"ddmmaaaa"),"_",COUNTIF($C$2:C367,C367))</f>
        <v>423246590001-43_10032026_1</v>
      </c>
      <c r="B367" s="10" t="str">
        <f>CONCATENATE(LEFT(C367,12),"-",RIGHT(C367,2),"_",COUNTIF($C$2:C367,C367))</f>
        <v>423246590001-43_1</v>
      </c>
      <c r="C367" s="10" t="s">
        <v>3016</v>
      </c>
      <c r="D367" s="10" t="s">
        <v>1357</v>
      </c>
      <c r="E367" s="10" t="s">
        <v>1555</v>
      </c>
      <c r="F367" s="10" t="s">
        <v>1358</v>
      </c>
      <c r="G367" s="10" t="s">
        <v>3017</v>
      </c>
      <c r="H367" s="11" t="s">
        <v>3018</v>
      </c>
      <c r="I367" s="11" t="s">
        <v>3019</v>
      </c>
      <c r="J367" s="10" t="s">
        <v>1559</v>
      </c>
      <c r="K367" s="10" t="s">
        <v>1560</v>
      </c>
      <c r="L367" s="10" t="s">
        <v>1561</v>
      </c>
      <c r="M367" s="10" t="s">
        <v>1358</v>
      </c>
      <c r="N367" s="10">
        <v>48</v>
      </c>
      <c r="O367" s="11">
        <v>143</v>
      </c>
      <c r="P367" s="11">
        <v>0.14299999999999999</v>
      </c>
      <c r="Q367" s="10" t="s">
        <v>1562</v>
      </c>
      <c r="R367" s="10">
        <v>80</v>
      </c>
      <c r="S367" s="12">
        <v>10</v>
      </c>
      <c r="T367" s="13">
        <v>33298</v>
      </c>
      <c r="U367" s="14">
        <v>4761.6139999999996</v>
      </c>
      <c r="V367" s="10">
        <v>7.73</v>
      </c>
      <c r="W367" s="15">
        <v>257393.54</v>
      </c>
      <c r="X367" s="29">
        <f>VLOOKUP($F367,Agendamento!$B:$J,9,0)</f>
        <v>46091</v>
      </c>
      <c r="Y367" s="6">
        <f>COUNTIF(Analise!F:F,'Obras e Acervos'!H367)</f>
        <v>1</v>
      </c>
    </row>
    <row r="368" spans="1:25" ht="15" customHeight="1" x14ac:dyDescent="0.25">
      <c r="A368" s="10" t="str">
        <f>CONCATENATE(LEFT(C368,12),"-",RIGHT(C368,2),"_",TEXT(X368,"ddmmaaaa"),"_",COUNTIF($C$2:C368,C368))</f>
        <v>188354790001-41_03022026_1</v>
      </c>
      <c r="B368" s="10" t="str">
        <f>CONCATENATE(LEFT(C368,12),"-",RIGHT(C368,2),"_",COUNTIF($C$2:C368,C368))</f>
        <v>188354790001-41_1</v>
      </c>
      <c r="C368" s="10" t="s">
        <v>3020</v>
      </c>
      <c r="D368" s="10" t="s">
        <v>6100</v>
      </c>
      <c r="E368" s="10" t="s">
        <v>1555</v>
      </c>
      <c r="F368" s="10" t="s">
        <v>135</v>
      </c>
      <c r="G368" s="10" t="s">
        <v>3021</v>
      </c>
      <c r="H368" s="11" t="s">
        <v>3022</v>
      </c>
      <c r="I368" s="11" t="s">
        <v>3023</v>
      </c>
      <c r="J368" s="10" t="s">
        <v>1559</v>
      </c>
      <c r="K368" s="10" t="s">
        <v>1560</v>
      </c>
      <c r="L368" s="10" t="s">
        <v>1561</v>
      </c>
      <c r="M368" s="10" t="s">
        <v>135</v>
      </c>
      <c r="N368" s="10">
        <v>48</v>
      </c>
      <c r="O368" s="11">
        <v>114</v>
      </c>
      <c r="P368" s="11">
        <v>0.114</v>
      </c>
      <c r="Q368" s="10" t="s">
        <v>1562</v>
      </c>
      <c r="R368" s="10">
        <v>80</v>
      </c>
      <c r="S368" s="12">
        <v>10</v>
      </c>
      <c r="T368" s="13">
        <v>35540</v>
      </c>
      <c r="U368" s="14">
        <v>4051.56</v>
      </c>
      <c r="V368" s="10">
        <v>7.68</v>
      </c>
      <c r="W368" s="15">
        <v>272947.20000000001</v>
      </c>
      <c r="X368" s="29">
        <f>VLOOKUP($F368,Agendamento!$B:$J,9,0)</f>
        <v>46056</v>
      </c>
      <c r="Y368" s="6">
        <f>COUNTIF(Analise!F:F,'Obras e Acervos'!H368)</f>
        <v>1</v>
      </c>
    </row>
    <row r="369" spans="1:25" ht="15" customHeight="1" x14ac:dyDescent="0.25">
      <c r="A369" s="10" t="str">
        <f>CONCATENATE(LEFT(C369,12),"-",RIGHT(C369,2),"_",TEXT(X369,"ddmmaaaa"),"_",COUNTIF($C$2:C369,C369))</f>
        <v>087311950001-51_23012026_1</v>
      </c>
      <c r="B369" s="10" t="str">
        <f>CONCATENATE(LEFT(C369,12),"-",RIGHT(C369,2),"_",COUNTIF($C$2:C369,C369))</f>
        <v>087311950001-51_1</v>
      </c>
      <c r="C369" s="16" t="s">
        <v>3024</v>
      </c>
      <c r="D369" s="16" t="s">
        <v>6101</v>
      </c>
      <c r="E369" s="16" t="s">
        <v>1555</v>
      </c>
      <c r="F369" s="16" t="s">
        <v>16</v>
      </c>
      <c r="G369" s="16" t="s">
        <v>3025</v>
      </c>
      <c r="H369" s="16" t="s">
        <v>3026</v>
      </c>
      <c r="I369" s="16" t="s">
        <v>3027</v>
      </c>
      <c r="J369" s="16" t="s">
        <v>1559</v>
      </c>
      <c r="K369" s="16" t="s">
        <v>1560</v>
      </c>
      <c r="L369" s="16" t="s">
        <v>1561</v>
      </c>
      <c r="M369" s="10" t="s">
        <v>16</v>
      </c>
      <c r="N369" s="16">
        <v>40</v>
      </c>
      <c r="O369" s="16">
        <v>117</v>
      </c>
      <c r="P369" s="16">
        <v>0.11700000000000001</v>
      </c>
      <c r="Q369" s="16" t="s">
        <v>1562</v>
      </c>
      <c r="R369" s="16">
        <v>80</v>
      </c>
      <c r="S369" s="17">
        <v>10</v>
      </c>
      <c r="T369" s="18">
        <v>34858</v>
      </c>
      <c r="U369" s="19">
        <v>4078.3860000000004</v>
      </c>
      <c r="V369" s="16">
        <v>6.8</v>
      </c>
      <c r="W369" s="20">
        <v>237034.4</v>
      </c>
      <c r="X369" s="29">
        <f>VLOOKUP($F369,Agendamento!$B:$J,9,0)</f>
        <v>46045</v>
      </c>
      <c r="Y369" s="6">
        <f>COUNTIF(Analise!F:F,'Obras e Acervos'!H369)</f>
        <v>1</v>
      </c>
    </row>
    <row r="370" spans="1:25" ht="15" customHeight="1" x14ac:dyDescent="0.25">
      <c r="A370" s="10" t="str">
        <f>CONCATENATE(LEFT(C370,12),"-",RIGHT(C370,2),"_",TEXT(X370,"ddmmaaaa"),"_",COUNTIF($C$2:C370,C370))</f>
        <v>011836140001-19_03022026_1</v>
      </c>
      <c r="B370" s="10" t="str">
        <f>CONCATENATE(LEFT(C370,12),"-",RIGHT(C370,2),"_",COUNTIF($C$2:C370,C370))</f>
        <v>011836140001-19_1</v>
      </c>
      <c r="C370" s="10" t="s">
        <v>3028</v>
      </c>
      <c r="D370" s="10" t="s">
        <v>6102</v>
      </c>
      <c r="E370" s="10" t="s">
        <v>1555</v>
      </c>
      <c r="F370" s="10" t="s">
        <v>122</v>
      </c>
      <c r="G370" s="10" t="s">
        <v>3029</v>
      </c>
      <c r="H370" s="11" t="s">
        <v>3030</v>
      </c>
      <c r="I370" s="11" t="s">
        <v>3031</v>
      </c>
      <c r="J370" s="10" t="s">
        <v>1559</v>
      </c>
      <c r="K370" s="10" t="s">
        <v>1560</v>
      </c>
      <c r="L370" s="10" t="s">
        <v>1561</v>
      </c>
      <c r="M370" s="10" t="s">
        <v>122</v>
      </c>
      <c r="N370" s="10">
        <v>32</v>
      </c>
      <c r="O370" s="11">
        <v>47</v>
      </c>
      <c r="P370" s="11">
        <v>4.7E-2</v>
      </c>
      <c r="Q370" s="10" t="s">
        <v>1608</v>
      </c>
      <c r="R370" s="10">
        <v>75</v>
      </c>
      <c r="S370" s="12">
        <v>10</v>
      </c>
      <c r="T370" s="13">
        <v>33010</v>
      </c>
      <c r="U370" s="14">
        <v>1551.47</v>
      </c>
      <c r="V370" s="10">
        <v>5.03</v>
      </c>
      <c r="W370" s="15">
        <v>166040.30000000002</v>
      </c>
      <c r="X370" s="29">
        <f>VLOOKUP($F370,Agendamento!$B:$J,9,0)</f>
        <v>46056</v>
      </c>
      <c r="Y370" s="6">
        <f>COUNTIF(Analise!F:F,'Obras e Acervos'!H370)</f>
        <v>1</v>
      </c>
    </row>
    <row r="371" spans="1:25" ht="15" customHeight="1" x14ac:dyDescent="0.25">
      <c r="A371" s="10" t="str">
        <f>CONCATENATE(LEFT(C371,12),"-",RIGHT(C371,2),"_",TEXT(X371,"ddmmaaaa"),"_",COUNTIF($C$2:C371,C371))</f>
        <v>320815800001-85_18022026_1</v>
      </c>
      <c r="B371" s="10" t="str">
        <f>CONCATENATE(LEFT(C371,12),"-",RIGHT(C371,2),"_",COUNTIF($C$2:C371,C371))</f>
        <v>320815800001-85_1</v>
      </c>
      <c r="C371" s="10" t="s">
        <v>3032</v>
      </c>
      <c r="D371" s="10" t="s">
        <v>580</v>
      </c>
      <c r="E371" s="10" t="s">
        <v>1555</v>
      </c>
      <c r="F371" s="10" t="s">
        <v>581</v>
      </c>
      <c r="G371" s="10" t="s">
        <v>3033</v>
      </c>
      <c r="H371" s="11" t="s">
        <v>3034</v>
      </c>
      <c r="I371" s="11" t="s">
        <v>3035</v>
      </c>
      <c r="J371" s="10" t="s">
        <v>1559</v>
      </c>
      <c r="K371" s="10" t="s">
        <v>1560</v>
      </c>
      <c r="L371" s="10" t="s">
        <v>1561</v>
      </c>
      <c r="M371" s="10" t="s">
        <v>581</v>
      </c>
      <c r="N371" s="10">
        <v>40</v>
      </c>
      <c r="O371" s="11">
        <v>118</v>
      </c>
      <c r="P371" s="11">
        <v>0.11799999999999999</v>
      </c>
      <c r="Q371" s="10" t="s">
        <v>1562</v>
      </c>
      <c r="R371" s="10">
        <v>80</v>
      </c>
      <c r="S371" s="12">
        <v>10</v>
      </c>
      <c r="T371" s="13">
        <v>33207</v>
      </c>
      <c r="U371" s="14">
        <v>3918.4259999999999</v>
      </c>
      <c r="V371" s="10">
        <v>6.83</v>
      </c>
      <c r="W371" s="15">
        <v>226803.81</v>
      </c>
      <c r="X371" s="29">
        <f>VLOOKUP($F371,Agendamento!$B:$J,9,0)</f>
        <v>46071</v>
      </c>
      <c r="Y371" s="6">
        <f>COUNTIF(Analise!F:F,'Obras e Acervos'!H371)</f>
        <v>1</v>
      </c>
    </row>
    <row r="372" spans="1:25" ht="15" customHeight="1" x14ac:dyDescent="0.25">
      <c r="A372" s="10" t="str">
        <f>CONCATENATE(LEFT(C372,12),"-",RIGHT(C372,2),"_",TEXT(X372,"ddmmaaaa"),"_",COUNTIF($C$2:C372,C372))</f>
        <v>430481660001-90_19022026_1</v>
      </c>
      <c r="B372" s="10" t="str">
        <f>CONCATENATE(LEFT(C372,12),"-",RIGHT(C372,2),"_",COUNTIF($C$2:C372,C372))</f>
        <v>430481660001-90_1</v>
      </c>
      <c r="C372" s="10" t="s">
        <v>3036</v>
      </c>
      <c r="D372" s="10" t="s">
        <v>298</v>
      </c>
      <c r="E372" s="10" t="s">
        <v>1555</v>
      </c>
      <c r="F372" s="10" t="s">
        <v>625</v>
      </c>
      <c r="G372" s="10" t="s">
        <v>3037</v>
      </c>
      <c r="H372" s="11" t="s">
        <v>3038</v>
      </c>
      <c r="I372" s="11" t="s">
        <v>3039</v>
      </c>
      <c r="J372" s="10" t="s">
        <v>1559</v>
      </c>
      <c r="K372" s="10" t="s">
        <v>1560</v>
      </c>
      <c r="L372" s="10" t="s">
        <v>1561</v>
      </c>
      <c r="M372" s="10" t="s">
        <v>6210</v>
      </c>
      <c r="N372" s="10">
        <v>72</v>
      </c>
      <c r="O372" s="11">
        <v>200</v>
      </c>
      <c r="P372" s="11">
        <v>0.2</v>
      </c>
      <c r="Q372" s="10" t="s">
        <v>1562</v>
      </c>
      <c r="R372" s="10">
        <v>75</v>
      </c>
      <c r="S372" s="12">
        <v>10</v>
      </c>
      <c r="T372" s="13">
        <v>35585</v>
      </c>
      <c r="U372" s="14">
        <v>7117</v>
      </c>
      <c r="V372" s="10">
        <v>8.9700000000000006</v>
      </c>
      <c r="W372" s="15">
        <v>319197.45</v>
      </c>
      <c r="X372" s="29">
        <f>VLOOKUP($F372,Agendamento!$B:$J,9,0)</f>
        <v>46072</v>
      </c>
      <c r="Y372" s="6">
        <f>COUNTIF(Analise!F:F,'Obras e Acervos'!H372)</f>
        <v>1</v>
      </c>
    </row>
    <row r="373" spans="1:25" ht="15" customHeight="1" x14ac:dyDescent="0.25">
      <c r="A373" s="10" t="str">
        <f>CONCATENATE(LEFT(C373,12),"-",RIGHT(C373,2),"_",TEXT(X373,"ddmmaaaa"),"_",COUNTIF($C$2:C373,C373))</f>
        <v>434117480001-90_25022026_1</v>
      </c>
      <c r="B373" s="10" t="str">
        <f>CONCATENATE(LEFT(C373,12),"-",RIGHT(C373,2),"_",COUNTIF($C$2:C373,C373))</f>
        <v>434117480001-90_1</v>
      </c>
      <c r="C373" s="10" t="s">
        <v>3040</v>
      </c>
      <c r="D373" s="10" t="s">
        <v>859</v>
      </c>
      <c r="E373" s="10" t="s">
        <v>1555</v>
      </c>
      <c r="F373" s="10" t="s">
        <v>860</v>
      </c>
      <c r="G373" s="10" t="s">
        <v>3041</v>
      </c>
      <c r="H373" s="11" t="s">
        <v>3042</v>
      </c>
      <c r="I373" s="11" t="s">
        <v>3043</v>
      </c>
      <c r="J373" s="10" t="s">
        <v>1559</v>
      </c>
      <c r="K373" s="10" t="s">
        <v>1560</v>
      </c>
      <c r="L373" s="10" t="s">
        <v>1561</v>
      </c>
      <c r="M373" s="10" t="s">
        <v>860</v>
      </c>
      <c r="N373" s="10">
        <v>40</v>
      </c>
      <c r="O373" s="11">
        <v>104</v>
      </c>
      <c r="P373" s="11">
        <v>0.104</v>
      </c>
      <c r="Q373" s="10" t="s">
        <v>1562</v>
      </c>
      <c r="R373" s="10">
        <v>80</v>
      </c>
      <c r="S373" s="12">
        <v>10</v>
      </c>
      <c r="T373" s="13">
        <v>33510</v>
      </c>
      <c r="U373" s="14">
        <v>3485.04</v>
      </c>
      <c r="V373" s="10">
        <v>6.83</v>
      </c>
      <c r="W373" s="15">
        <v>228873.3</v>
      </c>
      <c r="X373" s="29">
        <f>VLOOKUP($F373,Agendamento!$B:$J,9,0)</f>
        <v>46078</v>
      </c>
      <c r="Y373" s="6">
        <f>COUNTIF(Analise!F:F,'Obras e Acervos'!H373)</f>
        <v>1</v>
      </c>
    </row>
    <row r="374" spans="1:25" ht="15" customHeight="1" x14ac:dyDescent="0.25">
      <c r="A374" s="10" t="str">
        <f>CONCATENATE(LEFT(C374,12),"-",RIGHT(C374,2),"_",TEXT(X374,"ddmmaaaa"),"_",COUNTIF($C$2:C374,C374))</f>
        <v>174814160001-71_24022026_1</v>
      </c>
      <c r="B374" s="10" t="str">
        <f>CONCATENATE(LEFT(C374,12),"-",RIGHT(C374,2),"_",COUNTIF($C$2:C374,C374))</f>
        <v>174814160001-71_1</v>
      </c>
      <c r="C374" s="10" t="s">
        <v>3044</v>
      </c>
      <c r="D374" s="10" t="s">
        <v>6103</v>
      </c>
      <c r="E374" s="10" t="s">
        <v>1555</v>
      </c>
      <c r="F374" s="10" t="s">
        <v>809</v>
      </c>
      <c r="G374" s="10" t="s">
        <v>3045</v>
      </c>
      <c r="H374" s="11" t="s">
        <v>3046</v>
      </c>
      <c r="I374" s="11" t="s">
        <v>3047</v>
      </c>
      <c r="J374" s="10" t="s">
        <v>1559</v>
      </c>
      <c r="K374" s="10" t="s">
        <v>1560</v>
      </c>
      <c r="L374" s="10" t="s">
        <v>1561</v>
      </c>
      <c r="M374" s="10" t="s">
        <v>809</v>
      </c>
      <c r="N374" s="10">
        <v>24</v>
      </c>
      <c r="O374" s="11">
        <v>90</v>
      </c>
      <c r="P374" s="11">
        <v>0.09</v>
      </c>
      <c r="Q374" s="10" t="s">
        <v>1562</v>
      </c>
      <c r="R374" s="10">
        <v>80</v>
      </c>
      <c r="S374" s="12">
        <v>10</v>
      </c>
      <c r="T374" s="13">
        <v>33298</v>
      </c>
      <c r="U374" s="14">
        <v>2996.8199999999997</v>
      </c>
      <c r="V374" s="10">
        <v>5.05</v>
      </c>
      <c r="W374" s="15">
        <v>168154.9</v>
      </c>
      <c r="X374" s="29">
        <f>VLOOKUP($F374,Agendamento!$B:$J,9,0)</f>
        <v>46077</v>
      </c>
      <c r="Y374" s="6">
        <f>COUNTIF(Analise!F:F,'Obras e Acervos'!H374)</f>
        <v>1</v>
      </c>
    </row>
    <row r="375" spans="1:25" ht="15" customHeight="1" x14ac:dyDescent="0.25">
      <c r="A375" s="10" t="str">
        <f>CONCATENATE(LEFT(C375,12),"-",RIGHT(C375,2),"_",TEXT(X375,"ddmmaaaa"),"_",COUNTIF($C$2:C375,C375))</f>
        <v>399595710001-93_20022026_1</v>
      </c>
      <c r="B375" s="10" t="str">
        <f>CONCATENATE(LEFT(C375,12),"-",RIGHT(C375,2),"_",COUNTIF($C$2:C375,C375))</f>
        <v>399595710001-93_1</v>
      </c>
      <c r="C375" s="10" t="s">
        <v>3048</v>
      </c>
      <c r="D375" s="10" t="s">
        <v>638</v>
      </c>
      <c r="E375" s="10" t="s">
        <v>1555</v>
      </c>
      <c r="F375" s="10" t="s">
        <v>640</v>
      </c>
      <c r="G375" s="10" t="s">
        <v>3049</v>
      </c>
      <c r="H375" s="11" t="s">
        <v>3050</v>
      </c>
      <c r="I375" s="11" t="s">
        <v>3051</v>
      </c>
      <c r="J375" s="10" t="s">
        <v>1559</v>
      </c>
      <c r="K375" s="10" t="s">
        <v>1560</v>
      </c>
      <c r="L375" s="10" t="s">
        <v>1561</v>
      </c>
      <c r="M375" s="10" t="s">
        <v>640</v>
      </c>
      <c r="N375" s="10">
        <v>24</v>
      </c>
      <c r="O375" s="11">
        <v>84</v>
      </c>
      <c r="P375" s="11">
        <v>8.4000000000000005E-2</v>
      </c>
      <c r="Q375" s="10" t="s">
        <v>1562</v>
      </c>
      <c r="R375" s="10">
        <v>80</v>
      </c>
      <c r="S375" s="12">
        <v>10</v>
      </c>
      <c r="T375" s="13">
        <v>33358</v>
      </c>
      <c r="U375" s="14">
        <v>2802.0720000000001</v>
      </c>
      <c r="V375" s="10">
        <v>5.05</v>
      </c>
      <c r="W375" s="15">
        <v>168457.9</v>
      </c>
      <c r="X375" s="29">
        <f>VLOOKUP($F375,Agendamento!$B:$J,9,0)</f>
        <v>46073</v>
      </c>
      <c r="Y375" s="6">
        <f>COUNTIF(Analise!F:F,'Obras e Acervos'!H375)</f>
        <v>1</v>
      </c>
    </row>
    <row r="376" spans="1:25" ht="15" customHeight="1" x14ac:dyDescent="0.25">
      <c r="A376" s="10" t="str">
        <f>CONCATENATE(LEFT(C376,12),"-",RIGHT(C376,2),"_",TEXT(X376,"ddmmaaaa"),"_",COUNTIF($C$2:C376,C376))</f>
        <v>438849790001-10_03032026_1</v>
      </c>
      <c r="B376" s="10" t="str">
        <f>CONCATENATE(LEFT(C376,12),"-",RIGHT(C376,2),"_",COUNTIF($C$2:C376,C376))</f>
        <v>438849790001-10_1</v>
      </c>
      <c r="C376" s="10" t="s">
        <v>3052</v>
      </c>
      <c r="D376" s="10" t="s">
        <v>6104</v>
      </c>
      <c r="E376" s="10" t="s">
        <v>1555</v>
      </c>
      <c r="F376" s="10" t="s">
        <v>1102</v>
      </c>
      <c r="G376" s="10" t="s">
        <v>3053</v>
      </c>
      <c r="H376" s="11" t="s">
        <v>3054</v>
      </c>
      <c r="I376" s="11" t="s">
        <v>3055</v>
      </c>
      <c r="J376" s="10" t="s">
        <v>1559</v>
      </c>
      <c r="K376" s="10" t="s">
        <v>1560</v>
      </c>
      <c r="L376" s="10" t="s">
        <v>1561</v>
      </c>
      <c r="M376" s="10" t="s">
        <v>1102</v>
      </c>
      <c r="N376" s="10">
        <v>40</v>
      </c>
      <c r="O376" s="11">
        <v>124</v>
      </c>
      <c r="P376" s="11">
        <v>0.124</v>
      </c>
      <c r="Q376" s="10" t="s">
        <v>1599</v>
      </c>
      <c r="R376" s="10">
        <v>80</v>
      </c>
      <c r="S376" s="12">
        <v>10</v>
      </c>
      <c r="T376" s="13">
        <v>33298</v>
      </c>
      <c r="U376" s="14">
        <v>4128.9520000000002</v>
      </c>
      <c r="V376" s="10">
        <v>6.83</v>
      </c>
      <c r="W376" s="15">
        <v>227425.34</v>
      </c>
      <c r="X376" s="29">
        <f>VLOOKUP($F376,Agendamento!$B:$J,9,0)</f>
        <v>46084</v>
      </c>
      <c r="Y376" s="6">
        <f>COUNTIF(Analise!F:F,'Obras e Acervos'!H376)</f>
        <v>1</v>
      </c>
    </row>
    <row r="377" spans="1:25" ht="15" customHeight="1" x14ac:dyDescent="0.25">
      <c r="A377" s="10" t="str">
        <f>CONCATENATE(LEFT(C377,12),"-",RIGHT(C377,2),"_",TEXT(X377,"ddmmaaaa"),"_",COUNTIF($C$2:C377,C377))</f>
        <v>249954930001-05_23022026_1</v>
      </c>
      <c r="B377" s="10" t="str">
        <f>CONCATENATE(LEFT(C377,12),"-",RIGHT(C377,2),"_",COUNTIF($C$2:C377,C377))</f>
        <v>249954930001-05_1</v>
      </c>
      <c r="C377" s="10" t="s">
        <v>3056</v>
      </c>
      <c r="D377" s="10" t="s">
        <v>719</v>
      </c>
      <c r="E377" s="10" t="s">
        <v>1555</v>
      </c>
      <c r="F377" s="10" t="s">
        <v>753</v>
      </c>
      <c r="G377" s="10" t="s">
        <v>3057</v>
      </c>
      <c r="H377" s="11" t="s">
        <v>3058</v>
      </c>
      <c r="I377" s="11" t="s">
        <v>3059</v>
      </c>
      <c r="J377" s="10" t="s">
        <v>1559</v>
      </c>
      <c r="K377" s="10" t="s">
        <v>1560</v>
      </c>
      <c r="L377" s="10" t="s">
        <v>1561</v>
      </c>
      <c r="M377" s="10" t="s">
        <v>753</v>
      </c>
      <c r="N377" s="10">
        <v>48</v>
      </c>
      <c r="O377" s="11">
        <v>140</v>
      </c>
      <c r="P377" s="11">
        <v>0.14000000000000001</v>
      </c>
      <c r="Q377" s="10" t="s">
        <v>1562</v>
      </c>
      <c r="R377" s="10">
        <v>80</v>
      </c>
      <c r="S377" s="12">
        <v>10</v>
      </c>
      <c r="T377" s="13">
        <v>33555</v>
      </c>
      <c r="U377" s="14">
        <v>4697.7000000000007</v>
      </c>
      <c r="V377" s="10">
        <v>7.73</v>
      </c>
      <c r="W377" s="15">
        <v>259380.15000000002</v>
      </c>
      <c r="X377" s="29">
        <f>VLOOKUP($F377,Agendamento!$B:$J,9,0)</f>
        <v>46076</v>
      </c>
      <c r="Y377" s="6">
        <f>COUNTIF(Analise!F:F,'Obras e Acervos'!H377)</f>
        <v>1</v>
      </c>
    </row>
    <row r="378" spans="1:25" ht="15" customHeight="1" x14ac:dyDescent="0.25">
      <c r="A378" s="10" t="str">
        <f>CONCATENATE(LEFT(C378,12),"-",RIGHT(C378,2),"_",TEXT(X378,"ddmmaaaa"),"_",COUNTIF($C$2:C378,C378))</f>
        <v>434136860001-55_02032026_1</v>
      </c>
      <c r="B378" s="10" t="str">
        <f>CONCATENATE(LEFT(C378,12),"-",RIGHT(C378,2),"_",COUNTIF($C$2:C378,C378))</f>
        <v>434136860001-55_1</v>
      </c>
      <c r="C378" s="10" t="s">
        <v>3060</v>
      </c>
      <c r="D378" s="10" t="s">
        <v>1057</v>
      </c>
      <c r="E378" s="10" t="s">
        <v>1555</v>
      </c>
      <c r="F378" s="10" t="s">
        <v>1058</v>
      </c>
      <c r="G378" s="10" t="s">
        <v>3061</v>
      </c>
      <c r="H378" s="11" t="s">
        <v>3062</v>
      </c>
      <c r="I378" s="11" t="s">
        <v>3063</v>
      </c>
      <c r="J378" s="10" t="s">
        <v>1559</v>
      </c>
      <c r="K378" s="10" t="s">
        <v>1560</v>
      </c>
      <c r="L378" s="10" t="s">
        <v>1561</v>
      </c>
      <c r="M378" s="10" t="s">
        <v>1058</v>
      </c>
      <c r="N378" s="10">
        <v>36</v>
      </c>
      <c r="O378" s="11">
        <v>95</v>
      </c>
      <c r="P378" s="11">
        <v>9.5000000000000001E-2</v>
      </c>
      <c r="Q378" s="10" t="s">
        <v>1599</v>
      </c>
      <c r="R378" s="10">
        <v>80</v>
      </c>
      <c r="S378" s="12">
        <v>10</v>
      </c>
      <c r="T378" s="13">
        <v>33237</v>
      </c>
      <c r="U378" s="14">
        <v>3157.5149999999999</v>
      </c>
      <c r="V378" s="10">
        <v>6.4</v>
      </c>
      <c r="W378" s="15">
        <v>212716.80000000002</v>
      </c>
      <c r="X378" s="29">
        <f>VLOOKUP($F378,Agendamento!$B:$J,9,0)</f>
        <v>46083</v>
      </c>
      <c r="Y378" s="6">
        <f>COUNTIF(Analise!F:F,'Obras e Acervos'!H378)</f>
        <v>1</v>
      </c>
    </row>
    <row r="379" spans="1:25" ht="15" customHeight="1" x14ac:dyDescent="0.25">
      <c r="A379" s="10" t="str">
        <f>CONCATENATE(LEFT(C379,12),"-",RIGHT(C379,2),"_",TEXT(X379,"ddmmaaaa"),"_",COUNTIF($C$2:C379,C379))</f>
        <v>138112190001-12_24022026_1</v>
      </c>
      <c r="B379" s="10" t="str">
        <f>CONCATENATE(LEFT(C379,12),"-",RIGHT(C379,2),"_",COUNTIF($C$2:C379,C379))</f>
        <v>138112190001-12_1</v>
      </c>
      <c r="C379" s="10" t="s">
        <v>3064</v>
      </c>
      <c r="D379" s="10" t="s">
        <v>6105</v>
      </c>
      <c r="E379" s="10" t="s">
        <v>1555</v>
      </c>
      <c r="F379" s="10" t="s">
        <v>807</v>
      </c>
      <c r="G379" s="10" t="s">
        <v>3065</v>
      </c>
      <c r="H379" s="11" t="s">
        <v>3066</v>
      </c>
      <c r="I379" s="11" t="s">
        <v>3067</v>
      </c>
      <c r="J379" s="10" t="s">
        <v>1559</v>
      </c>
      <c r="K379" s="10" t="s">
        <v>1560</v>
      </c>
      <c r="L379" s="10" t="s">
        <v>1561</v>
      </c>
      <c r="M379" s="10" t="s">
        <v>807</v>
      </c>
      <c r="N379" s="10">
        <v>24</v>
      </c>
      <c r="O379" s="11">
        <v>86</v>
      </c>
      <c r="P379" s="11">
        <v>8.5999999999999993E-2</v>
      </c>
      <c r="Q379" s="10" t="s">
        <v>1562</v>
      </c>
      <c r="R379" s="10">
        <v>80</v>
      </c>
      <c r="S379" s="12">
        <v>10</v>
      </c>
      <c r="T379" s="13">
        <v>33040</v>
      </c>
      <c r="U379" s="14">
        <v>2841.4399999999996</v>
      </c>
      <c r="V379" s="10">
        <v>5.07</v>
      </c>
      <c r="W379" s="15">
        <v>167512.80000000002</v>
      </c>
      <c r="X379" s="29">
        <f>VLOOKUP($F379,Agendamento!$B:$J,9,0)</f>
        <v>46077</v>
      </c>
      <c r="Y379" s="6">
        <f>COUNTIF(Analise!F:F,'Obras e Acervos'!H379)</f>
        <v>1</v>
      </c>
    </row>
    <row r="380" spans="1:25" ht="15" customHeight="1" x14ac:dyDescent="0.25">
      <c r="A380" s="10" t="str">
        <f>CONCATENATE(LEFT(C380,12),"-",RIGHT(C380,2),"_",TEXT(X380,"ddmmaaaa"),"_",COUNTIF($C$2:C380,C380))</f>
        <v>210689890001-45_27022026_1</v>
      </c>
      <c r="B380" s="10" t="str">
        <f>CONCATENATE(LEFT(C380,12),"-",RIGHT(C380,2),"_",COUNTIF($C$2:C380,C380))</f>
        <v>210689890001-45_1</v>
      </c>
      <c r="C380" s="10" t="s">
        <v>3068</v>
      </c>
      <c r="D380" s="10" t="s">
        <v>6106</v>
      </c>
      <c r="E380" s="10" t="s">
        <v>1555</v>
      </c>
      <c r="F380" s="10" t="s">
        <v>992</v>
      </c>
      <c r="G380" s="10" t="s">
        <v>3069</v>
      </c>
      <c r="H380" s="11" t="s">
        <v>3070</v>
      </c>
      <c r="I380" s="11" t="s">
        <v>3071</v>
      </c>
      <c r="J380" s="10" t="s">
        <v>1559</v>
      </c>
      <c r="K380" s="10" t="s">
        <v>1560</v>
      </c>
      <c r="L380" s="10" t="s">
        <v>1561</v>
      </c>
      <c r="M380" s="10" t="s">
        <v>992</v>
      </c>
      <c r="N380" s="10">
        <v>24</v>
      </c>
      <c r="O380" s="11">
        <v>50</v>
      </c>
      <c r="P380" s="11">
        <v>0.05</v>
      </c>
      <c r="Q380" s="10" t="s">
        <v>1562</v>
      </c>
      <c r="R380" s="10">
        <v>80</v>
      </c>
      <c r="S380" s="12">
        <v>10</v>
      </c>
      <c r="T380" s="13">
        <v>33177</v>
      </c>
      <c r="U380" s="14">
        <v>1658.8500000000001</v>
      </c>
      <c r="V380" s="10">
        <v>5.07</v>
      </c>
      <c r="W380" s="15">
        <v>168207.39</v>
      </c>
      <c r="X380" s="29">
        <f>VLOOKUP($F380,Agendamento!$B:$J,9,0)</f>
        <v>46080</v>
      </c>
      <c r="Y380" s="6">
        <f>COUNTIF(Analise!F:F,'Obras e Acervos'!H380)</f>
        <v>1</v>
      </c>
    </row>
    <row r="381" spans="1:25" ht="15" customHeight="1" x14ac:dyDescent="0.25">
      <c r="A381" s="10" t="str">
        <f>CONCATENATE(LEFT(C381,12),"-",RIGHT(C381,2),"_",TEXT(X381,"ddmmaaaa"),"_",COUNTIF($C$2:C381,C381))</f>
        <v>137508740001-08_27022026_1</v>
      </c>
      <c r="B381" s="10" t="str">
        <f>CONCATENATE(LEFT(C381,12),"-",RIGHT(C381,2),"_",COUNTIF($C$2:C381,C381))</f>
        <v>137508740001-08_1</v>
      </c>
      <c r="C381" s="10" t="s">
        <v>3072</v>
      </c>
      <c r="D381" s="10" t="s">
        <v>6107</v>
      </c>
      <c r="E381" s="10" t="s">
        <v>1555</v>
      </c>
      <c r="F381" s="10" t="s">
        <v>1009</v>
      </c>
      <c r="G381" s="10" t="s">
        <v>3073</v>
      </c>
      <c r="H381" s="11" t="s">
        <v>3074</v>
      </c>
      <c r="I381" s="11" t="s">
        <v>3075</v>
      </c>
      <c r="J381" s="10" t="s">
        <v>1559</v>
      </c>
      <c r="K381" s="10" t="s">
        <v>1560</v>
      </c>
      <c r="L381" s="10" t="s">
        <v>1561</v>
      </c>
      <c r="M381" s="10" t="s">
        <v>1009</v>
      </c>
      <c r="N381" s="10">
        <v>40</v>
      </c>
      <c r="O381" s="11">
        <v>117</v>
      </c>
      <c r="P381" s="11">
        <v>0.11700000000000001</v>
      </c>
      <c r="Q381" s="10" t="s">
        <v>1599</v>
      </c>
      <c r="R381" s="10">
        <v>80</v>
      </c>
      <c r="S381" s="12">
        <v>10</v>
      </c>
      <c r="T381" s="13">
        <v>38252</v>
      </c>
      <c r="U381" s="14">
        <v>4475.4840000000004</v>
      </c>
      <c r="V381" s="10">
        <v>6.32</v>
      </c>
      <c r="W381" s="15">
        <v>241752.64</v>
      </c>
      <c r="X381" s="29">
        <f>VLOOKUP($F381,Agendamento!$B:$J,9,0)</f>
        <v>46080</v>
      </c>
      <c r="Y381" s="6">
        <f>COUNTIF(Analise!F:F,'Obras e Acervos'!H381)</f>
        <v>1</v>
      </c>
    </row>
    <row r="382" spans="1:25" ht="15" customHeight="1" x14ac:dyDescent="0.25">
      <c r="A382" s="10" t="str">
        <f>CONCATENATE(LEFT(C382,12),"-",RIGHT(C382,2),"_",TEXT(X382,"ddmmaaaa"),"_",COUNTIF($C$2:C382,C382))</f>
        <v>436799980001-05_24022026_1</v>
      </c>
      <c r="B382" s="10" t="str">
        <f>CONCATENATE(LEFT(C382,12),"-",RIGHT(C382,2),"_",COUNTIF($C$2:C382,C382))</f>
        <v>436799980001-05_1</v>
      </c>
      <c r="C382" s="10" t="s">
        <v>3076</v>
      </c>
      <c r="D382" s="10" t="s">
        <v>6108</v>
      </c>
      <c r="E382" s="10" t="s">
        <v>1555</v>
      </c>
      <c r="F382" s="10" t="s">
        <v>784</v>
      </c>
      <c r="G382" s="10" t="s">
        <v>3077</v>
      </c>
      <c r="H382" s="11" t="s">
        <v>3078</v>
      </c>
      <c r="I382" s="11" t="s">
        <v>3079</v>
      </c>
      <c r="J382" s="10" t="s">
        <v>1559</v>
      </c>
      <c r="K382" s="10" t="s">
        <v>1560</v>
      </c>
      <c r="L382" s="10" t="s">
        <v>1561</v>
      </c>
      <c r="M382" s="10" t="s">
        <v>784</v>
      </c>
      <c r="N382" s="10">
        <v>36</v>
      </c>
      <c r="O382" s="11">
        <v>115</v>
      </c>
      <c r="P382" s="11">
        <v>0.115</v>
      </c>
      <c r="Q382" s="10" t="s">
        <v>1562</v>
      </c>
      <c r="R382" s="10">
        <v>80</v>
      </c>
      <c r="S382" s="12">
        <v>10</v>
      </c>
      <c r="T382" s="13">
        <v>33192</v>
      </c>
      <c r="U382" s="14">
        <v>3817.0800000000004</v>
      </c>
      <c r="V382" s="10">
        <v>6.4</v>
      </c>
      <c r="W382" s="15">
        <v>212428.80000000002</v>
      </c>
      <c r="X382" s="29">
        <f>VLOOKUP($F382,Agendamento!$B:$J,9,0)</f>
        <v>46077</v>
      </c>
      <c r="Y382" s="6">
        <f>COUNTIF(Analise!F:F,'Obras e Acervos'!H382)</f>
        <v>1</v>
      </c>
    </row>
    <row r="383" spans="1:25" ht="15" customHeight="1" x14ac:dyDescent="0.25">
      <c r="A383" s="10" t="str">
        <f>CONCATENATE(LEFT(C383,12),"-",RIGHT(C383,2),"_",TEXT(X383,"ddmmaaaa"),"_",COUNTIF($C$2:C383,C383))</f>
        <v>354172620001-30_13022026_1</v>
      </c>
      <c r="B383" s="10" t="str">
        <f>CONCATENATE(LEFT(C383,12),"-",RIGHT(C383,2),"_",COUNTIF($C$2:C383,C383))</f>
        <v>354172620001-30_1</v>
      </c>
      <c r="C383" s="10" t="s">
        <v>3080</v>
      </c>
      <c r="D383" s="10" t="s">
        <v>6109</v>
      </c>
      <c r="E383" s="10" t="s">
        <v>1555</v>
      </c>
      <c r="F383" s="10" t="s">
        <v>471</v>
      </c>
      <c r="G383" s="10" t="s">
        <v>3081</v>
      </c>
      <c r="H383" s="11" t="s">
        <v>3082</v>
      </c>
      <c r="I383" s="11" t="s">
        <v>3083</v>
      </c>
      <c r="J383" s="10" t="s">
        <v>1559</v>
      </c>
      <c r="K383" s="10" t="s">
        <v>1560</v>
      </c>
      <c r="L383" s="10" t="s">
        <v>1561</v>
      </c>
      <c r="M383" s="10" t="s">
        <v>471</v>
      </c>
      <c r="N383" s="10">
        <v>24</v>
      </c>
      <c r="O383" s="11">
        <v>85</v>
      </c>
      <c r="P383" s="11">
        <v>8.5000000000000006E-2</v>
      </c>
      <c r="Q383" s="10" t="s">
        <v>1562</v>
      </c>
      <c r="R383" s="10">
        <v>80</v>
      </c>
      <c r="S383" s="12">
        <v>10</v>
      </c>
      <c r="T383" s="13">
        <v>35010</v>
      </c>
      <c r="U383" s="14">
        <v>2975.8500000000004</v>
      </c>
      <c r="V383" s="10">
        <v>5.01</v>
      </c>
      <c r="W383" s="15">
        <v>175400.1</v>
      </c>
      <c r="X383" s="29">
        <f>VLOOKUP($F383,Agendamento!$B:$J,9,0)</f>
        <v>46066</v>
      </c>
      <c r="Y383" s="6">
        <f>COUNTIF(Analise!F:F,'Obras e Acervos'!H383)</f>
        <v>1</v>
      </c>
    </row>
    <row r="384" spans="1:25" ht="15" customHeight="1" x14ac:dyDescent="0.25">
      <c r="A384" s="10" t="str">
        <f>CONCATENATE(LEFT(C384,12),"-",RIGHT(C384,2),"_",TEXT(X384,"ddmmaaaa"),"_",COUNTIF($C$2:C384,C384))</f>
        <v>345959230001-55_29012026_1</v>
      </c>
      <c r="B384" s="10" t="str">
        <f>CONCATENATE(LEFT(C384,12),"-",RIGHT(C384,2),"_",COUNTIF($C$2:C384,C384))</f>
        <v>345959230001-55_1</v>
      </c>
      <c r="C384" s="10" t="s">
        <v>3084</v>
      </c>
      <c r="D384" s="10" t="s">
        <v>94</v>
      </c>
      <c r="E384" s="10" t="s">
        <v>1555</v>
      </c>
      <c r="F384" s="10" t="s">
        <v>102</v>
      </c>
      <c r="G384" s="10" t="s">
        <v>3085</v>
      </c>
      <c r="H384" s="11" t="s">
        <v>3086</v>
      </c>
      <c r="I384" s="11" t="s">
        <v>3087</v>
      </c>
      <c r="J384" s="10" t="s">
        <v>1559</v>
      </c>
      <c r="K384" s="10" t="s">
        <v>1560</v>
      </c>
      <c r="L384" s="10" t="s">
        <v>1561</v>
      </c>
      <c r="M384" s="10" t="s">
        <v>6211</v>
      </c>
      <c r="N384" s="10">
        <v>32</v>
      </c>
      <c r="O384" s="11">
        <v>76</v>
      </c>
      <c r="P384" s="11">
        <v>7.5999999999999998E-2</v>
      </c>
      <c r="Q384" s="10" t="s">
        <v>1562</v>
      </c>
      <c r="R384" s="10">
        <v>80</v>
      </c>
      <c r="S384" s="12">
        <v>10</v>
      </c>
      <c r="T384" s="13">
        <v>33389</v>
      </c>
      <c r="U384" s="14">
        <v>2537.5639999999999</v>
      </c>
      <c r="V384" s="10">
        <v>5.94</v>
      </c>
      <c r="W384" s="15">
        <v>198330.66</v>
      </c>
      <c r="X384" s="29">
        <f>VLOOKUP($F384,Agendamento!$B:$J,9,0)</f>
        <v>46051</v>
      </c>
      <c r="Y384" s="6">
        <f>COUNTIF(Analise!F:F,'Obras e Acervos'!H384)</f>
        <v>1</v>
      </c>
    </row>
    <row r="385" spans="1:25" ht="15" customHeight="1" x14ac:dyDescent="0.25">
      <c r="A385" s="10" t="str">
        <f>CONCATENATE(LEFT(C385,12),"-",RIGHT(C385,2),"_",TEXT(X385,"ddmmaaaa"),"_",COUNTIF($C$2:C385,C385))</f>
        <v>336416630036-74_30012026_1</v>
      </c>
      <c r="B385" s="10" t="str">
        <f>CONCATENATE(LEFT(C385,12),"-",RIGHT(C385,2),"_",COUNTIF($C$2:C385,C385))</f>
        <v>336416630036-74_1</v>
      </c>
      <c r="C385" s="10" t="s">
        <v>3088</v>
      </c>
      <c r="D385" s="10" t="s">
        <v>111</v>
      </c>
      <c r="E385" s="10" t="s">
        <v>1555</v>
      </c>
      <c r="F385" s="10" t="s">
        <v>112</v>
      </c>
      <c r="G385" s="10" t="s">
        <v>3089</v>
      </c>
      <c r="H385" s="11" t="s">
        <v>3090</v>
      </c>
      <c r="I385" s="11" t="s">
        <v>3091</v>
      </c>
      <c r="J385" s="10" t="s">
        <v>1559</v>
      </c>
      <c r="K385" s="10" t="s">
        <v>1560</v>
      </c>
      <c r="L385" s="10" t="s">
        <v>1561</v>
      </c>
      <c r="M385" s="10" t="s">
        <v>112</v>
      </c>
      <c r="N385" s="10">
        <v>40</v>
      </c>
      <c r="O385" s="11">
        <v>113</v>
      </c>
      <c r="P385" s="11">
        <v>0.113</v>
      </c>
      <c r="Q385" s="10" t="s">
        <v>1562</v>
      </c>
      <c r="R385" s="10">
        <v>75</v>
      </c>
      <c r="S385" s="12">
        <v>10</v>
      </c>
      <c r="T385" s="13">
        <v>33131</v>
      </c>
      <c r="U385" s="14">
        <v>3743.8029999999999</v>
      </c>
      <c r="V385" s="10">
        <v>6.73</v>
      </c>
      <c r="W385" s="15">
        <v>222971.63</v>
      </c>
      <c r="X385" s="29">
        <f>VLOOKUP($F385,Agendamento!$B:$J,9,0)</f>
        <v>46052</v>
      </c>
      <c r="Y385" s="6">
        <f>COUNTIF(Analise!F:F,'Obras e Acervos'!H385)</f>
        <v>1</v>
      </c>
    </row>
    <row r="386" spans="1:25" ht="15" customHeight="1" x14ac:dyDescent="0.25">
      <c r="A386" s="10" t="str">
        <f>CONCATENATE(LEFT(C386,12),"-",RIGHT(C386,2),"_",TEXT(X386,"ddmmaaaa"),"_",COUNTIF($C$2:C386,C386))</f>
        <v>135559940001-54_02032026_1</v>
      </c>
      <c r="B386" s="10" t="str">
        <f>CONCATENATE(LEFT(C386,12),"-",RIGHT(C386,2),"_",COUNTIF($C$2:C386,C386))</f>
        <v>135559940001-54_1</v>
      </c>
      <c r="C386" s="38" t="s">
        <v>5754</v>
      </c>
      <c r="D386" s="10" t="s">
        <v>6110</v>
      </c>
      <c r="E386" s="10" t="s">
        <v>1555</v>
      </c>
      <c r="F386" s="10" t="s">
        <v>1027</v>
      </c>
      <c r="G386" s="10" t="s">
        <v>3092</v>
      </c>
      <c r="H386" s="11" t="s">
        <v>3093</v>
      </c>
      <c r="I386" s="11" t="s">
        <v>3094</v>
      </c>
      <c r="J386" s="10" t="s">
        <v>1559</v>
      </c>
      <c r="K386" s="10" t="s">
        <v>1560</v>
      </c>
      <c r="L386" s="10" t="s">
        <v>1561</v>
      </c>
      <c r="M386" s="10" t="s">
        <v>6212</v>
      </c>
      <c r="N386" s="10">
        <v>32</v>
      </c>
      <c r="O386" s="11">
        <v>100</v>
      </c>
      <c r="P386" s="11">
        <v>0.1</v>
      </c>
      <c r="Q386" s="10" t="s">
        <v>1599</v>
      </c>
      <c r="R386" s="10">
        <v>80</v>
      </c>
      <c r="S386" s="12">
        <v>10</v>
      </c>
      <c r="T386" s="13">
        <v>33161</v>
      </c>
      <c r="U386" s="14">
        <v>3316.1000000000004</v>
      </c>
      <c r="V386" s="10">
        <v>5.96</v>
      </c>
      <c r="W386" s="15">
        <v>197639.56</v>
      </c>
      <c r="X386" s="29">
        <f>VLOOKUP($F386,Agendamento!$B:$J,9,0)</f>
        <v>46083</v>
      </c>
      <c r="Y386" s="6">
        <f>COUNTIF(Analise!F:F,'Obras e Acervos'!H386)</f>
        <v>1</v>
      </c>
    </row>
    <row r="387" spans="1:25" ht="15" customHeight="1" x14ac:dyDescent="0.25">
      <c r="A387" s="10" t="str">
        <f>CONCATENATE(LEFT(C387,12),"-",RIGHT(C387,2),"_",TEXT(X387,"ddmmaaaa"),"_",COUNTIF($C$2:C387,C387))</f>
        <v>005825840001-50_13032026_1</v>
      </c>
      <c r="B387" s="10" t="str">
        <f>CONCATENATE(LEFT(C387,12),"-",RIGHT(C387,2),"_",COUNTIF($C$2:C387,C387))</f>
        <v>005825840001-50_1</v>
      </c>
      <c r="C387" s="10" t="s">
        <v>3095</v>
      </c>
      <c r="D387" s="10" t="s">
        <v>6111</v>
      </c>
      <c r="E387" s="10" t="s">
        <v>1555</v>
      </c>
      <c r="F387" s="10" t="s">
        <v>1493</v>
      </c>
      <c r="G387" s="10" t="s">
        <v>3096</v>
      </c>
      <c r="H387" s="11" t="s">
        <v>3097</v>
      </c>
      <c r="I387" s="11" t="s">
        <v>3098</v>
      </c>
      <c r="J387" s="10" t="s">
        <v>1559</v>
      </c>
      <c r="K387" s="10" t="s">
        <v>1560</v>
      </c>
      <c r="L387" s="10" t="s">
        <v>1561</v>
      </c>
      <c r="M387" s="10" t="s">
        <v>1493</v>
      </c>
      <c r="N387" s="10">
        <v>32</v>
      </c>
      <c r="O387" s="11">
        <v>75</v>
      </c>
      <c r="P387" s="11">
        <v>7.4999999999999997E-2</v>
      </c>
      <c r="Q387" s="10" t="s">
        <v>1562</v>
      </c>
      <c r="R387" s="10">
        <v>80</v>
      </c>
      <c r="S387" s="12">
        <v>10</v>
      </c>
      <c r="T387" s="13">
        <v>36525</v>
      </c>
      <c r="U387" s="14">
        <v>2739.375</v>
      </c>
      <c r="V387" s="10">
        <v>5.85</v>
      </c>
      <c r="W387" s="15">
        <v>213671.25</v>
      </c>
      <c r="X387" s="29">
        <f>VLOOKUP($F387,Agendamento!$B:$J,9,0)</f>
        <v>46094</v>
      </c>
      <c r="Y387" s="6">
        <f>COUNTIF(Analise!F:F,'Obras e Acervos'!H387)</f>
        <v>1</v>
      </c>
    </row>
    <row r="388" spans="1:25" ht="15" customHeight="1" x14ac:dyDescent="0.25">
      <c r="A388" s="10" t="str">
        <f>CONCATENATE(LEFT(C388,12),"-",RIGHT(C388,2),"_",TEXT(X388,"ddmmaaaa"),"_",COUNTIF($C$2:C388,C388))</f>
        <v>073723960001-47_11032026_1</v>
      </c>
      <c r="B388" s="10" t="str">
        <f>CONCATENATE(LEFT(C388,12),"-",RIGHT(C388,2),"_",COUNTIF($C$2:C388,C388))</f>
        <v>073723960001-47_1</v>
      </c>
      <c r="C388" s="10" t="s">
        <v>3099</v>
      </c>
      <c r="D388" s="10" t="s">
        <v>6112</v>
      </c>
      <c r="E388" s="10" t="s">
        <v>1555</v>
      </c>
      <c r="F388" s="10" t="s">
        <v>1351</v>
      </c>
      <c r="G388" s="10" t="s">
        <v>3100</v>
      </c>
      <c r="H388" s="11" t="s">
        <v>3101</v>
      </c>
      <c r="I388" s="11" t="s">
        <v>3102</v>
      </c>
      <c r="J388" s="10" t="s">
        <v>1559</v>
      </c>
      <c r="K388" s="10" t="s">
        <v>1560</v>
      </c>
      <c r="L388" s="10" t="s">
        <v>1561</v>
      </c>
      <c r="M388" s="10" t="s">
        <v>1351</v>
      </c>
      <c r="N388" s="10">
        <v>52</v>
      </c>
      <c r="O388" s="11">
        <v>148</v>
      </c>
      <c r="P388" s="11">
        <v>0.14799999999999999</v>
      </c>
      <c r="Q388" s="10" t="s">
        <v>1562</v>
      </c>
      <c r="R388" s="10">
        <v>80</v>
      </c>
      <c r="S388" s="12">
        <v>10</v>
      </c>
      <c r="T388" s="13">
        <v>33146</v>
      </c>
      <c r="U388" s="14">
        <v>4905.6080000000002</v>
      </c>
      <c r="V388" s="10">
        <v>8.18</v>
      </c>
      <c r="W388" s="15">
        <v>271134.27999999997</v>
      </c>
      <c r="X388" s="29">
        <f>VLOOKUP($F388,Agendamento!$B:$J,9,0)</f>
        <v>46092</v>
      </c>
      <c r="Y388" s="6">
        <f>COUNTIF(Analise!F:F,'Obras e Acervos'!H388)</f>
        <v>1</v>
      </c>
    </row>
    <row r="389" spans="1:25" ht="15" customHeight="1" x14ac:dyDescent="0.25">
      <c r="A389" s="10" t="str">
        <f>CONCATENATE(LEFT(C389,12),"-",RIGHT(C389,2),"_",TEXT(X389,"ddmmaaaa"),"_",COUNTIF($C$2:C389,C389))</f>
        <v>175947330001-02_04032026_1</v>
      </c>
      <c r="B389" s="10" t="str">
        <f>CONCATENATE(LEFT(C389,12),"-",RIGHT(C389,2),"_",COUNTIF($C$2:C389,C389))</f>
        <v>175947330001-02_1</v>
      </c>
      <c r="C389" s="10" t="s">
        <v>3103</v>
      </c>
      <c r="D389" s="10" t="s">
        <v>1105</v>
      </c>
      <c r="E389" s="10" t="s">
        <v>1555</v>
      </c>
      <c r="F389" s="10" t="s">
        <v>1207</v>
      </c>
      <c r="G389" s="10" t="s">
        <v>3104</v>
      </c>
      <c r="H389" s="11" t="s">
        <v>3105</v>
      </c>
      <c r="I389" s="11" t="s">
        <v>3106</v>
      </c>
      <c r="J389" s="10" t="s">
        <v>1559</v>
      </c>
      <c r="K389" s="10" t="s">
        <v>1560</v>
      </c>
      <c r="L389" s="10" t="s">
        <v>1561</v>
      </c>
      <c r="M389" s="10" t="s">
        <v>1207</v>
      </c>
      <c r="N389" s="10">
        <v>32</v>
      </c>
      <c r="O389" s="11">
        <v>105</v>
      </c>
      <c r="P389" s="11">
        <v>0.105</v>
      </c>
      <c r="Q389" s="10" t="s">
        <v>1599</v>
      </c>
      <c r="R389" s="10">
        <v>80</v>
      </c>
      <c r="S389" s="12">
        <v>10</v>
      </c>
      <c r="T389" s="13">
        <v>72279</v>
      </c>
      <c r="U389" s="14">
        <v>7589.2950000000001</v>
      </c>
      <c r="V389" s="10">
        <v>4.2</v>
      </c>
      <c r="W389" s="15">
        <v>303571.8</v>
      </c>
      <c r="X389" s="29">
        <f>VLOOKUP($F389,Agendamento!$B:$J,9,0)</f>
        <v>46085</v>
      </c>
      <c r="Y389" s="6">
        <f>COUNTIF(Analise!F:F,'Obras e Acervos'!H389)</f>
        <v>1</v>
      </c>
    </row>
    <row r="390" spans="1:25" ht="15" customHeight="1" x14ac:dyDescent="0.25">
      <c r="A390" s="10" t="str">
        <f>CONCATENATE(LEFT(C390,12),"-",RIGHT(C390,2),"_",TEXT(X390,"ddmmaaaa"),"_",COUNTIF($C$2:C390,C390))</f>
        <v>401507120001-01_28012026_2</v>
      </c>
      <c r="B390" s="10" t="str">
        <f>CONCATENATE(LEFT(C390,12),"-",RIGHT(C390,2),"_",COUNTIF($C$2:C390,C390))</f>
        <v>401507120001-01_2</v>
      </c>
      <c r="C390" s="10" t="s">
        <v>2996</v>
      </c>
      <c r="D390" s="10" t="s">
        <v>6097</v>
      </c>
      <c r="E390" s="10" t="s">
        <v>1574</v>
      </c>
      <c r="F390" s="10" t="s">
        <v>73</v>
      </c>
      <c r="G390" s="10" t="s">
        <v>3107</v>
      </c>
      <c r="H390" s="11" t="s">
        <v>3108</v>
      </c>
      <c r="I390" s="11" t="s">
        <v>3109</v>
      </c>
      <c r="J390" s="10" t="s">
        <v>1559</v>
      </c>
      <c r="K390" s="10" t="s">
        <v>1560</v>
      </c>
      <c r="L390" s="10" t="s">
        <v>1578</v>
      </c>
      <c r="M390" s="10" t="s">
        <v>73</v>
      </c>
      <c r="N390" s="10">
        <v>24</v>
      </c>
      <c r="O390" s="11">
        <v>79</v>
      </c>
      <c r="P390" s="11">
        <v>7.9000000000000001E-2</v>
      </c>
      <c r="Q390" s="10" t="s">
        <v>1562</v>
      </c>
      <c r="R390" s="10">
        <v>75</v>
      </c>
      <c r="S390" s="12">
        <v>17</v>
      </c>
      <c r="T390" s="13">
        <v>27080</v>
      </c>
      <c r="U390" s="14">
        <v>2139.3200000000002</v>
      </c>
      <c r="V390" s="10">
        <v>4.45</v>
      </c>
      <c r="W390" s="15">
        <v>263996.25</v>
      </c>
      <c r="X390" s="29">
        <f>VLOOKUP($F390,Agendamento!$B:$J,9,0)</f>
        <v>46050</v>
      </c>
      <c r="Y390" s="6">
        <f>COUNTIF(Analise!F:F,'Obras e Acervos'!H390)</f>
        <v>1</v>
      </c>
    </row>
    <row r="391" spans="1:25" ht="15" customHeight="1" x14ac:dyDescent="0.25">
      <c r="A391" s="10" t="str">
        <f>CONCATENATE(LEFT(C391,12),"-",RIGHT(C391,2),"_",TEXT(X391,"ddmmaaaa"),"_",COUNTIF($C$2:C391,C391))</f>
        <v>403846980001-00_16022026_1</v>
      </c>
      <c r="B391" s="10" t="str">
        <f>CONCATENATE(LEFT(C391,12),"-",RIGHT(C391,2),"_",COUNTIF($C$2:C391,C391))</f>
        <v>403846980001-00_1</v>
      </c>
      <c r="C391" s="10" t="s">
        <v>3110</v>
      </c>
      <c r="D391" s="10" t="s">
        <v>549</v>
      </c>
      <c r="E391" s="10" t="s">
        <v>1555</v>
      </c>
      <c r="F391" s="10" t="s">
        <v>550</v>
      </c>
      <c r="G391" s="10" t="s">
        <v>3111</v>
      </c>
      <c r="H391" s="11" t="s">
        <v>3112</v>
      </c>
      <c r="I391" s="11" t="s">
        <v>3113</v>
      </c>
      <c r="J391" s="10" t="s">
        <v>1559</v>
      </c>
      <c r="K391" s="10" t="s">
        <v>1560</v>
      </c>
      <c r="L391" s="10" t="s">
        <v>1561</v>
      </c>
      <c r="M391" s="10" t="s">
        <v>550</v>
      </c>
      <c r="N391" s="10">
        <v>32</v>
      </c>
      <c r="O391" s="11">
        <v>150</v>
      </c>
      <c r="P391" s="11">
        <v>0.15</v>
      </c>
      <c r="Q391" s="10" t="s">
        <v>1562</v>
      </c>
      <c r="R391" s="10">
        <v>84</v>
      </c>
      <c r="S391" s="12">
        <v>10</v>
      </c>
      <c r="T391" s="13">
        <v>35646</v>
      </c>
      <c r="U391" s="14">
        <v>5346.9</v>
      </c>
      <c r="V391" s="10">
        <v>5.96</v>
      </c>
      <c r="W391" s="15">
        <v>212450.16</v>
      </c>
      <c r="X391" s="29">
        <f>VLOOKUP($F391,Agendamento!$B:$J,9,0)</f>
        <v>46069</v>
      </c>
      <c r="Y391" s="6">
        <f>COUNTIF(Analise!F:F,'Obras e Acervos'!H391)</f>
        <v>1</v>
      </c>
    </row>
    <row r="392" spans="1:25" ht="15" customHeight="1" x14ac:dyDescent="0.25">
      <c r="A392" s="10" t="str">
        <f>CONCATENATE(LEFT(C392,12),"-",RIGHT(C392,2),"_",TEXT(X392,"ddmmaaaa"),"_",COUNTIF($C$2:C392,C392))</f>
        <v>416366290001-00_11032026_1</v>
      </c>
      <c r="B392" s="10" t="str">
        <f>CONCATENATE(LEFT(C392,12),"-",RIGHT(C392,2),"_",COUNTIF($C$2:C392,C392))</f>
        <v>416366290001-00_1</v>
      </c>
      <c r="C392" s="10" t="s">
        <v>3114</v>
      </c>
      <c r="D392" s="10" t="s">
        <v>945</v>
      </c>
      <c r="E392" s="10" t="s">
        <v>1555</v>
      </c>
      <c r="F392" s="10" t="s">
        <v>1403</v>
      </c>
      <c r="G392" s="10" t="s">
        <v>3115</v>
      </c>
      <c r="H392" s="11" t="s">
        <v>3116</v>
      </c>
      <c r="I392" s="11" t="s">
        <v>3117</v>
      </c>
      <c r="J392" s="10" t="s">
        <v>1559</v>
      </c>
      <c r="K392" s="10" t="s">
        <v>1560</v>
      </c>
      <c r="L392" s="10" t="s">
        <v>1561</v>
      </c>
      <c r="M392" s="10" t="s">
        <v>1403</v>
      </c>
      <c r="N392" s="10">
        <v>48</v>
      </c>
      <c r="O392" s="11">
        <v>143</v>
      </c>
      <c r="P392" s="11">
        <v>0.14299999999999999</v>
      </c>
      <c r="Q392" s="10" t="s">
        <v>1562</v>
      </c>
      <c r="R392" s="10">
        <v>80</v>
      </c>
      <c r="S392" s="12">
        <v>10</v>
      </c>
      <c r="T392" s="13">
        <v>33177</v>
      </c>
      <c r="U392" s="14">
        <v>4744.3109999999997</v>
      </c>
      <c r="V392" s="10">
        <v>7.73</v>
      </c>
      <c r="W392" s="15">
        <v>256458.21000000002</v>
      </c>
      <c r="X392" s="29">
        <f>VLOOKUP($F392,Agendamento!$B:$J,9,0)</f>
        <v>46092</v>
      </c>
      <c r="Y392" s="6">
        <f>COUNTIF(Analise!F:F,'Obras e Acervos'!H392)</f>
        <v>1</v>
      </c>
    </row>
    <row r="393" spans="1:25" ht="15" customHeight="1" x14ac:dyDescent="0.25">
      <c r="A393" s="10" t="str">
        <f>CONCATENATE(LEFT(C393,12),"-",RIGHT(C393,2),"_",TEXT(X393,"ddmmaaaa"),"_",COUNTIF($C$2:C393,C393))</f>
        <v>424220060001-05_09032026_1</v>
      </c>
      <c r="B393" s="10" t="str">
        <f>CONCATENATE(LEFT(C393,12),"-",RIGHT(C393,2),"_",COUNTIF($C$2:C393,C393))</f>
        <v>424220060001-05_1</v>
      </c>
      <c r="C393" s="10" t="s">
        <v>3118</v>
      </c>
      <c r="D393" s="10" t="s">
        <v>6113</v>
      </c>
      <c r="E393" s="10" t="s">
        <v>1555</v>
      </c>
      <c r="F393" s="10" t="s">
        <v>1304</v>
      </c>
      <c r="G393" s="10" t="s">
        <v>3119</v>
      </c>
      <c r="H393" s="11" t="s">
        <v>3120</v>
      </c>
      <c r="I393" s="11" t="s">
        <v>3121</v>
      </c>
      <c r="J393" s="10" t="s">
        <v>1559</v>
      </c>
      <c r="K393" s="10" t="s">
        <v>1560</v>
      </c>
      <c r="L393" s="10" t="s">
        <v>1561</v>
      </c>
      <c r="M393" s="10" t="s">
        <v>6213</v>
      </c>
      <c r="N393" s="10">
        <v>40</v>
      </c>
      <c r="O393" s="11">
        <v>119</v>
      </c>
      <c r="P393" s="11">
        <v>0.11899999999999999</v>
      </c>
      <c r="Q393" s="10" t="s">
        <v>1562</v>
      </c>
      <c r="R393" s="10">
        <v>80</v>
      </c>
      <c r="S393" s="12">
        <v>10</v>
      </c>
      <c r="T393" s="13">
        <v>36873</v>
      </c>
      <c r="U393" s="14">
        <v>4387.8869999999997</v>
      </c>
      <c r="V393" s="10">
        <v>6.73</v>
      </c>
      <c r="W393" s="15">
        <v>248155.29</v>
      </c>
      <c r="X393" s="29">
        <f>VLOOKUP($F393,Agendamento!$B:$J,9,0)</f>
        <v>46090</v>
      </c>
      <c r="Y393" s="6">
        <f>COUNTIF(Analise!F:F,'Obras e Acervos'!H393)</f>
        <v>1</v>
      </c>
    </row>
    <row r="394" spans="1:25" ht="15" customHeight="1" x14ac:dyDescent="0.25">
      <c r="A394" s="10" t="str">
        <f>CONCATENATE(LEFT(C394,12),"-",RIGHT(C394,2),"_",TEXT(X394,"ddmmaaaa"),"_",COUNTIF($C$2:C394,C394))</f>
        <v>077425500001-25_16062026_1</v>
      </c>
      <c r="B394" s="10" t="str">
        <f>CONCATENATE(LEFT(C394,12),"-",RIGHT(C394,2),"_",COUNTIF($C$2:C394,C394))</f>
        <v>077425500001-25_1</v>
      </c>
      <c r="C394" s="10" t="s">
        <v>3122</v>
      </c>
      <c r="D394" s="10" t="s">
        <v>6114</v>
      </c>
      <c r="E394" s="10" t="s">
        <v>1555</v>
      </c>
      <c r="F394" s="10" t="s">
        <v>1522</v>
      </c>
      <c r="G394" s="10" t="s">
        <v>3123</v>
      </c>
      <c r="H394" s="11" t="s">
        <v>3124</v>
      </c>
      <c r="I394" s="11" t="s">
        <v>3125</v>
      </c>
      <c r="J394" s="10" t="s">
        <v>1559</v>
      </c>
      <c r="K394" s="10" t="s">
        <v>1560</v>
      </c>
      <c r="L394" s="10" t="s">
        <v>1561</v>
      </c>
      <c r="M394" s="10" t="s">
        <v>1522</v>
      </c>
      <c r="N394" s="10">
        <v>40</v>
      </c>
      <c r="O394" s="11">
        <v>70</v>
      </c>
      <c r="P394" s="11">
        <v>7.0000000000000007E-2</v>
      </c>
      <c r="Q394" s="10" t="s">
        <v>1562</v>
      </c>
      <c r="R394" s="10">
        <v>75</v>
      </c>
      <c r="S394" s="12">
        <v>10</v>
      </c>
      <c r="T394" s="13">
        <v>35419</v>
      </c>
      <c r="U394" s="14">
        <v>2479.3300000000004</v>
      </c>
      <c r="V394" s="10">
        <v>6.67</v>
      </c>
      <c r="W394" s="15">
        <v>236244.73</v>
      </c>
      <c r="X394" s="29">
        <f>VLOOKUP($F394,Agendamento!$B:$J,9,0)</f>
        <v>46189</v>
      </c>
      <c r="Y394" s="6">
        <f>COUNTIF(Analise!F:F,'Obras e Acervos'!H394)</f>
        <v>1</v>
      </c>
    </row>
    <row r="395" spans="1:25" ht="15" customHeight="1" x14ac:dyDescent="0.25">
      <c r="A395" s="10" t="str">
        <f>CONCATENATE(LEFT(C395,12),"-",RIGHT(C395,2),"_",TEXT(X395,"ddmmaaaa"),"_",COUNTIF($C$2:C395,C395))</f>
        <v>304948240001-26_16022026_1</v>
      </c>
      <c r="B395" s="10" t="str">
        <f>CONCATENATE(LEFT(C395,12),"-",RIGHT(C395,2),"_",COUNTIF($C$2:C395,C395))</f>
        <v>304948240001-26_1</v>
      </c>
      <c r="C395" s="10" t="s">
        <v>3126</v>
      </c>
      <c r="D395" s="10" t="s">
        <v>6115</v>
      </c>
      <c r="E395" s="10" t="s">
        <v>1555</v>
      </c>
      <c r="F395" s="10" t="s">
        <v>552</v>
      </c>
      <c r="G395" s="10" t="s">
        <v>3127</v>
      </c>
      <c r="H395" s="11" t="s">
        <v>3128</v>
      </c>
      <c r="I395" s="11" t="s">
        <v>3129</v>
      </c>
      <c r="J395" s="10" t="s">
        <v>1559</v>
      </c>
      <c r="K395" s="10" t="s">
        <v>1560</v>
      </c>
      <c r="L395" s="10" t="s">
        <v>1561</v>
      </c>
      <c r="M395" s="10" t="s">
        <v>552</v>
      </c>
      <c r="N395" s="10">
        <v>32</v>
      </c>
      <c r="O395" s="11">
        <v>150</v>
      </c>
      <c r="P395" s="11">
        <v>0.15</v>
      </c>
      <c r="Q395" s="10" t="s">
        <v>1562</v>
      </c>
      <c r="R395" s="10">
        <v>84</v>
      </c>
      <c r="S395" s="12">
        <v>10</v>
      </c>
      <c r="T395" s="13">
        <v>33858</v>
      </c>
      <c r="U395" s="14">
        <v>5078.7</v>
      </c>
      <c r="V395" s="10">
        <v>6</v>
      </c>
      <c r="W395" s="15">
        <v>203148</v>
      </c>
      <c r="X395" s="29">
        <f>VLOOKUP($F395,Agendamento!$B:$J,9,0)</f>
        <v>46069</v>
      </c>
      <c r="Y395" s="6">
        <f>COUNTIF(Analise!F:F,'Obras e Acervos'!H395)</f>
        <v>1</v>
      </c>
    </row>
    <row r="396" spans="1:25" ht="15" customHeight="1" x14ac:dyDescent="0.25">
      <c r="A396" s="10" t="str">
        <f>CONCATENATE(LEFT(C396,12),"-",RIGHT(C396,2),"_",TEXT(X396,"ddmmaaaa"),"_",COUNTIF($C$2:C396,C396))</f>
        <v>167807990001-16_25022026_1</v>
      </c>
      <c r="B396" s="10" t="str">
        <f>CONCATENATE(LEFT(C396,12),"-",RIGHT(C396,2),"_",COUNTIF($C$2:C396,C396))</f>
        <v>167807990001-16_1</v>
      </c>
      <c r="C396" s="10" t="s">
        <v>3130</v>
      </c>
      <c r="D396" s="10" t="s">
        <v>881</v>
      </c>
      <c r="E396" s="10" t="s">
        <v>1555</v>
      </c>
      <c r="F396" s="10" t="s">
        <v>882</v>
      </c>
      <c r="G396" s="10" t="s">
        <v>3131</v>
      </c>
      <c r="H396" s="11" t="s">
        <v>3132</v>
      </c>
      <c r="I396" s="11" t="s">
        <v>3133</v>
      </c>
      <c r="J396" s="10" t="s">
        <v>1559</v>
      </c>
      <c r="K396" s="10" t="s">
        <v>1560</v>
      </c>
      <c r="L396" s="10" t="s">
        <v>1561</v>
      </c>
      <c r="M396" s="10" t="s">
        <v>882</v>
      </c>
      <c r="N396" s="10">
        <v>36</v>
      </c>
      <c r="O396" s="11">
        <v>109</v>
      </c>
      <c r="P396" s="11">
        <v>0.109</v>
      </c>
      <c r="Q396" s="10" t="s">
        <v>1562</v>
      </c>
      <c r="R396" s="10">
        <v>80</v>
      </c>
      <c r="S396" s="12">
        <v>10</v>
      </c>
      <c r="T396" s="13">
        <v>33343</v>
      </c>
      <c r="U396" s="14">
        <v>3634.3870000000002</v>
      </c>
      <c r="V396" s="10">
        <v>6.4</v>
      </c>
      <c r="W396" s="15">
        <v>213395.20000000001</v>
      </c>
      <c r="X396" s="29">
        <f>VLOOKUP($F396,Agendamento!$B:$J,9,0)</f>
        <v>46078</v>
      </c>
      <c r="Y396" s="6">
        <f>COUNTIF(Analise!F:F,'Obras e Acervos'!H396)</f>
        <v>1</v>
      </c>
    </row>
    <row r="397" spans="1:25" ht="15" customHeight="1" x14ac:dyDescent="0.25">
      <c r="A397" s="10" t="str">
        <f>CONCATENATE(LEFT(C397,12),"-",RIGHT(C397,2),"_",TEXT(X397,"ddmmaaaa"),"_",COUNTIF($C$2:C397,C397))</f>
        <v>279004140001-23_10022026_1</v>
      </c>
      <c r="B397" s="10" t="str">
        <f>CONCATENATE(LEFT(C397,12),"-",RIGHT(C397,2),"_",COUNTIF($C$2:C397,C397))</f>
        <v>279004140001-23_1</v>
      </c>
      <c r="C397" s="10" t="s">
        <v>3134</v>
      </c>
      <c r="D397" s="10" t="s">
        <v>268</v>
      </c>
      <c r="E397" s="10" t="s">
        <v>1555</v>
      </c>
      <c r="F397" s="10" t="s">
        <v>270</v>
      </c>
      <c r="G397" s="10" t="s">
        <v>3135</v>
      </c>
      <c r="H397" s="11" t="s">
        <v>3136</v>
      </c>
      <c r="I397" s="11" t="s">
        <v>3137</v>
      </c>
      <c r="J397" s="10" t="s">
        <v>1559</v>
      </c>
      <c r="K397" s="10" t="s">
        <v>1560</v>
      </c>
      <c r="L397" s="10" t="s">
        <v>1561</v>
      </c>
      <c r="M397" s="10" t="s">
        <v>270</v>
      </c>
      <c r="N397" s="10">
        <v>32</v>
      </c>
      <c r="O397" s="11">
        <v>103</v>
      </c>
      <c r="P397" s="11">
        <v>0.10299999999999999</v>
      </c>
      <c r="Q397" s="10" t="s">
        <v>1562</v>
      </c>
      <c r="R397" s="10">
        <v>80</v>
      </c>
      <c r="S397" s="12">
        <v>10</v>
      </c>
      <c r="T397" s="13">
        <v>36131</v>
      </c>
      <c r="U397" s="14">
        <v>3721.4929999999999</v>
      </c>
      <c r="V397" s="10">
        <v>5.87</v>
      </c>
      <c r="W397" s="15">
        <v>212088.97</v>
      </c>
      <c r="X397" s="29">
        <f>VLOOKUP($F397,Agendamento!$B:$J,9,0)</f>
        <v>46063</v>
      </c>
      <c r="Y397" s="6">
        <f>COUNTIF(Analise!F:F,'Obras e Acervos'!H397)</f>
        <v>1</v>
      </c>
    </row>
    <row r="398" spans="1:25" ht="15" customHeight="1" x14ac:dyDescent="0.25">
      <c r="A398" s="10" t="str">
        <f>CONCATENATE(LEFT(C398,12),"-",RIGHT(C398,2),"_",TEXT(X398,"ddmmaaaa"),"_",COUNTIF($C$2:C398,C398))</f>
        <v>196543370001-40_24022026_1</v>
      </c>
      <c r="B398" s="10" t="str">
        <f>CONCATENATE(LEFT(C398,12),"-",RIGHT(C398,2),"_",COUNTIF($C$2:C398,C398))</f>
        <v>196543370001-40_1</v>
      </c>
      <c r="C398" s="10" t="s">
        <v>3138</v>
      </c>
      <c r="D398" s="10" t="s">
        <v>6116</v>
      </c>
      <c r="E398" s="10" t="s">
        <v>1555</v>
      </c>
      <c r="F398" s="10" t="s">
        <v>834</v>
      </c>
      <c r="G398" s="10" t="s">
        <v>3139</v>
      </c>
      <c r="H398" s="11" t="s">
        <v>3140</v>
      </c>
      <c r="I398" s="11" t="s">
        <v>3141</v>
      </c>
      <c r="J398" s="10" t="s">
        <v>1559</v>
      </c>
      <c r="K398" s="10" t="s">
        <v>1560</v>
      </c>
      <c r="L398" s="10" t="s">
        <v>1561</v>
      </c>
      <c r="M398" s="10" t="s">
        <v>834</v>
      </c>
      <c r="N398" s="10">
        <v>32</v>
      </c>
      <c r="O398" s="11">
        <v>113</v>
      </c>
      <c r="P398" s="11">
        <v>0.113</v>
      </c>
      <c r="Q398" s="10" t="s">
        <v>1562</v>
      </c>
      <c r="R398" s="10">
        <v>80</v>
      </c>
      <c r="S398" s="12">
        <v>10</v>
      </c>
      <c r="T398" s="13">
        <v>58129</v>
      </c>
      <c r="U398" s="14">
        <v>6568.5770000000002</v>
      </c>
      <c r="V398" s="10">
        <v>4.55</v>
      </c>
      <c r="W398" s="15">
        <v>264486.95</v>
      </c>
      <c r="X398" s="29">
        <f>VLOOKUP($F398,Agendamento!$B:$J,9,0)</f>
        <v>46077</v>
      </c>
      <c r="Y398" s="6">
        <f>COUNTIF(Analise!F:F,'Obras e Acervos'!H398)</f>
        <v>1</v>
      </c>
    </row>
    <row r="399" spans="1:25" ht="15" customHeight="1" x14ac:dyDescent="0.25">
      <c r="A399" s="10" t="str">
        <f>CONCATENATE(LEFT(C399,12),"-",RIGHT(C399,2),"_",TEXT(X399,"ddmmaaaa"),"_",COUNTIF($C$2:C399,C399))</f>
        <v>014472430001-35_23022026_1</v>
      </c>
      <c r="B399" s="10" t="str">
        <f>CONCATENATE(LEFT(C399,12),"-",RIGHT(C399,2),"_",COUNTIF($C$2:C399,C399))</f>
        <v>014472430001-35_1</v>
      </c>
      <c r="C399" s="10" t="s">
        <v>3142</v>
      </c>
      <c r="D399" s="10" t="s">
        <v>746</v>
      </c>
      <c r="E399" s="10" t="s">
        <v>1555</v>
      </c>
      <c r="F399" s="10" t="s">
        <v>747</v>
      </c>
      <c r="G399" s="10" t="s">
        <v>3143</v>
      </c>
      <c r="H399" s="11" t="s">
        <v>3144</v>
      </c>
      <c r="I399" s="11" t="s">
        <v>3145</v>
      </c>
      <c r="J399" s="10" t="s">
        <v>1559</v>
      </c>
      <c r="K399" s="10" t="s">
        <v>1560</v>
      </c>
      <c r="L399" s="10" t="s">
        <v>1561</v>
      </c>
      <c r="M399" s="10" t="s">
        <v>747</v>
      </c>
      <c r="N399" s="10">
        <v>60</v>
      </c>
      <c r="O399" s="11">
        <v>284</v>
      </c>
      <c r="P399" s="11">
        <v>0.28399999999999997</v>
      </c>
      <c r="Q399" s="10" t="s">
        <v>1562</v>
      </c>
      <c r="R399" s="10">
        <v>80</v>
      </c>
      <c r="S399" s="12">
        <v>10</v>
      </c>
      <c r="T399" s="13">
        <v>33207</v>
      </c>
      <c r="U399" s="14">
        <v>9430.7879999999986</v>
      </c>
      <c r="V399" s="10">
        <v>9.08</v>
      </c>
      <c r="W399" s="15">
        <v>301519.56</v>
      </c>
      <c r="X399" s="29">
        <f>VLOOKUP($F399,Agendamento!$B:$J,9,0)</f>
        <v>46076</v>
      </c>
      <c r="Y399" s="6">
        <f>COUNTIF(Analise!F:F,'Obras e Acervos'!H399)</f>
        <v>1</v>
      </c>
    </row>
    <row r="400" spans="1:25" ht="15" customHeight="1" x14ac:dyDescent="0.25">
      <c r="A400" s="10" t="str">
        <f>CONCATENATE(LEFT(C400,12),"-",RIGHT(C400,2),"_",TEXT(X400,"ddmmaaaa"),"_",COUNTIF($C$2:C400,C400))</f>
        <v>199080820001-03_12022026_1</v>
      </c>
      <c r="B400" s="10" t="str">
        <f>CONCATENATE(LEFT(C400,12),"-",RIGHT(C400,2),"_",COUNTIF($C$2:C400,C400))</f>
        <v>199080820001-03_1</v>
      </c>
      <c r="C400" s="10" t="s">
        <v>3146</v>
      </c>
      <c r="D400" s="10" t="s">
        <v>375</v>
      </c>
      <c r="E400" s="10" t="s">
        <v>1555</v>
      </c>
      <c r="F400" s="10" t="s">
        <v>376</v>
      </c>
      <c r="G400" s="10" t="s">
        <v>3147</v>
      </c>
      <c r="H400" s="11" t="s">
        <v>3148</v>
      </c>
      <c r="I400" s="11" t="s">
        <v>3149</v>
      </c>
      <c r="J400" s="10" t="s">
        <v>1559</v>
      </c>
      <c r="K400" s="10" t="s">
        <v>1560</v>
      </c>
      <c r="L400" s="10" t="s">
        <v>1561</v>
      </c>
      <c r="M400" s="10" t="s">
        <v>376</v>
      </c>
      <c r="N400" s="10">
        <v>32</v>
      </c>
      <c r="O400" s="11">
        <v>108</v>
      </c>
      <c r="P400" s="11">
        <v>0.108</v>
      </c>
      <c r="Q400" s="10" t="s">
        <v>1562</v>
      </c>
      <c r="R400" s="10">
        <v>80</v>
      </c>
      <c r="S400" s="12">
        <v>10</v>
      </c>
      <c r="T400" s="13">
        <v>44160</v>
      </c>
      <c r="U400" s="14">
        <v>4769.28</v>
      </c>
      <c r="V400" s="10">
        <v>5.13</v>
      </c>
      <c r="W400" s="15">
        <v>226540.79999999999</v>
      </c>
      <c r="X400" s="29">
        <f>VLOOKUP($F400,Agendamento!$B:$J,9,0)</f>
        <v>46065</v>
      </c>
      <c r="Y400" s="6">
        <f>COUNTIF(Analise!F:F,'Obras e Acervos'!H400)</f>
        <v>1</v>
      </c>
    </row>
    <row r="401" spans="1:25" ht="15" customHeight="1" x14ac:dyDescent="0.25">
      <c r="A401" s="10" t="str">
        <f>CONCATENATE(LEFT(C401,12),"-",RIGHT(C401,2),"_",TEXT(X401,"ddmmaaaa"),"_",COUNTIF($C$2:C401,C401))</f>
        <v>398843010001-60_09022026_1</v>
      </c>
      <c r="B401" s="10" t="str">
        <f>CONCATENATE(LEFT(C401,12),"-",RIGHT(C401,2),"_",COUNTIF($C$2:C401,C401))</f>
        <v>398843010001-60_1</v>
      </c>
      <c r="C401" s="10" t="s">
        <v>3150</v>
      </c>
      <c r="D401" s="10" t="s">
        <v>6117</v>
      </c>
      <c r="E401" s="10" t="s">
        <v>1555</v>
      </c>
      <c r="F401" s="10" t="s">
        <v>219</v>
      </c>
      <c r="G401" s="10" t="s">
        <v>3151</v>
      </c>
      <c r="H401" s="11" t="s">
        <v>3152</v>
      </c>
      <c r="I401" s="11" t="s">
        <v>3153</v>
      </c>
      <c r="J401" s="10" t="s">
        <v>1559</v>
      </c>
      <c r="K401" s="10" t="s">
        <v>1560</v>
      </c>
      <c r="L401" s="10" t="s">
        <v>1561</v>
      </c>
      <c r="M401" s="10" t="s">
        <v>219</v>
      </c>
      <c r="N401" s="10">
        <v>32</v>
      </c>
      <c r="O401" s="11">
        <v>105</v>
      </c>
      <c r="P401" s="11">
        <v>0.105</v>
      </c>
      <c r="Q401" s="10" t="s">
        <v>1562</v>
      </c>
      <c r="R401" s="10">
        <v>80</v>
      </c>
      <c r="S401" s="12">
        <v>10</v>
      </c>
      <c r="T401" s="13">
        <v>40645</v>
      </c>
      <c r="U401" s="14">
        <v>4267.7249999999995</v>
      </c>
      <c r="V401" s="10">
        <v>5.43</v>
      </c>
      <c r="W401" s="15">
        <v>220702.34999999998</v>
      </c>
      <c r="X401" s="29">
        <f>VLOOKUP($F401,Agendamento!$B:$J,9,0)</f>
        <v>46062</v>
      </c>
      <c r="Y401" s="6">
        <f>COUNTIF(Analise!F:F,'Obras e Acervos'!H401)</f>
        <v>1</v>
      </c>
    </row>
    <row r="402" spans="1:25" ht="15" customHeight="1" x14ac:dyDescent="0.25">
      <c r="A402" s="10" t="str">
        <f>CONCATENATE(LEFT(C402,12),"-",RIGHT(C402,2),"_",TEXT(X402,"ddmmaaaa"),"_",COUNTIF($C$2:C402,C402))</f>
        <v>339554360001-93_02032026_1</v>
      </c>
      <c r="B402" s="10" t="str">
        <f>CONCATENATE(LEFT(C402,12),"-",RIGHT(C402,2),"_",COUNTIF($C$2:C402,C402))</f>
        <v>339554360001-93_1</v>
      </c>
      <c r="C402" s="10" t="s">
        <v>3154</v>
      </c>
      <c r="D402" s="10" t="s">
        <v>678</v>
      </c>
      <c r="E402" s="10" t="s">
        <v>1555</v>
      </c>
      <c r="F402" s="10" t="s">
        <v>1046</v>
      </c>
      <c r="G402" s="10" t="s">
        <v>3155</v>
      </c>
      <c r="H402" s="11" t="s">
        <v>3156</v>
      </c>
      <c r="I402" s="11" t="s">
        <v>3157</v>
      </c>
      <c r="J402" s="10" t="s">
        <v>1559</v>
      </c>
      <c r="K402" s="10" t="s">
        <v>1560</v>
      </c>
      <c r="L402" s="10" t="s">
        <v>1561</v>
      </c>
      <c r="M402" s="10" t="s">
        <v>1046</v>
      </c>
      <c r="N402" s="10">
        <v>24</v>
      </c>
      <c r="O402" s="11">
        <v>86</v>
      </c>
      <c r="P402" s="11">
        <v>8.5999999999999993E-2</v>
      </c>
      <c r="Q402" s="10" t="s">
        <v>1562</v>
      </c>
      <c r="R402" s="10">
        <v>80</v>
      </c>
      <c r="S402" s="12">
        <v>10</v>
      </c>
      <c r="T402" s="13">
        <v>33631</v>
      </c>
      <c r="U402" s="14">
        <v>2892.2659999999996</v>
      </c>
      <c r="V402" s="10">
        <v>5.05</v>
      </c>
      <c r="W402" s="15">
        <v>169836.55</v>
      </c>
      <c r="X402" s="29">
        <f>VLOOKUP($F402,Agendamento!$B:$J,9,0)</f>
        <v>46083</v>
      </c>
      <c r="Y402" s="6">
        <f>COUNTIF(Analise!F:F,'Obras e Acervos'!H402)</f>
        <v>1</v>
      </c>
    </row>
    <row r="403" spans="1:25" ht="15" customHeight="1" x14ac:dyDescent="0.25">
      <c r="A403" s="10" t="str">
        <f>CONCATENATE(LEFT(C403,12),"-",RIGHT(C403,2),"_",TEXT(X403,"ddmmaaaa"),"_",COUNTIF($C$2:C403,C403))</f>
        <v>378498960001-98_11032026_2</v>
      </c>
      <c r="B403" s="10" t="str">
        <f>CONCATENATE(LEFT(C403,12),"-",RIGHT(C403,2),"_",COUNTIF($C$2:C403,C403))</f>
        <v>378498960001-98_2</v>
      </c>
      <c r="C403" s="10" t="s">
        <v>2836</v>
      </c>
      <c r="D403" s="10" t="s">
        <v>1017</v>
      </c>
      <c r="E403" s="10" t="s">
        <v>1574</v>
      </c>
      <c r="F403" s="10" t="s">
        <v>1342</v>
      </c>
      <c r="G403" s="10" t="s">
        <v>3158</v>
      </c>
      <c r="H403" s="11" t="s">
        <v>3159</v>
      </c>
      <c r="I403" s="11" t="s">
        <v>3160</v>
      </c>
      <c r="J403" s="10" t="s">
        <v>1559</v>
      </c>
      <c r="K403" s="10" t="s">
        <v>1560</v>
      </c>
      <c r="L403" s="10" t="s">
        <v>1578</v>
      </c>
      <c r="M403" s="10" t="s">
        <v>1342</v>
      </c>
      <c r="N403" s="10">
        <v>44</v>
      </c>
      <c r="O403" s="11">
        <v>136</v>
      </c>
      <c r="P403" s="11">
        <v>0.13600000000000001</v>
      </c>
      <c r="Q403" s="10" t="s">
        <v>1562</v>
      </c>
      <c r="R403" s="10">
        <v>80</v>
      </c>
      <c r="S403" s="12">
        <v>11</v>
      </c>
      <c r="T403" s="13">
        <v>45512</v>
      </c>
      <c r="U403" s="14">
        <v>6189.6320000000005</v>
      </c>
      <c r="V403" s="10">
        <v>6.27</v>
      </c>
      <c r="W403" s="15">
        <v>285360.24</v>
      </c>
      <c r="X403" s="29">
        <f>VLOOKUP($F403,Agendamento!$B:$J,9,0)</f>
        <v>46092</v>
      </c>
      <c r="Y403" s="6">
        <f>COUNTIF(Analise!F:F,'Obras e Acervos'!H403)</f>
        <v>1</v>
      </c>
    </row>
    <row r="404" spans="1:25" ht="15" customHeight="1" x14ac:dyDescent="0.25">
      <c r="A404" s="10" t="str">
        <f>CONCATENATE(LEFT(C404,12),"-",RIGHT(C404,2),"_",TEXT(X404,"ddmmaaaa"),"_",COUNTIF($C$2:C404,C404))</f>
        <v>093691040001-42_03032026_2</v>
      </c>
      <c r="B404" s="10" t="str">
        <f>CONCATENATE(LEFT(C404,12),"-",RIGHT(C404,2),"_",COUNTIF($C$2:C404,C404))</f>
        <v>093691040001-42_2</v>
      </c>
      <c r="C404" s="10" t="s">
        <v>2038</v>
      </c>
      <c r="D404" s="10" t="s">
        <v>5956</v>
      </c>
      <c r="E404" s="10" t="s">
        <v>1574</v>
      </c>
      <c r="F404" s="10" t="s">
        <v>1128</v>
      </c>
      <c r="G404" s="10" t="s">
        <v>3161</v>
      </c>
      <c r="H404" s="11" t="s">
        <v>3162</v>
      </c>
      <c r="I404" s="11" t="s">
        <v>3163</v>
      </c>
      <c r="J404" s="10" t="s">
        <v>1559</v>
      </c>
      <c r="K404" s="10" t="s">
        <v>1560</v>
      </c>
      <c r="L404" s="10" t="s">
        <v>1578</v>
      </c>
      <c r="M404" s="10" t="s">
        <v>1128</v>
      </c>
      <c r="N404" s="10">
        <v>56</v>
      </c>
      <c r="O404" s="11">
        <v>160</v>
      </c>
      <c r="P404" s="11">
        <v>0.16</v>
      </c>
      <c r="Q404" s="10" t="s">
        <v>1562</v>
      </c>
      <c r="R404" s="10">
        <v>75</v>
      </c>
      <c r="S404" s="12">
        <v>11</v>
      </c>
      <c r="T404" s="13">
        <v>57965</v>
      </c>
      <c r="U404" s="14">
        <v>9274.4</v>
      </c>
      <c r="V404" s="10">
        <v>6.59</v>
      </c>
      <c r="W404" s="15">
        <v>381989.35</v>
      </c>
      <c r="X404" s="29">
        <f>VLOOKUP($F404,Agendamento!$B:$J,9,0)</f>
        <v>46084</v>
      </c>
      <c r="Y404" s="6">
        <f>COUNTIF(Analise!F:F,'Obras e Acervos'!H404)</f>
        <v>1</v>
      </c>
    </row>
    <row r="405" spans="1:25" ht="15" customHeight="1" x14ac:dyDescent="0.25">
      <c r="A405" s="10" t="str">
        <f>CONCATENATE(LEFT(C405,12),"-",RIGHT(C405,2),"_",TEXT(X405,"ddmmaaaa"),"_",COUNTIF($C$2:C405,C405))</f>
        <v>076219050001-28_11022026_2</v>
      </c>
      <c r="B405" s="10" t="str">
        <f>CONCATENATE(LEFT(C405,12),"-",RIGHT(C405,2),"_",COUNTIF($C$2:C405,C405))</f>
        <v>076219050001-28_2</v>
      </c>
      <c r="C405" s="10" t="s">
        <v>2206</v>
      </c>
      <c r="D405" s="10" t="s">
        <v>291</v>
      </c>
      <c r="E405" s="10" t="s">
        <v>1574</v>
      </c>
      <c r="F405" s="10" t="s">
        <v>292</v>
      </c>
      <c r="G405" s="10" t="s">
        <v>3164</v>
      </c>
      <c r="H405" s="11" t="s">
        <v>3165</v>
      </c>
      <c r="I405" s="11" t="s">
        <v>3166</v>
      </c>
      <c r="J405" s="10" t="s">
        <v>1559</v>
      </c>
      <c r="K405" s="10" t="s">
        <v>1560</v>
      </c>
      <c r="L405" s="10" t="s">
        <v>1578</v>
      </c>
      <c r="M405" s="10" t="s">
        <v>292</v>
      </c>
      <c r="N405" s="10">
        <v>40</v>
      </c>
      <c r="O405" s="11">
        <v>140</v>
      </c>
      <c r="P405" s="11">
        <v>0.14000000000000001</v>
      </c>
      <c r="Q405" s="10" t="s">
        <v>1562</v>
      </c>
      <c r="R405" s="10">
        <v>80</v>
      </c>
      <c r="S405" s="12">
        <v>11</v>
      </c>
      <c r="T405" s="13">
        <v>41664</v>
      </c>
      <c r="U405" s="14">
        <v>5832.9600000000009</v>
      </c>
      <c r="V405" s="10">
        <v>6.25</v>
      </c>
      <c r="W405" s="15">
        <v>260400</v>
      </c>
      <c r="X405" s="29">
        <f>VLOOKUP($F405,Agendamento!$B:$J,9,0)</f>
        <v>46064</v>
      </c>
      <c r="Y405" s="6">
        <f>COUNTIF(Analise!F:F,'Obras e Acervos'!H405)</f>
        <v>1</v>
      </c>
    </row>
    <row r="406" spans="1:25" ht="15" customHeight="1" x14ac:dyDescent="0.25">
      <c r="A406" s="10" t="str">
        <f>CONCATENATE(LEFT(C406,12),"-",RIGHT(C406,2),"_",TEXT(X406,"ddmmaaaa"),"_",COUNTIF($C$2:C406,C406))</f>
        <v>442288440001-60_18032026_2</v>
      </c>
      <c r="B406" s="10" t="str">
        <f>CONCATENATE(LEFT(C406,12),"-",RIGHT(C406,2),"_",COUNTIF($C$2:C406,C406))</f>
        <v>442288440001-60_2</v>
      </c>
      <c r="C406" s="10" t="s">
        <v>2542</v>
      </c>
      <c r="D406" s="10" t="s">
        <v>6030</v>
      </c>
      <c r="E406" s="10" t="s">
        <v>1574</v>
      </c>
      <c r="F406" s="10" t="s">
        <v>1483</v>
      </c>
      <c r="G406" s="10" t="s">
        <v>3167</v>
      </c>
      <c r="H406" s="11" t="s">
        <v>3168</v>
      </c>
      <c r="I406" s="11" t="s">
        <v>3169</v>
      </c>
      <c r="J406" s="10" t="s">
        <v>1559</v>
      </c>
      <c r="K406" s="10" t="s">
        <v>1560</v>
      </c>
      <c r="L406" s="10" t="s">
        <v>1578</v>
      </c>
      <c r="M406" s="10" t="s">
        <v>1483</v>
      </c>
      <c r="N406" s="10">
        <v>136</v>
      </c>
      <c r="O406" s="11">
        <v>160</v>
      </c>
      <c r="P406" s="11">
        <v>0.16</v>
      </c>
      <c r="Q406" s="10" t="s">
        <v>1608</v>
      </c>
      <c r="R406" s="10">
        <v>80</v>
      </c>
      <c r="S406" s="12">
        <v>11</v>
      </c>
      <c r="T406" s="13">
        <v>33074</v>
      </c>
      <c r="U406" s="14">
        <v>5291.84</v>
      </c>
      <c r="V406" s="10">
        <v>14.25</v>
      </c>
      <c r="W406" s="15">
        <v>471304.5</v>
      </c>
      <c r="X406" s="29">
        <f>VLOOKUP($F406,Agendamento!$B:$J,9,0)</f>
        <v>46099</v>
      </c>
      <c r="Y406" s="6">
        <f>COUNTIF(Analise!F:F,'Obras e Acervos'!H406)</f>
        <v>1</v>
      </c>
    </row>
    <row r="407" spans="1:25" ht="15" customHeight="1" x14ac:dyDescent="0.25">
      <c r="A407" s="10" t="str">
        <f>CONCATENATE(LEFT(C407,12),"-",RIGHT(C407,2),"_",TEXT(X407,"ddmmaaaa"),"_",COUNTIF($C$2:C407,C407))</f>
        <v>442293190001-69_12032026_2</v>
      </c>
      <c r="B407" s="10" t="str">
        <f>CONCATENATE(LEFT(C407,12),"-",RIGHT(C407,2),"_",COUNTIF($C$2:C407,C407))</f>
        <v>442293190001-69_2</v>
      </c>
      <c r="C407" s="10" t="s">
        <v>2546</v>
      </c>
      <c r="D407" s="10" t="s">
        <v>6031</v>
      </c>
      <c r="E407" s="10" t="s">
        <v>1574</v>
      </c>
      <c r="F407" s="10" t="s">
        <v>1445</v>
      </c>
      <c r="G407" s="10" t="s">
        <v>3170</v>
      </c>
      <c r="H407" s="11" t="s">
        <v>3171</v>
      </c>
      <c r="I407" s="11" t="s">
        <v>3172</v>
      </c>
      <c r="J407" s="10" t="s">
        <v>1559</v>
      </c>
      <c r="K407" s="10" t="s">
        <v>1560</v>
      </c>
      <c r="L407" s="10" t="s">
        <v>1578</v>
      </c>
      <c r="M407" s="10" t="s">
        <v>1445</v>
      </c>
      <c r="N407" s="10">
        <v>48</v>
      </c>
      <c r="O407" s="11">
        <v>115</v>
      </c>
      <c r="P407" s="11">
        <v>0.115</v>
      </c>
      <c r="Q407" s="10" t="s">
        <v>1562</v>
      </c>
      <c r="R407" s="10">
        <v>80</v>
      </c>
      <c r="S407" s="12">
        <v>11</v>
      </c>
      <c r="T407" s="13">
        <v>48117</v>
      </c>
      <c r="U407" s="14">
        <v>5533.4549999999999</v>
      </c>
      <c r="V407" s="10">
        <v>6.24</v>
      </c>
      <c r="W407" s="15">
        <v>300250.08</v>
      </c>
      <c r="X407" s="29">
        <f>VLOOKUP($F407,Agendamento!$B:$J,9,0)</f>
        <v>46093</v>
      </c>
      <c r="Y407" s="6">
        <f>COUNTIF(Analise!F:F,'Obras e Acervos'!H407)</f>
        <v>1</v>
      </c>
    </row>
    <row r="408" spans="1:25" ht="15" customHeight="1" x14ac:dyDescent="0.25">
      <c r="A408" s="10" t="str">
        <f>CONCATENATE(LEFT(C408,12),"-",RIGHT(C408,2),"_",TEXT(X408,"ddmmaaaa"),"_",COUNTIF($C$2:C408,C408))</f>
        <v>265720740001-96_29012026_2</v>
      </c>
      <c r="B408" s="10" t="str">
        <f>CONCATENATE(LEFT(C408,12),"-",RIGHT(C408,2),"_",COUNTIF($C$2:C408,C408))</f>
        <v>265720740001-96_2</v>
      </c>
      <c r="C408" s="10" t="s">
        <v>1906</v>
      </c>
      <c r="D408" s="10" t="s">
        <v>5942</v>
      </c>
      <c r="E408" s="10" t="s">
        <v>1574</v>
      </c>
      <c r="F408" s="10" t="s">
        <v>99</v>
      </c>
      <c r="G408" s="10" t="s">
        <v>3173</v>
      </c>
      <c r="H408" s="11" t="s">
        <v>3174</v>
      </c>
      <c r="I408" s="11" t="s">
        <v>3175</v>
      </c>
      <c r="J408" s="10" t="s">
        <v>1559</v>
      </c>
      <c r="K408" s="10" t="s">
        <v>1560</v>
      </c>
      <c r="L408" s="10" t="s">
        <v>1578</v>
      </c>
      <c r="M408" s="10" t="s">
        <v>6214</v>
      </c>
      <c r="N408" s="10">
        <v>48</v>
      </c>
      <c r="O408" s="11">
        <v>115</v>
      </c>
      <c r="P408" s="11">
        <v>0.115</v>
      </c>
      <c r="Q408" s="10" t="s">
        <v>1562</v>
      </c>
      <c r="R408" s="10">
        <v>80</v>
      </c>
      <c r="S408" s="12">
        <v>11</v>
      </c>
      <c r="T408" s="13">
        <v>31089</v>
      </c>
      <c r="U408" s="14">
        <v>3575.2350000000001</v>
      </c>
      <c r="V408" s="10">
        <v>8.3000000000000007</v>
      </c>
      <c r="W408" s="15">
        <v>258038.7</v>
      </c>
      <c r="X408" s="29">
        <f>VLOOKUP($F408,Agendamento!$B:$J,9,0)</f>
        <v>46051</v>
      </c>
      <c r="Y408" s="6">
        <f>COUNTIF(Analise!F:F,'Obras e Acervos'!H408)</f>
        <v>1</v>
      </c>
    </row>
    <row r="409" spans="1:25" ht="15" customHeight="1" x14ac:dyDescent="0.25">
      <c r="A409" s="10" t="str">
        <f>CONCATENATE(LEFT(C409,12),"-",RIGHT(C409,2),"_",TEXT(X409,"ddmmaaaa"),"_",COUNTIF($C$2:C409,C409))</f>
        <v>334957710001-56_25022026_2</v>
      </c>
      <c r="B409" s="10" t="str">
        <f>CONCATENATE(LEFT(C409,12),"-",RIGHT(C409,2),"_",COUNTIF($C$2:C409,C409))</f>
        <v>334957710001-56_2</v>
      </c>
      <c r="C409" s="10" t="s">
        <v>2860</v>
      </c>
      <c r="D409" s="10" t="s">
        <v>6080</v>
      </c>
      <c r="E409" s="10" t="s">
        <v>1574</v>
      </c>
      <c r="F409" s="10" t="s">
        <v>840</v>
      </c>
      <c r="G409" s="10" t="s">
        <v>3176</v>
      </c>
      <c r="H409" s="11" t="s">
        <v>3177</v>
      </c>
      <c r="I409" s="11" t="s">
        <v>3178</v>
      </c>
      <c r="J409" s="10" t="s">
        <v>1559</v>
      </c>
      <c r="K409" s="10" t="s">
        <v>1560</v>
      </c>
      <c r="L409" s="10" t="s">
        <v>1578</v>
      </c>
      <c r="M409" s="10" t="s">
        <v>840</v>
      </c>
      <c r="N409" s="10">
        <v>56</v>
      </c>
      <c r="O409" s="11">
        <v>175</v>
      </c>
      <c r="P409" s="11">
        <v>0.17499999999999999</v>
      </c>
      <c r="Q409" s="10" t="s">
        <v>1562</v>
      </c>
      <c r="R409" s="10">
        <v>80</v>
      </c>
      <c r="S409" s="12">
        <v>11</v>
      </c>
      <c r="T409" s="13">
        <v>59192</v>
      </c>
      <c r="U409" s="14">
        <v>10358.599999999999</v>
      </c>
      <c r="V409" s="10">
        <v>6.72</v>
      </c>
      <c r="W409" s="15">
        <v>397770.23999999999</v>
      </c>
      <c r="X409" s="29">
        <f>VLOOKUP($F409,Agendamento!$B:$J,9,0)</f>
        <v>46078</v>
      </c>
      <c r="Y409" s="6">
        <f>COUNTIF(Analise!F:F,'Obras e Acervos'!H409)</f>
        <v>1</v>
      </c>
    </row>
    <row r="410" spans="1:25" ht="15" customHeight="1" x14ac:dyDescent="0.25">
      <c r="A410" s="10" t="str">
        <f>CONCATENATE(LEFT(C410,12),"-",RIGHT(C410,2),"_",TEXT(X410,"ddmmaaaa"),"_",COUNTIF($C$2:C410,C410))</f>
        <v>011836130001-74_03022026_2</v>
      </c>
      <c r="B410" s="10" t="str">
        <f>CONCATENATE(LEFT(C410,12),"-",RIGHT(C410,2),"_",COUNTIF($C$2:C410,C410))</f>
        <v>011836130001-74_2</v>
      </c>
      <c r="C410" s="10" t="s">
        <v>2868</v>
      </c>
      <c r="D410" s="10" t="s">
        <v>126</v>
      </c>
      <c r="E410" s="10" t="s">
        <v>1574</v>
      </c>
      <c r="F410" s="10" t="s">
        <v>128</v>
      </c>
      <c r="G410" s="10" t="s">
        <v>3179</v>
      </c>
      <c r="H410" s="11" t="s">
        <v>3180</v>
      </c>
      <c r="I410" s="11" t="s">
        <v>3181</v>
      </c>
      <c r="J410" s="10" t="s">
        <v>1559</v>
      </c>
      <c r="K410" s="10" t="s">
        <v>1560</v>
      </c>
      <c r="L410" s="10" t="s">
        <v>1578</v>
      </c>
      <c r="M410" s="10" t="s">
        <v>128</v>
      </c>
      <c r="N410" s="10">
        <v>32</v>
      </c>
      <c r="O410" s="11">
        <v>96</v>
      </c>
      <c r="P410" s="11">
        <v>9.6000000000000002E-2</v>
      </c>
      <c r="Q410" s="10" t="s">
        <v>1562</v>
      </c>
      <c r="R410" s="10">
        <v>75</v>
      </c>
      <c r="S410" s="12">
        <v>11</v>
      </c>
      <c r="T410" s="13">
        <v>32589</v>
      </c>
      <c r="U410" s="14">
        <v>3128.5439999999999</v>
      </c>
      <c r="V410" s="10">
        <v>5.89</v>
      </c>
      <c r="W410" s="15">
        <v>191949.21</v>
      </c>
      <c r="X410" s="29">
        <f>VLOOKUP($F410,Agendamento!$B:$J,9,0)</f>
        <v>46056</v>
      </c>
      <c r="Y410" s="6">
        <f>COUNTIF(Analise!F:F,'Obras e Acervos'!H410)</f>
        <v>1</v>
      </c>
    </row>
    <row r="411" spans="1:25" ht="15" customHeight="1" x14ac:dyDescent="0.25">
      <c r="A411" s="10" t="str">
        <f>CONCATENATE(LEFT(C411,12),"-",RIGHT(C411,2),"_",TEXT(X411,"ddmmaaaa"),"_",COUNTIF($C$2:C411,C411))</f>
        <v>434145810001-10_02032026_1</v>
      </c>
      <c r="B411" s="10" t="str">
        <f>CONCATENATE(LEFT(C411,12),"-",RIGHT(C411,2),"_",COUNTIF($C$2:C411,C411))</f>
        <v>434145810001-10_1</v>
      </c>
      <c r="C411" s="10" t="s">
        <v>3182</v>
      </c>
      <c r="D411" s="10" t="s">
        <v>6118</v>
      </c>
      <c r="E411" s="10" t="s">
        <v>1574</v>
      </c>
      <c r="F411" s="10" t="s">
        <v>1049</v>
      </c>
      <c r="G411" s="10" t="s">
        <v>3183</v>
      </c>
      <c r="H411" s="11" t="s">
        <v>3184</v>
      </c>
      <c r="I411" s="11" t="s">
        <v>3185</v>
      </c>
      <c r="J411" s="10" t="s">
        <v>1559</v>
      </c>
      <c r="K411" s="10" t="s">
        <v>1560</v>
      </c>
      <c r="L411" s="10" t="s">
        <v>1578</v>
      </c>
      <c r="M411" s="10" t="s">
        <v>1049</v>
      </c>
      <c r="N411" s="10">
        <v>40</v>
      </c>
      <c r="O411" s="11">
        <v>104</v>
      </c>
      <c r="P411" s="11">
        <v>0.104</v>
      </c>
      <c r="Q411" s="10" t="s">
        <v>1562</v>
      </c>
      <c r="R411" s="10">
        <v>80</v>
      </c>
      <c r="S411" s="12">
        <v>11</v>
      </c>
      <c r="T411" s="13">
        <v>32801</v>
      </c>
      <c r="U411" s="14">
        <v>3411.3039999999996</v>
      </c>
      <c r="V411" s="10">
        <v>6.86</v>
      </c>
      <c r="W411" s="15">
        <v>225014.86000000002</v>
      </c>
      <c r="X411" s="29">
        <f>VLOOKUP($F411,Agendamento!$B:$J,9,0)</f>
        <v>46083</v>
      </c>
      <c r="Y411" s="6">
        <f>COUNTIF(Analise!F:F,'Obras e Acervos'!H411)</f>
        <v>1</v>
      </c>
    </row>
    <row r="412" spans="1:25" ht="15" customHeight="1" x14ac:dyDescent="0.25">
      <c r="A412" s="10" t="str">
        <f>CONCATENATE(LEFT(C412,12),"-",RIGHT(C412,2),"_",TEXT(X412,"ddmmaaaa"),"_",COUNTIF($C$2:C412,C412))</f>
        <v>436797040001-45_18032026_1</v>
      </c>
      <c r="B412" s="10" t="str">
        <f>CONCATENATE(LEFT(C412,12),"-",RIGHT(C412,2),"_",COUNTIF($C$2:C412,C412))</f>
        <v>436797040001-45_1</v>
      </c>
      <c r="C412" s="10" t="s">
        <v>3186</v>
      </c>
      <c r="D412" s="10" t="s">
        <v>6119</v>
      </c>
      <c r="E412" s="10" t="s">
        <v>1574</v>
      </c>
      <c r="F412" s="10" t="s">
        <v>1507</v>
      </c>
      <c r="G412" s="10" t="s">
        <v>3187</v>
      </c>
      <c r="H412" s="11" t="s">
        <v>3188</v>
      </c>
      <c r="I412" s="11" t="s">
        <v>3189</v>
      </c>
      <c r="J412" s="10" t="s">
        <v>1559</v>
      </c>
      <c r="K412" s="10" t="s">
        <v>1560</v>
      </c>
      <c r="L412" s="10" t="s">
        <v>1578</v>
      </c>
      <c r="M412" s="10" t="s">
        <v>6215</v>
      </c>
      <c r="N412" s="10">
        <v>96</v>
      </c>
      <c r="O412" s="11">
        <v>257</v>
      </c>
      <c r="P412" s="11">
        <v>0.25700000000000001</v>
      </c>
      <c r="Q412" s="10" t="s">
        <v>1562</v>
      </c>
      <c r="R412" s="10">
        <v>80</v>
      </c>
      <c r="S412" s="12">
        <v>11</v>
      </c>
      <c r="T412" s="13">
        <v>35088</v>
      </c>
      <c r="U412" s="14">
        <v>9017.616</v>
      </c>
      <c r="V412" s="10">
        <v>13.02</v>
      </c>
      <c r="W412" s="15">
        <v>456845.76</v>
      </c>
      <c r="X412" s="29">
        <f>VLOOKUP($F412,Agendamento!$B:$J,9,0)</f>
        <v>46099</v>
      </c>
      <c r="Y412" s="6">
        <f>COUNTIF(Analise!F:F,'Obras e Acervos'!H412)</f>
        <v>1</v>
      </c>
    </row>
    <row r="413" spans="1:25" ht="15" customHeight="1" x14ac:dyDescent="0.25">
      <c r="A413" s="10" t="str">
        <f>CONCATENATE(LEFT(C413,12),"-",RIGHT(C413,2),"_",TEXT(X413,"ddmmaaaa"),"_",COUNTIF($C$2:C413,C413))</f>
        <v>048643160001-82_05022026_2</v>
      </c>
      <c r="B413" s="10" t="str">
        <f>CONCATENATE(LEFT(C413,12),"-",RIGHT(C413,2),"_",COUNTIF($C$2:C413,C413))</f>
        <v>048643160001-82_2</v>
      </c>
      <c r="C413" s="10" t="s">
        <v>2570</v>
      </c>
      <c r="D413" s="10" t="s">
        <v>167</v>
      </c>
      <c r="E413" s="10" t="s">
        <v>1574</v>
      </c>
      <c r="F413" s="10" t="s">
        <v>168</v>
      </c>
      <c r="G413" s="10" t="s">
        <v>3190</v>
      </c>
      <c r="H413" s="11" t="s">
        <v>3191</v>
      </c>
      <c r="I413" s="11" t="s">
        <v>3192</v>
      </c>
      <c r="J413" s="10" t="s">
        <v>1559</v>
      </c>
      <c r="K413" s="10" t="s">
        <v>1560</v>
      </c>
      <c r="L413" s="10" t="s">
        <v>1578</v>
      </c>
      <c r="M413" s="10" t="s">
        <v>168</v>
      </c>
      <c r="N413" s="10">
        <v>32</v>
      </c>
      <c r="O413" s="11">
        <v>103</v>
      </c>
      <c r="P413" s="11">
        <v>0.10299999999999999</v>
      </c>
      <c r="Q413" s="10" t="s">
        <v>1562</v>
      </c>
      <c r="R413" s="10">
        <v>80</v>
      </c>
      <c r="S413" s="12">
        <v>11</v>
      </c>
      <c r="T413" s="13">
        <v>32483</v>
      </c>
      <c r="U413" s="14">
        <v>3345.7489999999998</v>
      </c>
      <c r="V413" s="10">
        <v>6.34</v>
      </c>
      <c r="W413" s="15">
        <v>205942.22</v>
      </c>
      <c r="X413" s="29">
        <f>VLOOKUP($F413,Agendamento!$B:$J,9,0)</f>
        <v>46058</v>
      </c>
      <c r="Y413" s="6">
        <f>COUNTIF(Analise!F:F,'Obras e Acervos'!H413)</f>
        <v>1</v>
      </c>
    </row>
    <row r="414" spans="1:25" ht="15" customHeight="1" x14ac:dyDescent="0.25">
      <c r="A414" s="10" t="str">
        <f>CONCATENATE(LEFT(C414,12),"-",RIGHT(C414,2),"_",TEXT(X414,"ddmmaaaa"),"_",COUNTIF($C$2:C414,C414))</f>
        <v>309102720001-90_25022026_2</v>
      </c>
      <c r="B414" s="10" t="str">
        <f>CONCATENATE(LEFT(C414,12),"-",RIGHT(C414,2),"_",COUNTIF($C$2:C414,C414))</f>
        <v>309102720001-90_2</v>
      </c>
      <c r="C414" s="10" t="s">
        <v>2250</v>
      </c>
      <c r="D414" s="10" t="s">
        <v>875</v>
      </c>
      <c r="E414" s="10" t="s">
        <v>1574</v>
      </c>
      <c r="F414" s="10" t="s">
        <v>878</v>
      </c>
      <c r="G414" s="10" t="s">
        <v>3193</v>
      </c>
      <c r="H414" s="11" t="s">
        <v>3194</v>
      </c>
      <c r="I414" s="11" t="s">
        <v>3195</v>
      </c>
      <c r="J414" s="10" t="s">
        <v>1559</v>
      </c>
      <c r="K414" s="10" t="s">
        <v>1560</v>
      </c>
      <c r="L414" s="10" t="s">
        <v>1578</v>
      </c>
      <c r="M414" s="10" t="s">
        <v>878</v>
      </c>
      <c r="N414" s="10">
        <v>44</v>
      </c>
      <c r="O414" s="11">
        <v>128</v>
      </c>
      <c r="P414" s="11">
        <v>0.128</v>
      </c>
      <c r="Q414" s="10" t="s">
        <v>1562</v>
      </c>
      <c r="R414" s="10">
        <v>80</v>
      </c>
      <c r="S414" s="12">
        <v>11</v>
      </c>
      <c r="T414" s="13">
        <v>34861</v>
      </c>
      <c r="U414" s="14">
        <v>4462.2080000000005</v>
      </c>
      <c r="V414" s="10">
        <v>7.24</v>
      </c>
      <c r="W414" s="15">
        <v>252393.64</v>
      </c>
      <c r="X414" s="29">
        <f>VLOOKUP($F414,Agendamento!$B:$J,9,0)</f>
        <v>46078</v>
      </c>
      <c r="Y414" s="6">
        <f>COUNTIF(Analise!F:F,'Obras e Acervos'!H414)</f>
        <v>1</v>
      </c>
    </row>
    <row r="415" spans="1:25" ht="15" customHeight="1" x14ac:dyDescent="0.25">
      <c r="A415" s="10" t="str">
        <f>CONCATENATE(LEFT(C415,12),"-",RIGHT(C415,2),"_",TEXT(X415,"ddmmaaaa"),"_",COUNTIF($C$2:C415,C415))</f>
        <v>330386960001-02_25022026_2</v>
      </c>
      <c r="B415" s="10" t="str">
        <f>CONCATENATE(LEFT(C415,12),"-",RIGHT(C415,2),"_",COUNTIF($C$2:C415,C415))</f>
        <v>330386960001-02_2</v>
      </c>
      <c r="C415" s="10" t="s">
        <v>2721</v>
      </c>
      <c r="D415" s="10" t="s">
        <v>6057</v>
      </c>
      <c r="E415" s="10" t="s">
        <v>1574</v>
      </c>
      <c r="F415" s="10" t="s">
        <v>849</v>
      </c>
      <c r="G415" s="10" t="s">
        <v>3196</v>
      </c>
      <c r="H415" s="11" t="s">
        <v>3197</v>
      </c>
      <c r="I415" s="11" t="s">
        <v>3198</v>
      </c>
      <c r="J415" s="10" t="s">
        <v>1559</v>
      </c>
      <c r="K415" s="10" t="s">
        <v>1560</v>
      </c>
      <c r="L415" s="10" t="s">
        <v>1578</v>
      </c>
      <c r="M415" s="10" t="s">
        <v>849</v>
      </c>
      <c r="N415" s="10">
        <v>112</v>
      </c>
      <c r="O415" s="11">
        <v>150</v>
      </c>
      <c r="P415" s="11">
        <v>0.15</v>
      </c>
      <c r="Q415" s="10" t="s">
        <v>1608</v>
      </c>
      <c r="R415" s="10">
        <v>80</v>
      </c>
      <c r="S415" s="12">
        <v>11</v>
      </c>
      <c r="T415" s="13">
        <v>34437</v>
      </c>
      <c r="U415" s="14">
        <v>5165.55</v>
      </c>
      <c r="V415" s="10">
        <v>12.1</v>
      </c>
      <c r="W415" s="15">
        <v>416687.7</v>
      </c>
      <c r="X415" s="29">
        <f>VLOOKUP($F415,Agendamento!$B:$J,9,0)</f>
        <v>46078</v>
      </c>
      <c r="Y415" s="6">
        <f>COUNTIF(Analise!F:F,'Obras e Acervos'!H415)</f>
        <v>1</v>
      </c>
    </row>
    <row r="416" spans="1:25" ht="15" customHeight="1" x14ac:dyDescent="0.25">
      <c r="A416" s="10" t="str">
        <f>CONCATENATE(LEFT(C416,12),"-",RIGHT(C416,2),"_",TEXT(X416,"ddmmaaaa"),"_",COUNTIF($C$2:C416,C416))</f>
        <v>435970000001-23_11032026_2</v>
      </c>
      <c r="B416" s="10" t="str">
        <f>CONCATENATE(LEFT(C416,12),"-",RIGHT(C416,2),"_",COUNTIF($C$2:C416,C416))</f>
        <v>435970000001-23_2</v>
      </c>
      <c r="C416" s="10" t="s">
        <v>2729</v>
      </c>
      <c r="D416" s="10" t="s">
        <v>1314</v>
      </c>
      <c r="E416" s="10" t="s">
        <v>1574</v>
      </c>
      <c r="F416" s="10" t="s">
        <v>1318</v>
      </c>
      <c r="G416" s="10" t="s">
        <v>3199</v>
      </c>
      <c r="H416" s="11" t="s">
        <v>3200</v>
      </c>
      <c r="I416" s="11" t="s">
        <v>3201</v>
      </c>
      <c r="J416" s="10" t="s">
        <v>1559</v>
      </c>
      <c r="K416" s="10" t="s">
        <v>1560</v>
      </c>
      <c r="L416" s="10" t="s">
        <v>1578</v>
      </c>
      <c r="M416" s="10" t="s">
        <v>1318</v>
      </c>
      <c r="N416" s="10">
        <v>40</v>
      </c>
      <c r="O416" s="11">
        <v>124</v>
      </c>
      <c r="P416" s="11">
        <v>0.124</v>
      </c>
      <c r="Q416" s="10" t="s">
        <v>1599</v>
      </c>
      <c r="R416" s="10">
        <v>80</v>
      </c>
      <c r="S416" s="12">
        <v>11</v>
      </c>
      <c r="T416" s="13">
        <v>31346</v>
      </c>
      <c r="U416" s="14">
        <v>3886.904</v>
      </c>
      <c r="V416" s="10">
        <v>7.32</v>
      </c>
      <c r="W416" s="15">
        <v>229452.72</v>
      </c>
      <c r="X416" s="29">
        <f>VLOOKUP($F416,Agendamento!$B:$J,9,0)</f>
        <v>46092</v>
      </c>
      <c r="Y416" s="6">
        <f>COUNTIF(Analise!F:F,'Obras e Acervos'!H416)</f>
        <v>1</v>
      </c>
    </row>
    <row r="417" spans="1:25" ht="15" customHeight="1" x14ac:dyDescent="0.25">
      <c r="A417" s="10" t="str">
        <f>CONCATENATE(LEFT(C417,12),"-",RIGHT(C417,2),"_",TEXT(X417,"ddmmaaaa"),"_",COUNTIF($C$2:C417,C417))</f>
        <v>436812550001-70_02032026_2</v>
      </c>
      <c r="B417" s="10" t="str">
        <f>CONCATENATE(LEFT(C417,12),"-",RIGHT(C417,2),"_",COUNTIF($C$2:C417,C417))</f>
        <v>436812550001-70_2</v>
      </c>
      <c r="C417" s="10" t="s">
        <v>2733</v>
      </c>
      <c r="D417" s="10" t="s">
        <v>6058</v>
      </c>
      <c r="E417" s="10" t="s">
        <v>1574</v>
      </c>
      <c r="F417" s="10" t="s">
        <v>1084</v>
      </c>
      <c r="G417" s="10" t="s">
        <v>3202</v>
      </c>
      <c r="H417" s="11" t="s">
        <v>3203</v>
      </c>
      <c r="I417" s="11" t="s">
        <v>3204</v>
      </c>
      <c r="J417" s="10" t="s">
        <v>1559</v>
      </c>
      <c r="K417" s="10" t="s">
        <v>1560</v>
      </c>
      <c r="L417" s="10" t="s">
        <v>1578</v>
      </c>
      <c r="M417" s="10" t="s">
        <v>1084</v>
      </c>
      <c r="N417" s="10">
        <v>40</v>
      </c>
      <c r="O417" s="11">
        <v>124</v>
      </c>
      <c r="P417" s="11">
        <v>0.124</v>
      </c>
      <c r="Q417" s="10" t="s">
        <v>1562</v>
      </c>
      <c r="R417" s="10">
        <v>80</v>
      </c>
      <c r="S417" s="12">
        <v>11</v>
      </c>
      <c r="T417" s="13">
        <v>33680</v>
      </c>
      <c r="U417" s="14">
        <v>4176.32</v>
      </c>
      <c r="V417" s="10">
        <v>6.82</v>
      </c>
      <c r="W417" s="15">
        <v>229697.6</v>
      </c>
      <c r="X417" s="29">
        <f>VLOOKUP($F417,Agendamento!$B:$J,9,0)</f>
        <v>46083</v>
      </c>
      <c r="Y417" s="6">
        <f>COUNTIF(Analise!F:F,'Obras e Acervos'!H417)</f>
        <v>1</v>
      </c>
    </row>
    <row r="418" spans="1:25" ht="15" customHeight="1" x14ac:dyDescent="0.25">
      <c r="A418" s="10" t="str">
        <f>CONCATENATE(LEFT(C418,12),"-",RIGHT(C418,2),"_",TEXT(X418,"ddmmaaaa"),"_",COUNTIF($C$2:C418,C418))</f>
        <v>430482200001-06_03032026_2</v>
      </c>
      <c r="B418" s="10" t="str">
        <f>CONCATENATE(LEFT(C418,12),"-",RIGHT(C418,2),"_",COUNTIF($C$2:C418,C418))</f>
        <v>430482200001-06_2</v>
      </c>
      <c r="C418" s="10" t="s">
        <v>2601</v>
      </c>
      <c r="D418" s="10" t="s">
        <v>626</v>
      </c>
      <c r="E418" s="10" t="s">
        <v>1574</v>
      </c>
      <c r="F418" s="10" t="s">
        <v>1130</v>
      </c>
      <c r="G418" s="10" t="s">
        <v>3205</v>
      </c>
      <c r="H418" s="11" t="s">
        <v>3206</v>
      </c>
      <c r="I418" s="11" t="s">
        <v>3207</v>
      </c>
      <c r="J418" s="10" t="s">
        <v>1559</v>
      </c>
      <c r="K418" s="10" t="s">
        <v>1560</v>
      </c>
      <c r="L418" s="10" t="s">
        <v>1578</v>
      </c>
      <c r="M418" s="10" t="s">
        <v>1130</v>
      </c>
      <c r="N418" s="10">
        <v>56</v>
      </c>
      <c r="O418" s="11">
        <v>160</v>
      </c>
      <c r="P418" s="11">
        <v>0.16</v>
      </c>
      <c r="Q418" s="10" t="s">
        <v>1562</v>
      </c>
      <c r="R418" s="10">
        <v>75</v>
      </c>
      <c r="S418" s="12">
        <v>11</v>
      </c>
      <c r="T418" s="13">
        <v>50981</v>
      </c>
      <c r="U418" s="14">
        <v>8156.96</v>
      </c>
      <c r="V418" s="10">
        <v>6.67</v>
      </c>
      <c r="W418" s="15">
        <v>340043.27</v>
      </c>
      <c r="X418" s="29">
        <f>VLOOKUP($F418,Agendamento!$B:$J,9,0)</f>
        <v>46084</v>
      </c>
      <c r="Y418" s="6">
        <f>COUNTIF(Analise!F:F,'Obras e Acervos'!H418)</f>
        <v>1</v>
      </c>
    </row>
    <row r="419" spans="1:25" ht="15" customHeight="1" x14ac:dyDescent="0.25">
      <c r="A419" s="10" t="str">
        <f>CONCATENATE(LEFT(C419,12),"-",RIGHT(C419,2),"_",TEXT(X419,"ddmmaaaa"),"_",COUNTIF($C$2:C419,C419))</f>
        <v>557893900001-12_26022026_2</v>
      </c>
      <c r="B419" s="10" t="str">
        <f>CONCATENATE(LEFT(C419,12),"-",RIGHT(C419,2),"_",COUNTIF($C$2:C419,C419))</f>
        <v>557893900001-12_2</v>
      </c>
      <c r="C419" s="10" t="s">
        <v>1949</v>
      </c>
      <c r="D419" s="10" t="s">
        <v>885</v>
      </c>
      <c r="E419" s="10" t="s">
        <v>1574</v>
      </c>
      <c r="F419" s="10" t="s">
        <v>886</v>
      </c>
      <c r="G419" s="10" t="s">
        <v>3208</v>
      </c>
      <c r="H419" s="11" t="s">
        <v>3209</v>
      </c>
      <c r="I419" s="11" t="s">
        <v>3210</v>
      </c>
      <c r="J419" s="10" t="s">
        <v>1559</v>
      </c>
      <c r="K419" s="10" t="s">
        <v>1560</v>
      </c>
      <c r="L419" s="10" t="s">
        <v>1578</v>
      </c>
      <c r="M419" s="10" t="s">
        <v>886</v>
      </c>
      <c r="N419" s="10">
        <v>48</v>
      </c>
      <c r="O419" s="11">
        <v>137</v>
      </c>
      <c r="P419" s="11">
        <v>0.13700000000000001</v>
      </c>
      <c r="Q419" s="10" t="s">
        <v>1562</v>
      </c>
      <c r="R419" s="10">
        <v>80</v>
      </c>
      <c r="S419" s="12">
        <v>11</v>
      </c>
      <c r="T419" s="13">
        <v>37528</v>
      </c>
      <c r="U419" s="14">
        <v>5141.3360000000002</v>
      </c>
      <c r="V419" s="10">
        <v>7.17</v>
      </c>
      <c r="W419" s="15">
        <v>269075.76</v>
      </c>
      <c r="X419" s="29">
        <f>VLOOKUP($F419,Agendamento!$B:$J,9,0)</f>
        <v>46079</v>
      </c>
      <c r="Y419" s="6">
        <f>COUNTIF(Analise!F:F,'Obras e Acervos'!H419)</f>
        <v>1</v>
      </c>
    </row>
    <row r="420" spans="1:25" ht="15" customHeight="1" x14ac:dyDescent="0.25">
      <c r="A420" s="10" t="str">
        <f>CONCATENATE(LEFT(C420,12),"-",RIGHT(C420,2),"_",TEXT(X420,"ddmmaaaa"),"_",COUNTIF($C$2:C420,C420))</f>
        <v>438855640001-61_12032026_2</v>
      </c>
      <c r="B420" s="10" t="str">
        <f>CONCATENATE(LEFT(C420,12),"-",RIGHT(C420,2),"_",COUNTIF($C$2:C420,C420))</f>
        <v>438855640001-61_2</v>
      </c>
      <c r="C420" s="10" t="s">
        <v>2106</v>
      </c>
      <c r="D420" s="10" t="s">
        <v>5968</v>
      </c>
      <c r="E420" s="10" t="s">
        <v>1574</v>
      </c>
      <c r="F420" s="10" t="s">
        <v>1372</v>
      </c>
      <c r="G420" s="10" t="s">
        <v>3211</v>
      </c>
      <c r="H420" s="11" t="s">
        <v>3212</v>
      </c>
      <c r="I420" s="11" t="s">
        <v>3213</v>
      </c>
      <c r="J420" s="10" t="s">
        <v>1559</v>
      </c>
      <c r="K420" s="10" t="s">
        <v>1560</v>
      </c>
      <c r="L420" s="10" t="s">
        <v>1578</v>
      </c>
      <c r="M420" s="10" t="s">
        <v>1372</v>
      </c>
      <c r="N420" s="10">
        <v>40</v>
      </c>
      <c r="O420" s="11">
        <v>130</v>
      </c>
      <c r="P420" s="11">
        <v>0.13</v>
      </c>
      <c r="Q420" s="10" t="s">
        <v>1562</v>
      </c>
      <c r="R420" s="10">
        <v>80</v>
      </c>
      <c r="S420" s="12">
        <v>11</v>
      </c>
      <c r="T420" s="13">
        <v>33301</v>
      </c>
      <c r="U420" s="14">
        <v>4329.13</v>
      </c>
      <c r="V420" s="10">
        <v>6.83</v>
      </c>
      <c r="W420" s="15">
        <v>227445.83000000002</v>
      </c>
      <c r="X420" s="29">
        <f>VLOOKUP($F420,Agendamento!$B:$J,9,0)</f>
        <v>46093</v>
      </c>
      <c r="Y420" s="6">
        <f>COUNTIF(Analise!F:F,'Obras e Acervos'!H420)</f>
        <v>1</v>
      </c>
    </row>
    <row r="421" spans="1:25" ht="15" customHeight="1" x14ac:dyDescent="0.25">
      <c r="A421" s="10" t="str">
        <f>CONCATENATE(LEFT(C421,12),"-",RIGHT(C421,2),"_",TEXT(X421,"ddmmaaaa"),"_",COUNTIF($C$2:C421,C421))</f>
        <v>199621040001-05_11022026_2</v>
      </c>
      <c r="B421" s="10" t="str">
        <f>CONCATENATE(LEFT(C421,12),"-",RIGHT(C421,2),"_",COUNTIF($C$2:C421,C421))</f>
        <v>199621040001-05_2</v>
      </c>
      <c r="C421" s="10" t="s">
        <v>2434</v>
      </c>
      <c r="D421" s="10" t="s">
        <v>312</v>
      </c>
      <c r="E421" s="10" t="s">
        <v>1574</v>
      </c>
      <c r="F421" s="10" t="s">
        <v>317</v>
      </c>
      <c r="G421" s="10" t="s">
        <v>3214</v>
      </c>
      <c r="H421" s="11" t="s">
        <v>3215</v>
      </c>
      <c r="I421" s="11" t="s">
        <v>3216</v>
      </c>
      <c r="J421" s="10" t="s">
        <v>1559</v>
      </c>
      <c r="K421" s="10" t="s">
        <v>1560</v>
      </c>
      <c r="L421" s="10" t="s">
        <v>1578</v>
      </c>
      <c r="M421" s="10" t="s">
        <v>317</v>
      </c>
      <c r="N421" s="10">
        <v>56</v>
      </c>
      <c r="O421" s="11">
        <v>156</v>
      </c>
      <c r="P421" s="11">
        <v>0.156</v>
      </c>
      <c r="Q421" s="10" t="s">
        <v>1562</v>
      </c>
      <c r="R421" s="10">
        <v>80</v>
      </c>
      <c r="S421" s="12">
        <v>11</v>
      </c>
      <c r="T421" s="13">
        <v>38952</v>
      </c>
      <c r="U421" s="14">
        <v>6076.5119999999997</v>
      </c>
      <c r="V421" s="10">
        <v>7.97</v>
      </c>
      <c r="W421" s="15">
        <v>310447.44</v>
      </c>
      <c r="X421" s="29">
        <f>VLOOKUP($F421,Agendamento!$B:$J,9,0)</f>
        <v>46064</v>
      </c>
      <c r="Y421" s="6">
        <f>COUNTIF(Analise!F:F,'Obras e Acervos'!H421)</f>
        <v>1</v>
      </c>
    </row>
    <row r="422" spans="1:25" ht="15" customHeight="1" x14ac:dyDescent="0.25">
      <c r="A422" s="10" t="str">
        <f>CONCATENATE(LEFT(C422,12),"-",RIGHT(C422,2),"_",TEXT(X422,"ddmmaaaa"),"_",COUNTIF($C$2:C422,C422))</f>
        <v>436793700001-00_02032026_2</v>
      </c>
      <c r="B422" s="10" t="str">
        <f>CONCATENATE(LEFT(C422,12),"-",RIGHT(C422,2),"_",COUNTIF($C$2:C422,C422))</f>
        <v>436793700001-00_2</v>
      </c>
      <c r="C422" s="10" t="s">
        <v>1638</v>
      </c>
      <c r="D422" s="10" t="s">
        <v>5901</v>
      </c>
      <c r="E422" s="10" t="s">
        <v>1574</v>
      </c>
      <c r="F422" s="10" t="s">
        <v>1077</v>
      </c>
      <c r="G422" s="10" t="s">
        <v>3217</v>
      </c>
      <c r="H422" s="11" t="s">
        <v>3218</v>
      </c>
      <c r="I422" s="11" t="s">
        <v>3219</v>
      </c>
      <c r="J422" s="10" t="s">
        <v>1559</v>
      </c>
      <c r="K422" s="10" t="s">
        <v>1560</v>
      </c>
      <c r="L422" s="10" t="s">
        <v>1578</v>
      </c>
      <c r="M422" s="10" t="s">
        <v>1077</v>
      </c>
      <c r="N422" s="10">
        <v>32</v>
      </c>
      <c r="O422" s="11">
        <v>105</v>
      </c>
      <c r="P422" s="11">
        <v>0.105</v>
      </c>
      <c r="Q422" s="10" t="s">
        <v>1562</v>
      </c>
      <c r="R422" s="10">
        <v>80</v>
      </c>
      <c r="S422" s="12">
        <v>11</v>
      </c>
      <c r="T422" s="13">
        <v>31846</v>
      </c>
      <c r="U422" s="14">
        <v>3343.83</v>
      </c>
      <c r="V422" s="10">
        <v>6.35</v>
      </c>
      <c r="W422" s="15">
        <v>202222.09999999998</v>
      </c>
      <c r="X422" s="29">
        <f>VLOOKUP($F422,Agendamento!$B:$J,9,0)</f>
        <v>46083</v>
      </c>
      <c r="Y422" s="6">
        <f>COUNTIF(Analise!F:F,'Obras e Acervos'!H422)</f>
        <v>1</v>
      </c>
    </row>
    <row r="423" spans="1:25" ht="15" customHeight="1" x14ac:dyDescent="0.25">
      <c r="A423" s="10" t="str">
        <f>CONCATENATE(LEFT(C423,12),"-",RIGHT(C423,2),"_",TEXT(X423,"ddmmaaaa"),"_",COUNTIF($C$2:C423,C423))</f>
        <v>302205010001-44_04032026_2</v>
      </c>
      <c r="B423" s="10" t="str">
        <f>CONCATENATE(LEFT(C423,12),"-",RIGHT(C423,2),"_",COUNTIF($C$2:C423,C423))</f>
        <v>302205010001-44_2</v>
      </c>
      <c r="C423" s="10" t="s">
        <v>2745</v>
      </c>
      <c r="D423" s="10" t="s">
        <v>6060</v>
      </c>
      <c r="E423" s="10" t="s">
        <v>1574</v>
      </c>
      <c r="F423" s="10" t="s">
        <v>1282</v>
      </c>
      <c r="G423" s="10" t="s">
        <v>3220</v>
      </c>
      <c r="H423" s="11" t="s">
        <v>3221</v>
      </c>
      <c r="I423" s="11" t="s">
        <v>3222</v>
      </c>
      <c r="J423" s="10" t="s">
        <v>1559</v>
      </c>
      <c r="K423" s="10" t="s">
        <v>1560</v>
      </c>
      <c r="L423" s="10" t="s">
        <v>1578</v>
      </c>
      <c r="M423" s="10" t="s">
        <v>1282</v>
      </c>
      <c r="N423" s="10">
        <v>80</v>
      </c>
      <c r="O423" s="11">
        <v>220</v>
      </c>
      <c r="P423" s="11">
        <v>0.22</v>
      </c>
      <c r="Q423" s="10" t="s">
        <v>1562</v>
      </c>
      <c r="R423" s="10">
        <v>80</v>
      </c>
      <c r="S423" s="12">
        <v>11</v>
      </c>
      <c r="T423" s="13">
        <v>38558</v>
      </c>
      <c r="U423" s="14">
        <v>8482.76</v>
      </c>
      <c r="V423" s="10">
        <v>10.48</v>
      </c>
      <c r="W423" s="15">
        <v>404087.84</v>
      </c>
      <c r="X423" s="29">
        <f>VLOOKUP($F423,Agendamento!$B:$J,9,0)</f>
        <v>46085</v>
      </c>
      <c r="Y423" s="6">
        <f>COUNTIF(Analise!F:F,'Obras e Acervos'!H423)</f>
        <v>1</v>
      </c>
    </row>
    <row r="424" spans="1:25" ht="15" customHeight="1" x14ac:dyDescent="0.25">
      <c r="A424" s="10" t="str">
        <f>CONCATENATE(LEFT(C424,12),"-",RIGHT(C424,2),"_",TEXT(X424,"ddmmaaaa"),"_",COUNTIF($C$2:C424,C424))</f>
        <v>174639630001-24_12022026_2</v>
      </c>
      <c r="B424" s="10" t="str">
        <f>CONCATENATE(LEFT(C424,12),"-",RIGHT(C424,2),"_",COUNTIF($C$2:C424,C424))</f>
        <v>174639630001-24_2</v>
      </c>
      <c r="C424" s="10" t="s">
        <v>1642</v>
      </c>
      <c r="D424" s="10" t="s">
        <v>5902</v>
      </c>
      <c r="E424" s="10" t="s">
        <v>1574</v>
      </c>
      <c r="F424" s="10" t="s">
        <v>401</v>
      </c>
      <c r="G424" s="10" t="s">
        <v>3223</v>
      </c>
      <c r="H424" s="11" t="s">
        <v>3224</v>
      </c>
      <c r="I424" s="11" t="s">
        <v>3225</v>
      </c>
      <c r="J424" s="10" t="s">
        <v>1559</v>
      </c>
      <c r="K424" s="10" t="s">
        <v>1560</v>
      </c>
      <c r="L424" s="10" t="s">
        <v>1578</v>
      </c>
      <c r="M424" s="10" t="s">
        <v>401</v>
      </c>
      <c r="N424" s="10">
        <v>48</v>
      </c>
      <c r="O424" s="11">
        <v>126</v>
      </c>
      <c r="P424" s="11">
        <v>0.126</v>
      </c>
      <c r="Q424" s="10" t="s">
        <v>1562</v>
      </c>
      <c r="R424" s="10">
        <v>75</v>
      </c>
      <c r="S424" s="12">
        <v>11</v>
      </c>
      <c r="T424" s="13">
        <v>39573</v>
      </c>
      <c r="U424" s="14">
        <v>4986.1980000000003</v>
      </c>
      <c r="V424" s="10">
        <v>6.99</v>
      </c>
      <c r="W424" s="15">
        <v>276615.27</v>
      </c>
      <c r="X424" s="29">
        <f>VLOOKUP($F424,Agendamento!$B:$J,9,0)</f>
        <v>46065</v>
      </c>
      <c r="Y424" s="6">
        <f>COUNTIF(Analise!F:F,'Obras e Acervos'!H424)</f>
        <v>1</v>
      </c>
    </row>
    <row r="425" spans="1:25" ht="15" customHeight="1" x14ac:dyDescent="0.25">
      <c r="A425" s="10" t="str">
        <f>CONCATENATE(LEFT(C425,12),"-",RIGHT(C425,2),"_",TEXT(X425,"ddmmaaaa"),"_",COUNTIF($C$2:C425,C425))</f>
        <v>433913490001-04_09032026_2</v>
      </c>
      <c r="B425" s="10" t="str">
        <f>CONCATENATE(LEFT(C425,12),"-",RIGHT(C425,2),"_",COUNTIF($C$2:C425,C425))</f>
        <v>433913490001-04_2</v>
      </c>
      <c r="C425" s="10" t="s">
        <v>2455</v>
      </c>
      <c r="D425" s="10" t="s">
        <v>1096</v>
      </c>
      <c r="E425" s="10" t="s">
        <v>1574</v>
      </c>
      <c r="F425" s="10" t="s">
        <v>1306</v>
      </c>
      <c r="G425" s="10" t="s">
        <v>3226</v>
      </c>
      <c r="H425" s="11" t="s">
        <v>3227</v>
      </c>
      <c r="I425" s="11" t="s">
        <v>3228</v>
      </c>
      <c r="J425" s="10" t="s">
        <v>1559</v>
      </c>
      <c r="K425" s="10" t="s">
        <v>1560</v>
      </c>
      <c r="L425" s="10" t="s">
        <v>1578</v>
      </c>
      <c r="M425" s="10" t="s">
        <v>1306</v>
      </c>
      <c r="N425" s="10">
        <v>40</v>
      </c>
      <c r="O425" s="11">
        <v>125</v>
      </c>
      <c r="P425" s="11">
        <v>0.125</v>
      </c>
      <c r="Q425" s="10" t="s">
        <v>1562</v>
      </c>
      <c r="R425" s="10">
        <v>80</v>
      </c>
      <c r="S425" s="12">
        <v>11</v>
      </c>
      <c r="T425" s="13">
        <v>31574</v>
      </c>
      <c r="U425" s="14">
        <v>3946.75</v>
      </c>
      <c r="V425" s="10">
        <v>7.32</v>
      </c>
      <c r="W425" s="15">
        <v>231121.68000000002</v>
      </c>
      <c r="X425" s="29">
        <f>VLOOKUP($F425,Agendamento!$B:$J,9,0)</f>
        <v>46090</v>
      </c>
      <c r="Y425" s="6">
        <f>COUNTIF(Analise!F:F,'Obras e Acervos'!H425)</f>
        <v>1</v>
      </c>
    </row>
    <row r="426" spans="1:25" ht="15" customHeight="1" x14ac:dyDescent="0.25">
      <c r="A426" s="10" t="str">
        <f>CONCATENATE(LEFT(C426,12),"-",RIGHT(C426,2),"_",TEXT(X426,"ddmmaaaa"),"_",COUNTIF($C$2:C426,C426))</f>
        <v>610160280001-01_27022026_2</v>
      </c>
      <c r="B426" s="10" t="str">
        <f>CONCATENATE(LEFT(C426,12),"-",RIGHT(C426,2),"_",COUNTIF($C$2:C426,C426))</f>
        <v>610160280001-01_2</v>
      </c>
      <c r="C426" s="10" t="s">
        <v>2303</v>
      </c>
      <c r="D426" s="10" t="s">
        <v>5994</v>
      </c>
      <c r="E426" s="10" t="s">
        <v>1574</v>
      </c>
      <c r="F426" s="10" t="s">
        <v>988</v>
      </c>
      <c r="G426" s="10" t="s">
        <v>3229</v>
      </c>
      <c r="H426" s="11" t="s">
        <v>3230</v>
      </c>
      <c r="I426" s="11" t="s">
        <v>3231</v>
      </c>
      <c r="J426" s="10" t="s">
        <v>1559</v>
      </c>
      <c r="K426" s="10" t="s">
        <v>1560</v>
      </c>
      <c r="L426" s="10" t="s">
        <v>1578</v>
      </c>
      <c r="M426" s="10" t="s">
        <v>988</v>
      </c>
      <c r="N426" s="10">
        <v>40</v>
      </c>
      <c r="O426" s="11">
        <v>65</v>
      </c>
      <c r="P426" s="11">
        <v>6.5000000000000002E-2</v>
      </c>
      <c r="Q426" s="10" t="s">
        <v>1608</v>
      </c>
      <c r="R426" s="10">
        <v>80</v>
      </c>
      <c r="S426" s="12">
        <v>11</v>
      </c>
      <c r="T426" s="13">
        <v>32816</v>
      </c>
      <c r="U426" s="14">
        <v>2133.04</v>
      </c>
      <c r="V426" s="10">
        <v>5.79</v>
      </c>
      <c r="W426" s="15">
        <v>190004.64</v>
      </c>
      <c r="X426" s="29">
        <f>VLOOKUP($F426,Agendamento!$B:$J,9,0)</f>
        <v>46080</v>
      </c>
      <c r="Y426" s="6">
        <f>COUNTIF(Analise!F:F,'Obras e Acervos'!H426)</f>
        <v>1</v>
      </c>
    </row>
    <row r="427" spans="1:25" ht="15" customHeight="1" x14ac:dyDescent="0.25">
      <c r="A427" s="10" t="str">
        <f>CONCATENATE(LEFT(C427,12),"-",RIGHT(C427,2),"_",TEXT(X427,"ddmmaaaa"),"_",COUNTIF($C$2:C427,C427))</f>
        <v>205132880001-05_20022026_2</v>
      </c>
      <c r="B427" s="10" t="str">
        <f>CONCATENATE(LEFT(C427,12),"-",RIGHT(C427,2),"_",COUNTIF($C$2:C427,C427))</f>
        <v>205132880001-05_2</v>
      </c>
      <c r="C427" s="10" t="s">
        <v>1834</v>
      </c>
      <c r="D427" s="10" t="s">
        <v>634</v>
      </c>
      <c r="E427" s="10" t="s">
        <v>1574</v>
      </c>
      <c r="F427" s="10" t="s">
        <v>637</v>
      </c>
      <c r="G427" s="10" t="s">
        <v>3232</v>
      </c>
      <c r="H427" s="11" t="s">
        <v>3233</v>
      </c>
      <c r="I427" s="11" t="s">
        <v>3234</v>
      </c>
      <c r="J427" s="10" t="s">
        <v>1559</v>
      </c>
      <c r="K427" s="10" t="s">
        <v>1560</v>
      </c>
      <c r="L427" s="10" t="s">
        <v>1578</v>
      </c>
      <c r="M427" s="10" t="s">
        <v>637</v>
      </c>
      <c r="N427" s="10">
        <v>80</v>
      </c>
      <c r="O427" s="11">
        <v>99</v>
      </c>
      <c r="P427" s="11">
        <v>9.9000000000000005E-2</v>
      </c>
      <c r="Q427" s="10" t="s">
        <v>1608</v>
      </c>
      <c r="R427" s="10">
        <v>75</v>
      </c>
      <c r="S427" s="12">
        <v>11</v>
      </c>
      <c r="T427" s="13">
        <v>32104</v>
      </c>
      <c r="U427" s="14">
        <v>3178.2960000000003</v>
      </c>
      <c r="V427" s="10">
        <v>9.9600000000000009</v>
      </c>
      <c r="W427" s="15">
        <v>319755.84000000003</v>
      </c>
      <c r="X427" s="29">
        <f>VLOOKUP($F427,Agendamento!$B:$J,9,0)</f>
        <v>46073</v>
      </c>
      <c r="Y427" s="6">
        <f>COUNTIF(Analise!F:F,'Obras e Acervos'!H427)</f>
        <v>1</v>
      </c>
    </row>
    <row r="428" spans="1:25" ht="15" customHeight="1" x14ac:dyDescent="0.25">
      <c r="A428" s="10" t="str">
        <f>CONCATENATE(LEFT(C428,12),"-",RIGHT(C428,2),"_",TEXT(X428,"ddmmaaaa"),"_",COUNTIF($C$2:C428,C428))</f>
        <v>261601350001-08_09032026_2</v>
      </c>
      <c r="B428" s="10" t="str">
        <f>CONCATENATE(LEFT(C428,12),"-",RIGHT(C428,2),"_",COUNTIF($C$2:C428,C428))</f>
        <v>261601350001-08_2</v>
      </c>
      <c r="C428" s="10" t="s">
        <v>2785</v>
      </c>
      <c r="D428" s="10" t="s">
        <v>6069</v>
      </c>
      <c r="E428" s="10" t="s">
        <v>1574</v>
      </c>
      <c r="F428" s="10" t="s">
        <v>1301</v>
      </c>
      <c r="G428" s="10" t="s">
        <v>3235</v>
      </c>
      <c r="H428" s="11" t="s">
        <v>3236</v>
      </c>
      <c r="I428" s="11" t="s">
        <v>3237</v>
      </c>
      <c r="J428" s="10" t="s">
        <v>1559</v>
      </c>
      <c r="K428" s="10" t="s">
        <v>1560</v>
      </c>
      <c r="L428" s="10" t="s">
        <v>1578</v>
      </c>
      <c r="M428" s="10" t="s">
        <v>1301</v>
      </c>
      <c r="N428" s="10">
        <v>28</v>
      </c>
      <c r="O428" s="11">
        <v>68</v>
      </c>
      <c r="P428" s="11">
        <v>6.8000000000000005E-2</v>
      </c>
      <c r="Q428" s="10" t="s">
        <v>1562</v>
      </c>
      <c r="R428" s="10">
        <v>80</v>
      </c>
      <c r="S428" s="12">
        <v>11</v>
      </c>
      <c r="T428" s="13">
        <v>50148</v>
      </c>
      <c r="U428" s="14">
        <v>3410.0640000000003</v>
      </c>
      <c r="V428" s="10">
        <v>4.2699999999999996</v>
      </c>
      <c r="W428" s="15">
        <v>214131.96</v>
      </c>
      <c r="X428" s="29">
        <f>VLOOKUP($F428,Agendamento!$B:$J,9,0)</f>
        <v>46090</v>
      </c>
      <c r="Y428" s="6">
        <f>COUNTIF(Analise!F:F,'Obras e Acervos'!H428)</f>
        <v>1</v>
      </c>
    </row>
    <row r="429" spans="1:25" ht="15" customHeight="1" x14ac:dyDescent="0.25">
      <c r="A429" s="10" t="str">
        <f>CONCATENATE(LEFT(C429,12),"-",RIGHT(C429,2),"_",TEXT(X429,"ddmmaaaa"),"_",COUNTIF($C$2:C429,C429))</f>
        <v>011066520001-78_27022026_2</v>
      </c>
      <c r="B429" s="10" t="str">
        <f>CONCATENATE(LEFT(C429,12),"-",RIGHT(C429,2),"_",COUNTIF($C$2:C429,C429))</f>
        <v>011066520001-78_2</v>
      </c>
      <c r="C429" s="10" t="s">
        <v>2327</v>
      </c>
      <c r="D429" s="10" t="s">
        <v>5998</v>
      </c>
      <c r="E429" s="10" t="s">
        <v>1574</v>
      </c>
      <c r="F429" s="10" t="s">
        <v>1005</v>
      </c>
      <c r="G429" s="10" t="s">
        <v>3238</v>
      </c>
      <c r="H429" s="11" t="s">
        <v>3239</v>
      </c>
      <c r="I429" s="11" t="s">
        <v>3240</v>
      </c>
      <c r="J429" s="10" t="s">
        <v>1559</v>
      </c>
      <c r="K429" s="10" t="s">
        <v>1560</v>
      </c>
      <c r="L429" s="10" t="s">
        <v>1578</v>
      </c>
      <c r="M429" s="10" t="s">
        <v>1005</v>
      </c>
      <c r="N429" s="10">
        <v>48</v>
      </c>
      <c r="O429" s="11">
        <v>135</v>
      </c>
      <c r="P429" s="11">
        <v>0.13500000000000001</v>
      </c>
      <c r="Q429" s="10" t="s">
        <v>1562</v>
      </c>
      <c r="R429" s="10">
        <v>80</v>
      </c>
      <c r="S429" s="12">
        <v>11</v>
      </c>
      <c r="T429" s="13">
        <v>33074</v>
      </c>
      <c r="U429" s="14">
        <v>4464.9900000000007</v>
      </c>
      <c r="V429" s="10">
        <v>7.75</v>
      </c>
      <c r="W429" s="15">
        <v>256323.5</v>
      </c>
      <c r="X429" s="29">
        <f>VLOOKUP($F429,Agendamento!$B:$J,9,0)</f>
        <v>46080</v>
      </c>
      <c r="Y429" s="6">
        <f>COUNTIF(Analise!F:F,'Obras e Acervos'!H429)</f>
        <v>1</v>
      </c>
    </row>
    <row r="430" spans="1:25" ht="15" customHeight="1" x14ac:dyDescent="0.25">
      <c r="A430" s="10" t="str">
        <f>CONCATENATE(LEFT(C430,12),"-",RIGHT(C430,2),"_",TEXT(X430,"ddmmaaaa"),"_",COUNTIF($C$2:C430,C430))</f>
        <v>349425870001-70_00011900_2</v>
      </c>
      <c r="B430" s="10" t="str">
        <f>CONCATENATE(LEFT(C430,12),"-",RIGHT(C430,2),"_",COUNTIF($C$2:C430,C430))</f>
        <v>349425870001-70_2</v>
      </c>
      <c r="C430" s="10" t="s">
        <v>1854</v>
      </c>
      <c r="D430" s="10" t="s">
        <v>5935</v>
      </c>
      <c r="E430" s="10" t="s">
        <v>1574</v>
      </c>
      <c r="F430" s="10" t="s">
        <v>1525</v>
      </c>
      <c r="G430" s="10" t="s">
        <v>3241</v>
      </c>
      <c r="H430" s="11" t="s">
        <v>3242</v>
      </c>
      <c r="I430" s="11" t="s">
        <v>3243</v>
      </c>
      <c r="J430" s="10" t="s">
        <v>1559</v>
      </c>
      <c r="K430" s="10" t="s">
        <v>1560</v>
      </c>
      <c r="L430" s="10" t="s">
        <v>1578</v>
      </c>
      <c r="M430" s="10" t="s">
        <v>1525</v>
      </c>
      <c r="N430" s="10">
        <v>200</v>
      </c>
      <c r="O430" s="11">
        <v>279</v>
      </c>
      <c r="P430" s="11">
        <v>0.27900000000000003</v>
      </c>
      <c r="Q430" s="10" t="s">
        <v>1562</v>
      </c>
      <c r="R430" s="10">
        <v>75</v>
      </c>
      <c r="S430" s="12">
        <v>11</v>
      </c>
      <c r="T430" s="13">
        <v>35891</v>
      </c>
      <c r="U430" s="14">
        <v>10013.589000000002</v>
      </c>
      <c r="V430" s="10">
        <v>20.100000000000001</v>
      </c>
      <c r="W430" s="15">
        <v>721409.10000000009</v>
      </c>
      <c r="X430" s="29">
        <f>VLOOKUP($F430,Agendamento!$B:$J,9,0)</f>
        <v>0</v>
      </c>
      <c r="Y430" s="6">
        <f>COUNTIF(Analise!F:F,'Obras e Acervos'!H430)</f>
        <v>1</v>
      </c>
    </row>
    <row r="431" spans="1:25" ht="15" customHeight="1" x14ac:dyDescent="0.25">
      <c r="A431" s="10" t="str">
        <f>CONCATENATE(LEFT(C431,12),"-",RIGHT(C431,2),"_",TEXT(X431,"ddmmaaaa"),"_",COUNTIF($C$2:C431,C431))</f>
        <v>578889190001-80_10022026_2</v>
      </c>
      <c r="B431" s="10" t="str">
        <f>CONCATENATE(LEFT(C431,12),"-",RIGHT(C431,2),"_",COUNTIF($C$2:C431,C431))</f>
        <v>578889190001-80_2</v>
      </c>
      <c r="C431" s="10" t="s">
        <v>2801</v>
      </c>
      <c r="D431" s="10" t="s">
        <v>273</v>
      </c>
      <c r="E431" s="10" t="s">
        <v>1574</v>
      </c>
      <c r="F431" s="10" t="s">
        <v>274</v>
      </c>
      <c r="G431" s="10" t="s">
        <v>3244</v>
      </c>
      <c r="H431" s="11" t="s">
        <v>3245</v>
      </c>
      <c r="I431" s="11" t="s">
        <v>3246</v>
      </c>
      <c r="J431" s="10" t="s">
        <v>1559</v>
      </c>
      <c r="K431" s="10" t="s">
        <v>1560</v>
      </c>
      <c r="L431" s="10" t="s">
        <v>1578</v>
      </c>
      <c r="M431" s="10" t="s">
        <v>274</v>
      </c>
      <c r="N431" s="10">
        <v>32</v>
      </c>
      <c r="O431" s="11">
        <v>75</v>
      </c>
      <c r="P431" s="11">
        <v>7.4999999999999997E-2</v>
      </c>
      <c r="Q431" s="10" t="s">
        <v>1562</v>
      </c>
      <c r="R431" s="10">
        <v>80</v>
      </c>
      <c r="S431" s="12">
        <v>11</v>
      </c>
      <c r="T431" s="13">
        <v>45527</v>
      </c>
      <c r="U431" s="14">
        <v>3414.5250000000001</v>
      </c>
      <c r="V431" s="10">
        <v>5.05</v>
      </c>
      <c r="W431" s="15">
        <v>229911.35</v>
      </c>
      <c r="X431" s="29">
        <f>VLOOKUP($F431,Agendamento!$B:$J,9,0)</f>
        <v>46063</v>
      </c>
      <c r="Y431" s="6">
        <f>COUNTIF(Analise!F:F,'Obras e Acervos'!H431)</f>
        <v>1</v>
      </c>
    </row>
    <row r="432" spans="1:25" ht="15" customHeight="1" x14ac:dyDescent="0.25">
      <c r="A432" s="10" t="str">
        <f>CONCATENATE(LEFT(C432,12),"-",RIGHT(C432,2),"_",TEXT(X432,"ddmmaaaa"),"_",COUNTIF($C$2:C432,C432))</f>
        <v>192702060001-60_23022026_2</v>
      </c>
      <c r="B432" s="10" t="str">
        <f>CONCATENATE(LEFT(C432,12),"-",RIGHT(C432,2),"_",COUNTIF($C$2:C432,C432))</f>
        <v>192702060001-60_2</v>
      </c>
      <c r="C432" s="10" t="s">
        <v>2335</v>
      </c>
      <c r="D432" s="10" t="s">
        <v>6000</v>
      </c>
      <c r="E432" s="10" t="s">
        <v>1574</v>
      </c>
      <c r="F432" s="10" t="s">
        <v>688</v>
      </c>
      <c r="G432" s="10" t="s">
        <v>3247</v>
      </c>
      <c r="H432" s="11" t="s">
        <v>3248</v>
      </c>
      <c r="I432" s="11" t="s">
        <v>3249</v>
      </c>
      <c r="J432" s="10" t="s">
        <v>1559</v>
      </c>
      <c r="K432" s="10" t="s">
        <v>1560</v>
      </c>
      <c r="L432" s="10" t="s">
        <v>1578</v>
      </c>
      <c r="M432" s="10" t="s">
        <v>688</v>
      </c>
      <c r="N432" s="10">
        <v>40</v>
      </c>
      <c r="O432" s="11">
        <v>130</v>
      </c>
      <c r="P432" s="11">
        <v>0.13</v>
      </c>
      <c r="Q432" s="10" t="s">
        <v>1599</v>
      </c>
      <c r="R432" s="10">
        <v>80</v>
      </c>
      <c r="S432" s="12">
        <v>11</v>
      </c>
      <c r="T432" s="13">
        <v>45315</v>
      </c>
      <c r="U432" s="14">
        <v>5890.95</v>
      </c>
      <c r="V432" s="10">
        <v>5.9</v>
      </c>
      <c r="W432" s="15">
        <v>267358.5</v>
      </c>
      <c r="X432" s="29">
        <f>VLOOKUP($F432,Agendamento!$B:$J,9,0)</f>
        <v>46076</v>
      </c>
      <c r="Y432" s="6">
        <f>COUNTIF(Analise!F:F,'Obras e Acervos'!H432)</f>
        <v>1</v>
      </c>
    </row>
    <row r="433" spans="1:25" ht="15" customHeight="1" x14ac:dyDescent="0.25">
      <c r="A433" s="10" t="str">
        <f>CONCATENATE(LEFT(C433,12),"-",RIGHT(C433,2),"_",TEXT(X433,"ddmmaaaa"),"_",COUNTIF($C$2:C433,C433))</f>
        <v>170777540001-42_05022026_2</v>
      </c>
      <c r="B433" s="10" t="str">
        <f>CONCATENATE(LEFT(C433,12),"-",RIGHT(C433,2),"_",COUNTIF($C$2:C433,C433))</f>
        <v>170777540001-42_2</v>
      </c>
      <c r="C433" s="10" t="s">
        <v>1862</v>
      </c>
      <c r="D433" s="10" t="s">
        <v>171</v>
      </c>
      <c r="E433" s="10" t="s">
        <v>1574</v>
      </c>
      <c r="F433" s="10" t="s">
        <v>172</v>
      </c>
      <c r="G433" s="10" t="s">
        <v>3250</v>
      </c>
      <c r="H433" s="11" t="s">
        <v>3251</v>
      </c>
      <c r="I433" s="11" t="s">
        <v>3252</v>
      </c>
      <c r="J433" s="10" t="s">
        <v>1559</v>
      </c>
      <c r="K433" s="10" t="s">
        <v>1560</v>
      </c>
      <c r="L433" s="10" t="s">
        <v>1578</v>
      </c>
      <c r="M433" s="10" t="s">
        <v>3253</v>
      </c>
      <c r="N433" s="10">
        <v>32</v>
      </c>
      <c r="O433" s="11">
        <v>105</v>
      </c>
      <c r="P433" s="11">
        <v>0.105</v>
      </c>
      <c r="Q433" s="10" t="s">
        <v>1562</v>
      </c>
      <c r="R433" s="10">
        <v>80</v>
      </c>
      <c r="S433" s="12">
        <v>11</v>
      </c>
      <c r="T433" s="13">
        <v>39724</v>
      </c>
      <c r="U433" s="14">
        <v>4171.0199999999995</v>
      </c>
      <c r="V433" s="10">
        <v>5.44</v>
      </c>
      <c r="W433" s="15">
        <v>216098.56000000003</v>
      </c>
      <c r="X433" s="29">
        <f>VLOOKUP($F433,Agendamento!$B:$J,9,0)</f>
        <v>46058</v>
      </c>
      <c r="Y433" s="6">
        <f>COUNTIF(Analise!F:F,'Obras e Acervos'!H433)</f>
        <v>1</v>
      </c>
    </row>
    <row r="434" spans="1:25" ht="15" customHeight="1" x14ac:dyDescent="0.25">
      <c r="A434" s="10" t="str">
        <f>CONCATENATE(LEFT(C434,12),"-",RIGHT(C434,2),"_",TEXT(X434,"ddmmaaaa"),"_",COUNTIF($C$2:C434,C434))</f>
        <v>967455340001-16_13022026_2</v>
      </c>
      <c r="B434" s="10" t="str">
        <f>CONCATENATE(LEFT(C434,12),"-",RIGHT(C434,2),"_",COUNTIF($C$2:C434,C434))</f>
        <v>967455340001-16_2</v>
      </c>
      <c r="C434" s="10" t="s">
        <v>2506</v>
      </c>
      <c r="D434" s="10" t="s">
        <v>6025</v>
      </c>
      <c r="E434" s="10" t="s">
        <v>1574</v>
      </c>
      <c r="F434" s="10" t="s">
        <v>494</v>
      </c>
      <c r="G434" s="10" t="s">
        <v>3254</v>
      </c>
      <c r="H434" s="11" t="s">
        <v>3255</v>
      </c>
      <c r="I434" s="11" t="s">
        <v>3256</v>
      </c>
      <c r="J434" s="10" t="s">
        <v>1559</v>
      </c>
      <c r="K434" s="10" t="s">
        <v>1560</v>
      </c>
      <c r="L434" s="10" t="s">
        <v>1578</v>
      </c>
      <c r="M434" s="10" t="s">
        <v>494</v>
      </c>
      <c r="N434" s="10">
        <v>60</v>
      </c>
      <c r="O434" s="11">
        <v>265</v>
      </c>
      <c r="P434" s="11">
        <v>0.26500000000000001</v>
      </c>
      <c r="Q434" s="10" t="s">
        <v>1599</v>
      </c>
      <c r="R434" s="10">
        <v>75</v>
      </c>
      <c r="S434" s="12">
        <v>11</v>
      </c>
      <c r="T434" s="13">
        <v>31907</v>
      </c>
      <c r="U434" s="14">
        <v>8455.3549999999996</v>
      </c>
      <c r="V434" s="10">
        <v>9.56</v>
      </c>
      <c r="W434" s="15">
        <v>305030.92000000004</v>
      </c>
      <c r="X434" s="29">
        <f>VLOOKUP($F434,Agendamento!$B:$J,9,0)</f>
        <v>46066</v>
      </c>
      <c r="Y434" s="6">
        <f>COUNTIF(Analise!F:F,'Obras e Acervos'!H434)</f>
        <v>1</v>
      </c>
    </row>
    <row r="435" spans="1:25" ht="15" customHeight="1" x14ac:dyDescent="0.25">
      <c r="A435" s="10" t="str">
        <f>CONCATENATE(LEFT(C435,12),"-",RIGHT(C435,2),"_",TEXT(X435,"ddmmaaaa"),"_",COUNTIF($C$2:C435,C435))</f>
        <v>380155110001-50_05032026_2</v>
      </c>
      <c r="B435" s="10" t="str">
        <f>CONCATENATE(LEFT(C435,12),"-",RIGHT(C435,2),"_",COUNTIF($C$2:C435,C435))</f>
        <v>380155110001-50_2</v>
      </c>
      <c r="C435" s="10" t="s">
        <v>2347</v>
      </c>
      <c r="D435" s="10" t="s">
        <v>6003</v>
      </c>
      <c r="E435" s="10" t="s">
        <v>1574</v>
      </c>
      <c r="F435" s="10" t="s">
        <v>1288</v>
      </c>
      <c r="G435" s="10" t="s">
        <v>3257</v>
      </c>
      <c r="H435" s="11" t="s">
        <v>3258</v>
      </c>
      <c r="I435" s="11" t="s">
        <v>3259</v>
      </c>
      <c r="J435" s="10" t="s">
        <v>1559</v>
      </c>
      <c r="K435" s="10" t="s">
        <v>1560</v>
      </c>
      <c r="L435" s="10" t="s">
        <v>1578</v>
      </c>
      <c r="M435" s="10" t="s">
        <v>1288</v>
      </c>
      <c r="N435" s="10">
        <v>80</v>
      </c>
      <c r="O435" s="11">
        <v>190</v>
      </c>
      <c r="P435" s="11">
        <v>0.19</v>
      </c>
      <c r="Q435" s="10" t="s">
        <v>1562</v>
      </c>
      <c r="R435" s="10">
        <v>80</v>
      </c>
      <c r="S435" s="12">
        <v>11</v>
      </c>
      <c r="T435" s="13">
        <v>41361</v>
      </c>
      <c r="U435" s="14">
        <v>7858.59</v>
      </c>
      <c r="V435" s="10">
        <v>10.43</v>
      </c>
      <c r="W435" s="15">
        <v>431395.23</v>
      </c>
      <c r="X435" s="29">
        <f>VLOOKUP($F435,Agendamento!$B:$J,9,0)</f>
        <v>46086</v>
      </c>
      <c r="Y435" s="6">
        <f>COUNTIF(Analise!F:F,'Obras e Acervos'!H435)</f>
        <v>1</v>
      </c>
    </row>
    <row r="436" spans="1:25" ht="15" customHeight="1" x14ac:dyDescent="0.25">
      <c r="A436" s="10" t="str">
        <f>CONCATENATE(LEFT(C436,12),"-",RIGHT(C436,2),"_",TEXT(X436,"ddmmaaaa"),"_",COUNTIF($C$2:C436,C436))</f>
        <v>434032510001-20_04022026_1</v>
      </c>
      <c r="B436" s="10" t="str">
        <f>CONCATENATE(LEFT(C436,12),"-",RIGHT(C436,2),"_",COUNTIF($C$2:C436,C436))</f>
        <v>434032510001-20_1</v>
      </c>
      <c r="C436" s="10" t="s">
        <v>3260</v>
      </c>
      <c r="D436" s="10" t="s">
        <v>162</v>
      </c>
      <c r="E436" s="10" t="s">
        <v>1574</v>
      </c>
      <c r="F436" s="10" t="s">
        <v>163</v>
      </c>
      <c r="G436" s="10" t="s">
        <v>3261</v>
      </c>
      <c r="H436" s="11" t="s">
        <v>3262</v>
      </c>
      <c r="I436" s="11" t="s">
        <v>3263</v>
      </c>
      <c r="J436" s="10" t="s">
        <v>1559</v>
      </c>
      <c r="K436" s="10" t="s">
        <v>1560</v>
      </c>
      <c r="L436" s="10" t="s">
        <v>1578</v>
      </c>
      <c r="M436" s="10" t="s">
        <v>6216</v>
      </c>
      <c r="N436" s="10">
        <v>32</v>
      </c>
      <c r="O436" s="11">
        <v>105</v>
      </c>
      <c r="P436" s="11">
        <v>0.105</v>
      </c>
      <c r="Q436" s="10" t="s">
        <v>1562</v>
      </c>
      <c r="R436" s="10">
        <v>80</v>
      </c>
      <c r="S436" s="12">
        <v>11</v>
      </c>
      <c r="T436" s="13">
        <v>32422</v>
      </c>
      <c r="U436" s="14">
        <v>3404.31</v>
      </c>
      <c r="V436" s="10">
        <v>6.34</v>
      </c>
      <c r="W436" s="15">
        <v>205555.47999999998</v>
      </c>
      <c r="X436" s="29">
        <f>VLOOKUP($F436,Agendamento!$B:$J,9,0)</f>
        <v>46057</v>
      </c>
      <c r="Y436" s="6">
        <f>COUNTIF(Analise!F:F,'Obras e Acervos'!H436)</f>
        <v>1</v>
      </c>
    </row>
    <row r="437" spans="1:25" ht="15" customHeight="1" x14ac:dyDescent="0.25">
      <c r="A437" s="10" t="str">
        <f>CONCATENATE(LEFT(C437,12),"-",RIGHT(C437,2),"_",TEXT(X437,"ddmmaaaa"),"_",COUNTIF($C$2:C437,C437))</f>
        <v>310100970001-47_23022026_2</v>
      </c>
      <c r="B437" s="10" t="str">
        <f>CONCATENATE(LEFT(C437,12),"-",RIGHT(C437,2),"_",COUNTIF($C$2:C437,C437))</f>
        <v>310100970001-47_2</v>
      </c>
      <c r="C437" s="10" t="s">
        <v>2673</v>
      </c>
      <c r="D437" s="10" t="s">
        <v>6047</v>
      </c>
      <c r="E437" s="10" t="s">
        <v>1574</v>
      </c>
      <c r="F437" s="10" t="s">
        <v>732</v>
      </c>
      <c r="G437" s="10" t="s">
        <v>3264</v>
      </c>
      <c r="H437" s="11" t="s">
        <v>3265</v>
      </c>
      <c r="I437" s="11" t="s">
        <v>3266</v>
      </c>
      <c r="J437" s="10" t="s">
        <v>1559</v>
      </c>
      <c r="K437" s="10" t="s">
        <v>1560</v>
      </c>
      <c r="L437" s="10" t="s">
        <v>1578</v>
      </c>
      <c r="M437" s="10" t="s">
        <v>732</v>
      </c>
      <c r="N437" s="10">
        <v>40</v>
      </c>
      <c r="O437" s="11">
        <v>130</v>
      </c>
      <c r="P437" s="11">
        <v>0.13</v>
      </c>
      <c r="Q437" s="10" t="s">
        <v>1562</v>
      </c>
      <c r="R437" s="10">
        <v>80</v>
      </c>
      <c r="S437" s="12">
        <v>11</v>
      </c>
      <c r="T437" s="13">
        <v>35073</v>
      </c>
      <c r="U437" s="14">
        <v>4559.49</v>
      </c>
      <c r="V437" s="10">
        <v>6.83</v>
      </c>
      <c r="W437" s="15">
        <v>239548.59</v>
      </c>
      <c r="X437" s="29">
        <f>VLOOKUP($F437,Agendamento!$B:$J,9,0)</f>
        <v>46076</v>
      </c>
      <c r="Y437" s="6">
        <f>COUNTIF(Analise!F:F,'Obras e Acervos'!H437)</f>
        <v>1</v>
      </c>
    </row>
    <row r="438" spans="1:25" ht="15" customHeight="1" x14ac:dyDescent="0.25">
      <c r="A438" s="10" t="str">
        <f>CONCATENATE(LEFT(C438,12),"-",RIGHT(C438,2),"_",TEXT(X438,"ddmmaaaa"),"_",COUNTIF($C$2:C438,C438))</f>
        <v>249063420001-33_12022026_2</v>
      </c>
      <c r="B438" s="10" t="str">
        <f>CONCATENATE(LEFT(C438,12),"-",RIGHT(C438,2),"_",COUNTIF($C$2:C438,C438))</f>
        <v>249063420001-33_2</v>
      </c>
      <c r="C438" s="10" t="s">
        <v>1554</v>
      </c>
      <c r="D438" s="10" t="s">
        <v>406</v>
      </c>
      <c r="E438" s="10" t="s">
        <v>1574</v>
      </c>
      <c r="F438" s="10" t="s">
        <v>407</v>
      </c>
      <c r="G438" s="10" t="s">
        <v>3267</v>
      </c>
      <c r="H438" s="11" t="s">
        <v>3268</v>
      </c>
      <c r="I438" s="11" t="s">
        <v>3269</v>
      </c>
      <c r="J438" s="10" t="s">
        <v>1559</v>
      </c>
      <c r="K438" s="10" t="s">
        <v>1560</v>
      </c>
      <c r="L438" s="10" t="s">
        <v>1578</v>
      </c>
      <c r="M438" s="10" t="s">
        <v>407</v>
      </c>
      <c r="N438" s="10">
        <v>120</v>
      </c>
      <c r="O438" s="11">
        <v>153</v>
      </c>
      <c r="P438" s="11">
        <v>0.153</v>
      </c>
      <c r="Q438" s="10" t="s">
        <v>1608</v>
      </c>
      <c r="R438" s="10">
        <v>75</v>
      </c>
      <c r="S438" s="12">
        <v>12</v>
      </c>
      <c r="T438" s="13">
        <v>42296</v>
      </c>
      <c r="U438" s="14">
        <v>6471.2879999999996</v>
      </c>
      <c r="V438" s="10">
        <v>11.53</v>
      </c>
      <c r="W438" s="15">
        <v>487672.87999999995</v>
      </c>
      <c r="X438" s="29">
        <f>VLOOKUP($F438,Agendamento!$B:$J,9,0)</f>
        <v>46065</v>
      </c>
      <c r="Y438" s="6">
        <f>COUNTIF(Analise!F:F,'Obras e Acervos'!H438)</f>
        <v>1</v>
      </c>
    </row>
    <row r="439" spans="1:25" ht="15" customHeight="1" x14ac:dyDescent="0.25">
      <c r="A439" s="10" t="str">
        <f>CONCATENATE(LEFT(C439,12),"-",RIGHT(C439,2),"_",TEXT(X439,"ddmmaaaa"),"_",COUNTIF($C$2:C439,C439))</f>
        <v>016001240001-70_20022026_2</v>
      </c>
      <c r="B439" s="10" t="str">
        <f>CONCATENATE(LEFT(C439,12),"-",RIGHT(C439,2),"_",COUNTIF($C$2:C439,C439))</f>
        <v>016001240001-70_2</v>
      </c>
      <c r="C439" s="10" t="s">
        <v>2526</v>
      </c>
      <c r="D439" s="10" t="s">
        <v>6028</v>
      </c>
      <c r="E439" s="10" t="s">
        <v>1574</v>
      </c>
      <c r="F439" s="10" t="s">
        <v>671</v>
      </c>
      <c r="G439" s="10" t="s">
        <v>3270</v>
      </c>
      <c r="H439" s="11" t="s">
        <v>3271</v>
      </c>
      <c r="I439" s="11" t="s">
        <v>3272</v>
      </c>
      <c r="J439" s="10" t="s">
        <v>1559</v>
      </c>
      <c r="K439" s="10" t="s">
        <v>1560</v>
      </c>
      <c r="L439" s="10" t="s">
        <v>1578</v>
      </c>
      <c r="M439" s="10" t="s">
        <v>671</v>
      </c>
      <c r="N439" s="10">
        <v>48</v>
      </c>
      <c r="O439" s="11">
        <v>143</v>
      </c>
      <c r="P439" s="11">
        <v>0.14299999999999999</v>
      </c>
      <c r="Q439" s="10" t="s">
        <v>1562</v>
      </c>
      <c r="R439" s="10">
        <v>80</v>
      </c>
      <c r="S439" s="12">
        <v>12</v>
      </c>
      <c r="T439" s="13">
        <v>33327</v>
      </c>
      <c r="U439" s="14">
        <v>4765.7609999999995</v>
      </c>
      <c r="V439" s="10">
        <v>7.73</v>
      </c>
      <c r="W439" s="15">
        <v>257617.71000000002</v>
      </c>
      <c r="X439" s="29">
        <f>VLOOKUP($F439,Agendamento!$B:$J,9,0)</f>
        <v>46073</v>
      </c>
      <c r="Y439" s="6">
        <f>COUNTIF(Analise!F:F,'Obras e Acervos'!H439)</f>
        <v>1</v>
      </c>
    </row>
    <row r="440" spans="1:25" ht="15" customHeight="1" x14ac:dyDescent="0.25">
      <c r="A440" s="10" t="str">
        <f>CONCATENATE(LEFT(C440,12),"-",RIGHT(C440,2),"_",TEXT(X440,"ddmmaaaa"),"_",COUNTIF($C$2:C440,C440))</f>
        <v>226222130001-98_04032026_2</v>
      </c>
      <c r="B440" s="10" t="str">
        <f>CONCATENATE(LEFT(C440,12),"-",RIGHT(C440,2),"_",COUNTIF($C$2:C440,C440))</f>
        <v>226222130001-98_2</v>
      </c>
      <c r="C440" s="10" t="s">
        <v>2359</v>
      </c>
      <c r="D440" s="10" t="s">
        <v>1236</v>
      </c>
      <c r="E440" s="10" t="s">
        <v>1574</v>
      </c>
      <c r="F440" s="10" t="s">
        <v>1237</v>
      </c>
      <c r="G440" s="10" t="s">
        <v>3273</v>
      </c>
      <c r="H440" s="11" t="s">
        <v>3274</v>
      </c>
      <c r="I440" s="11" t="s">
        <v>3275</v>
      </c>
      <c r="J440" s="10" t="s">
        <v>1559</v>
      </c>
      <c r="K440" s="10" t="s">
        <v>1560</v>
      </c>
      <c r="L440" s="10" t="s">
        <v>1578</v>
      </c>
      <c r="M440" s="10" t="s">
        <v>1237</v>
      </c>
      <c r="N440" s="10">
        <v>72</v>
      </c>
      <c r="O440" s="11">
        <v>200</v>
      </c>
      <c r="P440" s="11">
        <v>0.2</v>
      </c>
      <c r="Q440" s="10" t="s">
        <v>1562</v>
      </c>
      <c r="R440" s="10">
        <v>80</v>
      </c>
      <c r="S440" s="12">
        <v>12</v>
      </c>
      <c r="T440" s="13">
        <v>48553</v>
      </c>
      <c r="U440" s="14">
        <v>9710.6</v>
      </c>
      <c r="V440" s="10">
        <v>8.4600000000000009</v>
      </c>
      <c r="W440" s="15">
        <v>410758.38000000006</v>
      </c>
      <c r="X440" s="29">
        <f>VLOOKUP($F440,Agendamento!$B:$J,9,0)</f>
        <v>46085</v>
      </c>
      <c r="Y440" s="6">
        <f>COUNTIF(Analise!F:F,'Obras e Acervos'!H440)</f>
        <v>1</v>
      </c>
    </row>
    <row r="441" spans="1:25" ht="15" customHeight="1" x14ac:dyDescent="0.25">
      <c r="A441" s="10" t="str">
        <f>CONCATENATE(LEFT(C441,12),"-",RIGHT(C441,2),"_",TEXT(X441,"ddmmaaaa"),"_",COUNTIF($C$2:C441,C441))</f>
        <v>365446300001-74_25022026_2</v>
      </c>
      <c r="B441" s="10" t="str">
        <f>CONCATENATE(LEFT(C441,12),"-",RIGHT(C441,2),"_",COUNTIF($C$2:C441,C441))</f>
        <v>365446300001-74_2</v>
      </c>
      <c r="C441" s="10" t="s">
        <v>2210</v>
      </c>
      <c r="D441" s="10" t="s">
        <v>867</v>
      </c>
      <c r="E441" s="10" t="s">
        <v>1574</v>
      </c>
      <c r="F441" s="10" t="s">
        <v>868</v>
      </c>
      <c r="G441" s="10" t="s">
        <v>3276</v>
      </c>
      <c r="H441" s="11" t="s">
        <v>3277</v>
      </c>
      <c r="I441" s="11" t="s">
        <v>3278</v>
      </c>
      <c r="J441" s="10" t="s">
        <v>1559</v>
      </c>
      <c r="K441" s="10" t="s">
        <v>1560</v>
      </c>
      <c r="L441" s="10" t="s">
        <v>1578</v>
      </c>
      <c r="M441" s="10" t="s">
        <v>868</v>
      </c>
      <c r="N441" s="10">
        <v>44</v>
      </c>
      <c r="O441" s="11">
        <v>127</v>
      </c>
      <c r="P441" s="11">
        <v>0.127</v>
      </c>
      <c r="Q441" s="10" t="s">
        <v>1562</v>
      </c>
      <c r="R441" s="10">
        <v>80</v>
      </c>
      <c r="S441" s="12">
        <v>12</v>
      </c>
      <c r="T441" s="13">
        <v>97805</v>
      </c>
      <c r="U441" s="14">
        <v>12421.235000000001</v>
      </c>
      <c r="V441" s="10">
        <v>4.8499999999999996</v>
      </c>
      <c r="W441" s="15">
        <v>474354.24999999994</v>
      </c>
      <c r="X441" s="29">
        <f>VLOOKUP($F441,Agendamento!$B:$J,9,0)</f>
        <v>46078</v>
      </c>
      <c r="Y441" s="6">
        <f>COUNTIF(Analise!F:F,'Obras e Acervos'!H441)</f>
        <v>1</v>
      </c>
    </row>
    <row r="442" spans="1:25" ht="15" customHeight="1" x14ac:dyDescent="0.25">
      <c r="A442" s="10" t="str">
        <f>CONCATENATE(LEFT(C442,12),"-",RIGHT(C442,2),"_",TEXT(X442,"ddmmaaaa"),"_",COUNTIF($C$2:C442,C442))</f>
        <v>188354790001-41_13022026_2</v>
      </c>
      <c r="B442" s="10" t="str">
        <f>CONCATENATE(LEFT(C442,12),"-",RIGHT(C442,2),"_",COUNTIF($C$2:C442,C442))</f>
        <v>188354790001-41_2</v>
      </c>
      <c r="C442" s="10" t="s">
        <v>3020</v>
      </c>
      <c r="D442" s="10" t="s">
        <v>6100</v>
      </c>
      <c r="E442" s="10" t="s">
        <v>1574</v>
      </c>
      <c r="F442" s="10" t="s">
        <v>483</v>
      </c>
      <c r="G442" s="10" t="s">
        <v>3279</v>
      </c>
      <c r="H442" s="11" t="s">
        <v>3280</v>
      </c>
      <c r="I442" s="11" t="s">
        <v>3281</v>
      </c>
      <c r="J442" s="10" t="s">
        <v>1559</v>
      </c>
      <c r="K442" s="10" t="s">
        <v>1560</v>
      </c>
      <c r="L442" s="10" t="s">
        <v>1578</v>
      </c>
      <c r="M442" s="10" t="s">
        <v>6217</v>
      </c>
      <c r="N442" s="10">
        <v>64</v>
      </c>
      <c r="O442" s="11">
        <v>152</v>
      </c>
      <c r="P442" s="11">
        <v>0.152</v>
      </c>
      <c r="Q442" s="10" t="s">
        <v>1562</v>
      </c>
      <c r="R442" s="10">
        <v>80</v>
      </c>
      <c r="S442" s="12">
        <v>12</v>
      </c>
      <c r="T442" s="13">
        <v>31676</v>
      </c>
      <c r="U442" s="14">
        <v>4814.7519999999995</v>
      </c>
      <c r="V442" s="10">
        <v>10.17</v>
      </c>
      <c r="W442" s="15">
        <v>322144.92</v>
      </c>
      <c r="X442" s="29">
        <f>VLOOKUP($F442,Agendamento!$B:$J,9,0)</f>
        <v>46066</v>
      </c>
      <c r="Y442" s="6">
        <f>COUNTIF(Analise!F:F,'Obras e Acervos'!H442)</f>
        <v>1</v>
      </c>
    </row>
    <row r="443" spans="1:25" ht="15" customHeight="1" x14ac:dyDescent="0.25">
      <c r="A443" s="10" t="str">
        <f>CONCATENATE(LEFT(C443,12),"-",RIGHT(C443,2),"_",TEXT(X443,"ddmmaaaa"),"_",COUNTIF($C$2:C443,C443))</f>
        <v>442226150001-38_03022026_2</v>
      </c>
      <c r="B443" s="10" t="str">
        <f>CONCATENATE(LEFT(C443,12),"-",RIGHT(C443,2),"_",COUNTIF($C$2:C443,C443))</f>
        <v>442226150001-38_2</v>
      </c>
      <c r="C443" s="10" t="s">
        <v>2697</v>
      </c>
      <c r="D443" s="10" t="s">
        <v>6053</v>
      </c>
      <c r="E443" s="10" t="s">
        <v>1574</v>
      </c>
      <c r="F443" s="10" t="s">
        <v>3282</v>
      </c>
      <c r="G443" s="10" t="s">
        <v>3283</v>
      </c>
      <c r="H443" s="11" t="s">
        <v>3284</v>
      </c>
      <c r="I443" s="11" t="s">
        <v>3285</v>
      </c>
      <c r="J443" s="10" t="s">
        <v>1559</v>
      </c>
      <c r="K443" s="10" t="s">
        <v>1560</v>
      </c>
      <c r="L443" s="10" t="s">
        <v>1578</v>
      </c>
      <c r="M443" s="10" t="s">
        <v>3282</v>
      </c>
      <c r="N443" s="10">
        <v>32</v>
      </c>
      <c r="O443" s="11">
        <v>77</v>
      </c>
      <c r="P443" s="11">
        <v>7.6999999999999999E-2</v>
      </c>
      <c r="Q443" s="10" t="s">
        <v>1562</v>
      </c>
      <c r="R443" s="10">
        <v>80</v>
      </c>
      <c r="S443" s="12">
        <v>12</v>
      </c>
      <c r="T443" s="13">
        <v>32236</v>
      </c>
      <c r="U443" s="14">
        <v>2482.172</v>
      </c>
      <c r="V443" s="10">
        <v>6.34</v>
      </c>
      <c r="W443" s="15">
        <v>204376.24</v>
      </c>
      <c r="X443" s="29">
        <f>VLOOKUP($F443,Agendamento!$B:$J,9,0)</f>
        <v>46056</v>
      </c>
      <c r="Y443" s="6">
        <f>COUNTIF(Analise!F:F,'Obras e Acervos'!H443)</f>
        <v>1</v>
      </c>
    </row>
    <row r="444" spans="1:25" ht="15" customHeight="1" x14ac:dyDescent="0.25">
      <c r="A444" s="10" t="str">
        <f>CONCATENATE(LEFT(C444,12),"-",RIGHT(C444,2),"_",TEXT(X444,"ddmmaaaa"),"_",COUNTIF($C$2:C444,C444))</f>
        <v>032180300001-67_10022026_1</v>
      </c>
      <c r="B444" s="10" t="str">
        <f>CONCATENATE(LEFT(C444,12),"-",RIGHT(C444,2),"_",COUNTIF($C$2:C444,C444))</f>
        <v>032180300001-67_1</v>
      </c>
      <c r="C444" s="10" t="s">
        <v>3286</v>
      </c>
      <c r="D444" s="10" t="s">
        <v>289</v>
      </c>
      <c r="E444" s="10" t="s">
        <v>1574</v>
      </c>
      <c r="F444" s="10" t="s">
        <v>290</v>
      </c>
      <c r="G444" s="10" t="s">
        <v>3287</v>
      </c>
      <c r="H444" s="11" t="s">
        <v>3288</v>
      </c>
      <c r="I444" s="11" t="s">
        <v>3289</v>
      </c>
      <c r="J444" s="10" t="s">
        <v>1559</v>
      </c>
      <c r="K444" s="10" t="s">
        <v>1560</v>
      </c>
      <c r="L444" s="10" t="s">
        <v>1578</v>
      </c>
      <c r="M444" s="10" t="s">
        <v>290</v>
      </c>
      <c r="N444" s="10">
        <v>40</v>
      </c>
      <c r="O444" s="11">
        <v>140</v>
      </c>
      <c r="P444" s="11">
        <v>0.14000000000000001</v>
      </c>
      <c r="Q444" s="10" t="s">
        <v>1562</v>
      </c>
      <c r="R444" s="10">
        <v>80</v>
      </c>
      <c r="S444" s="12">
        <v>12</v>
      </c>
      <c r="T444" s="13">
        <v>32766</v>
      </c>
      <c r="U444" s="14">
        <v>4587.2400000000007</v>
      </c>
      <c r="V444" s="10">
        <v>6.86</v>
      </c>
      <c r="W444" s="15">
        <v>224774.76</v>
      </c>
      <c r="X444" s="29">
        <f>VLOOKUP($F444,Agendamento!$B:$J,9,0)</f>
        <v>46063</v>
      </c>
      <c r="Y444" s="6">
        <f>COUNTIF(Analise!F:F,'Obras e Acervos'!H444)</f>
        <v>1</v>
      </c>
    </row>
    <row r="445" spans="1:25" ht="15" customHeight="1" x14ac:dyDescent="0.25">
      <c r="A445" s="10" t="str">
        <f>CONCATENATE(LEFT(C445,12),"-",RIGHT(C445,2),"_",TEXT(X445,"ddmmaaaa"),"_",COUNTIF($C$2:C445,C445))</f>
        <v>275669510001-89_18022026_2</v>
      </c>
      <c r="B445" s="10" t="str">
        <f>CONCATENATE(LEFT(C445,12),"-",RIGHT(C445,2),"_",COUNTIF($C$2:C445,C445))</f>
        <v>275669510001-89_2</v>
      </c>
      <c r="C445" s="10" t="s">
        <v>2864</v>
      </c>
      <c r="D445" s="10" t="s">
        <v>6081</v>
      </c>
      <c r="E445" s="10" t="s">
        <v>1574</v>
      </c>
      <c r="F445" s="10" t="s">
        <v>591</v>
      </c>
      <c r="G445" s="10" t="s">
        <v>3290</v>
      </c>
      <c r="H445" s="11" t="s">
        <v>3291</v>
      </c>
      <c r="I445" s="11" t="s">
        <v>3292</v>
      </c>
      <c r="J445" s="10" t="s">
        <v>1559</v>
      </c>
      <c r="K445" s="10" t="s">
        <v>1560</v>
      </c>
      <c r="L445" s="10" t="s">
        <v>1578</v>
      </c>
      <c r="M445" s="10" t="s">
        <v>591</v>
      </c>
      <c r="N445" s="10">
        <v>32</v>
      </c>
      <c r="O445" s="11">
        <v>100</v>
      </c>
      <c r="P445" s="11">
        <v>0.1</v>
      </c>
      <c r="Q445" s="10" t="s">
        <v>1599</v>
      </c>
      <c r="R445" s="10">
        <v>80</v>
      </c>
      <c r="S445" s="12">
        <v>12</v>
      </c>
      <c r="T445" s="13">
        <v>52628</v>
      </c>
      <c r="U445" s="14">
        <v>5262.8</v>
      </c>
      <c r="V445" s="10">
        <v>4.6100000000000003</v>
      </c>
      <c r="W445" s="15">
        <v>242615.08000000002</v>
      </c>
      <c r="X445" s="29">
        <f>VLOOKUP($F445,Agendamento!$B:$J,9,0)</f>
        <v>46071</v>
      </c>
      <c r="Y445" s="6">
        <f>COUNTIF(Analise!F:F,'Obras e Acervos'!H445)</f>
        <v>1</v>
      </c>
    </row>
    <row r="446" spans="1:25" ht="15" customHeight="1" x14ac:dyDescent="0.25">
      <c r="A446" s="10" t="str">
        <f>CONCATENATE(LEFT(C446,12),"-",RIGHT(C446,2),"_",TEXT(X446,"ddmmaaaa"),"_",COUNTIF($C$2:C446,C446))</f>
        <v>320815800001-85_18022026_2</v>
      </c>
      <c r="B446" s="10" t="str">
        <f>CONCATENATE(LEFT(C446,12),"-",RIGHT(C446,2),"_",COUNTIF($C$2:C446,C446))</f>
        <v>320815800001-85_2</v>
      </c>
      <c r="C446" s="10" t="s">
        <v>3032</v>
      </c>
      <c r="D446" s="10" t="s">
        <v>580</v>
      </c>
      <c r="E446" s="10" t="s">
        <v>1574</v>
      </c>
      <c r="F446" s="10" t="s">
        <v>582</v>
      </c>
      <c r="G446" s="10" t="s">
        <v>3293</v>
      </c>
      <c r="H446" s="11" t="s">
        <v>3294</v>
      </c>
      <c r="I446" s="11" t="s">
        <v>3295</v>
      </c>
      <c r="J446" s="10" t="s">
        <v>1559</v>
      </c>
      <c r="K446" s="10" t="s">
        <v>1560</v>
      </c>
      <c r="L446" s="10" t="s">
        <v>1578</v>
      </c>
      <c r="M446" s="10" t="s">
        <v>582</v>
      </c>
      <c r="N446" s="10">
        <v>32</v>
      </c>
      <c r="O446" s="11">
        <v>100</v>
      </c>
      <c r="P446" s="11">
        <v>0.1</v>
      </c>
      <c r="Q446" s="10" t="s">
        <v>1562</v>
      </c>
      <c r="R446" s="10">
        <v>80</v>
      </c>
      <c r="S446" s="12">
        <v>12</v>
      </c>
      <c r="T446" s="13">
        <v>30645</v>
      </c>
      <c r="U446" s="14">
        <v>3064.5</v>
      </c>
      <c r="V446" s="10">
        <v>6.4</v>
      </c>
      <c r="W446" s="15">
        <v>196128</v>
      </c>
      <c r="X446" s="29">
        <f>VLOOKUP($F446,Agendamento!$B:$J,9,0)</f>
        <v>46071</v>
      </c>
      <c r="Y446" s="6">
        <f>COUNTIF(Analise!F:F,'Obras e Acervos'!H446)</f>
        <v>1</v>
      </c>
    </row>
    <row r="447" spans="1:25" ht="15" customHeight="1" x14ac:dyDescent="0.25">
      <c r="A447" s="10" t="str">
        <f>CONCATENATE(LEFT(C447,12),"-",RIGHT(C447,2),"_",TEXT(X447,"ddmmaaaa"),"_",COUNTIF($C$2:C447,C447))</f>
        <v>612599580001-96_11022026_2</v>
      </c>
      <c r="B447" s="10" t="str">
        <f>CONCATENATE(LEFT(C447,12),"-",RIGHT(C447,2),"_",COUNTIF($C$2:C447,C447))</f>
        <v>612599580001-96_2</v>
      </c>
      <c r="C447" s="10" t="s">
        <v>1604</v>
      </c>
      <c r="D447" s="10" t="s">
        <v>309</v>
      </c>
      <c r="E447" s="10" t="s">
        <v>1574</v>
      </c>
      <c r="F447" s="10" t="s">
        <v>310</v>
      </c>
      <c r="G447" s="10" t="s">
        <v>3296</v>
      </c>
      <c r="H447" s="11" t="s">
        <v>3297</v>
      </c>
      <c r="I447" s="11" t="s">
        <v>3298</v>
      </c>
      <c r="J447" s="10" t="s">
        <v>1559</v>
      </c>
      <c r="K447" s="10" t="s">
        <v>1560</v>
      </c>
      <c r="L447" s="10" t="s">
        <v>1578</v>
      </c>
      <c r="M447" s="10" t="s">
        <v>310</v>
      </c>
      <c r="N447" s="10">
        <v>48</v>
      </c>
      <c r="O447" s="11">
        <v>138</v>
      </c>
      <c r="P447" s="11">
        <v>0.13800000000000001</v>
      </c>
      <c r="Q447" s="10" t="s">
        <v>1562</v>
      </c>
      <c r="R447" s="10">
        <v>80</v>
      </c>
      <c r="S447" s="12">
        <v>12</v>
      </c>
      <c r="T447" s="13">
        <v>31994</v>
      </c>
      <c r="U447" s="14">
        <v>4415.1720000000005</v>
      </c>
      <c r="V447" s="10">
        <v>8.26</v>
      </c>
      <c r="W447" s="15">
        <v>264270.44</v>
      </c>
      <c r="X447" s="29">
        <f>VLOOKUP($F447,Agendamento!$B:$J,9,0)</f>
        <v>46064</v>
      </c>
      <c r="Y447" s="6">
        <f>COUNTIF(Analise!F:F,'Obras e Acervos'!H447)</f>
        <v>1</v>
      </c>
    </row>
    <row r="448" spans="1:25" ht="15" customHeight="1" x14ac:dyDescent="0.25">
      <c r="A448" s="10" t="str">
        <f>CONCATENATE(LEFT(C448,12),"-",RIGHT(C448,2),"_",TEXT(X448,"ddmmaaaa"),"_",COUNTIF($C$2:C448,C448))</f>
        <v>435971310001-00_11032026_2</v>
      </c>
      <c r="B448" s="10" t="str">
        <f>CONCATENATE(LEFT(C448,12),"-",RIGHT(C448,2),"_",COUNTIF($C$2:C448,C448))</f>
        <v>435971310001-00_2</v>
      </c>
      <c r="C448" s="10" t="s">
        <v>2395</v>
      </c>
      <c r="D448" s="10" t="s">
        <v>1262</v>
      </c>
      <c r="E448" s="10" t="s">
        <v>1574</v>
      </c>
      <c r="F448" s="10" t="s">
        <v>1317</v>
      </c>
      <c r="G448" s="10" t="s">
        <v>3299</v>
      </c>
      <c r="H448" s="11" t="s">
        <v>3300</v>
      </c>
      <c r="I448" s="11" t="s">
        <v>3301</v>
      </c>
      <c r="J448" s="10" t="s">
        <v>1559</v>
      </c>
      <c r="K448" s="10" t="s">
        <v>1560</v>
      </c>
      <c r="L448" s="10" t="s">
        <v>1578</v>
      </c>
      <c r="M448" s="10" t="s">
        <v>1317</v>
      </c>
      <c r="N448" s="10">
        <v>40</v>
      </c>
      <c r="O448" s="11">
        <v>130</v>
      </c>
      <c r="P448" s="11">
        <v>0.13</v>
      </c>
      <c r="Q448" s="10" t="s">
        <v>1562</v>
      </c>
      <c r="R448" s="10">
        <v>80</v>
      </c>
      <c r="S448" s="12">
        <v>12</v>
      </c>
      <c r="T448" s="13">
        <v>33100</v>
      </c>
      <c r="U448" s="14">
        <v>4303</v>
      </c>
      <c r="V448" s="10">
        <v>6.86</v>
      </c>
      <c r="W448" s="15">
        <v>227066</v>
      </c>
      <c r="X448" s="29">
        <f>VLOOKUP($F448,Agendamento!$B:$J,9,0)</f>
        <v>46092</v>
      </c>
      <c r="Y448" s="6">
        <f>COUNTIF(Analise!F:F,'Obras e Acervos'!H448)</f>
        <v>1</v>
      </c>
    </row>
    <row r="449" spans="1:25" ht="15" customHeight="1" x14ac:dyDescent="0.25">
      <c r="A449" s="10" t="str">
        <f>CONCATENATE(LEFT(C449,12),"-",RIGHT(C449,2),"_",TEXT(X449,"ddmmaaaa"),"_",COUNTIF($C$2:C449,C449))</f>
        <v>222433840001-06_28012026_1</v>
      </c>
      <c r="B449" s="10" t="str">
        <f>CONCATENATE(LEFT(C449,12),"-",RIGHT(C449,2),"_",COUNTIF($C$2:C449,C449))</f>
        <v>222433840001-06_1</v>
      </c>
      <c r="C449" s="10" t="s">
        <v>3302</v>
      </c>
      <c r="D449" s="10" t="s">
        <v>6120</v>
      </c>
      <c r="E449" s="10" t="s">
        <v>1555</v>
      </c>
      <c r="F449" s="10" t="s">
        <v>74</v>
      </c>
      <c r="G449" s="10" t="s">
        <v>3303</v>
      </c>
      <c r="H449" s="11" t="s">
        <v>3304</v>
      </c>
      <c r="I449" s="11" t="s">
        <v>3305</v>
      </c>
      <c r="J449" s="10" t="s">
        <v>1559</v>
      </c>
      <c r="K449" s="10" t="s">
        <v>1560</v>
      </c>
      <c r="L449" s="10" t="s">
        <v>1561</v>
      </c>
      <c r="M449" s="10" t="s">
        <v>74</v>
      </c>
      <c r="N449" s="10">
        <v>24</v>
      </c>
      <c r="O449" s="11">
        <v>79</v>
      </c>
      <c r="P449" s="11">
        <v>7.9000000000000001E-2</v>
      </c>
      <c r="Q449" s="10" t="s">
        <v>1562</v>
      </c>
      <c r="R449" s="10">
        <v>75</v>
      </c>
      <c r="S449" s="12">
        <v>4</v>
      </c>
      <c r="T449" s="13">
        <v>43187</v>
      </c>
      <c r="U449" s="14">
        <v>3411.7730000000001</v>
      </c>
      <c r="V449" s="10">
        <v>5.94</v>
      </c>
      <c r="W449" s="15">
        <v>172943.1</v>
      </c>
      <c r="X449" s="29">
        <f>VLOOKUP($F449,Agendamento!$B:$J,9,0)</f>
        <v>46050</v>
      </c>
      <c r="Y449" s="6">
        <f>COUNTIF(Analise!F:F,'Obras e Acervos'!H449)</f>
        <v>1</v>
      </c>
    </row>
    <row r="450" spans="1:25" ht="15" customHeight="1" x14ac:dyDescent="0.25">
      <c r="A450" s="10" t="str">
        <f>CONCATENATE(LEFT(C450,12),"-",RIGHT(C450,2),"_",TEXT(X450,"ddmmaaaa"),"_",COUNTIF($C$2:C450,C450))</f>
        <v>002986000001-88_10022026_2</v>
      </c>
      <c r="B450" s="10" t="str">
        <f>CONCATENATE(LEFT(C450,12),"-",RIGHT(C450,2),"_",COUNTIF($C$2:C450,C450))</f>
        <v>002986000001-88_2</v>
      </c>
      <c r="C450" s="10" t="s">
        <v>2888</v>
      </c>
      <c r="D450" s="10" t="s">
        <v>259</v>
      </c>
      <c r="E450" s="10" t="s">
        <v>1574</v>
      </c>
      <c r="F450" s="10" t="s">
        <v>260</v>
      </c>
      <c r="G450" s="10" t="s">
        <v>3306</v>
      </c>
      <c r="H450" s="11" t="s">
        <v>3307</v>
      </c>
      <c r="I450" s="11" t="s">
        <v>3308</v>
      </c>
      <c r="J450" s="10" t="s">
        <v>1559</v>
      </c>
      <c r="K450" s="10" t="s">
        <v>1560</v>
      </c>
      <c r="L450" s="10" t="s">
        <v>1578</v>
      </c>
      <c r="M450" s="10" t="s">
        <v>260</v>
      </c>
      <c r="N450" s="10">
        <v>48</v>
      </c>
      <c r="O450" s="11">
        <v>141</v>
      </c>
      <c r="P450" s="11">
        <v>0.14099999999999999</v>
      </c>
      <c r="Q450" s="10" t="s">
        <v>1562</v>
      </c>
      <c r="R450" s="10">
        <v>80</v>
      </c>
      <c r="S450" s="12">
        <v>12</v>
      </c>
      <c r="T450" s="13">
        <v>32388</v>
      </c>
      <c r="U450" s="14">
        <v>4566.7079999999996</v>
      </c>
      <c r="V450" s="10">
        <v>8.25</v>
      </c>
      <c r="W450" s="15">
        <v>267201</v>
      </c>
      <c r="X450" s="29">
        <f>VLOOKUP($F450,Agendamento!$B:$J,9,0)</f>
        <v>46063</v>
      </c>
      <c r="Y450" s="6">
        <f>COUNTIF(Analise!F:F,'Obras e Acervos'!H450)</f>
        <v>1</v>
      </c>
    </row>
    <row r="451" spans="1:25" ht="15" customHeight="1" x14ac:dyDescent="0.25">
      <c r="A451" s="10" t="str">
        <f>CONCATENATE(LEFT(C451,12),"-",RIGHT(C451,2),"_",TEXT(X451,"ddmmaaaa"),"_",COUNTIF($C$2:C451,C451))</f>
        <v>434143670001-64_26022026_2</v>
      </c>
      <c r="B451" s="10" t="str">
        <f>CONCATENATE(LEFT(C451,12),"-",RIGHT(C451,2),"_",COUNTIF($C$2:C451,C451))</f>
        <v>434143670001-64_2</v>
      </c>
      <c r="C451" s="10" t="s">
        <v>2896</v>
      </c>
      <c r="D451" s="10" t="s">
        <v>223</v>
      </c>
      <c r="E451" s="10" t="s">
        <v>1574</v>
      </c>
      <c r="F451" s="10" t="s">
        <v>925</v>
      </c>
      <c r="G451" s="10" t="s">
        <v>3309</v>
      </c>
      <c r="H451" s="11" t="s">
        <v>3310</v>
      </c>
      <c r="I451" s="11" t="s">
        <v>3311</v>
      </c>
      <c r="J451" s="10" t="s">
        <v>1559</v>
      </c>
      <c r="K451" s="10" t="s">
        <v>1560</v>
      </c>
      <c r="L451" s="10" t="s">
        <v>1578</v>
      </c>
      <c r="M451" s="10" t="s">
        <v>925</v>
      </c>
      <c r="N451" s="10">
        <v>40</v>
      </c>
      <c r="O451" s="11">
        <v>104</v>
      </c>
      <c r="P451" s="11">
        <v>0.104</v>
      </c>
      <c r="Q451" s="10" t="s">
        <v>1562</v>
      </c>
      <c r="R451" s="10">
        <v>80</v>
      </c>
      <c r="S451" s="12">
        <v>12</v>
      </c>
      <c r="T451" s="13">
        <v>37493</v>
      </c>
      <c r="U451" s="14">
        <v>3899.2719999999999</v>
      </c>
      <c r="V451" s="10">
        <v>6.72</v>
      </c>
      <c r="W451" s="15">
        <v>251952.96</v>
      </c>
      <c r="X451" s="29">
        <f>VLOOKUP($F451,Agendamento!$B:$J,9,0)</f>
        <v>46079</v>
      </c>
      <c r="Y451" s="6">
        <f>COUNTIF(Analise!F:F,'Obras e Acervos'!H451)</f>
        <v>1</v>
      </c>
    </row>
    <row r="452" spans="1:25" ht="15" customHeight="1" x14ac:dyDescent="0.25">
      <c r="A452" s="10" t="str">
        <f>CONCATENATE(LEFT(C452,12),"-",RIGHT(C452,2),"_",TEXT(X452,"ddmmaaaa"),"_",COUNTIF($C$2:C452,C452))</f>
        <v>146747400001-18_05032026_1</v>
      </c>
      <c r="B452" s="10" t="str">
        <f>CONCATENATE(LEFT(C452,12),"-",RIGHT(C452,2),"_",COUNTIF($C$2:C452,C452))</f>
        <v>146747400001-18_1</v>
      </c>
      <c r="C452" s="38" t="s">
        <v>5760</v>
      </c>
      <c r="D452" s="10" t="s">
        <v>1250</v>
      </c>
      <c r="E452" s="10" t="s">
        <v>1574</v>
      </c>
      <c r="F452" s="10" t="s">
        <v>1251</v>
      </c>
      <c r="G452" s="10" t="s">
        <v>3312</v>
      </c>
      <c r="H452" s="11" t="s">
        <v>3313</v>
      </c>
      <c r="I452" s="11" t="s">
        <v>3314</v>
      </c>
      <c r="J452" s="10" t="s">
        <v>1559</v>
      </c>
      <c r="K452" s="10" t="s">
        <v>1560</v>
      </c>
      <c r="L452" s="10" t="s">
        <v>1578</v>
      </c>
      <c r="M452" s="10" t="s">
        <v>1251</v>
      </c>
      <c r="N452" s="10">
        <v>136</v>
      </c>
      <c r="O452" s="11">
        <v>170</v>
      </c>
      <c r="P452" s="11">
        <v>0.17</v>
      </c>
      <c r="Q452" s="10" t="s">
        <v>1608</v>
      </c>
      <c r="R452" s="10">
        <v>80</v>
      </c>
      <c r="S452" s="12">
        <v>12</v>
      </c>
      <c r="T452" s="13">
        <v>30009</v>
      </c>
      <c r="U452" s="14">
        <v>5101.5300000000007</v>
      </c>
      <c r="V452" s="10">
        <v>15.52</v>
      </c>
      <c r="W452" s="15">
        <v>465739.68</v>
      </c>
      <c r="X452" s="29">
        <f>VLOOKUP($F452,Agendamento!$B:$J,9,0)</f>
        <v>46086</v>
      </c>
      <c r="Y452" s="6">
        <f>COUNTIF(Analise!F:F,'Obras e Acervos'!H452)</f>
        <v>1</v>
      </c>
    </row>
    <row r="453" spans="1:25" ht="15" customHeight="1" x14ac:dyDescent="0.25">
      <c r="A453" s="10" t="str">
        <f>CONCATENATE(LEFT(C453,12),"-",RIGHT(C453,2),"_",TEXT(X453,"ddmmaaaa"),"_",COUNTIF($C$2:C453,C453))</f>
        <v>156941140001-56_26012026_2</v>
      </c>
      <c r="B453" s="10" t="str">
        <f>CONCATENATE(LEFT(C453,12),"-",RIGHT(C453,2),"_",COUNTIF($C$2:C453,C453))</f>
        <v>156941140001-56_2</v>
      </c>
      <c r="C453" s="16" t="s">
        <v>2737</v>
      </c>
      <c r="D453" s="16" t="s">
        <v>6059</v>
      </c>
      <c r="E453" s="16" t="s">
        <v>1574</v>
      </c>
      <c r="F453" s="16" t="s">
        <v>28</v>
      </c>
      <c r="G453" s="16" t="s">
        <v>3315</v>
      </c>
      <c r="H453" s="16" t="s">
        <v>3316</v>
      </c>
      <c r="I453" s="16" t="s">
        <v>3317</v>
      </c>
      <c r="J453" s="16" t="s">
        <v>1559</v>
      </c>
      <c r="K453" s="16" t="s">
        <v>1560</v>
      </c>
      <c r="L453" s="16" t="s">
        <v>1578</v>
      </c>
      <c r="M453" s="10" t="s">
        <v>28</v>
      </c>
      <c r="N453" s="16">
        <v>48</v>
      </c>
      <c r="O453" s="16">
        <v>66</v>
      </c>
      <c r="P453" s="16">
        <v>6.6000000000000003E-2</v>
      </c>
      <c r="Q453" s="16" t="s">
        <v>1608</v>
      </c>
      <c r="R453" s="16">
        <v>80</v>
      </c>
      <c r="S453" s="17">
        <v>17</v>
      </c>
      <c r="T453" s="18">
        <v>103512</v>
      </c>
      <c r="U453" s="19">
        <v>6831.7920000000004</v>
      </c>
      <c r="V453" s="16">
        <v>10.11</v>
      </c>
      <c r="W453" s="20">
        <v>310902.71999999997</v>
      </c>
      <c r="X453" s="29">
        <f>VLOOKUP($F453,Agendamento!$B:$J,9,0)</f>
        <v>46048</v>
      </c>
      <c r="Y453" s="6">
        <f>COUNTIF(Analise!F:F,'Obras e Acervos'!H453)</f>
        <v>1</v>
      </c>
    </row>
    <row r="454" spans="1:25" ht="15" customHeight="1" x14ac:dyDescent="0.25">
      <c r="A454" s="10" t="str">
        <f>CONCATENATE(LEFT(C454,12),"-",RIGHT(C454,2),"_",TEXT(X454,"ddmmaaaa"),"_",COUNTIF($C$2:C454,C454))</f>
        <v>640355610001-09_27012026_2</v>
      </c>
      <c r="B454" s="10" t="str">
        <f>CONCATENATE(LEFT(C454,12),"-",RIGHT(C454,2),"_",COUNTIF($C$2:C454,C454))</f>
        <v>640355610001-09_2</v>
      </c>
      <c r="C454" s="21" t="s">
        <v>2558</v>
      </c>
      <c r="D454" s="10" t="s">
        <v>6033</v>
      </c>
      <c r="E454" s="10" t="s">
        <v>1574</v>
      </c>
      <c r="F454" s="10" t="s">
        <v>60</v>
      </c>
      <c r="G454" s="10" t="s">
        <v>3318</v>
      </c>
      <c r="H454" s="22" t="s">
        <v>3319</v>
      </c>
      <c r="I454" s="27" t="s">
        <v>3320</v>
      </c>
      <c r="J454" s="10" t="s">
        <v>1559</v>
      </c>
      <c r="K454" s="10" t="s">
        <v>1560</v>
      </c>
      <c r="L454" s="10" t="s">
        <v>1578</v>
      </c>
      <c r="M454" s="10" t="s">
        <v>60</v>
      </c>
      <c r="N454" s="10">
        <v>64</v>
      </c>
      <c r="O454" s="11">
        <v>180</v>
      </c>
      <c r="P454" s="22">
        <v>0.18</v>
      </c>
      <c r="Q454" s="10" t="s">
        <v>1562</v>
      </c>
      <c r="R454" s="10">
        <v>80</v>
      </c>
      <c r="S454" s="12">
        <v>12</v>
      </c>
      <c r="T454" s="23">
        <v>37781</v>
      </c>
      <c r="U454" s="24">
        <v>6800.58</v>
      </c>
      <c r="V454" s="10">
        <v>6.6</v>
      </c>
      <c r="W454" s="15">
        <v>308649</v>
      </c>
      <c r="X454" s="29">
        <f>VLOOKUP($F454,Agendamento!$B:$J,9,0)</f>
        <v>46049</v>
      </c>
      <c r="Y454" s="6">
        <f>COUNTIF(Analise!F:F,'Obras e Acervos'!H454)</f>
        <v>1</v>
      </c>
    </row>
    <row r="455" spans="1:25" ht="15" customHeight="1" x14ac:dyDescent="0.25">
      <c r="A455" s="10" t="str">
        <f>CONCATENATE(LEFT(C455,12),"-",RIGHT(C455,2),"_",TEXT(X455,"ddmmaaaa"),"_",COUNTIF($C$2:C455,C455))</f>
        <v>436799980001-05_12022026_2</v>
      </c>
      <c r="B455" s="10" t="str">
        <f>CONCATENATE(LEFT(C455,12),"-",RIGHT(C455,2),"_",COUNTIF($C$2:C455,C455))</f>
        <v>436799980001-05_2</v>
      </c>
      <c r="C455" s="10" t="s">
        <v>3076</v>
      </c>
      <c r="D455" s="10" t="s">
        <v>6108</v>
      </c>
      <c r="E455" s="10" t="s">
        <v>1574</v>
      </c>
      <c r="F455" s="10" t="s">
        <v>379</v>
      </c>
      <c r="G455" s="10" t="s">
        <v>3321</v>
      </c>
      <c r="H455" s="11" t="s">
        <v>3322</v>
      </c>
      <c r="I455" s="27" t="s">
        <v>3323</v>
      </c>
      <c r="J455" s="10" t="s">
        <v>1559</v>
      </c>
      <c r="K455" s="10" t="s">
        <v>1560</v>
      </c>
      <c r="L455" s="10" t="s">
        <v>1578</v>
      </c>
      <c r="M455" s="10" t="s">
        <v>379</v>
      </c>
      <c r="N455" s="10">
        <v>32</v>
      </c>
      <c r="O455" s="11">
        <v>105</v>
      </c>
      <c r="P455" s="11">
        <v>0.105</v>
      </c>
      <c r="Q455" s="10" t="s">
        <v>1562</v>
      </c>
      <c r="R455" s="10">
        <v>80</v>
      </c>
      <c r="S455" s="12">
        <v>12</v>
      </c>
      <c r="T455" s="13">
        <v>38175</v>
      </c>
      <c r="U455" s="14">
        <v>4008.375</v>
      </c>
      <c r="V455" s="10">
        <v>5.49</v>
      </c>
      <c r="W455" s="15">
        <v>209580.75</v>
      </c>
      <c r="X455" s="29">
        <f>VLOOKUP($F455,Agendamento!$B:$J,9,0)</f>
        <v>46065</v>
      </c>
      <c r="Y455" s="6">
        <f>COUNTIF(Analise!F:F,'Obras e Acervos'!H455)</f>
        <v>1</v>
      </c>
    </row>
    <row r="456" spans="1:25" ht="15" customHeight="1" x14ac:dyDescent="0.25">
      <c r="A456" s="10" t="str">
        <f>CONCATENATE(LEFT(C456,12),"-",RIGHT(C456,2),"_",TEXT(X456,"ddmmaaaa"),"_",COUNTIF($C$2:C456,C456))</f>
        <v>424366310001-06_27012026_1</v>
      </c>
      <c r="B456" s="10" t="str">
        <f>CONCATENATE(LEFT(C456,12),"-",RIGHT(C456,2),"_",COUNTIF($C$2:C456,C456))</f>
        <v>424366310001-06_1</v>
      </c>
      <c r="C456" s="21" t="s">
        <v>3324</v>
      </c>
      <c r="D456" s="10" t="s">
        <v>64</v>
      </c>
      <c r="E456" s="10" t="s">
        <v>1574</v>
      </c>
      <c r="F456" s="10" t="s">
        <v>65</v>
      </c>
      <c r="G456" s="10" t="s">
        <v>3325</v>
      </c>
      <c r="H456" s="22" t="s">
        <v>3326</v>
      </c>
      <c r="I456" s="27" t="s">
        <v>3327</v>
      </c>
      <c r="J456" s="10" t="s">
        <v>1559</v>
      </c>
      <c r="K456" s="10" t="s">
        <v>1560</v>
      </c>
      <c r="L456" s="10" t="s">
        <v>1578</v>
      </c>
      <c r="M456" s="10" t="s">
        <v>65</v>
      </c>
      <c r="N456" s="10">
        <v>32</v>
      </c>
      <c r="O456" s="11">
        <v>102</v>
      </c>
      <c r="P456" s="22">
        <v>0.10199999999999999</v>
      </c>
      <c r="Q456" s="10" t="s">
        <v>1562</v>
      </c>
      <c r="R456" s="10">
        <v>75</v>
      </c>
      <c r="S456" s="12">
        <v>17</v>
      </c>
      <c r="T456" s="23">
        <v>27065</v>
      </c>
      <c r="U456" s="24">
        <v>2760.6299999999997</v>
      </c>
      <c r="V456" s="10">
        <v>8.83</v>
      </c>
      <c r="W456" s="15">
        <v>333606.23</v>
      </c>
      <c r="X456" s="29">
        <f>VLOOKUP($F456,Agendamento!$B:$J,9,0)</f>
        <v>46049</v>
      </c>
      <c r="Y456" s="6">
        <f>COUNTIF(Analise!F:F,'Obras e Acervos'!H456)</f>
        <v>1</v>
      </c>
    </row>
    <row r="457" spans="1:25" ht="15" customHeight="1" x14ac:dyDescent="0.25">
      <c r="A457" s="10" t="str">
        <f>CONCATENATE(LEFT(C457,12),"-",RIGHT(C457,2),"_",TEXT(X457,"ddmmaaaa"),"_",COUNTIF($C$2:C457,C457))</f>
        <v>014181570001-02_12022026_1</v>
      </c>
      <c r="B457" s="10" t="str">
        <f>CONCATENATE(LEFT(C457,12),"-",RIGHT(C457,2),"_",COUNTIF($C$2:C457,C457))</f>
        <v>014181570001-02_1</v>
      </c>
      <c r="C457" s="10" t="s">
        <v>3328</v>
      </c>
      <c r="D457" s="10" t="s">
        <v>6121</v>
      </c>
      <c r="E457" s="10" t="s">
        <v>1574</v>
      </c>
      <c r="F457" s="10" t="s">
        <v>379</v>
      </c>
      <c r="G457" s="10" t="s">
        <v>3329</v>
      </c>
      <c r="H457" s="11" t="s">
        <v>3330</v>
      </c>
      <c r="I457" s="27" t="s">
        <v>3331</v>
      </c>
      <c r="J457" s="10" t="s">
        <v>1559</v>
      </c>
      <c r="K457" s="10" t="s">
        <v>1560</v>
      </c>
      <c r="L457" s="10" t="s">
        <v>1578</v>
      </c>
      <c r="M457" s="10" t="s">
        <v>6218</v>
      </c>
      <c r="N457" s="10">
        <v>32</v>
      </c>
      <c r="O457" s="11">
        <v>76</v>
      </c>
      <c r="P457" s="11">
        <v>7.5999999999999998E-2</v>
      </c>
      <c r="Q457" s="10" t="s">
        <v>1562</v>
      </c>
      <c r="R457" s="10">
        <v>80</v>
      </c>
      <c r="S457" s="12">
        <v>12</v>
      </c>
      <c r="T457" s="13">
        <v>38099</v>
      </c>
      <c r="U457" s="14">
        <v>2895.5239999999999</v>
      </c>
      <c r="V457" s="10">
        <v>5.49</v>
      </c>
      <c r="W457" s="15">
        <v>209163.51</v>
      </c>
      <c r="X457" s="29">
        <f>VLOOKUP($F457,Agendamento!$B:$J,9,0)</f>
        <v>46065</v>
      </c>
      <c r="Y457" s="6">
        <f>COUNTIF(Analise!F:F,'Obras e Acervos'!H457)</f>
        <v>1</v>
      </c>
    </row>
    <row r="458" spans="1:25" ht="15" customHeight="1" x14ac:dyDescent="0.25">
      <c r="A458" s="10" t="str">
        <f>CONCATENATE(LEFT(C458,12),"-",RIGHT(C458,2),"_",TEXT(X458,"ddmmaaaa"),"_",COUNTIF($C$2:C458,C458))</f>
        <v>119503950001-00_16022026_2</v>
      </c>
      <c r="B458" s="10" t="str">
        <f>CONCATENATE(LEFT(C458,12),"-",RIGHT(C458,2),"_",COUNTIF($C$2:C458,C458))</f>
        <v>119503950001-00_2</v>
      </c>
      <c r="C458" s="10" t="s">
        <v>2765</v>
      </c>
      <c r="D458" s="10" t="s">
        <v>6065</v>
      </c>
      <c r="E458" s="10" t="s">
        <v>1574</v>
      </c>
      <c r="F458" s="10" t="s">
        <v>516</v>
      </c>
      <c r="G458" s="10" t="s">
        <v>3332</v>
      </c>
      <c r="H458" s="11" t="s">
        <v>3333</v>
      </c>
      <c r="I458" s="11" t="s">
        <v>3334</v>
      </c>
      <c r="J458" s="10" t="s">
        <v>1559</v>
      </c>
      <c r="K458" s="10" t="s">
        <v>1560</v>
      </c>
      <c r="L458" s="10" t="s">
        <v>1578</v>
      </c>
      <c r="M458" s="10" t="s">
        <v>516</v>
      </c>
      <c r="N458" s="10">
        <v>64</v>
      </c>
      <c r="O458" s="11">
        <v>173</v>
      </c>
      <c r="P458" s="11">
        <v>0.17299999999999999</v>
      </c>
      <c r="Q458" s="10" t="s">
        <v>1562</v>
      </c>
      <c r="R458" s="10">
        <v>80</v>
      </c>
      <c r="S458" s="12">
        <v>12</v>
      </c>
      <c r="T458" s="13">
        <v>31161</v>
      </c>
      <c r="U458" s="14">
        <v>5390.8529999999992</v>
      </c>
      <c r="V458" s="10">
        <v>10.18</v>
      </c>
      <c r="W458" s="15">
        <v>317218.98</v>
      </c>
      <c r="X458" s="29">
        <f>VLOOKUP($F458,Agendamento!$B:$J,9,0)</f>
        <v>46069</v>
      </c>
      <c r="Y458" s="6">
        <f>COUNTIF(Analise!F:F,'Obras e Acervos'!H458)</f>
        <v>1</v>
      </c>
    </row>
    <row r="459" spans="1:25" ht="15" customHeight="1" x14ac:dyDescent="0.25">
      <c r="A459" s="10" t="str">
        <f>CONCATENATE(LEFT(C459,12),"-",RIGHT(C459,2),"_",TEXT(X459,"ddmmaaaa"),"_",COUNTIF($C$2:C459,C459))</f>
        <v>062220050001-45_18022026_2</v>
      </c>
      <c r="B459" s="10" t="str">
        <f>CONCATENATE(LEFT(C459,12),"-",RIGHT(C459,2),"_",COUNTIF($C$2:C459,C459))</f>
        <v>062220050001-45_2</v>
      </c>
      <c r="C459" s="10" t="s">
        <v>2621</v>
      </c>
      <c r="D459" s="10" t="s">
        <v>570</v>
      </c>
      <c r="E459" s="10" t="s">
        <v>1574</v>
      </c>
      <c r="F459" s="10" t="s">
        <v>571</v>
      </c>
      <c r="G459" s="10" t="s">
        <v>3335</v>
      </c>
      <c r="H459" s="11" t="s">
        <v>3336</v>
      </c>
      <c r="I459" s="11" t="s">
        <v>3337</v>
      </c>
      <c r="J459" s="10" t="s">
        <v>1559</v>
      </c>
      <c r="K459" s="10" t="s">
        <v>1560</v>
      </c>
      <c r="L459" s="10" t="s">
        <v>1578</v>
      </c>
      <c r="M459" s="10" t="s">
        <v>571</v>
      </c>
      <c r="N459" s="10">
        <v>120</v>
      </c>
      <c r="O459" s="11">
        <v>140</v>
      </c>
      <c r="P459" s="11">
        <v>0.14000000000000001</v>
      </c>
      <c r="Q459" s="10" t="s">
        <v>1608</v>
      </c>
      <c r="R459" s="10">
        <v>75</v>
      </c>
      <c r="S459" s="12">
        <v>12</v>
      </c>
      <c r="T459" s="13">
        <v>30797</v>
      </c>
      <c r="U459" s="14">
        <v>4311.5800000000008</v>
      </c>
      <c r="V459" s="10">
        <v>13.76</v>
      </c>
      <c r="W459" s="15">
        <v>423766.72</v>
      </c>
      <c r="X459" s="29">
        <f>VLOOKUP($F459,Agendamento!$B:$J,9,0)</f>
        <v>46071</v>
      </c>
      <c r="Y459" s="6">
        <f>COUNTIF(Analise!F:F,'Obras e Acervos'!H459)</f>
        <v>1</v>
      </c>
    </row>
    <row r="460" spans="1:25" ht="15" customHeight="1" x14ac:dyDescent="0.25">
      <c r="A460" s="10" t="str">
        <f>CONCATENATE(LEFT(C460,12),"-",RIGHT(C460,2),"_",TEXT(X460,"ddmmaaaa"),"_",COUNTIF($C$2:C460,C460))</f>
        <v>309586110001-08_27022026_2</v>
      </c>
      <c r="B460" s="10" t="str">
        <f>CONCATENATE(LEFT(C460,12),"-",RIGHT(C460,2),"_",COUNTIF($C$2:C460,C460))</f>
        <v>309586110001-08_2</v>
      </c>
      <c r="C460" s="10" t="s">
        <v>1980</v>
      </c>
      <c r="D460" s="10" t="s">
        <v>969</v>
      </c>
      <c r="E460" s="10" t="s">
        <v>1574</v>
      </c>
      <c r="F460" s="10" t="s">
        <v>970</v>
      </c>
      <c r="G460" s="10" t="s">
        <v>3338</v>
      </c>
      <c r="H460" s="11" t="s">
        <v>3339</v>
      </c>
      <c r="I460" s="11" t="s">
        <v>3340</v>
      </c>
      <c r="J460" s="10" t="s">
        <v>1559</v>
      </c>
      <c r="K460" s="10" t="s">
        <v>1560</v>
      </c>
      <c r="L460" s="10" t="s">
        <v>1578</v>
      </c>
      <c r="M460" s="10" t="s">
        <v>970</v>
      </c>
      <c r="N460" s="10">
        <v>72</v>
      </c>
      <c r="O460" s="11">
        <v>89</v>
      </c>
      <c r="P460" s="11">
        <v>8.8999999999999996E-2</v>
      </c>
      <c r="Q460" s="10" t="s">
        <v>1608</v>
      </c>
      <c r="R460" s="10">
        <v>75</v>
      </c>
      <c r="S460" s="12">
        <v>12</v>
      </c>
      <c r="T460" s="13">
        <v>29479</v>
      </c>
      <c r="U460" s="14">
        <v>2623.6309999999999</v>
      </c>
      <c r="V460" s="10">
        <v>8.5500000000000007</v>
      </c>
      <c r="W460" s="15">
        <v>252045.45</v>
      </c>
      <c r="X460" s="29">
        <f>VLOOKUP($F460,Agendamento!$B:$J,9,0)</f>
        <v>46080</v>
      </c>
      <c r="Y460" s="6">
        <f>COUNTIF(Analise!F:F,'Obras e Acervos'!H460)</f>
        <v>1</v>
      </c>
    </row>
    <row r="461" spans="1:25" ht="15" customHeight="1" x14ac:dyDescent="0.25">
      <c r="A461" s="10" t="str">
        <f>CONCATENATE(LEFT(C461,12),"-",RIGHT(C461,2),"_",TEXT(X461,"ddmmaaaa"),"_",COUNTIF($C$2:C461,C461))</f>
        <v>001196970001-14_10022026_2</v>
      </c>
      <c r="B461" s="10" t="str">
        <f>CONCATENATE(LEFT(C461,12),"-",RIGHT(C461,2),"_",COUNTIF($C$2:C461,C461))</f>
        <v>001196970001-14_2</v>
      </c>
      <c r="C461" s="10" t="s">
        <v>2467</v>
      </c>
      <c r="D461" s="10" t="s">
        <v>252</v>
      </c>
      <c r="E461" s="10" t="s">
        <v>1574</v>
      </c>
      <c r="F461" s="10" t="s">
        <v>254</v>
      </c>
      <c r="G461" s="10" t="s">
        <v>3341</v>
      </c>
      <c r="H461" s="11" t="s">
        <v>3342</v>
      </c>
      <c r="I461" s="11" t="s">
        <v>3343</v>
      </c>
      <c r="J461" s="10" t="s">
        <v>1559</v>
      </c>
      <c r="K461" s="10" t="s">
        <v>1560</v>
      </c>
      <c r="L461" s="10" t="s">
        <v>1578</v>
      </c>
      <c r="M461" s="10" t="s">
        <v>254</v>
      </c>
      <c r="N461" s="10">
        <v>32</v>
      </c>
      <c r="O461" s="11">
        <v>103</v>
      </c>
      <c r="P461" s="11">
        <v>0.10299999999999999</v>
      </c>
      <c r="Q461" s="10" t="s">
        <v>1562</v>
      </c>
      <c r="R461" s="10">
        <v>80</v>
      </c>
      <c r="S461" s="12">
        <v>12</v>
      </c>
      <c r="T461" s="13">
        <v>31706</v>
      </c>
      <c r="U461" s="14">
        <v>3265.7179999999998</v>
      </c>
      <c r="V461" s="10">
        <v>6.37</v>
      </c>
      <c r="W461" s="15">
        <v>201967.22</v>
      </c>
      <c r="X461" s="29">
        <f>VLOOKUP($F461,Agendamento!$B:$J,9,0)</f>
        <v>46063</v>
      </c>
      <c r="Y461" s="6">
        <f>COUNTIF(Analise!F:F,'Obras e Acervos'!H461)</f>
        <v>1</v>
      </c>
    </row>
    <row r="462" spans="1:25" ht="15" customHeight="1" x14ac:dyDescent="0.25">
      <c r="A462" s="10" t="str">
        <f>CONCATENATE(LEFT(C462,12),"-",RIGHT(C462,2),"_",TEXT(X462,"ddmmaaaa"),"_",COUNTIF($C$2:C462,C462))</f>
        <v>121827330001-73_12022026_2</v>
      </c>
      <c r="B462" s="10" t="str">
        <f>CONCATENATE(LEFT(C462,12),"-",RIGHT(C462,2),"_",COUNTIF($C$2:C462,C462))</f>
        <v>121827330001-73_2</v>
      </c>
      <c r="C462" s="10" t="s">
        <v>1670</v>
      </c>
      <c r="D462" s="10" t="s">
        <v>5907</v>
      </c>
      <c r="E462" s="10" t="s">
        <v>1574</v>
      </c>
      <c r="F462" s="10" t="s">
        <v>336</v>
      </c>
      <c r="G462" s="10" t="s">
        <v>3344</v>
      </c>
      <c r="H462" s="11" t="s">
        <v>3345</v>
      </c>
      <c r="I462" s="11" t="s">
        <v>3346</v>
      </c>
      <c r="J462" s="10" t="s">
        <v>1559</v>
      </c>
      <c r="K462" s="10" t="s">
        <v>1560</v>
      </c>
      <c r="L462" s="10" t="s">
        <v>1578</v>
      </c>
      <c r="M462" s="10" t="s">
        <v>336</v>
      </c>
      <c r="N462" s="10">
        <v>24</v>
      </c>
      <c r="O462" s="11">
        <v>85</v>
      </c>
      <c r="P462" s="11">
        <v>8.5000000000000006E-2</v>
      </c>
      <c r="Q462" s="10" t="s">
        <v>1599</v>
      </c>
      <c r="R462" s="10">
        <v>80</v>
      </c>
      <c r="S462" s="12">
        <v>12</v>
      </c>
      <c r="T462" s="13">
        <v>30070</v>
      </c>
      <c r="U462" s="14">
        <v>2555.9500000000003</v>
      </c>
      <c r="V462" s="10">
        <v>5.48</v>
      </c>
      <c r="W462" s="15">
        <v>164783.6</v>
      </c>
      <c r="X462" s="29">
        <f>VLOOKUP($F462,Agendamento!$B:$J,9,0)</f>
        <v>46065</v>
      </c>
      <c r="Y462" s="6">
        <f>COUNTIF(Analise!F:F,'Obras e Acervos'!H462)</f>
        <v>1</v>
      </c>
    </row>
    <row r="463" spans="1:25" ht="15" customHeight="1" x14ac:dyDescent="0.25">
      <c r="A463" s="10" t="str">
        <f>CONCATENATE(LEFT(C463,12),"-",RIGHT(C463,2),"_",TEXT(X463,"ddmmaaaa"),"_",COUNTIF($C$2:C463,C463))</f>
        <v>062853700001-07_09022026_2</v>
      </c>
      <c r="B463" s="10" t="str">
        <f>CONCATENATE(LEFT(C463,12),"-",RIGHT(C463,2),"_",COUNTIF($C$2:C463,C463))</f>
        <v>062853700001-07_2</v>
      </c>
      <c r="C463" s="10" t="s">
        <v>2487</v>
      </c>
      <c r="D463" s="10" t="s">
        <v>6023</v>
      </c>
      <c r="E463" s="10" t="s">
        <v>1574</v>
      </c>
      <c r="F463" s="10" t="s">
        <v>236</v>
      </c>
      <c r="G463" s="10" t="s">
        <v>3347</v>
      </c>
      <c r="H463" s="11" t="s">
        <v>3348</v>
      </c>
      <c r="I463" s="11" t="s">
        <v>3349</v>
      </c>
      <c r="J463" s="10" t="s">
        <v>1559</v>
      </c>
      <c r="K463" s="10" t="s">
        <v>1560</v>
      </c>
      <c r="L463" s="10" t="s">
        <v>1578</v>
      </c>
      <c r="M463" s="10" t="s">
        <v>236</v>
      </c>
      <c r="N463" s="10">
        <v>32</v>
      </c>
      <c r="O463" s="11">
        <v>103</v>
      </c>
      <c r="P463" s="11">
        <v>0.10299999999999999</v>
      </c>
      <c r="Q463" s="10" t="s">
        <v>1562</v>
      </c>
      <c r="R463" s="10">
        <v>80</v>
      </c>
      <c r="S463" s="12">
        <v>12</v>
      </c>
      <c r="T463" s="13">
        <v>36251</v>
      </c>
      <c r="U463" s="14">
        <v>3733.8529999999996</v>
      </c>
      <c r="V463" s="10">
        <v>5.87</v>
      </c>
      <c r="W463" s="15">
        <v>212793.37</v>
      </c>
      <c r="X463" s="29">
        <f>VLOOKUP($F463,Agendamento!$B:$J,9,0)</f>
        <v>46062</v>
      </c>
      <c r="Y463" s="6">
        <f>COUNTIF(Analise!F:F,'Obras e Acervos'!H463)</f>
        <v>1</v>
      </c>
    </row>
    <row r="464" spans="1:25" ht="15" customHeight="1" x14ac:dyDescent="0.25">
      <c r="A464" s="10" t="str">
        <f>CONCATENATE(LEFT(C464,12),"-",RIGHT(C464,2),"_",TEXT(X464,"ddmmaaaa"),"_",COUNTIF($C$2:C464,C464))</f>
        <v>405807310001-78_24022026_1</v>
      </c>
      <c r="B464" s="10" t="str">
        <f>CONCATENATE(LEFT(C464,12),"-",RIGHT(C464,2),"_",COUNTIF($C$2:C464,C464))</f>
        <v>405807310001-78_1</v>
      </c>
      <c r="C464" s="10" t="s">
        <v>3350</v>
      </c>
      <c r="D464" s="10" t="s">
        <v>779</v>
      </c>
      <c r="E464" s="10" t="s">
        <v>1574</v>
      </c>
      <c r="F464" s="10" t="s">
        <v>780</v>
      </c>
      <c r="G464" s="10" t="s">
        <v>3351</v>
      </c>
      <c r="H464" s="11" t="s">
        <v>3352</v>
      </c>
      <c r="I464" s="11" t="s">
        <v>3353</v>
      </c>
      <c r="J464" s="10" t="s">
        <v>1559</v>
      </c>
      <c r="K464" s="10" t="s">
        <v>1560</v>
      </c>
      <c r="L464" s="10" t="s">
        <v>1578</v>
      </c>
      <c r="M464" s="10" t="s">
        <v>780</v>
      </c>
      <c r="N464" s="10">
        <v>44</v>
      </c>
      <c r="O464" s="11">
        <v>134</v>
      </c>
      <c r="P464" s="11">
        <v>0.13400000000000001</v>
      </c>
      <c r="Q464" s="10" t="s">
        <v>1562</v>
      </c>
      <c r="R464" s="10">
        <v>80</v>
      </c>
      <c r="S464" s="12">
        <v>12</v>
      </c>
      <c r="T464" s="13">
        <v>31691</v>
      </c>
      <c r="U464" s="14">
        <v>4246.5940000000001</v>
      </c>
      <c r="V464" s="10">
        <v>7.79</v>
      </c>
      <c r="W464" s="15">
        <v>246872.89</v>
      </c>
      <c r="X464" s="29">
        <f>VLOOKUP($F464,Agendamento!$B:$J,9,0)</f>
        <v>46077</v>
      </c>
      <c r="Y464" s="6">
        <f>COUNTIF(Analise!F:F,'Obras e Acervos'!H464)</f>
        <v>1</v>
      </c>
    </row>
    <row r="465" spans="1:25" ht="15" customHeight="1" x14ac:dyDescent="0.25">
      <c r="A465" s="10" t="str">
        <f>CONCATENATE(LEFT(C465,12),"-",RIGHT(C465,2),"_",TEXT(X465,"ddmmaaaa"),"_",COUNTIF($C$2:C465,C465))</f>
        <v>433986540001-28_04032026_2</v>
      </c>
      <c r="B465" s="10" t="str">
        <f>CONCATENATE(LEFT(C465,12),"-",RIGHT(C465,2),"_",COUNTIF($C$2:C465,C465))</f>
        <v>433986540001-28_2</v>
      </c>
      <c r="C465" s="10" t="s">
        <v>2976</v>
      </c>
      <c r="D465" s="10" t="s">
        <v>1059</v>
      </c>
      <c r="E465" s="10" t="s">
        <v>1574</v>
      </c>
      <c r="F465" s="10" t="s">
        <v>1199</v>
      </c>
      <c r="G465" s="10" t="s">
        <v>3354</v>
      </c>
      <c r="H465" s="11" t="s">
        <v>3355</v>
      </c>
      <c r="I465" s="11" t="s">
        <v>3356</v>
      </c>
      <c r="J465" s="10" t="s">
        <v>1559</v>
      </c>
      <c r="K465" s="10" t="s">
        <v>1560</v>
      </c>
      <c r="L465" s="10" t="s">
        <v>1578</v>
      </c>
      <c r="M465" s="10" t="s">
        <v>1199</v>
      </c>
      <c r="N465" s="10">
        <v>32</v>
      </c>
      <c r="O465" s="11">
        <v>86</v>
      </c>
      <c r="P465" s="11">
        <v>8.5999999999999993E-2</v>
      </c>
      <c r="Q465" s="10" t="s">
        <v>1562</v>
      </c>
      <c r="R465" s="10">
        <v>80</v>
      </c>
      <c r="S465" s="12">
        <v>12</v>
      </c>
      <c r="T465" s="13">
        <v>34175</v>
      </c>
      <c r="U465" s="14">
        <v>2939.0499999999997</v>
      </c>
      <c r="V465" s="10">
        <v>5.93</v>
      </c>
      <c r="W465" s="15">
        <v>202657.75</v>
      </c>
      <c r="X465" s="29">
        <f>VLOOKUP($F465,Agendamento!$B:$J,9,0)</f>
        <v>46085</v>
      </c>
      <c r="Y465" s="6">
        <f>COUNTIF(Analise!F:F,'Obras e Acervos'!H465)</f>
        <v>1</v>
      </c>
    </row>
    <row r="466" spans="1:25" ht="15" customHeight="1" x14ac:dyDescent="0.25">
      <c r="A466" s="10" t="str">
        <f>CONCATENATE(LEFT(C466,12),"-",RIGHT(C466,2),"_",TEXT(X466,"ddmmaaaa"),"_",COUNTIF($C$2:C466,C466))</f>
        <v>086238410002-48_03032026_2</v>
      </c>
      <c r="B466" s="10" t="str">
        <f>CONCATENATE(LEFT(C466,12),"-",RIGHT(C466,2),"_",COUNTIF($C$2:C466,C466))</f>
        <v>086238410002-48_2</v>
      </c>
      <c r="C466" s="38" t="s">
        <v>5755</v>
      </c>
      <c r="D466" s="10" t="s">
        <v>5954</v>
      </c>
      <c r="E466" s="10" t="s">
        <v>1574</v>
      </c>
      <c r="F466" s="10" t="s">
        <v>1126</v>
      </c>
      <c r="G466" s="10" t="s">
        <v>3357</v>
      </c>
      <c r="H466" s="11" t="s">
        <v>3358</v>
      </c>
      <c r="I466" s="11" t="s">
        <v>3359</v>
      </c>
      <c r="J466" s="10" t="s">
        <v>1559</v>
      </c>
      <c r="K466" s="10" t="s">
        <v>1560</v>
      </c>
      <c r="L466" s="10" t="s">
        <v>1578</v>
      </c>
      <c r="M466" s="10" t="s">
        <v>1126</v>
      </c>
      <c r="N466" s="10">
        <v>56</v>
      </c>
      <c r="O466" s="11">
        <v>160</v>
      </c>
      <c r="P466" s="11">
        <v>0.16</v>
      </c>
      <c r="Q466" s="10" t="s">
        <v>1562</v>
      </c>
      <c r="R466" s="10">
        <v>75</v>
      </c>
      <c r="S466" s="12">
        <v>12</v>
      </c>
      <c r="T466" s="13">
        <v>36857</v>
      </c>
      <c r="U466" s="14">
        <v>5897.12</v>
      </c>
      <c r="V466" s="10">
        <v>8.3699999999999992</v>
      </c>
      <c r="W466" s="15">
        <v>308493.08999999997</v>
      </c>
      <c r="X466" s="29">
        <f>VLOOKUP($F466,Agendamento!$B:$J,9,0)</f>
        <v>46084</v>
      </c>
      <c r="Y466" s="6">
        <f>COUNTIF(Analise!F:F,'Obras e Acervos'!H466)</f>
        <v>1</v>
      </c>
    </row>
    <row r="467" spans="1:25" ht="15" customHeight="1" x14ac:dyDescent="0.25">
      <c r="A467" s="10" t="str">
        <f>CONCATENATE(LEFT(C467,12),"-",RIGHT(C467,2),"_",TEXT(X467,"ddmmaaaa"),"_",COUNTIF($C$2:C467,C467))</f>
        <v>103587830001-33_20022026_1</v>
      </c>
      <c r="B467" s="10" t="str">
        <f>CONCATENATE(LEFT(C467,12),"-",RIGHT(C467,2),"_",COUNTIF($C$2:C467,C467))</f>
        <v>103587830001-33_1</v>
      </c>
      <c r="C467" s="10" t="s">
        <v>3360</v>
      </c>
      <c r="D467" s="10" t="s">
        <v>6122</v>
      </c>
      <c r="E467" s="10" t="s">
        <v>1574</v>
      </c>
      <c r="F467" s="10" t="s">
        <v>665</v>
      </c>
      <c r="G467" s="10" t="s">
        <v>3361</v>
      </c>
      <c r="H467" s="11" t="s">
        <v>3362</v>
      </c>
      <c r="I467" s="11" t="s">
        <v>3363</v>
      </c>
      <c r="J467" s="10" t="s">
        <v>1559</v>
      </c>
      <c r="K467" s="10" t="s">
        <v>1560</v>
      </c>
      <c r="L467" s="10" t="s">
        <v>1578</v>
      </c>
      <c r="M467" s="10" t="s">
        <v>665</v>
      </c>
      <c r="N467" s="10">
        <v>56</v>
      </c>
      <c r="O467" s="11">
        <v>210</v>
      </c>
      <c r="P467" s="11">
        <v>0.21</v>
      </c>
      <c r="Q467" s="10" t="s">
        <v>1562</v>
      </c>
      <c r="R467" s="10">
        <v>80</v>
      </c>
      <c r="S467" s="12">
        <v>12</v>
      </c>
      <c r="T467" s="13">
        <v>29327</v>
      </c>
      <c r="U467" s="14">
        <v>6158.67</v>
      </c>
      <c r="V467" s="10">
        <v>8.56</v>
      </c>
      <c r="W467" s="15">
        <v>251039.12000000002</v>
      </c>
      <c r="X467" s="29">
        <f>VLOOKUP($F467,Agendamento!$B:$J,9,0)</f>
        <v>46073</v>
      </c>
      <c r="Y467" s="6">
        <f>COUNTIF(Analise!F:F,'Obras e Acervos'!H467)</f>
        <v>1</v>
      </c>
    </row>
    <row r="468" spans="1:25" ht="15" customHeight="1" x14ac:dyDescent="0.25">
      <c r="A468" s="10" t="str">
        <f>CONCATENATE(LEFT(C468,12),"-",RIGHT(C468,2),"_",TEXT(X468,"ddmmaaaa"),"_",COUNTIF($C$2:C468,C468))</f>
        <v>127083580001-52_12022026_2</v>
      </c>
      <c r="B468" s="10" t="str">
        <f>CONCATENATE(LEFT(C468,12),"-",RIGHT(C468,2),"_",COUNTIF($C$2:C468,C468))</f>
        <v>127083580001-52_2</v>
      </c>
      <c r="C468" s="10" t="s">
        <v>2011</v>
      </c>
      <c r="D468" s="10" t="s">
        <v>356</v>
      </c>
      <c r="E468" s="10" t="s">
        <v>1574</v>
      </c>
      <c r="F468" s="10" t="s">
        <v>357</v>
      </c>
      <c r="G468" s="10" t="s">
        <v>3364</v>
      </c>
      <c r="H468" s="11" t="s">
        <v>3365</v>
      </c>
      <c r="I468" s="11" t="s">
        <v>3366</v>
      </c>
      <c r="J468" s="10" t="s">
        <v>1559</v>
      </c>
      <c r="K468" s="10" t="s">
        <v>1560</v>
      </c>
      <c r="L468" s="10" t="s">
        <v>1578</v>
      </c>
      <c r="M468" s="10" t="s">
        <v>357</v>
      </c>
      <c r="N468" s="10">
        <v>120</v>
      </c>
      <c r="O468" s="11">
        <v>285</v>
      </c>
      <c r="P468" s="11">
        <v>0.28499999999999998</v>
      </c>
      <c r="Q468" s="10" t="s">
        <v>1608</v>
      </c>
      <c r="R468" s="10">
        <v>80</v>
      </c>
      <c r="S468" s="12">
        <v>12</v>
      </c>
      <c r="T468" s="13">
        <v>36993</v>
      </c>
      <c r="U468" s="14">
        <v>10543.004999999999</v>
      </c>
      <c r="V468" s="10">
        <v>12.73</v>
      </c>
      <c r="W468" s="15">
        <v>470920.89</v>
      </c>
      <c r="X468" s="29">
        <f>VLOOKUP($F468,Agendamento!$B:$J,9,0)</f>
        <v>46065</v>
      </c>
      <c r="Y468" s="6">
        <f>COUNTIF(Analise!F:F,'Obras e Acervos'!H468)</f>
        <v>1</v>
      </c>
    </row>
    <row r="469" spans="1:25" ht="15" customHeight="1" x14ac:dyDescent="0.25">
      <c r="A469" s="10" t="str">
        <f>CONCATENATE(LEFT(C469,12),"-",RIGHT(C469,2),"_",TEXT(X469,"ddmmaaaa"),"_",COUNTIF($C$2:C469,C469))</f>
        <v>071016460001-04_20022026_2</v>
      </c>
      <c r="B469" s="10" t="str">
        <f>CONCATENATE(LEFT(C469,12),"-",RIGHT(C469,2),"_",COUNTIF($C$2:C469,C469))</f>
        <v>071016460001-04_2</v>
      </c>
      <c r="C469" s="10" t="s">
        <v>2514</v>
      </c>
      <c r="D469" s="10" t="s">
        <v>641</v>
      </c>
      <c r="E469" s="10" t="s">
        <v>1574</v>
      </c>
      <c r="F469" s="10" t="s">
        <v>642</v>
      </c>
      <c r="G469" s="10" t="s">
        <v>3367</v>
      </c>
      <c r="H469" s="11" t="s">
        <v>3368</v>
      </c>
      <c r="I469" s="11" t="s">
        <v>3369</v>
      </c>
      <c r="J469" s="10" t="s">
        <v>1559</v>
      </c>
      <c r="K469" s="10" t="s">
        <v>1560</v>
      </c>
      <c r="L469" s="10" t="s">
        <v>1578</v>
      </c>
      <c r="M469" s="10" t="s">
        <v>642</v>
      </c>
      <c r="N469" s="10">
        <v>24</v>
      </c>
      <c r="O469" s="11">
        <v>84</v>
      </c>
      <c r="P469" s="11">
        <v>8.4000000000000005E-2</v>
      </c>
      <c r="Q469" s="10" t="s">
        <v>1562</v>
      </c>
      <c r="R469" s="10">
        <v>80</v>
      </c>
      <c r="S469" s="12">
        <v>12</v>
      </c>
      <c r="T469" s="13">
        <v>33312</v>
      </c>
      <c r="U469" s="14">
        <v>2798.2080000000001</v>
      </c>
      <c r="V469" s="10">
        <v>5.05</v>
      </c>
      <c r="W469" s="15">
        <v>168225.6</v>
      </c>
      <c r="X469" s="29">
        <f>VLOOKUP($F469,Agendamento!$B:$J,9,0)</f>
        <v>46073</v>
      </c>
      <c r="Y469" s="6">
        <f>COUNTIF(Analise!F:F,'Obras e Acervos'!H469)</f>
        <v>1</v>
      </c>
    </row>
    <row r="470" spans="1:25" ht="15" customHeight="1" x14ac:dyDescent="0.25">
      <c r="A470" s="10" t="str">
        <f>CONCATENATE(LEFT(C470,12),"-",RIGHT(C470,2),"_",TEXT(X470,"ddmmaaaa"),"_",COUNTIF($C$2:C470,C470))</f>
        <v>036797150001-00_24022026_2</v>
      </c>
      <c r="B470" s="10" t="str">
        <f>CONCATENATE(LEFT(C470,12),"-",RIGHT(C470,2),"_",COUNTIF($C$2:C470,C470))</f>
        <v>036797150001-00_2</v>
      </c>
      <c r="C470" s="10" t="s">
        <v>2023</v>
      </c>
      <c r="D470" s="10" t="s">
        <v>5955</v>
      </c>
      <c r="E470" s="10" t="s">
        <v>1574</v>
      </c>
      <c r="F470" s="10" t="s">
        <v>818</v>
      </c>
      <c r="G470" s="10" t="s">
        <v>3370</v>
      </c>
      <c r="H470" s="11" t="s">
        <v>3371</v>
      </c>
      <c r="I470" s="11" t="s">
        <v>3372</v>
      </c>
      <c r="J470" s="10" t="s">
        <v>1559</v>
      </c>
      <c r="K470" s="10" t="s">
        <v>1560</v>
      </c>
      <c r="L470" s="10" t="s">
        <v>1578</v>
      </c>
      <c r="M470" s="10" t="s">
        <v>818</v>
      </c>
      <c r="N470" s="10">
        <v>32</v>
      </c>
      <c r="O470" s="11">
        <v>100</v>
      </c>
      <c r="P470" s="11">
        <v>0.1</v>
      </c>
      <c r="Q470" s="10" t="s">
        <v>1608</v>
      </c>
      <c r="R470" s="10">
        <v>80</v>
      </c>
      <c r="S470" s="12">
        <v>12</v>
      </c>
      <c r="T470" s="13">
        <v>30676</v>
      </c>
      <c r="U470" s="14">
        <v>3067.6000000000004</v>
      </c>
      <c r="V470" s="10">
        <v>5.52</v>
      </c>
      <c r="W470" s="15">
        <v>169331.52</v>
      </c>
      <c r="X470" s="29">
        <f>VLOOKUP($F470,Agendamento!$B:$J,9,0)</f>
        <v>46077</v>
      </c>
      <c r="Y470" s="6">
        <f>COUNTIF(Analise!F:F,'Obras e Acervos'!H470)</f>
        <v>1</v>
      </c>
    </row>
    <row r="471" spans="1:25" ht="15" customHeight="1" x14ac:dyDescent="0.25">
      <c r="A471" s="10" t="str">
        <f>CONCATENATE(LEFT(C471,12),"-",RIGHT(C471,2),"_",TEXT(X471,"ddmmaaaa"),"_",COUNTIF($C$2:C471,C471))</f>
        <v>222433840001-06_28012026_2</v>
      </c>
      <c r="B471" s="10" t="str">
        <f>CONCATENATE(LEFT(C471,12),"-",RIGHT(C471,2),"_",COUNTIF($C$2:C471,C471))</f>
        <v>222433840001-06_2</v>
      </c>
      <c r="C471" s="10" t="s">
        <v>3302</v>
      </c>
      <c r="D471" s="10" t="s">
        <v>6120</v>
      </c>
      <c r="E471" s="10" t="s">
        <v>1574</v>
      </c>
      <c r="F471" s="10" t="s">
        <v>70</v>
      </c>
      <c r="G471" s="10" t="s">
        <v>3373</v>
      </c>
      <c r="H471" s="11" t="s">
        <v>3374</v>
      </c>
      <c r="I471" s="11" t="s">
        <v>3375</v>
      </c>
      <c r="J471" s="10" t="s">
        <v>1559</v>
      </c>
      <c r="K471" s="10" t="s">
        <v>1560</v>
      </c>
      <c r="L471" s="10" t="s">
        <v>1578</v>
      </c>
      <c r="M471" s="10" t="s">
        <v>70</v>
      </c>
      <c r="N471" s="10">
        <v>36</v>
      </c>
      <c r="O471" s="11">
        <v>104</v>
      </c>
      <c r="P471" s="11">
        <v>0.104</v>
      </c>
      <c r="Q471" s="10" t="s">
        <v>1562</v>
      </c>
      <c r="R471" s="10">
        <v>75</v>
      </c>
      <c r="S471" s="12">
        <v>15</v>
      </c>
      <c r="T471" s="13">
        <v>34549</v>
      </c>
      <c r="U471" s="14">
        <v>3593.096</v>
      </c>
      <c r="V471" s="10">
        <v>9.1300000000000008</v>
      </c>
      <c r="W471" s="15">
        <v>326269.68000000005</v>
      </c>
      <c r="X471" s="29">
        <f>VLOOKUP($F471,Agendamento!$B:$J,9,0)</f>
        <v>46050</v>
      </c>
      <c r="Y471" s="6">
        <f>COUNTIF(Analise!F:F,'Obras e Acervos'!H471)</f>
        <v>1</v>
      </c>
    </row>
    <row r="472" spans="1:25" ht="15" customHeight="1" x14ac:dyDescent="0.25">
      <c r="A472" s="10" t="str">
        <f>CONCATENATE(LEFT(C472,12),"-",RIGHT(C472,2),"_",TEXT(X472,"ddmmaaaa"),"_",COUNTIF($C$2:C472,C472))</f>
        <v>314849740001-11_27022026_2</v>
      </c>
      <c r="B472" s="10" t="str">
        <f>CONCATENATE(LEFT(C472,12),"-",RIGHT(C472,2),"_",COUNTIF($C$2:C472,C472))</f>
        <v>314849740001-11_2</v>
      </c>
      <c r="C472" s="10" t="s">
        <v>2681</v>
      </c>
      <c r="D472" s="10" t="s">
        <v>6049</v>
      </c>
      <c r="E472" s="10" t="s">
        <v>1574</v>
      </c>
      <c r="F472" s="10" t="s">
        <v>954</v>
      </c>
      <c r="G472" s="10" t="s">
        <v>3376</v>
      </c>
      <c r="H472" s="11" t="s">
        <v>3377</v>
      </c>
      <c r="I472" s="11" t="s">
        <v>3378</v>
      </c>
      <c r="J472" s="10" t="s">
        <v>1559</v>
      </c>
      <c r="K472" s="10" t="s">
        <v>1560</v>
      </c>
      <c r="L472" s="10" t="s">
        <v>1578</v>
      </c>
      <c r="M472" s="10" t="s">
        <v>954</v>
      </c>
      <c r="N472" s="10">
        <v>48</v>
      </c>
      <c r="O472" s="11">
        <v>70</v>
      </c>
      <c r="P472" s="11">
        <v>7.0000000000000007E-2</v>
      </c>
      <c r="Q472" s="10" t="s">
        <v>1608</v>
      </c>
      <c r="R472" s="10">
        <v>80</v>
      </c>
      <c r="S472" s="12">
        <v>13</v>
      </c>
      <c r="T472" s="13">
        <v>40801</v>
      </c>
      <c r="U472" s="14">
        <v>2856.07</v>
      </c>
      <c r="V472" s="10">
        <v>5.85</v>
      </c>
      <c r="W472" s="15">
        <v>238685.84999999998</v>
      </c>
      <c r="X472" s="29">
        <f>VLOOKUP($F472,Agendamento!$B:$J,9,0)</f>
        <v>46080</v>
      </c>
      <c r="Y472" s="6">
        <f>COUNTIF(Analise!F:F,'Obras e Acervos'!H472)</f>
        <v>1</v>
      </c>
    </row>
    <row r="473" spans="1:25" ht="15" customHeight="1" x14ac:dyDescent="0.25">
      <c r="A473" s="10" t="str">
        <f>CONCATENATE(LEFT(C473,12),"-",RIGHT(C473,2),"_",TEXT(X473,"ddmmaaaa"),"_",COUNTIF($C$2:C473,C473))</f>
        <v>132672950001-09_12022026_2</v>
      </c>
      <c r="B473" s="10" t="str">
        <f>CONCATENATE(LEFT(C473,12),"-",RIGHT(C473,2),"_",COUNTIF($C$2:C473,C473))</f>
        <v>132672950001-09_2</v>
      </c>
      <c r="C473" s="10" t="s">
        <v>2534</v>
      </c>
      <c r="D473" s="10" t="s">
        <v>846</v>
      </c>
      <c r="E473" s="10" t="s">
        <v>1574</v>
      </c>
      <c r="F473" s="10" t="s">
        <v>392</v>
      </c>
      <c r="G473" s="10" t="s">
        <v>3379</v>
      </c>
      <c r="H473" s="11" t="s">
        <v>3380</v>
      </c>
      <c r="I473" s="11" t="s">
        <v>3381</v>
      </c>
      <c r="J473" s="10" t="s">
        <v>1559</v>
      </c>
      <c r="K473" s="10" t="s">
        <v>1560</v>
      </c>
      <c r="L473" s="10" t="s">
        <v>1578</v>
      </c>
      <c r="M473" s="10" t="s">
        <v>6219</v>
      </c>
      <c r="N473" s="10">
        <v>208</v>
      </c>
      <c r="O473" s="11">
        <v>224</v>
      </c>
      <c r="P473" s="11">
        <v>0.224</v>
      </c>
      <c r="Q473" s="10" t="s">
        <v>1608</v>
      </c>
      <c r="R473" s="10">
        <v>75</v>
      </c>
      <c r="S473" s="12">
        <v>13</v>
      </c>
      <c r="T473" s="13">
        <v>32423</v>
      </c>
      <c r="U473" s="14">
        <v>7262.7520000000004</v>
      </c>
      <c r="V473" s="10">
        <v>22.01</v>
      </c>
      <c r="W473" s="15">
        <v>713630.2300000001</v>
      </c>
      <c r="X473" s="29">
        <f>VLOOKUP($F473,Agendamento!$B:$J,9,0)</f>
        <v>46065</v>
      </c>
      <c r="Y473" s="6">
        <f>COUNTIF(Analise!F:F,'Obras e Acervos'!H473)</f>
        <v>1</v>
      </c>
    </row>
    <row r="474" spans="1:25" ht="15" customHeight="1" x14ac:dyDescent="0.25">
      <c r="A474" s="10" t="str">
        <f>CONCATENATE(LEFT(C474,12),"-",RIGHT(C474,2),"_",TEXT(X474,"ddmmaaaa"),"_",COUNTIF($C$2:C474,C474))</f>
        <v>409978130001-12_03032026_2</v>
      </c>
      <c r="B474" s="10" t="str">
        <f>CONCATENATE(LEFT(C474,12),"-",RIGHT(C474,2),"_",COUNTIF($C$2:C474,C474))</f>
        <v>409978130001-12_2</v>
      </c>
      <c r="C474" s="10" t="s">
        <v>2844</v>
      </c>
      <c r="D474" s="10" t="s">
        <v>6078</v>
      </c>
      <c r="E474" s="10" t="s">
        <v>1574</v>
      </c>
      <c r="F474" s="10" t="s">
        <v>1151</v>
      </c>
      <c r="G474" s="10" t="s">
        <v>3382</v>
      </c>
      <c r="H474" s="11" t="s">
        <v>3383</v>
      </c>
      <c r="I474" s="11" t="s">
        <v>3384</v>
      </c>
      <c r="J474" s="10" t="s">
        <v>1559</v>
      </c>
      <c r="K474" s="10" t="s">
        <v>1560</v>
      </c>
      <c r="L474" s="10" t="s">
        <v>1578</v>
      </c>
      <c r="M474" s="10" t="s">
        <v>1151</v>
      </c>
      <c r="N474" s="10">
        <v>256</v>
      </c>
      <c r="O474" s="11">
        <v>636</v>
      </c>
      <c r="P474" s="11">
        <v>0.63600000000000001</v>
      </c>
      <c r="Q474" s="10" t="s">
        <v>1562</v>
      </c>
      <c r="R474" s="10">
        <v>80</v>
      </c>
      <c r="S474" s="12">
        <v>13</v>
      </c>
      <c r="T474" s="13">
        <v>34074</v>
      </c>
      <c r="U474" s="14">
        <v>21671.064000000002</v>
      </c>
      <c r="V474" s="10">
        <v>30.86</v>
      </c>
      <c r="W474" s="15">
        <v>1051523.6399999999</v>
      </c>
      <c r="X474" s="29">
        <f>VLOOKUP($F474,Agendamento!$B:$J,9,0)</f>
        <v>46084</v>
      </c>
      <c r="Y474" s="6">
        <f>COUNTIF(Analise!F:F,'Obras e Acervos'!H474)</f>
        <v>1</v>
      </c>
    </row>
    <row r="475" spans="1:25" ht="15" customHeight="1" x14ac:dyDescent="0.25">
      <c r="A475" s="10" t="str">
        <f>CONCATENATE(LEFT(C475,12),"-",RIGHT(C475,2),"_",TEXT(X475,"ddmmaaaa"),"_",COUNTIF($C$2:C475,C475))</f>
        <v>012974670001-08_12032026_2</v>
      </c>
      <c r="B475" s="10" t="str">
        <f>CONCATENATE(LEFT(C475,12),"-",RIGHT(C475,2),"_",COUNTIF($C$2:C475,C475))</f>
        <v>012974670001-08_2</v>
      </c>
      <c r="C475" s="10" t="s">
        <v>1591</v>
      </c>
      <c r="D475" s="10" t="s">
        <v>5894</v>
      </c>
      <c r="E475" s="10" t="s">
        <v>1574</v>
      </c>
      <c r="F475" s="10" t="s">
        <v>1450</v>
      </c>
      <c r="G475" s="10" t="s">
        <v>3385</v>
      </c>
      <c r="H475" s="11" t="s">
        <v>3386</v>
      </c>
      <c r="I475" s="11" t="s">
        <v>3387</v>
      </c>
      <c r="J475" s="10" t="s">
        <v>1559</v>
      </c>
      <c r="K475" s="10" t="s">
        <v>1560</v>
      </c>
      <c r="L475" s="10" t="s">
        <v>1578</v>
      </c>
      <c r="M475" s="10" t="s">
        <v>1450</v>
      </c>
      <c r="N475" s="10">
        <v>32</v>
      </c>
      <c r="O475" s="11">
        <v>77</v>
      </c>
      <c r="P475" s="11">
        <v>7.6999999999999999E-2</v>
      </c>
      <c r="Q475" s="10" t="s">
        <v>1562</v>
      </c>
      <c r="R475" s="10">
        <v>80</v>
      </c>
      <c r="S475" s="12">
        <v>13</v>
      </c>
      <c r="T475" s="13">
        <v>31711</v>
      </c>
      <c r="U475" s="14">
        <v>2441.7469999999998</v>
      </c>
      <c r="V475" s="10">
        <v>6.37</v>
      </c>
      <c r="W475" s="15">
        <v>201999.07</v>
      </c>
      <c r="X475" s="29">
        <f>VLOOKUP($F475,Agendamento!$B:$J,9,0)</f>
        <v>46093</v>
      </c>
      <c r="Y475" s="6">
        <f>COUNTIF(Analise!F:F,'Obras e Acervos'!H475)</f>
        <v>1</v>
      </c>
    </row>
    <row r="476" spans="1:25" ht="15" customHeight="1" x14ac:dyDescent="0.25">
      <c r="A476" s="10" t="str">
        <f>CONCATENATE(LEFT(C476,12),"-",RIGHT(C476,2),"_",TEXT(X476,"ddmmaaaa"),"_",COUNTIF($C$2:C476,C476))</f>
        <v>682168600001-09_24022026_1</v>
      </c>
      <c r="B476" s="10" t="str">
        <f>CONCATENATE(LEFT(C476,12),"-",RIGHT(C476,2),"_",COUNTIF($C$2:C476,C476))</f>
        <v>682168600001-09_1</v>
      </c>
      <c r="C476" s="10" t="s">
        <v>3388</v>
      </c>
      <c r="D476" s="10" t="s">
        <v>6123</v>
      </c>
      <c r="E476" s="10" t="s">
        <v>1574</v>
      </c>
      <c r="F476" s="10" t="s">
        <v>757</v>
      </c>
      <c r="G476" s="10" t="s">
        <v>3389</v>
      </c>
      <c r="H476" s="11" t="s">
        <v>3390</v>
      </c>
      <c r="I476" s="11" t="s">
        <v>3391</v>
      </c>
      <c r="J476" s="10" t="s">
        <v>1559</v>
      </c>
      <c r="K476" s="10" t="s">
        <v>1560</v>
      </c>
      <c r="L476" s="10" t="s">
        <v>1578</v>
      </c>
      <c r="M476" s="10" t="s">
        <v>6220</v>
      </c>
      <c r="N476" s="10">
        <v>32</v>
      </c>
      <c r="O476" s="11">
        <v>100</v>
      </c>
      <c r="P476" s="11">
        <v>0.1</v>
      </c>
      <c r="Q476" s="10" t="s">
        <v>1562</v>
      </c>
      <c r="R476" s="10">
        <v>80</v>
      </c>
      <c r="S476" s="12">
        <v>13</v>
      </c>
      <c r="T476" s="13">
        <v>30954</v>
      </c>
      <c r="U476" s="14">
        <v>3095.4</v>
      </c>
      <c r="V476" s="10">
        <v>6.39</v>
      </c>
      <c r="W476" s="15">
        <v>197796.06</v>
      </c>
      <c r="X476" s="29">
        <f>VLOOKUP($F476,Agendamento!$B:$J,9,0)</f>
        <v>46077</v>
      </c>
      <c r="Y476" s="6">
        <f>COUNTIF(Analise!F:F,'Obras e Acervos'!H476)</f>
        <v>1</v>
      </c>
    </row>
    <row r="477" spans="1:25" ht="15" customHeight="1" x14ac:dyDescent="0.25">
      <c r="A477" s="10" t="str">
        <f>CONCATENATE(LEFT(C477,12),"-",RIGHT(C477,2),"_",TEXT(X477,"ddmmaaaa"),"_",COUNTIF($C$2:C477,C477))</f>
        <v>430034090001-74_27022026_1</v>
      </c>
      <c r="B477" s="10" t="str">
        <f>CONCATENATE(LEFT(C477,12),"-",RIGHT(C477,2),"_",COUNTIF($C$2:C477,C477))</f>
        <v>430034090001-74_1</v>
      </c>
      <c r="C477" s="10" t="s">
        <v>3392</v>
      </c>
      <c r="D477" s="10" t="s">
        <v>993</v>
      </c>
      <c r="E477" s="10" t="s">
        <v>1574</v>
      </c>
      <c r="F477" s="10" t="s">
        <v>994</v>
      </c>
      <c r="G477" s="10" t="s">
        <v>3393</v>
      </c>
      <c r="H477" s="11" t="s">
        <v>3394</v>
      </c>
      <c r="I477" s="11" t="s">
        <v>3395</v>
      </c>
      <c r="J477" s="10" t="s">
        <v>1559</v>
      </c>
      <c r="K477" s="10" t="s">
        <v>1560</v>
      </c>
      <c r="L477" s="10" t="s">
        <v>1578</v>
      </c>
      <c r="M477" s="10" t="s">
        <v>994</v>
      </c>
      <c r="N477" s="10">
        <v>40</v>
      </c>
      <c r="O477" s="11">
        <v>120</v>
      </c>
      <c r="P477" s="11">
        <v>0.12</v>
      </c>
      <c r="Q477" s="10" t="s">
        <v>1562</v>
      </c>
      <c r="R477" s="10">
        <v>80</v>
      </c>
      <c r="S477" s="12">
        <v>13</v>
      </c>
      <c r="T477" s="13">
        <v>30257</v>
      </c>
      <c r="U477" s="14">
        <v>3630.8399999999997</v>
      </c>
      <c r="V477" s="10">
        <v>7.37</v>
      </c>
      <c r="W477" s="15">
        <v>222994.09</v>
      </c>
      <c r="X477" s="29">
        <f>VLOOKUP($F477,Agendamento!$B:$J,9,0)</f>
        <v>46080</v>
      </c>
      <c r="Y477" s="6">
        <f>COUNTIF(Analise!F:F,'Obras e Acervos'!H477)</f>
        <v>1</v>
      </c>
    </row>
    <row r="478" spans="1:25" ht="15" customHeight="1" x14ac:dyDescent="0.25">
      <c r="A478" s="10" t="str">
        <f>CONCATENATE(LEFT(C478,12),"-",RIGHT(C478,2),"_",TEXT(X478,"ddmmaaaa"),"_",COUNTIF($C$2:C478,C478))</f>
        <v>141743050001-24_26022026_2</v>
      </c>
      <c r="B478" s="10" t="str">
        <f>CONCATENATE(LEFT(C478,12),"-",RIGHT(C478,2),"_",COUNTIF($C$2:C478,C478))</f>
        <v>141743050001-24_2</v>
      </c>
      <c r="C478" s="10" t="s">
        <v>2554</v>
      </c>
      <c r="D478" s="10" t="s">
        <v>6032</v>
      </c>
      <c r="E478" s="10" t="s">
        <v>1574</v>
      </c>
      <c r="F478" s="10" t="s">
        <v>893</v>
      </c>
      <c r="G478" s="10" t="s">
        <v>3396</v>
      </c>
      <c r="H478" s="11" t="s">
        <v>3397</v>
      </c>
      <c r="I478" s="11" t="s">
        <v>3398</v>
      </c>
      <c r="J478" s="10" t="s">
        <v>1559</v>
      </c>
      <c r="K478" s="10" t="s">
        <v>1560</v>
      </c>
      <c r="L478" s="10" t="s">
        <v>1578</v>
      </c>
      <c r="M478" s="10" t="s">
        <v>893</v>
      </c>
      <c r="N478" s="10">
        <v>36</v>
      </c>
      <c r="O478" s="11">
        <v>110</v>
      </c>
      <c r="P478" s="11">
        <v>0.11</v>
      </c>
      <c r="Q478" s="10" t="s">
        <v>1562</v>
      </c>
      <c r="R478" s="10">
        <v>80</v>
      </c>
      <c r="S478" s="12">
        <v>13</v>
      </c>
      <c r="T478" s="13">
        <v>30878</v>
      </c>
      <c r="U478" s="14">
        <v>3396.58</v>
      </c>
      <c r="V478" s="10">
        <v>6.87</v>
      </c>
      <c r="W478" s="15">
        <v>212131.86000000002</v>
      </c>
      <c r="X478" s="29">
        <f>VLOOKUP($F478,Agendamento!$B:$J,9,0)</f>
        <v>46079</v>
      </c>
      <c r="Y478" s="6">
        <f>COUNTIF(Analise!F:F,'Obras e Acervos'!H478)</f>
        <v>1</v>
      </c>
    </row>
    <row r="479" spans="1:25" ht="15" customHeight="1" x14ac:dyDescent="0.25">
      <c r="A479" s="10" t="str">
        <f>CONCATENATE(LEFT(C479,12),"-",RIGHT(C479,2),"_",TEXT(X479,"ddmmaaaa"),"_",COUNTIF($C$2:C479,C479))</f>
        <v>104519100001-44_23012026_2</v>
      </c>
      <c r="B479" s="10" t="str">
        <f>CONCATENATE(LEFT(C479,12),"-",RIGHT(C479,2),"_",COUNTIF($C$2:C479,C479))</f>
        <v>104519100001-44_2</v>
      </c>
      <c r="C479" s="16" t="s">
        <v>1762</v>
      </c>
      <c r="D479" s="16" t="s">
        <v>5923</v>
      </c>
      <c r="E479" s="16" t="s">
        <v>1574</v>
      </c>
      <c r="F479" s="16" t="s">
        <v>19</v>
      </c>
      <c r="G479" s="16" t="s">
        <v>3399</v>
      </c>
      <c r="H479" s="16" t="s">
        <v>3400</v>
      </c>
      <c r="I479" s="16" t="s">
        <v>3401</v>
      </c>
      <c r="J479" s="16" t="s">
        <v>1559</v>
      </c>
      <c r="K479" s="16" t="s">
        <v>1560</v>
      </c>
      <c r="L479" s="16" t="s">
        <v>1578</v>
      </c>
      <c r="M479" s="10" t="s">
        <v>19</v>
      </c>
      <c r="N479" s="16">
        <v>64</v>
      </c>
      <c r="O479" s="16">
        <v>171</v>
      </c>
      <c r="P479" s="16">
        <v>0.17100000000000001</v>
      </c>
      <c r="Q479" s="16" t="s">
        <v>1562</v>
      </c>
      <c r="R479" s="16">
        <v>80</v>
      </c>
      <c r="S479" s="17">
        <v>13</v>
      </c>
      <c r="T479" s="18">
        <v>30241</v>
      </c>
      <c r="U479" s="19">
        <v>5171.2110000000002</v>
      </c>
      <c r="V479" s="16">
        <v>10.220000000000001</v>
      </c>
      <c r="W479" s="20">
        <v>309063.02</v>
      </c>
      <c r="X479" s="29">
        <f>VLOOKUP($F479,Agendamento!$B:$J,9,0)</f>
        <v>46045</v>
      </c>
      <c r="Y479" s="6">
        <f>COUNTIF(Analise!F:F,'Obras e Acervos'!H479)</f>
        <v>1</v>
      </c>
    </row>
    <row r="480" spans="1:25" ht="15" customHeight="1" x14ac:dyDescent="0.25">
      <c r="A480" s="10" t="str">
        <f>CONCATENATE(LEFT(C480,12),"-",RIGHT(C480,2),"_",TEXT(X480,"ddmmaaaa"),"_",COUNTIF($C$2:C480,C480))</f>
        <v>435963310001-49_04032026_2</v>
      </c>
      <c r="B480" s="10" t="str">
        <f>CONCATENATE(LEFT(C480,12),"-",RIGHT(C480,2),"_",COUNTIF($C$2:C480,C480))</f>
        <v>435963310001-49_2</v>
      </c>
      <c r="C480" s="10" t="s">
        <v>2566</v>
      </c>
      <c r="D480" s="10" t="s">
        <v>6035</v>
      </c>
      <c r="E480" s="10" t="s">
        <v>1574</v>
      </c>
      <c r="F480" s="10" t="s">
        <v>1235</v>
      </c>
      <c r="G480" s="10" t="s">
        <v>3402</v>
      </c>
      <c r="H480" s="11" t="s">
        <v>3403</v>
      </c>
      <c r="I480" s="11" t="s">
        <v>3404</v>
      </c>
      <c r="J480" s="10" t="s">
        <v>1559</v>
      </c>
      <c r="K480" s="10" t="s">
        <v>1560</v>
      </c>
      <c r="L480" s="10" t="s">
        <v>1578</v>
      </c>
      <c r="M480" s="10" t="s">
        <v>1235</v>
      </c>
      <c r="N480" s="10">
        <v>120</v>
      </c>
      <c r="O480" s="11">
        <v>314</v>
      </c>
      <c r="P480" s="11">
        <v>0.314</v>
      </c>
      <c r="Q480" s="10" t="s">
        <v>1562</v>
      </c>
      <c r="R480" s="10">
        <v>80</v>
      </c>
      <c r="S480" s="12">
        <v>13</v>
      </c>
      <c r="T480" s="13">
        <v>41937</v>
      </c>
      <c r="U480" s="14">
        <v>13168.218000000001</v>
      </c>
      <c r="V480" s="10">
        <v>14.58</v>
      </c>
      <c r="W480" s="15">
        <v>611441.46</v>
      </c>
      <c r="X480" s="29">
        <f>VLOOKUP($F480,Agendamento!$B:$J,9,0)</f>
        <v>46085</v>
      </c>
      <c r="Y480" s="6">
        <f>COUNTIF(Analise!F:F,'Obras e Acervos'!H480)</f>
        <v>1</v>
      </c>
    </row>
    <row r="481" spans="1:25" ht="15" customHeight="1" x14ac:dyDescent="0.25">
      <c r="A481" s="10" t="str">
        <f>CONCATENATE(LEFT(C481,12),"-",RIGHT(C481,2),"_",TEXT(X481,"ddmmaaaa"),"_",COUNTIF($C$2:C481,C481))</f>
        <v>399595710001-93_20022026_2</v>
      </c>
      <c r="B481" s="10" t="str">
        <f>CONCATENATE(LEFT(C481,12),"-",RIGHT(C481,2),"_",COUNTIF($C$2:C481,C481))</f>
        <v>399595710001-93_2</v>
      </c>
      <c r="C481" s="10" t="s">
        <v>3048</v>
      </c>
      <c r="D481" s="10" t="s">
        <v>638</v>
      </c>
      <c r="E481" s="10" t="s">
        <v>1574</v>
      </c>
      <c r="F481" s="10" t="s">
        <v>639</v>
      </c>
      <c r="G481" s="10" t="s">
        <v>3405</v>
      </c>
      <c r="H481" s="11" t="s">
        <v>3406</v>
      </c>
      <c r="I481" s="11" t="s">
        <v>3407</v>
      </c>
      <c r="J481" s="10" t="s">
        <v>1559</v>
      </c>
      <c r="K481" s="10" t="s">
        <v>1560</v>
      </c>
      <c r="L481" s="10" t="s">
        <v>1578</v>
      </c>
      <c r="M481" s="10" t="s">
        <v>639</v>
      </c>
      <c r="N481" s="10">
        <v>24</v>
      </c>
      <c r="O481" s="11">
        <v>84</v>
      </c>
      <c r="P481" s="11">
        <v>8.4000000000000005E-2</v>
      </c>
      <c r="Q481" s="10" t="s">
        <v>1562</v>
      </c>
      <c r="R481" s="10">
        <v>80</v>
      </c>
      <c r="S481" s="12">
        <v>13</v>
      </c>
      <c r="T481" s="13">
        <v>31832</v>
      </c>
      <c r="U481" s="14">
        <v>2673.8880000000004</v>
      </c>
      <c r="V481" s="10">
        <v>5.41</v>
      </c>
      <c r="W481" s="15">
        <v>172211.12</v>
      </c>
      <c r="X481" s="29">
        <f>VLOOKUP($F481,Agendamento!$B:$J,9,0)</f>
        <v>46073</v>
      </c>
      <c r="Y481" s="6">
        <f>COUNTIF(Analise!F:F,'Obras e Acervos'!H481)</f>
        <v>1</v>
      </c>
    </row>
    <row r="482" spans="1:25" ht="15" customHeight="1" x14ac:dyDescent="0.25">
      <c r="A482" s="10" t="str">
        <f>CONCATENATE(LEFT(C482,12),"-",RIGHT(C482,2),"_",TEXT(X482,"ddmmaaaa"),"_",COUNTIF($C$2:C482,C482))</f>
        <v>293414670001-87_03032026_2</v>
      </c>
      <c r="B482" s="10" t="str">
        <f>CONCATENATE(LEFT(C482,12),"-",RIGHT(C482,2),"_",COUNTIF($C$2:C482,C482))</f>
        <v>293414670001-87_2</v>
      </c>
      <c r="C482" s="10" t="s">
        <v>2574</v>
      </c>
      <c r="D482" s="10" t="s">
        <v>6036</v>
      </c>
      <c r="E482" s="10" t="s">
        <v>1574</v>
      </c>
      <c r="F482" s="10" t="s">
        <v>1271</v>
      </c>
      <c r="G482" s="10" t="s">
        <v>3408</v>
      </c>
      <c r="H482" s="11" t="s">
        <v>3409</v>
      </c>
      <c r="I482" s="11" t="s">
        <v>3410</v>
      </c>
      <c r="J482" s="10" t="s">
        <v>1559</v>
      </c>
      <c r="K482" s="10" t="s">
        <v>1560</v>
      </c>
      <c r="L482" s="10" t="s">
        <v>1578</v>
      </c>
      <c r="M482" s="10" t="s">
        <v>1271</v>
      </c>
      <c r="N482" s="10">
        <v>112</v>
      </c>
      <c r="O482" s="11">
        <v>131</v>
      </c>
      <c r="P482" s="11">
        <v>0.13100000000000001</v>
      </c>
      <c r="Q482" s="10" t="s">
        <v>1608</v>
      </c>
      <c r="R482" s="10">
        <v>80</v>
      </c>
      <c r="S482" s="12">
        <v>13</v>
      </c>
      <c r="T482" s="13">
        <v>33075</v>
      </c>
      <c r="U482" s="14">
        <v>4332.8249999999998</v>
      </c>
      <c r="V482" s="10">
        <v>12.13</v>
      </c>
      <c r="W482" s="15">
        <v>401199.75</v>
      </c>
      <c r="X482" s="29">
        <f>VLOOKUP($F482,Agendamento!$B:$J,9,0)</f>
        <v>46084</v>
      </c>
      <c r="Y482" s="6">
        <f>COUNTIF(Analise!F:F,'Obras e Acervos'!H482)</f>
        <v>1</v>
      </c>
    </row>
    <row r="483" spans="1:25" ht="15" customHeight="1" x14ac:dyDescent="0.25">
      <c r="A483" s="10" t="str">
        <f>CONCATENATE(LEFT(C483,12),"-",RIGHT(C483,2),"_",TEXT(X483,"ddmmaaaa"),"_",COUNTIF($C$2:C483,C483))</f>
        <v>438904920001-40_16032026_1</v>
      </c>
      <c r="B483" s="10" t="str">
        <f>CONCATENATE(LEFT(C483,12),"-",RIGHT(C483,2),"_",COUNTIF($C$2:C483,C483))</f>
        <v>438904920001-40_1</v>
      </c>
      <c r="C483" s="10" t="s">
        <v>3411</v>
      </c>
      <c r="D483" s="10" t="s">
        <v>6124</v>
      </c>
      <c r="E483" s="10" t="s">
        <v>1574</v>
      </c>
      <c r="F483" s="10" t="s">
        <v>1470</v>
      </c>
      <c r="G483" s="10" t="s">
        <v>3412</v>
      </c>
      <c r="H483" s="11" t="s">
        <v>3413</v>
      </c>
      <c r="I483" s="11" t="s">
        <v>3414</v>
      </c>
      <c r="J483" s="10" t="s">
        <v>1559</v>
      </c>
      <c r="K483" s="10" t="s">
        <v>1560</v>
      </c>
      <c r="L483" s="10" t="s">
        <v>1578</v>
      </c>
      <c r="M483" s="10" t="s">
        <v>1470</v>
      </c>
      <c r="N483" s="10">
        <v>32</v>
      </c>
      <c r="O483" s="11">
        <v>105</v>
      </c>
      <c r="P483" s="11">
        <v>0.105</v>
      </c>
      <c r="Q483" s="10" t="s">
        <v>1599</v>
      </c>
      <c r="R483" s="10">
        <v>80</v>
      </c>
      <c r="S483" s="12">
        <v>13</v>
      </c>
      <c r="T483" s="13">
        <v>29590</v>
      </c>
      <c r="U483" s="14">
        <v>3106.95</v>
      </c>
      <c r="V483" s="10">
        <v>5.93</v>
      </c>
      <c r="W483" s="15">
        <v>175468.69999999998</v>
      </c>
      <c r="X483" s="29">
        <f>VLOOKUP($F483,Agendamento!$B:$J,9,0)</f>
        <v>46097</v>
      </c>
      <c r="Y483" s="6">
        <f>COUNTIF(Analise!F:F,'Obras e Acervos'!H483)</f>
        <v>1</v>
      </c>
    </row>
    <row r="484" spans="1:25" ht="15" customHeight="1" x14ac:dyDescent="0.25">
      <c r="A484" s="10" t="str">
        <f>CONCATENATE(LEFT(C484,12),"-",RIGHT(C484,2),"_",TEXT(X484,"ddmmaaaa"),"_",COUNTIF($C$2:C484,C484))</f>
        <v>621363040038-20_19022026_2</v>
      </c>
      <c r="B484" s="10" t="str">
        <f>CONCATENATE(LEFT(C484,12),"-",RIGHT(C484,2),"_",COUNTIF($C$2:C484,C484))</f>
        <v>621363040038-20_2</v>
      </c>
      <c r="C484" s="38" t="s">
        <v>5752</v>
      </c>
      <c r="D484" s="10" t="s">
        <v>5946</v>
      </c>
      <c r="E484" s="10" t="s">
        <v>1574</v>
      </c>
      <c r="F484" s="10" t="s">
        <v>619</v>
      </c>
      <c r="G484" s="10" t="s">
        <v>3415</v>
      </c>
      <c r="H484" s="11" t="s">
        <v>3416</v>
      </c>
      <c r="I484" s="11" t="s">
        <v>3417</v>
      </c>
      <c r="J484" s="10" t="s">
        <v>1559</v>
      </c>
      <c r="K484" s="10" t="s">
        <v>1560</v>
      </c>
      <c r="L484" s="10" t="s">
        <v>1578</v>
      </c>
      <c r="M484" s="10" t="s">
        <v>619</v>
      </c>
      <c r="N484" s="10">
        <v>64</v>
      </c>
      <c r="O484" s="11">
        <v>180</v>
      </c>
      <c r="P484" s="11">
        <v>0.18</v>
      </c>
      <c r="Q484" s="10" t="s">
        <v>1562</v>
      </c>
      <c r="R484" s="10">
        <v>75</v>
      </c>
      <c r="S484" s="12">
        <v>13</v>
      </c>
      <c r="T484" s="13">
        <v>47588</v>
      </c>
      <c r="U484" s="14">
        <v>8565.84</v>
      </c>
      <c r="V484" s="10">
        <v>7.55</v>
      </c>
      <c r="W484" s="15">
        <v>359289.39999999997</v>
      </c>
      <c r="X484" s="29">
        <f>VLOOKUP($F484,Agendamento!$B:$J,9,0)</f>
        <v>46072</v>
      </c>
      <c r="Y484" s="6">
        <f>COUNTIF(Analise!F:F,'Obras e Acervos'!H484)</f>
        <v>1</v>
      </c>
    </row>
    <row r="485" spans="1:25" ht="15" customHeight="1" x14ac:dyDescent="0.25">
      <c r="A485" s="10" t="str">
        <f>CONCATENATE(LEFT(C485,12),"-",RIGHT(C485,2),"_",TEXT(X485,"ddmmaaaa"),"_",COUNTIF($C$2:C485,C485))</f>
        <v>946025470001-00_12022026_2</v>
      </c>
      <c r="B485" s="10" t="str">
        <f>CONCATENATE(LEFT(C485,12),"-",RIGHT(C485,2),"_",COUNTIF($C$2:C485,C485))</f>
        <v>946025470001-00_2</v>
      </c>
      <c r="C485" s="10" t="s">
        <v>2426</v>
      </c>
      <c r="D485" s="10" t="s">
        <v>6015</v>
      </c>
      <c r="E485" s="10" t="s">
        <v>1574</v>
      </c>
      <c r="F485" s="10" t="s">
        <v>351</v>
      </c>
      <c r="G485" s="10" t="s">
        <v>3418</v>
      </c>
      <c r="H485" s="11" t="s">
        <v>3419</v>
      </c>
      <c r="I485" s="11" t="s">
        <v>3420</v>
      </c>
      <c r="J485" s="10" t="s">
        <v>1559</v>
      </c>
      <c r="K485" s="10" t="s">
        <v>1560</v>
      </c>
      <c r="L485" s="10" t="s">
        <v>1578</v>
      </c>
      <c r="M485" s="10" t="s">
        <v>351</v>
      </c>
      <c r="N485" s="10">
        <v>64</v>
      </c>
      <c r="O485" s="11">
        <v>200</v>
      </c>
      <c r="P485" s="11">
        <v>0.2</v>
      </c>
      <c r="Q485" s="10" t="s">
        <v>1562</v>
      </c>
      <c r="R485" s="10">
        <v>80</v>
      </c>
      <c r="S485" s="12">
        <v>13</v>
      </c>
      <c r="T485" s="13">
        <v>41574</v>
      </c>
      <c r="U485" s="14">
        <v>8314.8000000000011</v>
      </c>
      <c r="V485" s="10">
        <v>8.74</v>
      </c>
      <c r="W485" s="15">
        <v>363356.76</v>
      </c>
      <c r="X485" s="29">
        <f>VLOOKUP($F485,Agendamento!$B:$J,9,0)</f>
        <v>46065</v>
      </c>
      <c r="Y485" s="6">
        <f>COUNTIF(Analise!F:F,'Obras e Acervos'!H485)</f>
        <v>1</v>
      </c>
    </row>
    <row r="486" spans="1:25" ht="15" customHeight="1" x14ac:dyDescent="0.25">
      <c r="A486" s="10" t="str">
        <f>CONCATENATE(LEFT(C486,12),"-",RIGHT(C486,2),"_",TEXT(X486,"ddmmaaaa"),"_",COUNTIF($C$2:C486,C486))</f>
        <v>435972870001-91_12032026_1</v>
      </c>
      <c r="B486" s="10" t="str">
        <f>CONCATENATE(LEFT(C486,12),"-",RIGHT(C486,2),"_",COUNTIF($C$2:C486,C486))</f>
        <v>435972870001-91_1</v>
      </c>
      <c r="C486" s="10" t="s">
        <v>3421</v>
      </c>
      <c r="D486" s="10" t="s">
        <v>1423</v>
      </c>
      <c r="E486" s="10" t="s">
        <v>1574</v>
      </c>
      <c r="F486" s="10" t="s">
        <v>1424</v>
      </c>
      <c r="G486" s="10" t="s">
        <v>3422</v>
      </c>
      <c r="H486" s="11" t="s">
        <v>3423</v>
      </c>
      <c r="I486" s="11" t="s">
        <v>3424</v>
      </c>
      <c r="J486" s="10" t="s">
        <v>1559</v>
      </c>
      <c r="K486" s="10" t="s">
        <v>1560</v>
      </c>
      <c r="L486" s="10" t="s">
        <v>1578</v>
      </c>
      <c r="M486" s="10" t="s">
        <v>1424</v>
      </c>
      <c r="N486" s="10">
        <v>32</v>
      </c>
      <c r="O486" s="11">
        <v>105</v>
      </c>
      <c r="P486" s="11">
        <v>0.105</v>
      </c>
      <c r="Q486" s="10" t="s">
        <v>1599</v>
      </c>
      <c r="R486" s="10">
        <v>80</v>
      </c>
      <c r="S486" s="12">
        <v>13</v>
      </c>
      <c r="T486" s="13">
        <v>29635</v>
      </c>
      <c r="U486" s="14">
        <v>3111.6749999999997</v>
      </c>
      <c r="V486" s="10">
        <v>5.93</v>
      </c>
      <c r="W486" s="15">
        <v>175735.55</v>
      </c>
      <c r="X486" s="29">
        <f>VLOOKUP($F486,Agendamento!$B:$J,9,0)</f>
        <v>46093</v>
      </c>
      <c r="Y486" s="6">
        <f>COUNTIF(Analise!F:F,'Obras e Acervos'!H486)</f>
        <v>1</v>
      </c>
    </row>
    <row r="487" spans="1:25" ht="15" customHeight="1" x14ac:dyDescent="0.25">
      <c r="A487" s="10" t="str">
        <f>CONCATENATE(LEFT(C487,12),"-",RIGHT(C487,2),"_",TEXT(X487,"ddmmaaaa"),"_",COUNTIF($C$2:C487,C487))</f>
        <v>106211080001-55_18022026_2</v>
      </c>
      <c r="B487" s="10" t="str">
        <f>CONCATENATE(LEFT(C487,12),"-",RIGHT(C487,2),"_",COUNTIF($C$2:C487,C487))</f>
        <v>106211080001-55_2</v>
      </c>
      <c r="C487" s="10" t="s">
        <v>2749</v>
      </c>
      <c r="D487" s="10" t="s">
        <v>6061</v>
      </c>
      <c r="E487" s="10" t="s">
        <v>1574</v>
      </c>
      <c r="F487" s="10" t="s">
        <v>589</v>
      </c>
      <c r="G487" s="10" t="s">
        <v>3425</v>
      </c>
      <c r="H487" s="11" t="s">
        <v>3426</v>
      </c>
      <c r="I487" s="11" t="s">
        <v>3427</v>
      </c>
      <c r="J487" s="10" t="s">
        <v>1559</v>
      </c>
      <c r="K487" s="10" t="s">
        <v>1560</v>
      </c>
      <c r="L487" s="10" t="s">
        <v>1578</v>
      </c>
      <c r="M487" s="10" t="s">
        <v>589</v>
      </c>
      <c r="N487" s="10">
        <v>144</v>
      </c>
      <c r="O487" s="11">
        <v>164</v>
      </c>
      <c r="P487" s="11">
        <v>0.16400000000000001</v>
      </c>
      <c r="Q487" s="10" t="s">
        <v>1608</v>
      </c>
      <c r="R487" s="10">
        <v>75</v>
      </c>
      <c r="S487" s="12">
        <v>13</v>
      </c>
      <c r="T487" s="13">
        <v>75298</v>
      </c>
      <c r="U487" s="14">
        <v>12348.872000000001</v>
      </c>
      <c r="V487" s="10">
        <v>10.31</v>
      </c>
      <c r="W487" s="15">
        <v>776322.38</v>
      </c>
      <c r="X487" s="29">
        <f>VLOOKUP($F487,Agendamento!$B:$J,9,0)</f>
        <v>46071</v>
      </c>
      <c r="Y487" s="6">
        <f>COUNTIF(Analise!F:F,'Obras e Acervos'!H487)</f>
        <v>1</v>
      </c>
    </row>
    <row r="488" spans="1:25" ht="15" customHeight="1" x14ac:dyDescent="0.25">
      <c r="A488" s="10" t="str">
        <f>CONCATENATE(LEFT(C488,12),"-",RIGHT(C488,2),"_",TEXT(X488,"ddmmaaaa"),"_",COUNTIF($C$2:C488,C488))</f>
        <v>438870180001-60_13032026_2</v>
      </c>
      <c r="B488" s="10" t="str">
        <f>CONCATENATE(LEFT(C488,12),"-",RIGHT(C488,2),"_",COUNTIF($C$2:C488,C488))</f>
        <v>438870180001-60_2</v>
      </c>
      <c r="C488" s="10" t="s">
        <v>2924</v>
      </c>
      <c r="D488" s="10" t="s">
        <v>6090</v>
      </c>
      <c r="E488" s="10" t="s">
        <v>1574</v>
      </c>
      <c r="F488" s="10" t="s">
        <v>1430</v>
      </c>
      <c r="G488" s="10" t="s">
        <v>3428</v>
      </c>
      <c r="H488" s="11" t="s">
        <v>3429</v>
      </c>
      <c r="I488" s="11" t="s">
        <v>3430</v>
      </c>
      <c r="J488" s="10" t="s">
        <v>1559</v>
      </c>
      <c r="K488" s="10" t="s">
        <v>1560</v>
      </c>
      <c r="L488" s="10" t="s">
        <v>1578</v>
      </c>
      <c r="M488" s="10" t="s">
        <v>1430</v>
      </c>
      <c r="N488" s="10">
        <v>64</v>
      </c>
      <c r="O488" s="11">
        <v>181</v>
      </c>
      <c r="P488" s="11">
        <v>0.18099999999999999</v>
      </c>
      <c r="Q488" s="10" t="s">
        <v>1562</v>
      </c>
      <c r="R488" s="10">
        <v>80</v>
      </c>
      <c r="S488" s="12">
        <v>13</v>
      </c>
      <c r="T488" s="13">
        <v>31181</v>
      </c>
      <c r="U488" s="14">
        <v>5643.7609999999995</v>
      </c>
      <c r="V488" s="10">
        <v>10.18</v>
      </c>
      <c r="W488" s="15">
        <v>317422.58</v>
      </c>
      <c r="X488" s="29">
        <f>VLOOKUP($F488,Agendamento!$B:$J,9,0)</f>
        <v>46094</v>
      </c>
      <c r="Y488" s="6">
        <f>COUNTIF(Analise!F:F,'Obras e Acervos'!H488)</f>
        <v>1</v>
      </c>
    </row>
    <row r="489" spans="1:25" ht="15" customHeight="1" x14ac:dyDescent="0.25">
      <c r="A489" s="10" t="str">
        <f>CONCATENATE(LEFT(C489,12),"-",RIGHT(C489,2),"_",TEXT(X489,"ddmmaaaa"),"_",COUNTIF($C$2:C489,C489))</f>
        <v>056623970001-09_03022026_2</v>
      </c>
      <c r="B489" s="10" t="str">
        <f>CONCATENATE(LEFT(C489,12),"-",RIGHT(C489,2),"_",COUNTIF($C$2:C489,C489))</f>
        <v>056623970001-09_2</v>
      </c>
      <c r="C489" s="10" t="s">
        <v>1814</v>
      </c>
      <c r="D489" s="10" t="s">
        <v>5932</v>
      </c>
      <c r="E489" s="10" t="s">
        <v>1574</v>
      </c>
      <c r="F489" s="10" t="s">
        <v>131</v>
      </c>
      <c r="G489" s="10" t="s">
        <v>3431</v>
      </c>
      <c r="H489" s="11" t="s">
        <v>3432</v>
      </c>
      <c r="I489" s="11" t="s">
        <v>3433</v>
      </c>
      <c r="J489" s="10" t="s">
        <v>1559</v>
      </c>
      <c r="K489" s="10" t="s">
        <v>1560</v>
      </c>
      <c r="L489" s="10" t="s">
        <v>1578</v>
      </c>
      <c r="M489" s="10" t="s">
        <v>131</v>
      </c>
      <c r="N489" s="10">
        <v>32</v>
      </c>
      <c r="O489" s="11">
        <v>88</v>
      </c>
      <c r="P489" s="11">
        <v>8.7999999999999995E-2</v>
      </c>
      <c r="Q489" s="10" t="s">
        <v>1562</v>
      </c>
      <c r="R489" s="10">
        <v>80</v>
      </c>
      <c r="S489" s="12">
        <v>13</v>
      </c>
      <c r="T489" s="13">
        <v>33938</v>
      </c>
      <c r="U489" s="14">
        <v>2986.5439999999999</v>
      </c>
      <c r="V489" s="10">
        <v>5.93</v>
      </c>
      <c r="W489" s="15">
        <v>201252.34</v>
      </c>
      <c r="X489" s="29">
        <f>VLOOKUP($F489,Agendamento!$B:$J,9,0)</f>
        <v>46056</v>
      </c>
      <c r="Y489" s="6">
        <f>COUNTIF(Analise!F:F,'Obras e Acervos'!H489)</f>
        <v>1</v>
      </c>
    </row>
    <row r="490" spans="1:25" ht="15" customHeight="1" x14ac:dyDescent="0.25">
      <c r="A490" s="10" t="str">
        <f>CONCATENATE(LEFT(C490,12),"-",RIGHT(C490,2),"_",TEXT(X490,"ddmmaaaa"),"_",COUNTIF($C$2:C490,C490))</f>
        <v>026325580001-15_24022026_2</v>
      </c>
      <c r="B490" s="10" t="str">
        <f>CONCATENATE(LEFT(C490,12),"-",RIGHT(C490,2),"_",COUNTIF($C$2:C490,C490))</f>
        <v>026325580001-15_2</v>
      </c>
      <c r="C490" s="10" t="s">
        <v>2932</v>
      </c>
      <c r="D490" s="10" t="s">
        <v>6092</v>
      </c>
      <c r="E490" s="10" t="s">
        <v>1574</v>
      </c>
      <c r="F490" s="10" t="s">
        <v>811</v>
      </c>
      <c r="G490" s="10" t="s">
        <v>3434</v>
      </c>
      <c r="H490" s="11" t="s">
        <v>3435</v>
      </c>
      <c r="I490" s="11" t="s">
        <v>3436</v>
      </c>
      <c r="J490" s="10" t="s">
        <v>1559</v>
      </c>
      <c r="K490" s="10" t="s">
        <v>1560</v>
      </c>
      <c r="L490" s="10" t="s">
        <v>1578</v>
      </c>
      <c r="M490" s="10" t="s">
        <v>811</v>
      </c>
      <c r="N490" s="10">
        <v>40</v>
      </c>
      <c r="O490" s="11">
        <v>187</v>
      </c>
      <c r="P490" s="11">
        <v>0.187</v>
      </c>
      <c r="Q490" s="10" t="s">
        <v>1562</v>
      </c>
      <c r="R490" s="10">
        <v>84</v>
      </c>
      <c r="S490" s="12">
        <v>13</v>
      </c>
      <c r="T490" s="13">
        <v>31090</v>
      </c>
      <c r="U490" s="14">
        <v>5813.83</v>
      </c>
      <c r="V490" s="10">
        <v>7.42</v>
      </c>
      <c r="W490" s="15">
        <v>230687.8</v>
      </c>
      <c r="X490" s="29">
        <f>VLOOKUP($F490,Agendamento!$B:$J,9,0)</f>
        <v>46077</v>
      </c>
      <c r="Y490" s="6">
        <f>COUNTIF(Analise!F:F,'Obras e Acervos'!H490)</f>
        <v>1</v>
      </c>
    </row>
    <row r="491" spans="1:25" ht="15" customHeight="1" x14ac:dyDescent="0.25">
      <c r="A491" s="10" t="str">
        <f>CONCATENATE(LEFT(C491,12),"-",RIGHT(C491,2),"_",TEXT(X491,"ddmmaaaa"),"_",COUNTIF($C$2:C491,C491))</f>
        <v>063465660001-56_09032026_2</v>
      </c>
      <c r="B491" s="10" t="str">
        <f>CONCATENATE(LEFT(C491,12),"-",RIGHT(C491,2),"_",COUNTIF($C$2:C491,C491))</f>
        <v>063465660001-56_2</v>
      </c>
      <c r="C491" s="10" t="s">
        <v>2617</v>
      </c>
      <c r="D491" s="10" t="s">
        <v>6040</v>
      </c>
      <c r="E491" s="10" t="s">
        <v>1574</v>
      </c>
      <c r="F491" s="10" t="s">
        <v>1329</v>
      </c>
      <c r="G491" s="10" t="s">
        <v>3437</v>
      </c>
      <c r="H491" s="11" t="s">
        <v>3438</v>
      </c>
      <c r="I491" s="11" t="s">
        <v>3439</v>
      </c>
      <c r="J491" s="10" t="s">
        <v>1559</v>
      </c>
      <c r="K491" s="10" t="s">
        <v>1560</v>
      </c>
      <c r="L491" s="10" t="s">
        <v>1578</v>
      </c>
      <c r="M491" s="10" t="s">
        <v>1329</v>
      </c>
      <c r="N491" s="10">
        <v>40</v>
      </c>
      <c r="O491" s="11">
        <v>120</v>
      </c>
      <c r="P491" s="11">
        <v>0.12</v>
      </c>
      <c r="Q491" s="10" t="s">
        <v>1562</v>
      </c>
      <c r="R491" s="10">
        <v>80</v>
      </c>
      <c r="S491" s="12">
        <v>13</v>
      </c>
      <c r="T491" s="13">
        <v>30378</v>
      </c>
      <c r="U491" s="14">
        <v>3645.3599999999997</v>
      </c>
      <c r="V491" s="10">
        <v>7.37</v>
      </c>
      <c r="W491" s="15">
        <v>223885.86000000002</v>
      </c>
      <c r="X491" s="29">
        <f>VLOOKUP($F491,Agendamento!$B:$J,9,0)</f>
        <v>46090</v>
      </c>
      <c r="Y491" s="6">
        <f>COUNTIF(Analise!F:F,'Obras e Acervos'!H491)</f>
        <v>1</v>
      </c>
    </row>
    <row r="492" spans="1:25" ht="15" customHeight="1" x14ac:dyDescent="0.25">
      <c r="A492" s="10" t="str">
        <f>CONCATENATE(LEFT(C492,12),"-",RIGHT(C492,2),"_",TEXT(X492,"ddmmaaaa"),"_",COUNTIF($C$2:C492,C492))</f>
        <v>436804970001-49_02032026_2</v>
      </c>
      <c r="B492" s="10" t="str">
        <f>CONCATENATE(LEFT(C492,12),"-",RIGHT(C492,2),"_",COUNTIF($C$2:C492,C492))</f>
        <v>436804970001-49_2</v>
      </c>
      <c r="C492" s="10" t="s">
        <v>2769</v>
      </c>
      <c r="D492" s="10" t="s">
        <v>6066</v>
      </c>
      <c r="E492" s="10" t="s">
        <v>1574</v>
      </c>
      <c r="F492" s="10" t="s">
        <v>1066</v>
      </c>
      <c r="G492" s="10" t="s">
        <v>3440</v>
      </c>
      <c r="H492" s="11" t="s">
        <v>3441</v>
      </c>
      <c r="I492" s="11" t="s">
        <v>3442</v>
      </c>
      <c r="J492" s="10" t="s">
        <v>1559</v>
      </c>
      <c r="K492" s="10" t="s">
        <v>1560</v>
      </c>
      <c r="L492" s="10" t="s">
        <v>1578</v>
      </c>
      <c r="M492" s="10" t="s">
        <v>1066</v>
      </c>
      <c r="N492" s="10">
        <v>24</v>
      </c>
      <c r="O492" s="11">
        <v>86</v>
      </c>
      <c r="P492" s="11">
        <v>8.5999999999999993E-2</v>
      </c>
      <c r="Q492" s="10" t="s">
        <v>1562</v>
      </c>
      <c r="R492" s="10">
        <v>80</v>
      </c>
      <c r="S492" s="12">
        <v>13</v>
      </c>
      <c r="T492" s="13">
        <v>29999</v>
      </c>
      <c r="U492" s="14">
        <v>2579.9139999999998</v>
      </c>
      <c r="V492" s="10">
        <v>5.03</v>
      </c>
      <c r="W492" s="15">
        <v>150894.97</v>
      </c>
      <c r="X492" s="29">
        <f>VLOOKUP($F492,Agendamento!$B:$J,9,0)</f>
        <v>46083</v>
      </c>
      <c r="Y492" s="6">
        <f>COUNTIF(Analise!F:F,'Obras e Acervos'!H492)</f>
        <v>1</v>
      </c>
    </row>
    <row r="493" spans="1:25" ht="15" customHeight="1" x14ac:dyDescent="0.25">
      <c r="A493" s="10" t="str">
        <f>CONCATENATE(LEFT(C493,12),"-",RIGHT(C493,2),"_",TEXT(X493,"ddmmaaaa"),"_",COUNTIF($C$2:C493,C493))</f>
        <v>399101960001-97_12022026_2</v>
      </c>
      <c r="B493" s="10" t="str">
        <f>CONCATENATE(LEFT(C493,12),"-",RIGHT(C493,2),"_",COUNTIF($C$2:C493,C493))</f>
        <v>399101960001-97_2</v>
      </c>
      <c r="C493" s="10" t="s">
        <v>2143</v>
      </c>
      <c r="D493" s="10" t="s">
        <v>5971</v>
      </c>
      <c r="E493" s="10" t="s">
        <v>1574</v>
      </c>
      <c r="F493" s="10" t="s">
        <v>384</v>
      </c>
      <c r="G493" s="10" t="s">
        <v>3443</v>
      </c>
      <c r="H493" s="11" t="s">
        <v>3444</v>
      </c>
      <c r="I493" s="11" t="s">
        <v>3445</v>
      </c>
      <c r="J493" s="10" t="s">
        <v>1559</v>
      </c>
      <c r="K493" s="10" t="s">
        <v>1560</v>
      </c>
      <c r="L493" s="10" t="s">
        <v>1578</v>
      </c>
      <c r="M493" s="10" t="s">
        <v>6221</v>
      </c>
      <c r="N493" s="10">
        <v>32</v>
      </c>
      <c r="O493" s="11">
        <v>76</v>
      </c>
      <c r="P493" s="11">
        <v>7.5999999999999998E-2</v>
      </c>
      <c r="Q493" s="10" t="s">
        <v>1562</v>
      </c>
      <c r="R493" s="10">
        <v>80</v>
      </c>
      <c r="S493" s="12">
        <v>13</v>
      </c>
      <c r="T493" s="13">
        <v>32787</v>
      </c>
      <c r="U493" s="14">
        <v>2491.8119999999999</v>
      </c>
      <c r="V493" s="10">
        <v>5.96</v>
      </c>
      <c r="W493" s="15">
        <v>195410.52</v>
      </c>
      <c r="X493" s="29">
        <f>VLOOKUP($F493,Agendamento!$B:$J,9,0)</f>
        <v>46065</v>
      </c>
      <c r="Y493" s="6">
        <f>COUNTIF(Analise!F:F,'Obras e Acervos'!H493)</f>
        <v>1</v>
      </c>
    </row>
    <row r="494" spans="1:25" ht="15" customHeight="1" x14ac:dyDescent="0.25">
      <c r="A494" s="10" t="str">
        <f>CONCATENATE(LEFT(C494,12),"-",RIGHT(C494,2),"_",TEXT(X494,"ddmmaaaa"),"_",COUNTIF($C$2:C494,C494))</f>
        <v>115740340001-06_11022026_2</v>
      </c>
      <c r="B494" s="10" t="str">
        <f>CONCATENATE(LEFT(C494,12),"-",RIGHT(C494,2),"_",COUNTIF($C$2:C494,C494))</f>
        <v>115740340001-06_2</v>
      </c>
      <c r="C494" s="10" t="s">
        <v>2948</v>
      </c>
      <c r="D494" s="10" t="s">
        <v>6094</v>
      </c>
      <c r="E494" s="10" t="s">
        <v>1574</v>
      </c>
      <c r="F494" s="10" t="s">
        <v>295</v>
      </c>
      <c r="G494" s="10" t="s">
        <v>3446</v>
      </c>
      <c r="H494" s="11" t="s">
        <v>3447</v>
      </c>
      <c r="I494" s="11" t="s">
        <v>3448</v>
      </c>
      <c r="J494" s="10" t="s">
        <v>1559</v>
      </c>
      <c r="K494" s="10" t="s">
        <v>1560</v>
      </c>
      <c r="L494" s="10" t="s">
        <v>1578</v>
      </c>
      <c r="M494" s="10" t="s">
        <v>295</v>
      </c>
      <c r="N494" s="10">
        <v>56</v>
      </c>
      <c r="O494" s="11">
        <v>188</v>
      </c>
      <c r="P494" s="11">
        <v>0.188</v>
      </c>
      <c r="Q494" s="10" t="s">
        <v>1562</v>
      </c>
      <c r="R494" s="10">
        <v>80</v>
      </c>
      <c r="S494" s="12">
        <v>13</v>
      </c>
      <c r="T494" s="13">
        <v>38832</v>
      </c>
      <c r="U494" s="14">
        <v>7300.4160000000002</v>
      </c>
      <c r="V494" s="10">
        <v>7.97</v>
      </c>
      <c r="W494" s="15">
        <v>309491.03999999998</v>
      </c>
      <c r="X494" s="29">
        <f>VLOOKUP($F494,Agendamento!$B:$J,9,0)</f>
        <v>46064</v>
      </c>
      <c r="Y494" s="6">
        <f>COUNTIF(Analise!F:F,'Obras e Acervos'!H494)</f>
        <v>1</v>
      </c>
    </row>
    <row r="495" spans="1:25" ht="15" customHeight="1" x14ac:dyDescent="0.25">
      <c r="A495" s="10" t="str">
        <f>CONCATENATE(LEFT(C495,12),"-",RIGHT(C495,2),"_",TEXT(X495,"ddmmaaaa"),"_",COUNTIF($C$2:C495,C495))</f>
        <v>266408570001-60_13022026_2</v>
      </c>
      <c r="B495" s="10" t="str">
        <f>CONCATENATE(LEFT(C495,12),"-",RIGHT(C495,2),"_",COUNTIF($C$2:C495,C495))</f>
        <v>266408570001-60_2</v>
      </c>
      <c r="C495" s="10" t="s">
        <v>2155</v>
      </c>
      <c r="D495" s="10" t="s">
        <v>435</v>
      </c>
      <c r="E495" s="10" t="s">
        <v>1574</v>
      </c>
      <c r="F495" s="10" t="s">
        <v>436</v>
      </c>
      <c r="G495" s="10" t="s">
        <v>3449</v>
      </c>
      <c r="H495" s="11" t="s">
        <v>3450</v>
      </c>
      <c r="I495" s="11" t="s">
        <v>3451</v>
      </c>
      <c r="J495" s="10" t="s">
        <v>1559</v>
      </c>
      <c r="K495" s="10" t="s">
        <v>1560</v>
      </c>
      <c r="L495" s="10" t="s">
        <v>1578</v>
      </c>
      <c r="M495" s="10" t="s">
        <v>436</v>
      </c>
      <c r="N495" s="10">
        <v>48</v>
      </c>
      <c r="O495" s="11">
        <v>185</v>
      </c>
      <c r="P495" s="11">
        <v>0.185</v>
      </c>
      <c r="Q495" s="10" t="s">
        <v>1562</v>
      </c>
      <c r="R495" s="10">
        <v>72</v>
      </c>
      <c r="S495" s="12">
        <v>13</v>
      </c>
      <c r="T495" s="13">
        <v>45376</v>
      </c>
      <c r="U495" s="14">
        <v>8394.56</v>
      </c>
      <c r="V495" s="10">
        <v>6.4</v>
      </c>
      <c r="W495" s="15">
        <v>290406.40000000002</v>
      </c>
      <c r="X495" s="29">
        <f>VLOOKUP($F495,Agendamento!$B:$J,9,0)</f>
        <v>46066</v>
      </c>
      <c r="Y495" s="6">
        <f>COUNTIF(Analise!F:F,'Obras e Acervos'!H495)</f>
        <v>1</v>
      </c>
    </row>
    <row r="496" spans="1:25" ht="15" customHeight="1" x14ac:dyDescent="0.25">
      <c r="A496" s="10" t="str">
        <f>CONCATENATE(LEFT(C496,12),"-",RIGHT(C496,2),"_",TEXT(X496,"ddmmaaaa"),"_",COUNTIF($C$2:C496,C496))</f>
        <v>408431650001-40_23022026_2</v>
      </c>
      <c r="B496" s="10" t="str">
        <f>CONCATENATE(LEFT(C496,12),"-",RIGHT(C496,2),"_",COUNTIF($C$2:C496,C496))</f>
        <v>408431650001-40_2</v>
      </c>
      <c r="C496" s="10" t="s">
        <v>2956</v>
      </c>
      <c r="D496" s="10" t="s">
        <v>742</v>
      </c>
      <c r="E496" s="10" t="s">
        <v>1574</v>
      </c>
      <c r="F496" s="10" t="s">
        <v>743</v>
      </c>
      <c r="G496" s="10" t="s">
        <v>3452</v>
      </c>
      <c r="H496" s="11" t="s">
        <v>3453</v>
      </c>
      <c r="I496" s="11" t="s">
        <v>3454</v>
      </c>
      <c r="J496" s="10" t="s">
        <v>1559</v>
      </c>
      <c r="K496" s="10" t="s">
        <v>1560</v>
      </c>
      <c r="L496" s="10" t="s">
        <v>1578</v>
      </c>
      <c r="M496" s="10" t="s">
        <v>743</v>
      </c>
      <c r="N496" s="10">
        <v>32</v>
      </c>
      <c r="O496" s="11">
        <v>158</v>
      </c>
      <c r="P496" s="11">
        <v>0.158</v>
      </c>
      <c r="Q496" s="10" t="s">
        <v>1562</v>
      </c>
      <c r="R496" s="10">
        <v>80</v>
      </c>
      <c r="S496" s="12">
        <v>13</v>
      </c>
      <c r="T496" s="13">
        <v>30954</v>
      </c>
      <c r="U496" s="14">
        <v>4890.732</v>
      </c>
      <c r="V496" s="10">
        <v>6.39</v>
      </c>
      <c r="W496" s="15">
        <v>197796.06</v>
      </c>
      <c r="X496" s="29">
        <f>VLOOKUP($F496,Agendamento!$B:$J,9,0)</f>
        <v>46076</v>
      </c>
      <c r="Y496" s="6">
        <f>COUNTIF(Analise!F:F,'Obras e Acervos'!H496)</f>
        <v>1</v>
      </c>
    </row>
    <row r="497" spans="1:25" ht="15" customHeight="1" x14ac:dyDescent="0.25">
      <c r="A497" s="10" t="str">
        <f>CONCATENATE(LEFT(C497,12),"-",RIGHT(C497,2),"_",TEXT(X497,"ddmmaaaa"),"_",COUNTIF($C$2:C497,C497))</f>
        <v>416366290001-00_27022026_2</v>
      </c>
      <c r="B497" s="10" t="str">
        <f>CONCATENATE(LEFT(C497,12),"-",RIGHT(C497,2),"_",COUNTIF($C$2:C497,C497))</f>
        <v>416366290001-00_2</v>
      </c>
      <c r="C497" s="10" t="s">
        <v>3114</v>
      </c>
      <c r="D497" s="10" t="s">
        <v>945</v>
      </c>
      <c r="E497" s="10" t="s">
        <v>1574</v>
      </c>
      <c r="F497" s="10" t="s">
        <v>946</v>
      </c>
      <c r="G497" s="10" t="s">
        <v>3455</v>
      </c>
      <c r="H497" s="11" t="s">
        <v>3456</v>
      </c>
      <c r="I497" s="11" t="s">
        <v>3457</v>
      </c>
      <c r="J497" s="10" t="s">
        <v>1559</v>
      </c>
      <c r="K497" s="10" t="s">
        <v>1560</v>
      </c>
      <c r="L497" s="10" t="s">
        <v>1578</v>
      </c>
      <c r="M497" s="10" t="s">
        <v>946</v>
      </c>
      <c r="N497" s="10">
        <v>88</v>
      </c>
      <c r="O497" s="11">
        <v>117</v>
      </c>
      <c r="P497" s="11">
        <v>0.11700000000000001</v>
      </c>
      <c r="Q497" s="10" t="s">
        <v>1608</v>
      </c>
      <c r="R497" s="10">
        <v>80</v>
      </c>
      <c r="S497" s="12">
        <v>13</v>
      </c>
      <c r="T497" s="13">
        <v>50164</v>
      </c>
      <c r="U497" s="14">
        <v>5869.1880000000001</v>
      </c>
      <c r="V497" s="10">
        <v>7.64</v>
      </c>
      <c r="W497" s="15">
        <v>383252.95999999996</v>
      </c>
      <c r="X497" s="29">
        <f>VLOOKUP($F497,Agendamento!$B:$J,9,0)</f>
        <v>46080</v>
      </c>
      <c r="Y497" s="6">
        <f>COUNTIF(Analise!F:F,'Obras e Acervos'!H497)</f>
        <v>1</v>
      </c>
    </row>
    <row r="498" spans="1:25" ht="15" customHeight="1" x14ac:dyDescent="0.25">
      <c r="A498" s="10" t="str">
        <f>CONCATENATE(LEFT(C498,12),"-",RIGHT(C498,2),"_",TEXT(X498,"ddmmaaaa"),"_",COUNTIF($C$2:C498,C498))</f>
        <v>039872280001-05_23022026_2</v>
      </c>
      <c r="B498" s="10" t="str">
        <f>CONCATENATE(LEFT(C498,12),"-",RIGHT(C498,2),"_",COUNTIF($C$2:C498,C498))</f>
        <v>039872280001-05_2</v>
      </c>
      <c r="C498" s="10" t="s">
        <v>2968</v>
      </c>
      <c r="D498" s="10" t="s">
        <v>277</v>
      </c>
      <c r="E498" s="10" t="s">
        <v>1574</v>
      </c>
      <c r="F498" s="10" t="s">
        <v>717</v>
      </c>
      <c r="G498" s="10" t="s">
        <v>3458</v>
      </c>
      <c r="H498" s="11" t="s">
        <v>3459</v>
      </c>
      <c r="I498" s="11" t="s">
        <v>3460</v>
      </c>
      <c r="J498" s="10" t="s">
        <v>1559</v>
      </c>
      <c r="K498" s="10" t="s">
        <v>1560</v>
      </c>
      <c r="L498" s="10" t="s">
        <v>1578</v>
      </c>
      <c r="M498" s="10" t="s">
        <v>717</v>
      </c>
      <c r="N498" s="10">
        <v>48</v>
      </c>
      <c r="O498" s="11">
        <v>115</v>
      </c>
      <c r="P498" s="11">
        <v>0.115</v>
      </c>
      <c r="Q498" s="10" t="s">
        <v>1562</v>
      </c>
      <c r="R498" s="10">
        <v>80</v>
      </c>
      <c r="S498" s="12">
        <v>13</v>
      </c>
      <c r="T498" s="13">
        <v>30681</v>
      </c>
      <c r="U498" s="14">
        <v>3528.3150000000001</v>
      </c>
      <c r="V498" s="10">
        <v>8.31</v>
      </c>
      <c r="W498" s="15">
        <v>254959.11000000002</v>
      </c>
      <c r="X498" s="29">
        <f>VLOOKUP($F498,Agendamento!$B:$J,9,0)</f>
        <v>46076</v>
      </c>
      <c r="Y498" s="6">
        <f>COUNTIF(Analise!F:F,'Obras e Acervos'!H498)</f>
        <v>1</v>
      </c>
    </row>
    <row r="499" spans="1:25" ht="15" customHeight="1" x14ac:dyDescent="0.25">
      <c r="A499" s="10" t="str">
        <f>CONCATENATE(LEFT(C499,12),"-",RIGHT(C499,2),"_",TEXT(X499,"ddmmaaaa"),"_",COUNTIF($C$2:C499,C499))</f>
        <v>073006320001-10_16032026_2</v>
      </c>
      <c r="B499" s="10" t="str">
        <f>CONCATENATE(LEFT(C499,12),"-",RIGHT(C499,2),"_",COUNTIF($C$2:C499,C499))</f>
        <v>073006320001-10_2</v>
      </c>
      <c r="C499" s="10" t="s">
        <v>2498</v>
      </c>
      <c r="D499" s="10" t="s">
        <v>6024</v>
      </c>
      <c r="E499" s="10" t="s">
        <v>1574</v>
      </c>
      <c r="F499" s="10" t="s">
        <v>1467</v>
      </c>
      <c r="G499" s="10" t="s">
        <v>3461</v>
      </c>
      <c r="H499" s="11" t="s">
        <v>3462</v>
      </c>
      <c r="I499" s="11" t="s">
        <v>3463</v>
      </c>
      <c r="J499" s="10" t="s">
        <v>1559</v>
      </c>
      <c r="K499" s="10" t="s">
        <v>1560</v>
      </c>
      <c r="L499" s="10" t="s">
        <v>1578</v>
      </c>
      <c r="M499" s="10" t="s">
        <v>1467</v>
      </c>
      <c r="N499" s="10">
        <v>48</v>
      </c>
      <c r="O499" s="11">
        <v>136</v>
      </c>
      <c r="P499" s="11">
        <v>0.13600000000000001</v>
      </c>
      <c r="Q499" s="10" t="s">
        <v>1599</v>
      </c>
      <c r="R499" s="10">
        <v>75</v>
      </c>
      <c r="S499" s="12">
        <v>13</v>
      </c>
      <c r="T499" s="13">
        <v>30847</v>
      </c>
      <c r="U499" s="14">
        <v>4195.192</v>
      </c>
      <c r="V499" s="10">
        <v>8.16</v>
      </c>
      <c r="W499" s="15">
        <v>251711.52000000002</v>
      </c>
      <c r="X499" s="29">
        <f>VLOOKUP($F499,Agendamento!$B:$J,9,0)</f>
        <v>46097</v>
      </c>
      <c r="Y499" s="6">
        <f>COUNTIF(Analise!F:F,'Obras e Acervos'!H499)</f>
        <v>1</v>
      </c>
    </row>
    <row r="500" spans="1:25" ht="15" customHeight="1" x14ac:dyDescent="0.25">
      <c r="A500" s="10" t="str">
        <f>CONCATENATE(LEFT(C500,12),"-",RIGHT(C500,2),"_",TEXT(X500,"ddmmaaaa"),"_",COUNTIF($C$2:C500,C500))</f>
        <v>436808120001-38_03032026_2</v>
      </c>
      <c r="B500" s="10" t="str">
        <f>CONCATENATE(LEFT(C500,12),"-",RIGHT(C500,2),"_",COUNTIF($C$2:C500,C500))</f>
        <v>436808120001-38_2</v>
      </c>
      <c r="C500" s="10" t="s">
        <v>2339</v>
      </c>
      <c r="D500" s="10" t="s">
        <v>6001</v>
      </c>
      <c r="E500" s="10" t="s">
        <v>1574</v>
      </c>
      <c r="F500" s="10" t="s">
        <v>1161</v>
      </c>
      <c r="G500" s="10" t="s">
        <v>3464</v>
      </c>
      <c r="H500" s="11" t="s">
        <v>3465</v>
      </c>
      <c r="I500" s="11" t="s">
        <v>3466</v>
      </c>
      <c r="J500" s="10" t="s">
        <v>1559</v>
      </c>
      <c r="K500" s="10" t="s">
        <v>1560</v>
      </c>
      <c r="L500" s="10" t="s">
        <v>1578</v>
      </c>
      <c r="M500" s="10" t="s">
        <v>1161</v>
      </c>
      <c r="N500" s="10">
        <v>88</v>
      </c>
      <c r="O500" s="11">
        <v>238</v>
      </c>
      <c r="P500" s="11">
        <v>0.23799999999999999</v>
      </c>
      <c r="Q500" s="10" t="s">
        <v>1562</v>
      </c>
      <c r="R500" s="10">
        <v>80</v>
      </c>
      <c r="S500" s="12">
        <v>13</v>
      </c>
      <c r="T500" s="13">
        <v>33696</v>
      </c>
      <c r="U500" s="14">
        <v>8019.6479999999992</v>
      </c>
      <c r="V500" s="10">
        <v>12.18</v>
      </c>
      <c r="W500" s="15">
        <v>410417.27999999997</v>
      </c>
      <c r="X500" s="29">
        <f>VLOOKUP($F500,Agendamento!$B:$J,9,0)</f>
        <v>46084</v>
      </c>
      <c r="Y500" s="6">
        <f>COUNTIF(Analise!F:F,'Obras e Acervos'!H500)</f>
        <v>1</v>
      </c>
    </row>
    <row r="501" spans="1:25" ht="15" customHeight="1" x14ac:dyDescent="0.25">
      <c r="A501" s="10" t="str">
        <f>CONCATENATE(LEFT(C501,12),"-",RIGHT(C501,2),"_",TEXT(X501,"ddmmaaaa"),"_",COUNTIF($C$2:C501,C501))</f>
        <v>087837200001-82_26022026_2</v>
      </c>
      <c r="B501" s="10" t="str">
        <f>CONCATENATE(LEFT(C501,12),"-",RIGHT(C501,2),"_",COUNTIF($C$2:C501,C501))</f>
        <v>087837200001-82_2</v>
      </c>
      <c r="C501" s="10" t="s">
        <v>2183</v>
      </c>
      <c r="D501" s="10" t="s">
        <v>5976</v>
      </c>
      <c r="E501" s="10" t="s">
        <v>1574</v>
      </c>
      <c r="F501" s="10" t="s">
        <v>934</v>
      </c>
      <c r="G501" s="10" t="s">
        <v>3467</v>
      </c>
      <c r="H501" s="11" t="s">
        <v>3468</v>
      </c>
      <c r="I501" s="11" t="s">
        <v>3469</v>
      </c>
      <c r="J501" s="10" t="s">
        <v>1559</v>
      </c>
      <c r="K501" s="10" t="s">
        <v>1560</v>
      </c>
      <c r="L501" s="10" t="s">
        <v>1578</v>
      </c>
      <c r="M501" s="10" t="s">
        <v>934</v>
      </c>
      <c r="N501" s="10">
        <v>32</v>
      </c>
      <c r="O501" s="11">
        <v>122</v>
      </c>
      <c r="P501" s="11">
        <v>0.122</v>
      </c>
      <c r="Q501" s="10" t="s">
        <v>1562</v>
      </c>
      <c r="R501" s="10">
        <v>80</v>
      </c>
      <c r="S501" s="12">
        <v>13</v>
      </c>
      <c r="T501" s="13">
        <v>43892</v>
      </c>
      <c r="U501" s="14">
        <v>5354.8239999999996</v>
      </c>
      <c r="V501" s="10">
        <v>5.08</v>
      </c>
      <c r="W501" s="15">
        <v>222971.36000000002</v>
      </c>
      <c r="X501" s="29">
        <f>VLOOKUP($F501,Agendamento!$B:$J,9,0)</f>
        <v>46079</v>
      </c>
      <c r="Y501" s="6">
        <f>COUNTIF(Analise!F:F,'Obras e Acervos'!H501)</f>
        <v>1</v>
      </c>
    </row>
    <row r="502" spans="1:25" ht="15" customHeight="1" x14ac:dyDescent="0.25">
      <c r="A502" s="10" t="str">
        <f>CONCATENATE(LEFT(C502,12),"-",RIGHT(C502,2),"_",TEXT(X502,"ddmmaaaa"),"_",COUNTIF($C$2:C502,C502))</f>
        <v>284752980001-05_11032026_2</v>
      </c>
      <c r="B502" s="10" t="str">
        <f>CONCATENATE(LEFT(C502,12),"-",RIGHT(C502,2),"_",COUNTIF($C$2:C502,C502))</f>
        <v>284752980001-05_2</v>
      </c>
      <c r="C502" s="10" t="s">
        <v>2665</v>
      </c>
      <c r="D502" s="10" t="s">
        <v>1362</v>
      </c>
      <c r="E502" s="10" t="s">
        <v>1574</v>
      </c>
      <c r="F502" s="10" t="s">
        <v>1363</v>
      </c>
      <c r="G502" s="10" t="s">
        <v>3470</v>
      </c>
      <c r="H502" s="11" t="s">
        <v>3471</v>
      </c>
      <c r="I502" s="11" t="s">
        <v>3472</v>
      </c>
      <c r="J502" s="10" t="s">
        <v>1559</v>
      </c>
      <c r="K502" s="10" t="s">
        <v>1560</v>
      </c>
      <c r="L502" s="10" t="s">
        <v>1578</v>
      </c>
      <c r="M502" s="10" t="s">
        <v>1363</v>
      </c>
      <c r="N502" s="10">
        <v>32</v>
      </c>
      <c r="O502" s="11">
        <v>103</v>
      </c>
      <c r="P502" s="11">
        <v>0.10299999999999999</v>
      </c>
      <c r="Q502" s="10" t="s">
        <v>1562</v>
      </c>
      <c r="R502" s="10">
        <v>80</v>
      </c>
      <c r="S502" s="12">
        <v>13</v>
      </c>
      <c r="T502" s="13">
        <v>31544</v>
      </c>
      <c r="U502" s="14">
        <v>3249.0319999999997</v>
      </c>
      <c r="V502" s="10">
        <v>6.37</v>
      </c>
      <c r="W502" s="15">
        <v>200935.28</v>
      </c>
      <c r="X502" s="29">
        <f>VLOOKUP($F502,Agendamento!$B:$J,9,0)</f>
        <v>46092</v>
      </c>
      <c r="Y502" s="6">
        <f>COUNTIF(Analise!F:F,'Obras e Acervos'!H502)</f>
        <v>1</v>
      </c>
    </row>
    <row r="503" spans="1:25" ht="15" customHeight="1" x14ac:dyDescent="0.25">
      <c r="A503" s="10" t="str">
        <f>CONCATENATE(LEFT(C503,12),"-",RIGHT(C503,2),"_",TEXT(X503,"ddmmaaaa"),"_",COUNTIF($C$2:C503,C503))</f>
        <v>380622820001-24_24022026_2</v>
      </c>
      <c r="B503" s="10" t="str">
        <f>CONCATENATE(LEFT(C503,12),"-",RIGHT(C503,2),"_",COUNTIF($C$2:C503,C503))</f>
        <v>380622820001-24_2</v>
      </c>
      <c r="C503" s="10" t="s">
        <v>1718</v>
      </c>
      <c r="D503" s="10" t="s">
        <v>5915</v>
      </c>
      <c r="E503" s="10" t="s">
        <v>1574</v>
      </c>
      <c r="F503" s="10" t="s">
        <v>832</v>
      </c>
      <c r="G503" s="10" t="s">
        <v>3473</v>
      </c>
      <c r="H503" s="11" t="s">
        <v>3474</v>
      </c>
      <c r="I503" s="11" t="s">
        <v>3475</v>
      </c>
      <c r="J503" s="10" t="s">
        <v>1559</v>
      </c>
      <c r="K503" s="10" t="s">
        <v>1560</v>
      </c>
      <c r="L503" s="10" t="s">
        <v>1578</v>
      </c>
      <c r="M503" s="10" t="s">
        <v>832</v>
      </c>
      <c r="N503" s="10">
        <v>24</v>
      </c>
      <c r="O503" s="11">
        <v>40</v>
      </c>
      <c r="P503" s="11">
        <v>0.04</v>
      </c>
      <c r="Q503" s="10" t="s">
        <v>1608</v>
      </c>
      <c r="R503" s="10">
        <v>75</v>
      </c>
      <c r="S503" s="12">
        <v>13</v>
      </c>
      <c r="T503" s="13">
        <v>30196</v>
      </c>
      <c r="U503" s="14">
        <v>1207.8399999999999</v>
      </c>
      <c r="V503" s="10">
        <v>4.38</v>
      </c>
      <c r="W503" s="15">
        <v>132258.48000000001</v>
      </c>
      <c r="X503" s="29">
        <f>VLOOKUP($F503,Agendamento!$B:$J,9,0)</f>
        <v>46077</v>
      </c>
      <c r="Y503" s="6">
        <f>COUNTIF(Analise!F:F,'Obras e Acervos'!H503)</f>
        <v>1</v>
      </c>
    </row>
    <row r="504" spans="1:25" ht="15" customHeight="1" x14ac:dyDescent="0.25">
      <c r="A504" s="10" t="str">
        <f>CONCATENATE(LEFT(C504,12),"-",RIGHT(C504,2),"_",TEXT(X504,"ddmmaaaa"),"_",COUNTIF($C$2:C504,C504))</f>
        <v>206356920001-51_23022026_2</v>
      </c>
      <c r="B504" s="10" t="str">
        <f>CONCATENATE(LEFT(C504,12),"-",RIGHT(C504,2),"_",COUNTIF($C$2:C504,C504))</f>
        <v>206356920001-51_2</v>
      </c>
      <c r="C504" s="10" t="s">
        <v>2030</v>
      </c>
      <c r="D504" s="10" t="s">
        <v>748</v>
      </c>
      <c r="E504" s="10" t="s">
        <v>1574</v>
      </c>
      <c r="F504" s="10" t="s">
        <v>749</v>
      </c>
      <c r="G504" s="10" t="s">
        <v>3476</v>
      </c>
      <c r="H504" s="11" t="s">
        <v>3477</v>
      </c>
      <c r="I504" s="11" t="s">
        <v>3478</v>
      </c>
      <c r="J504" s="10" t="s">
        <v>1559</v>
      </c>
      <c r="K504" s="10" t="s">
        <v>1560</v>
      </c>
      <c r="L504" s="10" t="s">
        <v>1578</v>
      </c>
      <c r="M504" s="10" t="s">
        <v>749</v>
      </c>
      <c r="N504" s="10">
        <v>96</v>
      </c>
      <c r="O504" s="11">
        <v>115</v>
      </c>
      <c r="P504" s="11">
        <v>0.115</v>
      </c>
      <c r="Q504" s="10" t="s">
        <v>1608</v>
      </c>
      <c r="R504" s="10">
        <v>75</v>
      </c>
      <c r="S504" s="12">
        <v>14</v>
      </c>
      <c r="T504" s="13">
        <v>25061</v>
      </c>
      <c r="U504" s="14">
        <v>2882.0150000000003</v>
      </c>
      <c r="V504" s="10">
        <v>11.69</v>
      </c>
      <c r="W504" s="15">
        <v>292963.08999999997</v>
      </c>
      <c r="X504" s="29">
        <f>VLOOKUP($F504,Agendamento!$B:$J,9,0)</f>
        <v>46076</v>
      </c>
      <c r="Y504" s="6">
        <f>COUNTIF(Analise!F:F,'Obras e Acervos'!H504)</f>
        <v>1</v>
      </c>
    </row>
    <row r="505" spans="1:25" ht="15" customHeight="1" x14ac:dyDescent="0.25">
      <c r="A505" s="10" t="str">
        <f>CONCATENATE(LEFT(C505,12),"-",RIGHT(C505,2),"_",TEXT(X505,"ddmmaaaa"),"_",COUNTIF($C$2:C505,C505))</f>
        <v>280395150001-14_02032026_2</v>
      </c>
      <c r="B505" s="10" t="str">
        <f>CONCATENATE(LEFT(C505,12),"-",RIGHT(C505,2),"_",COUNTIF($C$2:C505,C505))</f>
        <v>280395150001-14_2</v>
      </c>
      <c r="C505" s="10" t="s">
        <v>1567</v>
      </c>
      <c r="D505" s="10" t="s">
        <v>1043</v>
      </c>
      <c r="E505" s="10" t="s">
        <v>1574</v>
      </c>
      <c r="F505" s="10" t="s">
        <v>1044</v>
      </c>
      <c r="G505" s="10" t="s">
        <v>3479</v>
      </c>
      <c r="H505" s="11" t="s">
        <v>3480</v>
      </c>
      <c r="I505" s="11" t="s">
        <v>3481</v>
      </c>
      <c r="J505" s="10" t="s">
        <v>1559</v>
      </c>
      <c r="K505" s="10" t="s">
        <v>1560</v>
      </c>
      <c r="L505" s="10" t="s">
        <v>1578</v>
      </c>
      <c r="M505" s="10" t="s">
        <v>1044</v>
      </c>
      <c r="N505" s="10">
        <v>40</v>
      </c>
      <c r="O505" s="11">
        <v>124</v>
      </c>
      <c r="P505" s="11">
        <v>0.124</v>
      </c>
      <c r="Q505" s="10" t="s">
        <v>1562</v>
      </c>
      <c r="R505" s="10">
        <v>80</v>
      </c>
      <c r="S505" s="12">
        <v>14</v>
      </c>
      <c r="T505" s="13">
        <v>23773</v>
      </c>
      <c r="U505" s="14">
        <v>2947.8519999999999</v>
      </c>
      <c r="V505" s="10">
        <v>7.52</v>
      </c>
      <c r="W505" s="15">
        <v>178772.96</v>
      </c>
      <c r="X505" s="29">
        <f>VLOOKUP($F505,Agendamento!$B:$J,9,0)</f>
        <v>46083</v>
      </c>
      <c r="Y505" s="6">
        <f>COUNTIF(Analise!F:F,'Obras e Acervos'!H505)</f>
        <v>1</v>
      </c>
    </row>
    <row r="506" spans="1:25" ht="15" customHeight="1" x14ac:dyDescent="0.25">
      <c r="A506" s="10" t="str">
        <f>CONCATENATE(LEFT(C506,12),"-",RIGHT(C506,2),"_",TEXT(X506,"ddmmaaaa"),"_",COUNTIF($C$2:C506,C506))</f>
        <v>076083200001-78_26022026_2</v>
      </c>
      <c r="B506" s="10" t="str">
        <f>CONCATENATE(LEFT(C506,12),"-",RIGHT(C506,2),"_",COUNTIF($C$2:C506,C506))</f>
        <v>076083200001-78_2</v>
      </c>
      <c r="C506" s="10" t="s">
        <v>2685</v>
      </c>
      <c r="D506" s="10" t="s">
        <v>6050</v>
      </c>
      <c r="E506" s="10" t="s">
        <v>1574</v>
      </c>
      <c r="F506" s="10" t="s">
        <v>891</v>
      </c>
      <c r="G506" s="10" t="s">
        <v>3482</v>
      </c>
      <c r="H506" s="11" t="s">
        <v>3483</v>
      </c>
      <c r="I506" s="11" t="s">
        <v>3484</v>
      </c>
      <c r="J506" s="10" t="s">
        <v>1559</v>
      </c>
      <c r="K506" s="10" t="s">
        <v>1560</v>
      </c>
      <c r="L506" s="10" t="s">
        <v>1578</v>
      </c>
      <c r="M506" s="10" t="s">
        <v>891</v>
      </c>
      <c r="N506" s="10">
        <v>40</v>
      </c>
      <c r="O506" s="11">
        <v>111</v>
      </c>
      <c r="P506" s="11">
        <v>0.111</v>
      </c>
      <c r="Q506" s="10" t="s">
        <v>1562</v>
      </c>
      <c r="R506" s="10">
        <v>80</v>
      </c>
      <c r="S506" s="12">
        <v>14</v>
      </c>
      <c r="T506" s="13">
        <v>24092</v>
      </c>
      <c r="U506" s="14">
        <v>2674.212</v>
      </c>
      <c r="V506" s="10">
        <v>7.51</v>
      </c>
      <c r="W506" s="15">
        <v>180930.91999999998</v>
      </c>
      <c r="X506" s="29">
        <f>VLOOKUP($F506,Agendamento!$B:$J,9,0)</f>
        <v>46079</v>
      </c>
      <c r="Y506" s="6">
        <f>COUNTIF(Analise!F:F,'Obras e Acervos'!H506)</f>
        <v>1</v>
      </c>
    </row>
    <row r="507" spans="1:25" ht="15" customHeight="1" x14ac:dyDescent="0.25">
      <c r="A507" s="10" t="str">
        <f>CONCATENATE(LEFT(C507,12),"-",RIGHT(C507,2),"_",TEXT(X507,"ddmmaaaa"),"_",COUNTIF($C$2:C507,C507))</f>
        <v>362221560001-64_18022026_2</v>
      </c>
      <c r="B507" s="10" t="str">
        <f>CONCATENATE(LEFT(C507,12),"-",RIGHT(C507,2),"_",COUNTIF($C$2:C507,C507))</f>
        <v>362221560001-64_2</v>
      </c>
      <c r="C507" s="10" t="s">
        <v>2852</v>
      </c>
      <c r="D507" s="10" t="s">
        <v>337</v>
      </c>
      <c r="E507" s="10" t="s">
        <v>1574</v>
      </c>
      <c r="F507" s="10" t="s">
        <v>560</v>
      </c>
      <c r="G507" s="10" t="s">
        <v>3485</v>
      </c>
      <c r="H507" s="11" t="s">
        <v>3486</v>
      </c>
      <c r="I507" s="11" t="s">
        <v>3487</v>
      </c>
      <c r="J507" s="10" t="s">
        <v>1559</v>
      </c>
      <c r="K507" s="10" t="s">
        <v>1560</v>
      </c>
      <c r="L507" s="10" t="s">
        <v>1578</v>
      </c>
      <c r="M507" s="10" t="s">
        <v>560</v>
      </c>
      <c r="N507" s="10">
        <v>64</v>
      </c>
      <c r="O507" s="11">
        <v>172</v>
      </c>
      <c r="P507" s="11">
        <v>0.17199999999999999</v>
      </c>
      <c r="Q507" s="10" t="s">
        <v>1562</v>
      </c>
      <c r="R507" s="10">
        <v>80</v>
      </c>
      <c r="S507" s="12">
        <v>14</v>
      </c>
      <c r="T507" s="13">
        <v>24698</v>
      </c>
      <c r="U507" s="14">
        <v>4248.0559999999996</v>
      </c>
      <c r="V507" s="10">
        <v>10.29</v>
      </c>
      <c r="W507" s="15">
        <v>254142.41999999998</v>
      </c>
      <c r="X507" s="29">
        <f>VLOOKUP($F507,Agendamento!$B:$J,9,0)</f>
        <v>46071</v>
      </c>
      <c r="Y507" s="6">
        <f>COUNTIF(Analise!F:F,'Obras e Acervos'!H507)</f>
        <v>1</v>
      </c>
    </row>
    <row r="508" spans="1:25" ht="15" customHeight="1" x14ac:dyDescent="0.25">
      <c r="A508" s="10" t="str">
        <f>CONCATENATE(LEFT(C508,12),"-",RIGHT(C508,2),"_",TEXT(X508,"ddmmaaaa"),"_",COUNTIF($C$2:C508,C508))</f>
        <v>573033560001-11_16032026_2</v>
      </c>
      <c r="B508" s="10" t="str">
        <f>CONCATENATE(LEFT(C508,12),"-",RIGHT(C508,2),"_",COUNTIF($C$2:C508,C508))</f>
        <v>573033560001-11_2</v>
      </c>
      <c r="C508" s="10" t="s">
        <v>1742</v>
      </c>
      <c r="D508" s="10" t="s">
        <v>5919</v>
      </c>
      <c r="E508" s="10" t="s">
        <v>1574</v>
      </c>
      <c r="F508" s="10" t="s">
        <v>1498</v>
      </c>
      <c r="G508" s="10" t="s">
        <v>3488</v>
      </c>
      <c r="H508" s="11" t="s">
        <v>3489</v>
      </c>
      <c r="I508" s="11" t="s">
        <v>3490</v>
      </c>
      <c r="J508" s="10" t="s">
        <v>1559</v>
      </c>
      <c r="K508" s="10" t="s">
        <v>1560</v>
      </c>
      <c r="L508" s="10" t="s">
        <v>1578</v>
      </c>
      <c r="M508" s="10" t="s">
        <v>1498</v>
      </c>
      <c r="N508" s="10">
        <v>88</v>
      </c>
      <c r="O508" s="11">
        <v>105</v>
      </c>
      <c r="P508" s="11">
        <v>0.105</v>
      </c>
      <c r="Q508" s="10" t="s">
        <v>1608</v>
      </c>
      <c r="R508" s="10">
        <v>75</v>
      </c>
      <c r="S508" s="12">
        <v>14</v>
      </c>
      <c r="T508" s="13">
        <v>26273</v>
      </c>
      <c r="U508" s="14">
        <v>2758.665</v>
      </c>
      <c r="V508" s="10">
        <v>10.76</v>
      </c>
      <c r="W508" s="15">
        <v>282697.48</v>
      </c>
      <c r="X508" s="29">
        <f>VLOOKUP($F508,Agendamento!$B:$J,9,0)</f>
        <v>46097</v>
      </c>
      <c r="Y508" s="6">
        <f>COUNTIF(Analise!F:F,'Obras e Acervos'!H508)</f>
        <v>1</v>
      </c>
    </row>
    <row r="509" spans="1:25" ht="15" customHeight="1" x14ac:dyDescent="0.25">
      <c r="A509" s="10" t="str">
        <f>CONCATENATE(LEFT(C509,12),"-",RIGHT(C509,2),"_",TEXT(X509,"ddmmaaaa"),"_",COUNTIF($C$2:C509,C509))</f>
        <v>074741500001-86_24022026_2</v>
      </c>
      <c r="B509" s="10" t="str">
        <f>CONCATENATE(LEFT(C509,12),"-",RIGHT(C509,2),"_",COUNTIF($C$2:C509,C509))</f>
        <v>074741500001-86_2</v>
      </c>
      <c r="C509" s="10" t="s">
        <v>2856</v>
      </c>
      <c r="D509" s="10" t="s">
        <v>6079</v>
      </c>
      <c r="E509" s="10" t="s">
        <v>1574</v>
      </c>
      <c r="F509" s="10" t="s">
        <v>768</v>
      </c>
      <c r="G509" s="10" t="s">
        <v>3491</v>
      </c>
      <c r="H509" s="11" t="s">
        <v>3492</v>
      </c>
      <c r="I509" s="11" t="s">
        <v>3493</v>
      </c>
      <c r="J509" s="10" t="s">
        <v>1559</v>
      </c>
      <c r="K509" s="10" t="s">
        <v>1560</v>
      </c>
      <c r="L509" s="10" t="s">
        <v>1578</v>
      </c>
      <c r="M509" s="10" t="s">
        <v>768</v>
      </c>
      <c r="N509" s="10">
        <v>136</v>
      </c>
      <c r="O509" s="11">
        <v>220</v>
      </c>
      <c r="P509" s="11">
        <v>0.22</v>
      </c>
      <c r="Q509" s="10" t="s">
        <v>1608</v>
      </c>
      <c r="R509" s="10">
        <v>75</v>
      </c>
      <c r="S509" s="12">
        <v>14</v>
      </c>
      <c r="T509" s="13">
        <v>23895</v>
      </c>
      <c r="U509" s="14">
        <v>5256.9</v>
      </c>
      <c r="V509" s="10">
        <v>15.54</v>
      </c>
      <c r="W509" s="15">
        <v>371328.3</v>
      </c>
      <c r="X509" s="29">
        <f>VLOOKUP($F509,Agendamento!$B:$J,9,0)</f>
        <v>46077</v>
      </c>
      <c r="Y509" s="6">
        <f>COUNTIF(Analise!F:F,'Obras e Acervos'!H509)</f>
        <v>1</v>
      </c>
    </row>
    <row r="510" spans="1:25" ht="15" customHeight="1" x14ac:dyDescent="0.25">
      <c r="A510" s="10" t="str">
        <f>CONCATENATE(LEFT(C510,12),"-",RIGHT(C510,2),"_",TEXT(X510,"ddmmaaaa"),"_",COUNTIF($C$2:C510,C510))</f>
        <v>030020180001-10_10032026_2</v>
      </c>
      <c r="B510" s="10" t="str">
        <f>CONCATENATE(LEFT(C510,12),"-",RIGHT(C510,2),"_",COUNTIF($C$2:C510,C510))</f>
        <v>030020180001-10_2</v>
      </c>
      <c r="C510" s="10" t="s">
        <v>2066</v>
      </c>
      <c r="D510" s="10" t="s">
        <v>5961</v>
      </c>
      <c r="E510" s="10" t="s">
        <v>1574</v>
      </c>
      <c r="F510" s="10" t="s">
        <v>1348</v>
      </c>
      <c r="G510" s="10" t="s">
        <v>3494</v>
      </c>
      <c r="H510" s="11" t="s">
        <v>3495</v>
      </c>
      <c r="I510" s="11" t="s">
        <v>3496</v>
      </c>
      <c r="J510" s="10" t="s">
        <v>1559</v>
      </c>
      <c r="K510" s="10" t="s">
        <v>1560</v>
      </c>
      <c r="L510" s="10" t="s">
        <v>1578</v>
      </c>
      <c r="M510" s="10" t="s">
        <v>1348</v>
      </c>
      <c r="N510" s="10">
        <v>48</v>
      </c>
      <c r="O510" s="11">
        <v>140</v>
      </c>
      <c r="P510" s="11">
        <v>0.14000000000000001</v>
      </c>
      <c r="Q510" s="10" t="s">
        <v>1562</v>
      </c>
      <c r="R510" s="10">
        <v>80</v>
      </c>
      <c r="S510" s="12">
        <v>14</v>
      </c>
      <c r="T510" s="13">
        <v>24258</v>
      </c>
      <c r="U510" s="14">
        <v>3396.1200000000003</v>
      </c>
      <c r="V510" s="10">
        <v>8.43</v>
      </c>
      <c r="W510" s="15">
        <v>204494.94</v>
      </c>
      <c r="X510" s="29">
        <f>VLOOKUP($F510,Agendamento!$B:$J,9,0)</f>
        <v>46091</v>
      </c>
      <c r="Y510" s="6">
        <f>COUNTIF(Analise!F:F,'Obras e Acervos'!H510)</f>
        <v>1</v>
      </c>
    </row>
    <row r="511" spans="1:25" ht="15" customHeight="1" x14ac:dyDescent="0.25">
      <c r="A511" s="10" t="str">
        <f>CONCATENATE(LEFT(C511,12),"-",RIGHT(C511,2),"_",TEXT(X511,"ddmmaaaa"),"_",COUNTIF($C$2:C511,C511))</f>
        <v>401506500001-38_04022026_2</v>
      </c>
      <c r="B511" s="10" t="str">
        <f>CONCATENATE(LEFT(C511,12),"-",RIGHT(C511,2),"_",COUNTIF($C$2:C511,C511))</f>
        <v>401506500001-38_2</v>
      </c>
      <c r="C511" s="10" t="s">
        <v>1910</v>
      </c>
      <c r="D511" s="10" t="s">
        <v>5943</v>
      </c>
      <c r="E511" s="10" t="s">
        <v>1574</v>
      </c>
      <c r="F511" s="10" t="s">
        <v>154</v>
      </c>
      <c r="G511" s="10" t="s">
        <v>3497</v>
      </c>
      <c r="H511" s="11" t="s">
        <v>3498</v>
      </c>
      <c r="I511" s="11" t="s">
        <v>3499</v>
      </c>
      <c r="J511" s="10" t="s">
        <v>1559</v>
      </c>
      <c r="K511" s="10" t="s">
        <v>1560</v>
      </c>
      <c r="L511" s="10" t="s">
        <v>1578</v>
      </c>
      <c r="M511" s="10" t="s">
        <v>154</v>
      </c>
      <c r="N511" s="10">
        <v>32</v>
      </c>
      <c r="O511" s="11">
        <v>96</v>
      </c>
      <c r="P511" s="11">
        <v>9.6000000000000002E-2</v>
      </c>
      <c r="Q511" s="10" t="s">
        <v>1562</v>
      </c>
      <c r="R511" s="10">
        <v>75</v>
      </c>
      <c r="S511" s="12">
        <v>14</v>
      </c>
      <c r="T511" s="13">
        <v>25349</v>
      </c>
      <c r="U511" s="14">
        <v>2433.5039999999999</v>
      </c>
      <c r="V511" s="10">
        <v>6.4</v>
      </c>
      <c r="W511" s="15">
        <v>162233.60000000001</v>
      </c>
      <c r="X511" s="29">
        <f>VLOOKUP($F511,Agendamento!$B:$J,9,0)</f>
        <v>46057</v>
      </c>
      <c r="Y511" s="6">
        <f>COUNTIF(Analise!F:F,'Obras e Acervos'!H511)</f>
        <v>1</v>
      </c>
    </row>
    <row r="512" spans="1:25" ht="15" customHeight="1" x14ac:dyDescent="0.25">
      <c r="A512" s="10" t="str">
        <f>CONCATENATE(LEFT(C512,12),"-",RIGHT(C512,2),"_",TEXT(X512,"ddmmaaaa"),"_",COUNTIF($C$2:C512,C512))</f>
        <v>438850670001-63_10022026_2</v>
      </c>
      <c r="B512" s="10" t="str">
        <f>CONCATENATE(LEFT(C512,12),"-",RIGHT(C512,2),"_",COUNTIF($C$2:C512,C512))</f>
        <v>438850670001-63_2</v>
      </c>
      <c r="C512" s="10" t="s">
        <v>2391</v>
      </c>
      <c r="D512" s="10" t="s">
        <v>6010</v>
      </c>
      <c r="E512" s="10" t="s">
        <v>1574</v>
      </c>
      <c r="F512" s="10" t="s">
        <v>272</v>
      </c>
      <c r="G512" s="10" t="s">
        <v>3500</v>
      </c>
      <c r="H512" s="11" t="s">
        <v>3501</v>
      </c>
      <c r="I512" s="11" t="s">
        <v>3502</v>
      </c>
      <c r="J512" s="10" t="s">
        <v>1559</v>
      </c>
      <c r="K512" s="10" t="s">
        <v>1560</v>
      </c>
      <c r="L512" s="10" t="s">
        <v>1578</v>
      </c>
      <c r="M512" s="10" t="s">
        <v>272</v>
      </c>
      <c r="N512" s="10">
        <v>32</v>
      </c>
      <c r="O512" s="11">
        <v>162</v>
      </c>
      <c r="P512" s="11">
        <v>0.16200000000000001</v>
      </c>
      <c r="Q512" s="10" t="s">
        <v>1562</v>
      </c>
      <c r="R512" s="10">
        <v>80</v>
      </c>
      <c r="S512" s="12">
        <v>14</v>
      </c>
      <c r="T512" s="13">
        <v>24864</v>
      </c>
      <c r="U512" s="14">
        <v>4027.9680000000003</v>
      </c>
      <c r="V512" s="10">
        <v>6.52</v>
      </c>
      <c r="W512" s="15">
        <v>162113.28</v>
      </c>
      <c r="X512" s="29">
        <f>VLOOKUP($F512,Agendamento!$B:$J,9,0)</f>
        <v>46063</v>
      </c>
      <c r="Y512" s="6">
        <f>COUNTIF(Analise!F:F,'Obras e Acervos'!H512)</f>
        <v>1</v>
      </c>
    </row>
    <row r="513" spans="1:25" ht="15" customHeight="1" x14ac:dyDescent="0.25">
      <c r="A513" s="10" t="str">
        <f>CONCATENATE(LEFT(C513,12),"-",RIGHT(C513,2),"_",TEXT(X513,"ddmmaaaa"),"_",COUNTIF($C$2:C513,C513))</f>
        <v>438852910001-55_13032026_2</v>
      </c>
      <c r="B513" s="10" t="str">
        <f>CONCATENATE(LEFT(C513,12),"-",RIGHT(C513,2),"_",COUNTIF($C$2:C513,C513))</f>
        <v>438852910001-55_2</v>
      </c>
      <c r="C513" s="10" t="s">
        <v>2713</v>
      </c>
      <c r="D513" s="10" t="s">
        <v>6056</v>
      </c>
      <c r="E513" s="10" t="s">
        <v>1574</v>
      </c>
      <c r="F513" s="10" t="s">
        <v>1383</v>
      </c>
      <c r="G513" s="10" t="s">
        <v>3503</v>
      </c>
      <c r="H513" s="11" t="s">
        <v>3504</v>
      </c>
      <c r="I513" s="11" t="s">
        <v>3505</v>
      </c>
      <c r="J513" s="10" t="s">
        <v>1559</v>
      </c>
      <c r="K513" s="10" t="s">
        <v>1560</v>
      </c>
      <c r="L513" s="10" t="s">
        <v>1578</v>
      </c>
      <c r="M513" s="10" t="s">
        <v>1383</v>
      </c>
      <c r="N513" s="10">
        <v>40</v>
      </c>
      <c r="O513" s="11">
        <v>130</v>
      </c>
      <c r="P513" s="11">
        <v>0.13</v>
      </c>
      <c r="Q513" s="10" t="s">
        <v>1562</v>
      </c>
      <c r="R513" s="10">
        <v>80</v>
      </c>
      <c r="S513" s="12">
        <v>14</v>
      </c>
      <c r="T513" s="13">
        <v>24501</v>
      </c>
      <c r="U513" s="14">
        <v>3185.13</v>
      </c>
      <c r="V513" s="10">
        <v>7.47</v>
      </c>
      <c r="W513" s="15">
        <v>183022.47</v>
      </c>
      <c r="X513" s="29">
        <f>VLOOKUP($F513,Agendamento!$B:$J,9,0)</f>
        <v>46094</v>
      </c>
      <c r="Y513" s="6">
        <f>COUNTIF(Analise!F:F,'Obras e Acervos'!H513)</f>
        <v>1</v>
      </c>
    </row>
    <row r="514" spans="1:25" ht="15" customHeight="1" x14ac:dyDescent="0.25">
      <c r="A514" s="10" t="str">
        <f>CONCATENATE(LEFT(C514,12),"-",RIGHT(C514,2),"_",TEXT(X514,"ddmmaaaa"),"_",COUNTIF($C$2:C514,C514))</f>
        <v>438896310001-16_16032026_1</v>
      </c>
      <c r="B514" s="10" t="str">
        <f>CONCATENATE(LEFT(C514,12),"-",RIGHT(C514,2),"_",COUNTIF($C$2:C514,C514))</f>
        <v>438896310001-16_1</v>
      </c>
      <c r="C514" s="10" t="s">
        <v>3506</v>
      </c>
      <c r="D514" s="10" t="s">
        <v>6125</v>
      </c>
      <c r="E514" s="10" t="s">
        <v>1574</v>
      </c>
      <c r="F514" s="10" t="s">
        <v>1509</v>
      </c>
      <c r="G514" s="10" t="s">
        <v>3507</v>
      </c>
      <c r="H514" s="11" t="s">
        <v>3508</v>
      </c>
      <c r="I514" s="11" t="s">
        <v>3509</v>
      </c>
      <c r="J514" s="10" t="s">
        <v>1559</v>
      </c>
      <c r="K514" s="10" t="s">
        <v>1560</v>
      </c>
      <c r="L514" s="10" t="s">
        <v>1578</v>
      </c>
      <c r="M514" s="10" t="s">
        <v>1509</v>
      </c>
      <c r="N514" s="10">
        <v>64</v>
      </c>
      <c r="O514" s="11">
        <v>181</v>
      </c>
      <c r="P514" s="11">
        <v>0.18099999999999999</v>
      </c>
      <c r="Q514" s="10" t="s">
        <v>1599</v>
      </c>
      <c r="R514" s="10">
        <v>80</v>
      </c>
      <c r="S514" s="12">
        <v>14</v>
      </c>
      <c r="T514" s="13">
        <v>24092</v>
      </c>
      <c r="U514" s="14">
        <v>4360.652</v>
      </c>
      <c r="V514" s="10">
        <v>10.32</v>
      </c>
      <c r="W514" s="15">
        <v>248629.44</v>
      </c>
      <c r="X514" s="29">
        <f>VLOOKUP($F514,Agendamento!$B:$J,9,0)</f>
        <v>46097</v>
      </c>
      <c r="Y514" s="6">
        <f>COUNTIF(Analise!F:F,'Obras e Acervos'!H514)</f>
        <v>1</v>
      </c>
    </row>
    <row r="515" spans="1:25" ht="15" customHeight="1" x14ac:dyDescent="0.25">
      <c r="A515" s="10" t="str">
        <f>CONCATENATE(LEFT(C515,12),"-",RIGHT(C515,2),"_",TEXT(X515,"ddmmaaaa"),"_",COUNTIF($C$2:C515,C515))</f>
        <v>024258220001-40_27012026_1</v>
      </c>
      <c r="B515" s="10" t="str">
        <f>CONCATENATE(LEFT(C515,12),"-",RIGHT(C515,2),"_",COUNTIF($C$2:C515,C515))</f>
        <v>024258220001-40_1</v>
      </c>
      <c r="C515" s="10" t="s">
        <v>3510</v>
      </c>
      <c r="D515" s="10" t="s">
        <v>66</v>
      </c>
      <c r="E515" s="10" t="s">
        <v>1555</v>
      </c>
      <c r="F515" s="10" t="s">
        <v>68</v>
      </c>
      <c r="G515" s="10" t="s">
        <v>3511</v>
      </c>
      <c r="H515" s="22" t="s">
        <v>3512</v>
      </c>
      <c r="I515" s="27" t="s">
        <v>3513</v>
      </c>
      <c r="J515" s="10" t="s">
        <v>1559</v>
      </c>
      <c r="K515" s="10" t="s">
        <v>1560</v>
      </c>
      <c r="L515" s="10" t="s">
        <v>1561</v>
      </c>
      <c r="M515" s="10" t="s">
        <v>68</v>
      </c>
      <c r="N515" s="10">
        <v>32</v>
      </c>
      <c r="O515" s="11">
        <v>102</v>
      </c>
      <c r="P515" s="11">
        <v>0.10199999999999999</v>
      </c>
      <c r="Q515" s="10" t="s">
        <v>1562</v>
      </c>
      <c r="R515" s="10">
        <v>75</v>
      </c>
      <c r="S515" s="12">
        <v>6</v>
      </c>
      <c r="T515" s="13">
        <v>37674</v>
      </c>
      <c r="U515" s="14">
        <v>3842.7479999999996</v>
      </c>
      <c r="V515" s="10">
        <v>5.86</v>
      </c>
      <c r="W515" s="15">
        <v>170115.80000000002</v>
      </c>
      <c r="X515" s="29">
        <f>VLOOKUP($F515,Agendamento!$B:$J,9,0)</f>
        <v>46049</v>
      </c>
      <c r="Y515" s="6">
        <f>COUNTIF(Analise!F:F,'Obras e Acervos'!H515)</f>
        <v>1</v>
      </c>
    </row>
    <row r="516" spans="1:25" ht="15" customHeight="1" x14ac:dyDescent="0.25">
      <c r="A516" s="10" t="str">
        <f>CONCATENATE(LEFT(C516,12),"-",RIGHT(C516,2),"_",TEXT(X516,"ddmmaaaa"),"_",COUNTIF($C$2:C516,C516))</f>
        <v>249954930001-05_23022026_2</v>
      </c>
      <c r="B516" s="10" t="str">
        <f>CONCATENATE(LEFT(C516,12),"-",RIGHT(C516,2),"_",COUNTIF($C$2:C516,C516))</f>
        <v>249954930001-05_2</v>
      </c>
      <c r="C516" s="10" t="s">
        <v>3056</v>
      </c>
      <c r="D516" s="10" t="s">
        <v>719</v>
      </c>
      <c r="E516" s="10" t="s">
        <v>1574</v>
      </c>
      <c r="F516" s="10" t="s">
        <v>720</v>
      </c>
      <c r="G516" s="10" t="s">
        <v>3514</v>
      </c>
      <c r="H516" s="11" t="s">
        <v>3515</v>
      </c>
      <c r="I516" s="11" t="s">
        <v>3516</v>
      </c>
      <c r="J516" s="10" t="s">
        <v>1559</v>
      </c>
      <c r="K516" s="10" t="s">
        <v>1560</v>
      </c>
      <c r="L516" s="10" t="s">
        <v>1578</v>
      </c>
      <c r="M516" s="10" t="s">
        <v>720</v>
      </c>
      <c r="N516" s="10">
        <v>48</v>
      </c>
      <c r="O516" s="11">
        <v>140</v>
      </c>
      <c r="P516" s="11">
        <v>0.14000000000000001</v>
      </c>
      <c r="Q516" s="10" t="s">
        <v>1562</v>
      </c>
      <c r="R516" s="10">
        <v>80</v>
      </c>
      <c r="S516" s="12">
        <v>14</v>
      </c>
      <c r="T516" s="13">
        <v>24576</v>
      </c>
      <c r="U516" s="14">
        <v>3440.6400000000003</v>
      </c>
      <c r="V516" s="10">
        <v>8.42</v>
      </c>
      <c r="W516" s="15">
        <v>206929.91999999998</v>
      </c>
      <c r="X516" s="29">
        <f>VLOOKUP($F516,Agendamento!$B:$J,9,0)</f>
        <v>46076</v>
      </c>
      <c r="Y516" s="6">
        <f>COUNTIF(Analise!F:F,'Obras e Acervos'!H516)</f>
        <v>1</v>
      </c>
    </row>
    <row r="517" spans="1:25" ht="15" customHeight="1" x14ac:dyDescent="0.25">
      <c r="A517" s="10" t="str">
        <f>CONCATENATE(LEFT(C517,12),"-",RIGHT(C517,2),"_",TEXT(X517,"ddmmaaaa"),"_",COUNTIF($C$2:C517,C517))</f>
        <v>102855190001-17_26012026_1</v>
      </c>
      <c r="B517" s="10" t="str">
        <f>CONCATENATE(LEFT(C517,12),"-",RIGHT(C517,2),"_",COUNTIF($C$2:C517,C517))</f>
        <v>102855190001-17_1</v>
      </c>
      <c r="C517" s="16" t="s">
        <v>3517</v>
      </c>
      <c r="D517" s="16" t="s">
        <v>6126</v>
      </c>
      <c r="E517" s="16" t="s">
        <v>1555</v>
      </c>
      <c r="F517" s="16" t="s">
        <v>30</v>
      </c>
      <c r="G517" s="16" t="s">
        <v>3518</v>
      </c>
      <c r="H517" s="16" t="s">
        <v>3519</v>
      </c>
      <c r="I517" s="16" t="s">
        <v>3520</v>
      </c>
      <c r="J517" s="16" t="s">
        <v>1559</v>
      </c>
      <c r="K517" s="16" t="s">
        <v>1560</v>
      </c>
      <c r="L517" s="16" t="s">
        <v>1561</v>
      </c>
      <c r="M517" s="10" t="s">
        <v>30</v>
      </c>
      <c r="N517" s="16">
        <v>32</v>
      </c>
      <c r="O517" s="16">
        <v>96</v>
      </c>
      <c r="P517" s="16">
        <v>9.6000000000000002E-2</v>
      </c>
      <c r="Q517" s="16" t="s">
        <v>1562</v>
      </c>
      <c r="R517" s="16">
        <v>75</v>
      </c>
      <c r="S517" s="17">
        <v>5</v>
      </c>
      <c r="T517" s="18">
        <v>38892</v>
      </c>
      <c r="U517" s="19">
        <v>3733.6320000000001</v>
      </c>
      <c r="V517" s="16">
        <v>7.38</v>
      </c>
      <c r="W517" s="20">
        <v>195016.5</v>
      </c>
      <c r="X517" s="29">
        <f>VLOOKUP($F517,Agendamento!$B:$J,9,0)</f>
        <v>46048</v>
      </c>
      <c r="Y517" s="6">
        <f>COUNTIF(Analise!F:F,'Obras e Acervos'!H517)</f>
        <v>1</v>
      </c>
    </row>
    <row r="518" spans="1:25" ht="15" customHeight="1" x14ac:dyDescent="0.25">
      <c r="A518" s="10" t="str">
        <f>CONCATENATE(LEFT(C518,12),"-",RIGHT(C518,2),"_",TEXT(X518,"ddmmaaaa"),"_",COUNTIF($C$2:C518,C518))</f>
        <v>063683960001-00_05032026_2</v>
      </c>
      <c r="B518" s="10" t="str">
        <f>CONCATENATE(LEFT(C518,12),"-",RIGHT(C518,2),"_",COUNTIF($C$2:C518,C518))</f>
        <v>063683960001-00_2</v>
      </c>
      <c r="C518" s="10" t="s">
        <v>2094</v>
      </c>
      <c r="D518" s="10" t="s">
        <v>5966</v>
      </c>
      <c r="E518" s="10" t="s">
        <v>1574</v>
      </c>
      <c r="F518" s="10" t="s">
        <v>1244</v>
      </c>
      <c r="G518" s="10" t="s">
        <v>3521</v>
      </c>
      <c r="H518" s="11" t="s">
        <v>3522</v>
      </c>
      <c r="I518" s="11" t="s">
        <v>3523</v>
      </c>
      <c r="J518" s="10" t="s">
        <v>1559</v>
      </c>
      <c r="K518" s="10" t="s">
        <v>1560</v>
      </c>
      <c r="L518" s="10" t="s">
        <v>1578</v>
      </c>
      <c r="M518" s="10" t="s">
        <v>1244</v>
      </c>
      <c r="N518" s="10">
        <v>40</v>
      </c>
      <c r="O518" s="11">
        <v>124</v>
      </c>
      <c r="P518" s="11">
        <v>0.124</v>
      </c>
      <c r="Q518" s="10" t="s">
        <v>1562</v>
      </c>
      <c r="R518" s="10">
        <v>80</v>
      </c>
      <c r="S518" s="12">
        <v>14</v>
      </c>
      <c r="T518" s="13">
        <v>24273</v>
      </c>
      <c r="U518" s="14">
        <v>3009.8519999999999</v>
      </c>
      <c r="V518" s="10">
        <v>7.49</v>
      </c>
      <c r="W518" s="15">
        <v>181804.77000000002</v>
      </c>
      <c r="X518" s="29">
        <f>VLOOKUP($F518,Agendamento!$B:$J,9,0)</f>
        <v>46086</v>
      </c>
      <c r="Y518" s="6">
        <f>COUNTIF(Analise!F:F,'Obras e Acervos'!H518)</f>
        <v>1</v>
      </c>
    </row>
    <row r="519" spans="1:25" ht="15" customHeight="1" x14ac:dyDescent="0.25">
      <c r="A519" s="10" t="str">
        <f>CONCATENATE(LEFT(C519,12),"-",RIGHT(C519,2),"_",TEXT(X519,"ddmmaaaa"),"_",COUNTIF($C$2:C519,C519))</f>
        <v>071150470001-40_24022026_2</v>
      </c>
      <c r="B519" s="10" t="str">
        <f>CONCATENATE(LEFT(C519,12),"-",RIGHT(C519,2),"_",COUNTIF($C$2:C519,C519))</f>
        <v>071150470001-40_2</v>
      </c>
      <c r="C519" s="10" t="s">
        <v>1630</v>
      </c>
      <c r="D519" s="10" t="s">
        <v>5899</v>
      </c>
      <c r="E519" s="10" t="s">
        <v>1574</v>
      </c>
      <c r="F519" s="10" t="s">
        <v>816</v>
      </c>
      <c r="G519" s="10" t="s">
        <v>3524</v>
      </c>
      <c r="H519" s="11" t="s">
        <v>3525</v>
      </c>
      <c r="I519" s="11" t="s">
        <v>3526</v>
      </c>
      <c r="J519" s="10" t="s">
        <v>1559</v>
      </c>
      <c r="K519" s="10" t="s">
        <v>1560</v>
      </c>
      <c r="L519" s="10" t="s">
        <v>1578</v>
      </c>
      <c r="M519" s="10" t="s">
        <v>816</v>
      </c>
      <c r="N519" s="10">
        <v>48</v>
      </c>
      <c r="O519" s="11">
        <v>150</v>
      </c>
      <c r="P519" s="11">
        <v>0.15</v>
      </c>
      <c r="Q519" s="10" t="s">
        <v>1608</v>
      </c>
      <c r="R519" s="10">
        <v>80</v>
      </c>
      <c r="S519" s="12">
        <v>14</v>
      </c>
      <c r="T519" s="13">
        <v>25591</v>
      </c>
      <c r="U519" s="14">
        <v>3838.6499999999996</v>
      </c>
      <c r="V519" s="10">
        <v>7.19</v>
      </c>
      <c r="W519" s="15">
        <v>183999.29</v>
      </c>
      <c r="X519" s="29">
        <f>VLOOKUP($F519,Agendamento!$B:$J,9,0)</f>
        <v>46077</v>
      </c>
      <c r="Y519" s="6">
        <f>COUNTIF(Analise!F:F,'Obras e Acervos'!H519)</f>
        <v>1</v>
      </c>
    </row>
    <row r="520" spans="1:25" ht="15" customHeight="1" x14ac:dyDescent="0.25">
      <c r="A520" s="10" t="str">
        <f>CONCATENATE(LEFT(C520,12),"-",RIGHT(C520,2),"_",TEXT(X520,"ddmmaaaa"),"_",COUNTIF($C$2:C520,C520))</f>
        <v>126591980001-07_13032026_1</v>
      </c>
      <c r="B520" s="10" t="str">
        <f>CONCATENATE(LEFT(C520,12),"-",RIGHT(C520,2),"_",COUNTIF($C$2:C520,C520))</f>
        <v>126591980001-07_1</v>
      </c>
      <c r="C520" s="10" t="s">
        <v>3527</v>
      </c>
      <c r="D520" s="10" t="s">
        <v>6127</v>
      </c>
      <c r="E520" s="10" t="s">
        <v>1574</v>
      </c>
      <c r="F520" s="10" t="s">
        <v>1457</v>
      </c>
      <c r="G520" s="10" t="s">
        <v>3528</v>
      </c>
      <c r="H520" s="11" t="s">
        <v>3529</v>
      </c>
      <c r="I520" s="11" t="s">
        <v>3530</v>
      </c>
      <c r="J520" s="10" t="s">
        <v>1559</v>
      </c>
      <c r="K520" s="10" t="s">
        <v>1560</v>
      </c>
      <c r="L520" s="10" t="s">
        <v>1578</v>
      </c>
      <c r="M520" s="10" t="s">
        <v>6222</v>
      </c>
      <c r="N520" s="10">
        <v>32</v>
      </c>
      <c r="O520" s="11">
        <v>80</v>
      </c>
      <c r="P520" s="11">
        <v>0.08</v>
      </c>
      <c r="Q520" s="10" t="s">
        <v>1562</v>
      </c>
      <c r="R520" s="10">
        <v>80</v>
      </c>
      <c r="S520" s="12">
        <v>14</v>
      </c>
      <c r="T520" s="13">
        <v>23849</v>
      </c>
      <c r="U520" s="14">
        <v>1907.92</v>
      </c>
      <c r="V520" s="10">
        <v>6.57</v>
      </c>
      <c r="W520" s="15">
        <v>156687.93</v>
      </c>
      <c r="X520" s="29">
        <f>VLOOKUP($F520,Agendamento!$B:$J,9,0)</f>
        <v>46094</v>
      </c>
      <c r="Y520" s="6">
        <f>COUNTIF(Analise!F:F,'Obras e Acervos'!H520)</f>
        <v>1</v>
      </c>
    </row>
    <row r="521" spans="1:25" ht="15" customHeight="1" x14ac:dyDescent="0.25">
      <c r="A521" s="10" t="str">
        <f>CONCATENATE(LEFT(C521,12),"-",RIGHT(C521,2),"_",TEXT(X521,"ddmmaaaa"),"_",COUNTIF($C$2:C521,C521))</f>
        <v>084631700001-14_02032026_2</v>
      </c>
      <c r="B521" s="10" t="str">
        <f>CONCATENATE(LEFT(C521,12),"-",RIGHT(C521,2),"_",COUNTIF($C$2:C521,C521))</f>
        <v>084631700001-14_2</v>
      </c>
      <c r="C521" s="10" t="s">
        <v>2920</v>
      </c>
      <c r="D521" s="10" t="s">
        <v>6089</v>
      </c>
      <c r="E521" s="10" t="s">
        <v>1574</v>
      </c>
      <c r="F521" s="10" t="s">
        <v>1037</v>
      </c>
      <c r="G521" s="10" t="s">
        <v>3531</v>
      </c>
      <c r="H521" s="11" t="s">
        <v>3532</v>
      </c>
      <c r="I521" s="11" t="s">
        <v>3533</v>
      </c>
      <c r="J521" s="10" t="s">
        <v>1559</v>
      </c>
      <c r="K521" s="10" t="s">
        <v>1560</v>
      </c>
      <c r="L521" s="10" t="s">
        <v>1578</v>
      </c>
      <c r="M521" s="10" t="s">
        <v>6223</v>
      </c>
      <c r="N521" s="10">
        <v>264</v>
      </c>
      <c r="O521" s="11">
        <v>300</v>
      </c>
      <c r="P521" s="11">
        <v>0.3</v>
      </c>
      <c r="Q521" s="10" t="s">
        <v>1608</v>
      </c>
      <c r="R521" s="10">
        <v>75</v>
      </c>
      <c r="S521" s="12">
        <v>14</v>
      </c>
      <c r="T521" s="13">
        <v>25182</v>
      </c>
      <c r="U521" s="14">
        <v>7554.5999999999995</v>
      </c>
      <c r="V521" s="10">
        <v>26.91</v>
      </c>
      <c r="W521" s="15">
        <v>677647.62</v>
      </c>
      <c r="X521" s="29">
        <f>VLOOKUP($F521,Agendamento!$B:$J,9,0)</f>
        <v>46083</v>
      </c>
      <c r="Y521" s="6">
        <f>COUNTIF(Analise!F:F,'Obras e Acervos'!H521)</f>
        <v>1</v>
      </c>
    </row>
    <row r="522" spans="1:25" ht="15" customHeight="1" x14ac:dyDescent="0.25">
      <c r="A522" s="10" t="str">
        <f>CONCATENATE(LEFT(C522,12),"-",RIGHT(C522,2),"_",TEXT(X522,"ddmmaaaa"),"_",COUNTIF($C$2:C522,C522))</f>
        <v>070529780001-46_26022026_2</v>
      </c>
      <c r="B522" s="10" t="str">
        <f>CONCATENATE(LEFT(C522,12),"-",RIGHT(C522,2),"_",COUNTIF($C$2:C522,C522))</f>
        <v>070529780001-46_2</v>
      </c>
      <c r="C522" s="10" t="s">
        <v>2928</v>
      </c>
      <c r="D522" s="10" t="s">
        <v>6091</v>
      </c>
      <c r="E522" s="10" t="s">
        <v>1574</v>
      </c>
      <c r="F522" s="10" t="s">
        <v>910</v>
      </c>
      <c r="G522" s="10" t="s">
        <v>3534</v>
      </c>
      <c r="H522" s="11" t="s">
        <v>3535</v>
      </c>
      <c r="I522" s="11" t="s">
        <v>3536</v>
      </c>
      <c r="J522" s="10" t="s">
        <v>1559</v>
      </c>
      <c r="K522" s="10" t="s">
        <v>1560</v>
      </c>
      <c r="L522" s="10" t="s">
        <v>1578</v>
      </c>
      <c r="M522" s="10" t="s">
        <v>910</v>
      </c>
      <c r="N522" s="10">
        <v>40</v>
      </c>
      <c r="O522" s="11">
        <v>128</v>
      </c>
      <c r="P522" s="11">
        <v>0.128</v>
      </c>
      <c r="Q522" s="10" t="s">
        <v>1562</v>
      </c>
      <c r="R522" s="10">
        <v>80</v>
      </c>
      <c r="S522" s="12">
        <v>14</v>
      </c>
      <c r="T522" s="13">
        <v>24440</v>
      </c>
      <c r="U522" s="14">
        <v>3128.32</v>
      </c>
      <c r="V522" s="10">
        <v>7.47</v>
      </c>
      <c r="W522" s="15">
        <v>182566.8</v>
      </c>
      <c r="X522" s="29">
        <f>VLOOKUP($F522,Agendamento!$B:$J,9,0)</f>
        <v>46079</v>
      </c>
      <c r="Y522" s="6">
        <f>COUNTIF(Analise!F:F,'Obras e Acervos'!H522)</f>
        <v>1</v>
      </c>
    </row>
    <row r="523" spans="1:25" ht="15" customHeight="1" x14ac:dyDescent="0.25">
      <c r="A523" s="10" t="str">
        <f>CONCATENATE(LEFT(C523,12),"-",RIGHT(C523,2),"_",TEXT(X523,"ddmmaaaa"),"_",COUNTIF($C$2:C523,C523))</f>
        <v>036384630001-71_09022026_1</v>
      </c>
      <c r="B523" s="10" t="str">
        <f>CONCATENATE(LEFT(C523,12),"-",RIGHT(C523,2),"_",COUNTIF($C$2:C523,C523))</f>
        <v>036384630001-71_1</v>
      </c>
      <c r="C523" s="10" t="s">
        <v>3537</v>
      </c>
      <c r="D523" s="10" t="s">
        <v>6128</v>
      </c>
      <c r="E523" s="10" t="s">
        <v>1574</v>
      </c>
      <c r="F523" s="10" t="s">
        <v>238</v>
      </c>
      <c r="G523" s="10" t="s">
        <v>3538</v>
      </c>
      <c r="H523" s="11" t="s">
        <v>3539</v>
      </c>
      <c r="I523" s="11" t="s">
        <v>3540</v>
      </c>
      <c r="J523" s="10" t="s">
        <v>1559</v>
      </c>
      <c r="K523" s="10" t="s">
        <v>1560</v>
      </c>
      <c r="L523" s="10" t="s">
        <v>1578</v>
      </c>
      <c r="M523" s="10" t="s">
        <v>238</v>
      </c>
      <c r="N523" s="10">
        <v>40</v>
      </c>
      <c r="O523" s="11">
        <v>121</v>
      </c>
      <c r="P523" s="11">
        <v>0.121</v>
      </c>
      <c r="Q523" s="10" t="s">
        <v>1562</v>
      </c>
      <c r="R523" s="10">
        <v>80</v>
      </c>
      <c r="S523" s="12">
        <v>14</v>
      </c>
      <c r="T523" s="13">
        <v>24152</v>
      </c>
      <c r="U523" s="14">
        <v>2922.3919999999998</v>
      </c>
      <c r="V523" s="10">
        <v>7.51</v>
      </c>
      <c r="W523" s="15">
        <v>181381.52</v>
      </c>
      <c r="X523" s="29">
        <f>VLOOKUP($F523,Agendamento!$B:$J,9,0)</f>
        <v>46062</v>
      </c>
      <c r="Y523" s="6">
        <f>COUNTIF(Analise!F:F,'Obras e Acervos'!H523)</f>
        <v>1</v>
      </c>
    </row>
    <row r="524" spans="1:25" ht="15" customHeight="1" x14ac:dyDescent="0.25">
      <c r="A524" s="10" t="str">
        <f>CONCATENATE(LEFT(C524,12),"-",RIGHT(C524,2),"_",TEXT(X524,"ddmmaaaa"),"_",COUNTIF($C$2:C524,C524))</f>
        <v>094707630001-70_25022026_2</v>
      </c>
      <c r="B524" s="10" t="str">
        <f>CONCATENATE(LEFT(C524,12),"-",RIGHT(C524,2),"_",COUNTIF($C$2:C524,C524))</f>
        <v>094707630001-70_2</v>
      </c>
      <c r="C524" s="10" t="s">
        <v>1646</v>
      </c>
      <c r="D524" s="10" t="s">
        <v>5903</v>
      </c>
      <c r="E524" s="10" t="s">
        <v>1574</v>
      </c>
      <c r="F524" s="10" t="s">
        <v>851</v>
      </c>
      <c r="G524" s="10" t="s">
        <v>3541</v>
      </c>
      <c r="H524" s="11" t="s">
        <v>3542</v>
      </c>
      <c r="I524" s="11" t="s">
        <v>3543</v>
      </c>
      <c r="J524" s="10" t="s">
        <v>1559</v>
      </c>
      <c r="K524" s="10" t="s">
        <v>1560</v>
      </c>
      <c r="L524" s="10" t="s">
        <v>1578</v>
      </c>
      <c r="M524" s="10" t="s">
        <v>851</v>
      </c>
      <c r="N524" s="10">
        <v>192</v>
      </c>
      <c r="O524" s="11">
        <v>400</v>
      </c>
      <c r="P524" s="11">
        <v>0.4</v>
      </c>
      <c r="Q524" s="10" t="s">
        <v>1608</v>
      </c>
      <c r="R524" s="10">
        <v>80</v>
      </c>
      <c r="S524" s="12">
        <v>14</v>
      </c>
      <c r="T524" s="13">
        <v>31803</v>
      </c>
      <c r="U524" s="14">
        <v>12721.2</v>
      </c>
      <c r="V524" s="10">
        <v>20.78</v>
      </c>
      <c r="W524" s="15">
        <v>660866.34000000008</v>
      </c>
      <c r="X524" s="29">
        <f>VLOOKUP($F524,Agendamento!$B:$J,9,0)</f>
        <v>46078</v>
      </c>
      <c r="Y524" s="6">
        <f>COUNTIF(Analise!F:F,'Obras e Acervos'!H524)</f>
        <v>1</v>
      </c>
    </row>
    <row r="525" spans="1:25" ht="15" customHeight="1" x14ac:dyDescent="0.25">
      <c r="A525" s="10" t="str">
        <f>CONCATENATE(LEFT(C525,12),"-",RIGHT(C525,2),"_",TEXT(X525,"ddmmaaaa"),"_",COUNTIF($C$2:C525,C525))</f>
        <v>345959230001-55_29012026_2</v>
      </c>
      <c r="B525" s="10" t="str">
        <f>CONCATENATE(LEFT(C525,12),"-",RIGHT(C525,2),"_",COUNTIF($C$2:C525,C525))</f>
        <v>345959230001-55_2</v>
      </c>
      <c r="C525" s="10" t="s">
        <v>3084</v>
      </c>
      <c r="D525" s="10" t="s">
        <v>94</v>
      </c>
      <c r="E525" s="10" t="s">
        <v>1574</v>
      </c>
      <c r="F525" s="10" t="s">
        <v>95</v>
      </c>
      <c r="G525" s="10" t="s">
        <v>3544</v>
      </c>
      <c r="H525" s="11" t="s">
        <v>3545</v>
      </c>
      <c r="I525" s="11" t="s">
        <v>3546</v>
      </c>
      <c r="J525" s="10" t="s">
        <v>1559</v>
      </c>
      <c r="K525" s="10" t="s">
        <v>1560</v>
      </c>
      <c r="L525" s="10" t="s">
        <v>1578</v>
      </c>
      <c r="M525" s="10" t="s">
        <v>6224</v>
      </c>
      <c r="N525" s="10">
        <v>32</v>
      </c>
      <c r="O525" s="11">
        <v>76</v>
      </c>
      <c r="P525" s="11">
        <v>7.5999999999999998E-2</v>
      </c>
      <c r="Q525" s="10" t="s">
        <v>1562</v>
      </c>
      <c r="R525" s="10">
        <v>80</v>
      </c>
      <c r="S525" s="12">
        <v>14</v>
      </c>
      <c r="T525" s="13">
        <v>24955</v>
      </c>
      <c r="U525" s="14">
        <v>1896.58</v>
      </c>
      <c r="V525" s="10">
        <v>6.52</v>
      </c>
      <c r="W525" s="15">
        <v>162706.59999999998</v>
      </c>
      <c r="X525" s="29">
        <f>VLOOKUP($F525,Agendamento!$B:$J,9,0)</f>
        <v>46051</v>
      </c>
      <c r="Y525" s="6">
        <f>COUNTIF(Analise!F:F,'Obras e Acervos'!H525)</f>
        <v>1</v>
      </c>
    </row>
    <row r="526" spans="1:25" ht="15" customHeight="1" x14ac:dyDescent="0.25">
      <c r="A526" s="10" t="str">
        <f>CONCATENATE(LEFT(C526,12),"-",RIGHT(C526,2),"_",TEXT(X526,"ddmmaaaa"),"_",COUNTIF($C$2:C526,C526))</f>
        <v>336416630036-74_30012026_2</v>
      </c>
      <c r="B526" s="10" t="str">
        <f>CONCATENATE(LEFT(C526,12),"-",RIGHT(C526,2),"_",COUNTIF($C$2:C526,C526))</f>
        <v>336416630036-74_2</v>
      </c>
      <c r="C526" s="10" t="s">
        <v>3088</v>
      </c>
      <c r="D526" s="10" t="s">
        <v>111</v>
      </c>
      <c r="E526" s="10" t="s">
        <v>1574</v>
      </c>
      <c r="F526" s="10" t="s">
        <v>113</v>
      </c>
      <c r="G526" s="10" t="s">
        <v>3547</v>
      </c>
      <c r="H526" s="11" t="s">
        <v>3548</v>
      </c>
      <c r="I526" s="11" t="s">
        <v>3549</v>
      </c>
      <c r="J526" s="10" t="s">
        <v>1559</v>
      </c>
      <c r="K526" s="10" t="s">
        <v>1560</v>
      </c>
      <c r="L526" s="10" t="s">
        <v>1578</v>
      </c>
      <c r="M526" s="10" t="s">
        <v>113</v>
      </c>
      <c r="N526" s="10">
        <v>88</v>
      </c>
      <c r="O526" s="11">
        <v>105</v>
      </c>
      <c r="P526" s="11">
        <v>0.105</v>
      </c>
      <c r="Q526" s="10" t="s">
        <v>1608</v>
      </c>
      <c r="R526" s="10">
        <v>75</v>
      </c>
      <c r="S526" s="12">
        <v>14</v>
      </c>
      <c r="T526" s="13">
        <v>28015</v>
      </c>
      <c r="U526" s="14">
        <v>2941.5749999999998</v>
      </c>
      <c r="V526" s="10">
        <v>10</v>
      </c>
      <c r="W526" s="15">
        <v>280150</v>
      </c>
      <c r="X526" s="29">
        <f>VLOOKUP($F526,Agendamento!$B:$J,9,0)</f>
        <v>46052</v>
      </c>
      <c r="Y526" s="6">
        <f>COUNTIF(Analise!F:F,'Obras e Acervos'!H526)</f>
        <v>1</v>
      </c>
    </row>
    <row r="527" spans="1:25" ht="15" customHeight="1" x14ac:dyDescent="0.25">
      <c r="A527" s="10" t="str">
        <f>CONCATENATE(LEFT(C527,12),"-",RIGHT(C527,2),"_",TEXT(X527,"ddmmaaaa"),"_",COUNTIF($C$2:C527,C527))</f>
        <v>073723960001-47_23022026_2</v>
      </c>
      <c r="B527" s="10" t="str">
        <f>CONCATENATE(LEFT(C527,12),"-",RIGHT(C527,2),"_",COUNTIF($C$2:C527,C527))</f>
        <v>073723960001-47_2</v>
      </c>
      <c r="C527" s="10" t="s">
        <v>3099</v>
      </c>
      <c r="D527" s="10" t="s">
        <v>6112</v>
      </c>
      <c r="E527" s="10" t="s">
        <v>1574</v>
      </c>
      <c r="F527" s="10" t="s">
        <v>703</v>
      </c>
      <c r="G527" s="10" t="s">
        <v>3550</v>
      </c>
      <c r="H527" s="11" t="s">
        <v>3551</v>
      </c>
      <c r="I527" s="11" t="s">
        <v>3552</v>
      </c>
      <c r="J527" s="10" t="s">
        <v>1559</v>
      </c>
      <c r="K527" s="10" t="s">
        <v>1560</v>
      </c>
      <c r="L527" s="10" t="s">
        <v>1578</v>
      </c>
      <c r="M527" s="10" t="s">
        <v>703</v>
      </c>
      <c r="N527" s="10">
        <v>48</v>
      </c>
      <c r="O527" s="11">
        <v>139</v>
      </c>
      <c r="P527" s="11">
        <v>0.13900000000000001</v>
      </c>
      <c r="Q527" s="10" t="s">
        <v>1562</v>
      </c>
      <c r="R527" s="10">
        <v>80</v>
      </c>
      <c r="S527" s="12">
        <v>14</v>
      </c>
      <c r="T527" s="13">
        <v>30318</v>
      </c>
      <c r="U527" s="14">
        <v>4214.2020000000002</v>
      </c>
      <c r="V527" s="10">
        <v>8.32</v>
      </c>
      <c r="W527" s="15">
        <v>252245.76000000001</v>
      </c>
      <c r="X527" s="29">
        <f>VLOOKUP($F527,Agendamento!$B:$J,9,0)</f>
        <v>46076</v>
      </c>
      <c r="Y527" s="6">
        <f>COUNTIF(Analise!F:F,'Obras e Acervos'!H527)</f>
        <v>1</v>
      </c>
    </row>
    <row r="528" spans="1:25" ht="15" customHeight="1" x14ac:dyDescent="0.25">
      <c r="A528" s="10" t="str">
        <f>CONCATENATE(LEFT(C528,12),"-",RIGHT(C528,2),"_",TEXT(X528,"ddmmaaaa"),"_",COUNTIF($C$2:C528,C528))</f>
        <v>444120450001-49_12022026_2</v>
      </c>
      <c r="B528" s="10" t="str">
        <f>CONCATENATE(LEFT(C528,12),"-",RIGHT(C528,2),"_",COUNTIF($C$2:C528,C528))</f>
        <v>444120450001-49_2</v>
      </c>
      <c r="C528" s="10" t="s">
        <v>2625</v>
      </c>
      <c r="D528" s="10" t="s">
        <v>408</v>
      </c>
      <c r="E528" s="10" t="s">
        <v>1574</v>
      </c>
      <c r="F528" s="10" t="s">
        <v>409</v>
      </c>
      <c r="G528" s="10" t="s">
        <v>3553</v>
      </c>
      <c r="H528" s="11" t="s">
        <v>3554</v>
      </c>
      <c r="I528" s="11" t="s">
        <v>3555</v>
      </c>
      <c r="J528" s="10" t="s">
        <v>1559</v>
      </c>
      <c r="K528" s="10" t="s">
        <v>1560</v>
      </c>
      <c r="L528" s="10" t="s">
        <v>1578</v>
      </c>
      <c r="M528" s="10" t="s">
        <v>409</v>
      </c>
      <c r="N528" s="10">
        <v>88</v>
      </c>
      <c r="O528" s="11">
        <v>118</v>
      </c>
      <c r="P528" s="11">
        <v>0.11799999999999999</v>
      </c>
      <c r="Q528" s="10" t="s">
        <v>1608</v>
      </c>
      <c r="R528" s="10">
        <v>75</v>
      </c>
      <c r="S528" s="12">
        <v>14</v>
      </c>
      <c r="T528" s="13">
        <v>25955</v>
      </c>
      <c r="U528" s="14">
        <v>3062.69</v>
      </c>
      <c r="V528" s="10">
        <v>10.9</v>
      </c>
      <c r="W528" s="15">
        <v>282909.5</v>
      </c>
      <c r="X528" s="29">
        <f>VLOOKUP($F528,Agendamento!$B:$J,9,0)</f>
        <v>46065</v>
      </c>
      <c r="Y528" s="6">
        <f>COUNTIF(Analise!F:F,'Obras e Acervos'!H528)</f>
        <v>1</v>
      </c>
    </row>
    <row r="529" spans="1:25" ht="15" customHeight="1" x14ac:dyDescent="0.25">
      <c r="A529" s="10" t="str">
        <f>CONCATENATE(LEFT(C529,12),"-",RIGHT(C529,2),"_",TEXT(X529,"ddmmaaaa"),"_",COUNTIF($C$2:C529,C529))</f>
        <v>089816910001-63_18022026_2</v>
      </c>
      <c r="B529" s="10" t="str">
        <f>CONCATENATE(LEFT(C529,12),"-",RIGHT(C529,2),"_",COUNTIF($C$2:C529,C529))</f>
        <v>089816910001-63_2</v>
      </c>
      <c r="C529" s="10" t="s">
        <v>2777</v>
      </c>
      <c r="D529" s="10" t="s">
        <v>6068</v>
      </c>
      <c r="E529" s="10" t="s">
        <v>1574</v>
      </c>
      <c r="F529" s="10" t="s">
        <v>596</v>
      </c>
      <c r="G529" s="10" t="s">
        <v>3556</v>
      </c>
      <c r="H529" s="11" t="s">
        <v>3557</v>
      </c>
      <c r="I529" s="11" t="s">
        <v>3558</v>
      </c>
      <c r="J529" s="10" t="s">
        <v>1559</v>
      </c>
      <c r="K529" s="10" t="s">
        <v>1560</v>
      </c>
      <c r="L529" s="10" t="s">
        <v>1578</v>
      </c>
      <c r="M529" s="10" t="s">
        <v>596</v>
      </c>
      <c r="N529" s="10">
        <v>28</v>
      </c>
      <c r="O529" s="11">
        <v>90</v>
      </c>
      <c r="P529" s="11">
        <v>0.09</v>
      </c>
      <c r="Q529" s="10" t="s">
        <v>1562</v>
      </c>
      <c r="R529" s="10">
        <v>80</v>
      </c>
      <c r="S529" s="12">
        <v>14</v>
      </c>
      <c r="T529" s="13">
        <v>32894</v>
      </c>
      <c r="U529" s="14">
        <v>2960.46</v>
      </c>
      <c r="V529" s="10">
        <v>5.52</v>
      </c>
      <c r="W529" s="15">
        <v>181574.87999999998</v>
      </c>
      <c r="X529" s="29">
        <f>VLOOKUP($F529,Agendamento!$B:$J,9,0)</f>
        <v>46071</v>
      </c>
      <c r="Y529" s="6">
        <f>COUNTIF(Analise!F:F,'Obras e Acervos'!H529)</f>
        <v>1</v>
      </c>
    </row>
    <row r="530" spans="1:25" ht="15" customHeight="1" x14ac:dyDescent="0.25">
      <c r="A530" s="10" t="str">
        <f>CONCATENATE(LEFT(C530,12),"-",RIGHT(C530,2),"_",TEXT(X530,"ddmmaaaa"),"_",COUNTIF($C$2:C530,C530))</f>
        <v>117057780001-12_16022026_2</v>
      </c>
      <c r="B530" s="10" t="str">
        <f>CONCATENATE(LEFT(C530,12),"-",RIGHT(C530,2),"_",COUNTIF($C$2:C530,C530))</f>
        <v>117057780001-12_2</v>
      </c>
      <c r="C530" s="10" t="s">
        <v>2633</v>
      </c>
      <c r="D530" s="10" t="s">
        <v>6041</v>
      </c>
      <c r="E530" s="10" t="s">
        <v>1574</v>
      </c>
      <c r="F530" s="10" t="s">
        <v>514</v>
      </c>
      <c r="G530" s="10" t="s">
        <v>3559</v>
      </c>
      <c r="H530" s="11" t="s">
        <v>3560</v>
      </c>
      <c r="I530" s="11" t="s">
        <v>3561</v>
      </c>
      <c r="J530" s="10" t="s">
        <v>1559</v>
      </c>
      <c r="K530" s="10" t="s">
        <v>1560</v>
      </c>
      <c r="L530" s="10" t="s">
        <v>1578</v>
      </c>
      <c r="M530" s="10" t="s">
        <v>6225</v>
      </c>
      <c r="N530" s="10">
        <v>84</v>
      </c>
      <c r="O530" s="11">
        <v>218</v>
      </c>
      <c r="P530" s="11">
        <v>0.218</v>
      </c>
      <c r="Q530" s="10" t="s">
        <v>1562</v>
      </c>
      <c r="R530" s="10">
        <v>80</v>
      </c>
      <c r="S530" s="12">
        <v>14</v>
      </c>
      <c r="T530" s="13">
        <v>26182</v>
      </c>
      <c r="U530" s="14">
        <v>5707.6760000000004</v>
      </c>
      <c r="V530" s="10">
        <v>12.57</v>
      </c>
      <c r="W530" s="15">
        <v>329107.74</v>
      </c>
      <c r="X530" s="29">
        <f>VLOOKUP($F530,Agendamento!$B:$J,9,0)</f>
        <v>46069</v>
      </c>
      <c r="Y530" s="6">
        <f>COUNTIF(Analise!F:F,'Obras e Acervos'!H530)</f>
        <v>1</v>
      </c>
    </row>
    <row r="531" spans="1:25" ht="15" customHeight="1" x14ac:dyDescent="0.25">
      <c r="A531" s="10" t="str">
        <f>CONCATENATE(LEFT(C531,12),"-",RIGHT(C531,2),"_",TEXT(X531,"ddmmaaaa"),"_",COUNTIF($C$2:C531,C531))</f>
        <v>433983000001-83_09032026_2</v>
      </c>
      <c r="B531" s="10" t="str">
        <f>CONCATENATE(LEFT(C531,12),"-",RIGHT(C531,2),"_",COUNTIF($C$2:C531,C531))</f>
        <v>433983000001-83_2</v>
      </c>
      <c r="C531" s="10" t="s">
        <v>2475</v>
      </c>
      <c r="D531" s="10" t="s">
        <v>1330</v>
      </c>
      <c r="E531" s="10" t="s">
        <v>1574</v>
      </c>
      <c r="F531" s="10" t="s">
        <v>1331</v>
      </c>
      <c r="G531" s="10" t="s">
        <v>3562</v>
      </c>
      <c r="H531" s="11" t="s">
        <v>3563</v>
      </c>
      <c r="I531" s="11" t="s">
        <v>3564</v>
      </c>
      <c r="J531" s="10" t="s">
        <v>1559</v>
      </c>
      <c r="K531" s="10" t="s">
        <v>1560</v>
      </c>
      <c r="L531" s="10" t="s">
        <v>1578</v>
      </c>
      <c r="M531" s="10" t="s">
        <v>1331</v>
      </c>
      <c r="N531" s="10">
        <v>40</v>
      </c>
      <c r="O531" s="11">
        <v>130</v>
      </c>
      <c r="P531" s="11">
        <v>0.13</v>
      </c>
      <c r="Q531" s="10" t="s">
        <v>1562</v>
      </c>
      <c r="R531" s="10">
        <v>80</v>
      </c>
      <c r="S531" s="12">
        <v>14</v>
      </c>
      <c r="T531" s="13">
        <v>34257</v>
      </c>
      <c r="U531" s="14">
        <v>4453.41</v>
      </c>
      <c r="V531" s="10">
        <v>6.81</v>
      </c>
      <c r="W531" s="15">
        <v>233290.16999999998</v>
      </c>
      <c r="X531" s="29">
        <f>VLOOKUP($F531,Agendamento!$B:$J,9,0)</f>
        <v>46090</v>
      </c>
      <c r="Y531" s="6">
        <f>COUNTIF(Analise!F:F,'Obras e Acervos'!H531)</f>
        <v>1</v>
      </c>
    </row>
    <row r="532" spans="1:25" ht="15" customHeight="1" x14ac:dyDescent="0.25">
      <c r="A532" s="10" t="str">
        <f>CONCATENATE(LEFT(C532,12),"-",RIGHT(C532,2),"_",TEXT(X532,"ddmmaaaa"),"_",COUNTIF($C$2:C532,C532))</f>
        <v>058758860001-30_26022026_1</v>
      </c>
      <c r="B532" s="10" t="str">
        <f>CONCATENATE(LEFT(C532,12),"-",RIGHT(C532,2),"_",COUNTIF($C$2:C532,C532))</f>
        <v>058758860001-30_1</v>
      </c>
      <c r="C532" s="10" t="s">
        <v>3565</v>
      </c>
      <c r="D532" s="10" t="s">
        <v>915</v>
      </c>
      <c r="E532" s="10" t="s">
        <v>1574</v>
      </c>
      <c r="F532" s="10" t="s">
        <v>916</v>
      </c>
      <c r="G532" s="10" t="s">
        <v>3566</v>
      </c>
      <c r="H532" s="11" t="s">
        <v>3567</v>
      </c>
      <c r="I532" s="11" t="s">
        <v>3568</v>
      </c>
      <c r="J532" s="10" t="s">
        <v>1559</v>
      </c>
      <c r="K532" s="10" t="s">
        <v>1560</v>
      </c>
      <c r="L532" s="10" t="s">
        <v>1578</v>
      </c>
      <c r="M532" s="10" t="s">
        <v>916</v>
      </c>
      <c r="N532" s="10">
        <v>44</v>
      </c>
      <c r="O532" s="11">
        <v>134</v>
      </c>
      <c r="P532" s="11">
        <v>0.13400000000000001</v>
      </c>
      <c r="Q532" s="10" t="s">
        <v>1562</v>
      </c>
      <c r="R532" s="10">
        <v>80</v>
      </c>
      <c r="S532" s="12">
        <v>14</v>
      </c>
      <c r="T532" s="13">
        <v>24440</v>
      </c>
      <c r="U532" s="14">
        <v>3274.96</v>
      </c>
      <c r="V532" s="10">
        <v>7.95</v>
      </c>
      <c r="W532" s="15">
        <v>194298</v>
      </c>
      <c r="X532" s="29">
        <f>VLOOKUP($F532,Agendamento!$B:$J,9,0)</f>
        <v>46079</v>
      </c>
      <c r="Y532" s="6">
        <f>COUNTIF(Analise!F:F,'Obras e Acervos'!H532)</f>
        <v>1</v>
      </c>
    </row>
    <row r="533" spans="1:25" ht="15" customHeight="1" x14ac:dyDescent="0.25">
      <c r="A533" s="10" t="str">
        <f>CONCATENATE(LEFT(C533,12),"-",RIGHT(C533,2),"_",TEXT(X533,"ddmmaaaa"),"_",COUNTIF($C$2:C533,C533))</f>
        <v>165092620001-16_26022026_2</v>
      </c>
      <c r="B533" s="10" t="str">
        <f>CONCATENATE(LEFT(C533,12),"-",RIGHT(C533,2),"_",COUNTIF($C$2:C533,C533))</f>
        <v>165092620001-16_2</v>
      </c>
      <c r="C533" s="10" t="s">
        <v>2641</v>
      </c>
      <c r="D533" s="10" t="s">
        <v>6042</v>
      </c>
      <c r="E533" s="10" t="s">
        <v>1574</v>
      </c>
      <c r="F533" s="10" t="s">
        <v>918</v>
      </c>
      <c r="G533" s="10" t="s">
        <v>3569</v>
      </c>
      <c r="H533" s="11" t="s">
        <v>3570</v>
      </c>
      <c r="I533" s="11" t="s">
        <v>3571</v>
      </c>
      <c r="J533" s="10" t="s">
        <v>1559</v>
      </c>
      <c r="K533" s="10" t="s">
        <v>1560</v>
      </c>
      <c r="L533" s="10" t="s">
        <v>1578</v>
      </c>
      <c r="M533" s="10" t="s">
        <v>6226</v>
      </c>
      <c r="N533" s="10">
        <v>32</v>
      </c>
      <c r="O533" s="11">
        <v>105</v>
      </c>
      <c r="P533" s="11">
        <v>0.105</v>
      </c>
      <c r="Q533" s="10" t="s">
        <v>1562</v>
      </c>
      <c r="R533" s="10">
        <v>80</v>
      </c>
      <c r="S533" s="12">
        <v>14</v>
      </c>
      <c r="T533" s="13">
        <v>27303</v>
      </c>
      <c r="U533" s="14">
        <v>2866.8150000000001</v>
      </c>
      <c r="V533" s="10">
        <v>6.4</v>
      </c>
      <c r="W533" s="15">
        <v>174739.20000000001</v>
      </c>
      <c r="X533" s="29">
        <f>VLOOKUP($F533,Agendamento!$B:$J,9,0)</f>
        <v>46079</v>
      </c>
      <c r="Y533" s="6">
        <f>COUNTIF(Analise!F:F,'Obras e Acervos'!H533)</f>
        <v>1</v>
      </c>
    </row>
    <row r="534" spans="1:25" ht="15" customHeight="1" x14ac:dyDescent="0.25">
      <c r="A534" s="10" t="str">
        <f>CONCATENATE(LEFT(C534,12),"-",RIGHT(C534,2),"_",TEXT(X534,"ddmmaaaa"),"_",COUNTIF($C$2:C534,C534))</f>
        <v>102855190001-17_26012026_2</v>
      </c>
      <c r="B534" s="10" t="str">
        <f>CONCATENATE(LEFT(C534,12),"-",RIGHT(C534,2),"_",COUNTIF($C$2:C534,C534))</f>
        <v>102855190001-17_2</v>
      </c>
      <c r="C534" s="16" t="s">
        <v>3517</v>
      </c>
      <c r="D534" s="16" t="s">
        <v>6126</v>
      </c>
      <c r="E534" s="16" t="s">
        <v>1574</v>
      </c>
      <c r="F534" s="16" t="s">
        <v>32</v>
      </c>
      <c r="G534" s="16" t="s">
        <v>3572</v>
      </c>
      <c r="H534" s="16" t="s">
        <v>3573</v>
      </c>
      <c r="I534" s="16" t="s">
        <v>3574</v>
      </c>
      <c r="J534" s="16" t="s">
        <v>1559</v>
      </c>
      <c r="K534" s="16" t="s">
        <v>1560</v>
      </c>
      <c r="L534" s="16" t="s">
        <v>1578</v>
      </c>
      <c r="M534" s="10" t="s">
        <v>6227</v>
      </c>
      <c r="N534" s="16">
        <v>64</v>
      </c>
      <c r="O534" s="16">
        <v>163</v>
      </c>
      <c r="P534" s="16">
        <v>0.16300000000000001</v>
      </c>
      <c r="Q534" s="16" t="s">
        <v>1562</v>
      </c>
      <c r="R534" s="16">
        <v>75</v>
      </c>
      <c r="S534" s="17">
        <v>22</v>
      </c>
      <c r="T534" s="18">
        <v>23722</v>
      </c>
      <c r="U534" s="19">
        <v>3866.6860000000001</v>
      </c>
      <c r="V534" s="16">
        <v>5.07</v>
      </c>
      <c r="W534" s="20">
        <v>139501.05000000002</v>
      </c>
      <c r="X534" s="29">
        <f>VLOOKUP($F534,Agendamento!$B:$J,9,0)</f>
        <v>46048</v>
      </c>
      <c r="Y534" s="6">
        <f>COUNTIF(Analise!F:F,'Obras e Acervos'!H534)</f>
        <v>1</v>
      </c>
    </row>
    <row r="535" spans="1:25" ht="15" customHeight="1" x14ac:dyDescent="0.25">
      <c r="A535" s="10" t="str">
        <f>CONCATENATE(LEFT(C535,12),"-",RIGHT(C535,2),"_",TEXT(X535,"ddmmaaaa"),"_",COUNTIF($C$2:C535,C535))</f>
        <v>145327870001-47_16062026_1</v>
      </c>
      <c r="B535" s="10" t="str">
        <f>CONCATENATE(LEFT(C535,12),"-",RIGHT(C535,2),"_",COUNTIF($C$2:C535,C535))</f>
        <v>145327870001-47_1</v>
      </c>
      <c r="C535" s="10" t="s">
        <v>3575</v>
      </c>
      <c r="D535" s="10" t="s">
        <v>1527</v>
      </c>
      <c r="E535" s="10" t="s">
        <v>1574</v>
      </c>
      <c r="F535" s="10" t="s">
        <v>1528</v>
      </c>
      <c r="G535" s="10" t="s">
        <v>3576</v>
      </c>
      <c r="H535" s="11" t="s">
        <v>3577</v>
      </c>
      <c r="I535" s="11" t="s">
        <v>3578</v>
      </c>
      <c r="J535" s="10" t="s">
        <v>1559</v>
      </c>
      <c r="K535" s="10" t="s">
        <v>1560</v>
      </c>
      <c r="L535" s="10" t="s">
        <v>1578</v>
      </c>
      <c r="M535" s="10" t="s">
        <v>1528</v>
      </c>
      <c r="N535" s="10">
        <v>72</v>
      </c>
      <c r="O535" s="11">
        <v>112</v>
      </c>
      <c r="P535" s="11">
        <v>0.112</v>
      </c>
      <c r="Q535" s="10" t="s">
        <v>1562</v>
      </c>
      <c r="R535" s="10">
        <v>75</v>
      </c>
      <c r="S535" s="12">
        <v>14</v>
      </c>
      <c r="T535" s="13">
        <v>25455</v>
      </c>
      <c r="U535" s="14">
        <v>2850.96</v>
      </c>
      <c r="V535" s="10">
        <v>11</v>
      </c>
      <c r="W535" s="15">
        <v>280005</v>
      </c>
      <c r="X535" s="29">
        <f>VLOOKUP($F535,Agendamento!$B:$J,9,0)</f>
        <v>46189</v>
      </c>
      <c r="Y535" s="6">
        <f>COUNTIF(Analise!F:F,'Obras e Acervos'!H535)</f>
        <v>1</v>
      </c>
    </row>
    <row r="536" spans="1:25" ht="15" customHeight="1" x14ac:dyDescent="0.25">
      <c r="A536" s="10" t="str">
        <f>CONCATENATE(LEFT(C536,12),"-",RIGHT(C536,2),"_",TEXT(X536,"ddmmaaaa"),"_",COUNTIF($C$2:C536,C536))</f>
        <v>263107240001-25_18022026_2</v>
      </c>
      <c r="B536" s="10" t="str">
        <f>CONCATENATE(LEFT(C536,12),"-",RIGHT(C536,2),"_",COUNTIF($C$2:C536,C536))</f>
        <v>263107240001-25_2</v>
      </c>
      <c r="C536" s="10" t="s">
        <v>2984</v>
      </c>
      <c r="D536" s="10" t="s">
        <v>577</v>
      </c>
      <c r="E536" s="10" t="s">
        <v>1574</v>
      </c>
      <c r="F536" s="10" t="s">
        <v>579</v>
      </c>
      <c r="G536" s="10" t="s">
        <v>3579</v>
      </c>
      <c r="H536" s="11" t="s">
        <v>3580</v>
      </c>
      <c r="I536" s="11" t="s">
        <v>3581</v>
      </c>
      <c r="J536" s="10" t="s">
        <v>1559</v>
      </c>
      <c r="K536" s="10" t="s">
        <v>1560</v>
      </c>
      <c r="L536" s="10" t="s">
        <v>1578</v>
      </c>
      <c r="M536" s="10" t="s">
        <v>579</v>
      </c>
      <c r="N536" s="10">
        <v>40</v>
      </c>
      <c r="O536" s="11">
        <v>118</v>
      </c>
      <c r="P536" s="11">
        <v>0.11799999999999999</v>
      </c>
      <c r="Q536" s="10" t="s">
        <v>1562</v>
      </c>
      <c r="R536" s="10">
        <v>80</v>
      </c>
      <c r="S536" s="12">
        <v>14</v>
      </c>
      <c r="T536" s="13">
        <v>24152</v>
      </c>
      <c r="U536" s="14">
        <v>2849.9359999999997</v>
      </c>
      <c r="V536" s="10">
        <v>7.51</v>
      </c>
      <c r="W536" s="15">
        <v>181381.52</v>
      </c>
      <c r="X536" s="29">
        <f>VLOOKUP($F536,Agendamento!$B:$J,9,0)</f>
        <v>46071</v>
      </c>
      <c r="Y536" s="6">
        <f>COUNTIF(Analise!F:F,'Obras e Acervos'!H536)</f>
        <v>1</v>
      </c>
    </row>
    <row r="537" spans="1:25" ht="15" customHeight="1" x14ac:dyDescent="0.25">
      <c r="A537" s="10" t="str">
        <f>CONCATENATE(LEFT(C537,12),"-",RIGHT(C537,2),"_",TEXT(X537,"ddmmaaaa"),"_",COUNTIF($C$2:C537,C537))</f>
        <v>279004140001-23_10022026_2</v>
      </c>
      <c r="B537" s="10" t="str">
        <f>CONCATENATE(LEFT(C537,12),"-",RIGHT(C537,2),"_",COUNTIF($C$2:C537,C537))</f>
        <v>279004140001-23_2</v>
      </c>
      <c r="C537" s="10" t="s">
        <v>3134</v>
      </c>
      <c r="D537" s="10" t="s">
        <v>268</v>
      </c>
      <c r="E537" s="10" t="s">
        <v>1574</v>
      </c>
      <c r="F537" s="10" t="s">
        <v>269</v>
      </c>
      <c r="G537" s="10" t="s">
        <v>3582</v>
      </c>
      <c r="H537" s="11" t="s">
        <v>3583</v>
      </c>
      <c r="I537" s="11" t="s">
        <v>3584</v>
      </c>
      <c r="J537" s="10" t="s">
        <v>1559</v>
      </c>
      <c r="K537" s="10" t="s">
        <v>1560</v>
      </c>
      <c r="L537" s="10" t="s">
        <v>1578</v>
      </c>
      <c r="M537" s="10" t="s">
        <v>269</v>
      </c>
      <c r="N537" s="10">
        <v>48</v>
      </c>
      <c r="O537" s="11">
        <v>141</v>
      </c>
      <c r="P537" s="11">
        <v>0.14099999999999999</v>
      </c>
      <c r="Q537" s="10" t="s">
        <v>1562</v>
      </c>
      <c r="R537" s="10">
        <v>80</v>
      </c>
      <c r="S537" s="12">
        <v>14</v>
      </c>
      <c r="T537" s="13">
        <v>27106</v>
      </c>
      <c r="U537" s="14">
        <v>3821.9459999999995</v>
      </c>
      <c r="V537" s="10">
        <v>8.2899999999999991</v>
      </c>
      <c r="W537" s="15">
        <v>224708.74</v>
      </c>
      <c r="X537" s="29">
        <f>VLOOKUP($F537,Agendamento!$B:$J,9,0)</f>
        <v>46063</v>
      </c>
      <c r="Y537" s="6">
        <f>COUNTIF(Analise!F:F,'Obras e Acervos'!H537)</f>
        <v>1</v>
      </c>
    </row>
    <row r="538" spans="1:25" ht="15" customHeight="1" x14ac:dyDescent="0.25">
      <c r="A538" s="10" t="str">
        <f>CONCATENATE(LEFT(C538,12),"-",RIGHT(C538,2),"_",TEXT(X538,"ddmmaaaa"),"_",COUNTIF($C$2:C538,C538))</f>
        <v>886304130002-81_12022026_2</v>
      </c>
      <c r="B538" s="10" t="str">
        <f>CONCATENATE(LEFT(C538,12),"-",RIGHT(C538,2),"_",COUNTIF($C$2:C538,C538))</f>
        <v>886304130002-81_2</v>
      </c>
      <c r="C538" s="10" t="s">
        <v>2820</v>
      </c>
      <c r="D538" s="10" t="s">
        <v>6075</v>
      </c>
      <c r="E538" s="10" t="s">
        <v>1574</v>
      </c>
      <c r="F538" s="10" t="s">
        <v>402</v>
      </c>
      <c r="G538" s="10" t="s">
        <v>3585</v>
      </c>
      <c r="H538" s="11" t="s">
        <v>3586</v>
      </c>
      <c r="I538" s="11" t="s">
        <v>3587</v>
      </c>
      <c r="J538" s="10" t="s">
        <v>1559</v>
      </c>
      <c r="K538" s="10" t="s">
        <v>1560</v>
      </c>
      <c r="L538" s="10" t="s">
        <v>1578</v>
      </c>
      <c r="M538" s="10" t="s">
        <v>402</v>
      </c>
      <c r="N538" s="10">
        <v>56</v>
      </c>
      <c r="O538" s="11">
        <v>145</v>
      </c>
      <c r="P538" s="11">
        <v>0.14499999999999999</v>
      </c>
      <c r="Q538" s="10" t="s">
        <v>1562</v>
      </c>
      <c r="R538" s="10">
        <v>75</v>
      </c>
      <c r="S538" s="12">
        <v>14</v>
      </c>
      <c r="T538" s="13">
        <v>28773</v>
      </c>
      <c r="U538" s="14">
        <v>4172.085</v>
      </c>
      <c r="V538" s="10">
        <v>8.43</v>
      </c>
      <c r="W538" s="15">
        <v>242556.38999999998</v>
      </c>
      <c r="X538" s="29">
        <f>VLOOKUP($F538,Agendamento!$B:$J,9,0)</f>
        <v>46065</v>
      </c>
      <c r="Y538" s="6">
        <f>COUNTIF(Analise!F:F,'Obras e Acervos'!H538)</f>
        <v>1</v>
      </c>
    </row>
    <row r="539" spans="1:25" ht="15" customHeight="1" x14ac:dyDescent="0.25">
      <c r="A539" s="10" t="str">
        <f>CONCATENATE(LEFT(C539,12),"-",RIGHT(C539,2),"_",TEXT(X539,"ddmmaaaa"),"_",COUNTIF($C$2:C539,C539))</f>
        <v>417695750001-50_04032026_2</v>
      </c>
      <c r="B539" s="10" t="str">
        <f>CONCATENATE(LEFT(C539,12),"-",RIGHT(C539,2),"_",COUNTIF($C$2:C539,C539))</f>
        <v>417695750001-50_2</v>
      </c>
      <c r="C539" s="10" t="s">
        <v>3000</v>
      </c>
      <c r="D539" s="10" t="s">
        <v>6098</v>
      </c>
      <c r="E539" s="10" t="s">
        <v>1574</v>
      </c>
      <c r="F539" s="10" t="s">
        <v>1192</v>
      </c>
      <c r="G539" s="10" t="s">
        <v>3588</v>
      </c>
      <c r="H539" s="11" t="s">
        <v>3589</v>
      </c>
      <c r="I539" s="11" t="s">
        <v>3590</v>
      </c>
      <c r="J539" s="10" t="s">
        <v>1559</v>
      </c>
      <c r="K539" s="10" t="s">
        <v>1560</v>
      </c>
      <c r="L539" s="10" t="s">
        <v>1578</v>
      </c>
      <c r="M539" s="10" t="s">
        <v>1192</v>
      </c>
      <c r="N539" s="10">
        <v>36</v>
      </c>
      <c r="O539" s="11">
        <v>105</v>
      </c>
      <c r="P539" s="11">
        <v>0.105</v>
      </c>
      <c r="Q539" s="10" t="s">
        <v>1562</v>
      </c>
      <c r="R539" s="10">
        <v>80</v>
      </c>
      <c r="S539" s="12">
        <v>15</v>
      </c>
      <c r="T539" s="13">
        <v>41155</v>
      </c>
      <c r="U539" s="14">
        <v>4321.2749999999996</v>
      </c>
      <c r="V539" s="10">
        <v>5.84</v>
      </c>
      <c r="W539" s="15">
        <v>240345.19999999998</v>
      </c>
      <c r="X539" s="29">
        <f>VLOOKUP($F539,Agendamento!$B:$J,9,0)</f>
        <v>46085</v>
      </c>
      <c r="Y539" s="6">
        <f>COUNTIF(Analise!F:F,'Obras e Acervos'!H539)</f>
        <v>1</v>
      </c>
    </row>
    <row r="540" spans="1:25" ht="15" customHeight="1" x14ac:dyDescent="0.25">
      <c r="A540" s="10" t="str">
        <f>CONCATENATE(LEFT(C540,12),"-",RIGHT(C540,2),"_",TEXT(X540,"ddmmaaaa"),"_",COUNTIF($C$2:C540,C540))</f>
        <v>401505140001-48_12022026_2</v>
      </c>
      <c r="B540" s="10" t="str">
        <f>CONCATENATE(LEFT(C540,12),"-",RIGHT(C540,2),"_",COUNTIF($C$2:C540,C540))</f>
        <v>401505140001-48_2</v>
      </c>
      <c r="C540" s="10" t="s">
        <v>2832</v>
      </c>
      <c r="D540" s="10" t="s">
        <v>6077</v>
      </c>
      <c r="E540" s="10" t="s">
        <v>1574</v>
      </c>
      <c r="F540" s="10" t="s">
        <v>419</v>
      </c>
      <c r="G540" s="10" t="s">
        <v>3591</v>
      </c>
      <c r="H540" s="11" t="s">
        <v>3592</v>
      </c>
      <c r="I540" s="11" t="s">
        <v>3593</v>
      </c>
      <c r="J540" s="10" t="s">
        <v>1559</v>
      </c>
      <c r="K540" s="10" t="s">
        <v>1560</v>
      </c>
      <c r="L540" s="10" t="s">
        <v>1578</v>
      </c>
      <c r="M540" s="10" t="s">
        <v>6228</v>
      </c>
      <c r="N540" s="10">
        <v>24</v>
      </c>
      <c r="O540" s="11">
        <v>79</v>
      </c>
      <c r="P540" s="11">
        <v>7.9000000000000001E-2</v>
      </c>
      <c r="Q540" s="10" t="s">
        <v>1562</v>
      </c>
      <c r="R540" s="10">
        <v>75</v>
      </c>
      <c r="S540" s="12">
        <v>15</v>
      </c>
      <c r="T540" s="13">
        <v>33534</v>
      </c>
      <c r="U540" s="14">
        <v>2649.1860000000001</v>
      </c>
      <c r="V540" s="10">
        <v>4.97</v>
      </c>
      <c r="W540" s="15">
        <v>166663.97999999998</v>
      </c>
      <c r="X540" s="29">
        <f>VLOOKUP($F540,Agendamento!$B:$J,9,0)</f>
        <v>46065</v>
      </c>
      <c r="Y540" s="6">
        <f>COUNTIF(Analise!F:F,'Obras e Acervos'!H540)</f>
        <v>1</v>
      </c>
    </row>
    <row r="541" spans="1:25" ht="15" customHeight="1" x14ac:dyDescent="0.25">
      <c r="A541" s="10" t="str">
        <f>CONCATENATE(LEFT(C541,12),"-",RIGHT(C541,2),"_",TEXT(X541,"ddmmaaaa"),"_",COUNTIF($C$2:C541,C541))</f>
        <v>684878670001-57_02032026_2</v>
      </c>
      <c r="B541" s="10" t="str">
        <f>CONCATENATE(LEFT(C541,12),"-",RIGHT(C541,2),"_",COUNTIF($C$2:C541,C541))</f>
        <v>684878670001-57_2</v>
      </c>
      <c r="C541" s="10" t="s">
        <v>2840</v>
      </c>
      <c r="D541" s="10" t="s">
        <v>1030</v>
      </c>
      <c r="E541" s="10" t="s">
        <v>1574</v>
      </c>
      <c r="F541" s="10" t="s">
        <v>1033</v>
      </c>
      <c r="G541" s="10" t="s">
        <v>3594</v>
      </c>
      <c r="H541" s="11" t="s">
        <v>3595</v>
      </c>
      <c r="I541" s="11" t="s">
        <v>3596</v>
      </c>
      <c r="J541" s="10" t="s">
        <v>1559</v>
      </c>
      <c r="K541" s="10" t="s">
        <v>1560</v>
      </c>
      <c r="L541" s="10" t="s">
        <v>1578</v>
      </c>
      <c r="M541" s="10" t="s">
        <v>6229</v>
      </c>
      <c r="N541" s="10">
        <v>152</v>
      </c>
      <c r="O541" s="11">
        <v>200</v>
      </c>
      <c r="P541" s="11">
        <v>0.2</v>
      </c>
      <c r="Q541" s="10" t="s">
        <v>1608</v>
      </c>
      <c r="R541" s="10">
        <v>75</v>
      </c>
      <c r="S541" s="12">
        <v>15</v>
      </c>
      <c r="T541" s="13">
        <v>33019</v>
      </c>
      <c r="U541" s="14">
        <v>6603.8</v>
      </c>
      <c r="V541" s="10">
        <v>15.46</v>
      </c>
      <c r="W541" s="15">
        <v>510473.74000000005</v>
      </c>
      <c r="X541" s="29">
        <f>VLOOKUP($F541,Agendamento!$B:$J,9,0)</f>
        <v>46083</v>
      </c>
      <c r="Y541" s="6">
        <f>COUNTIF(Analise!F:F,'Obras e Acervos'!H541)</f>
        <v>1</v>
      </c>
    </row>
    <row r="542" spans="1:25" ht="15" customHeight="1" x14ac:dyDescent="0.25">
      <c r="A542" s="10" t="str">
        <f>CONCATENATE(LEFT(C542,12),"-",RIGHT(C542,2),"_",TEXT(X542,"ddmmaaaa"),"_",COUNTIF($C$2:C542,C542))</f>
        <v>212569470001-38_03032026_1</v>
      </c>
      <c r="B542" s="10" t="str">
        <f>CONCATENATE(LEFT(C542,12),"-",RIGHT(C542,2),"_",COUNTIF($C$2:C542,C542))</f>
        <v>212569470001-38_1</v>
      </c>
      <c r="C542" s="10" t="s">
        <v>3597</v>
      </c>
      <c r="D542" s="10" t="s">
        <v>6129</v>
      </c>
      <c r="E542" s="10" t="s">
        <v>1574</v>
      </c>
      <c r="F542" s="10" t="s">
        <v>1113</v>
      </c>
      <c r="G542" s="10" t="s">
        <v>3598</v>
      </c>
      <c r="H542" s="11" t="s">
        <v>3599</v>
      </c>
      <c r="I542" s="11" t="s">
        <v>3600</v>
      </c>
      <c r="J542" s="10" t="s">
        <v>1559</v>
      </c>
      <c r="K542" s="10" t="s">
        <v>1560</v>
      </c>
      <c r="L542" s="10" t="s">
        <v>1578</v>
      </c>
      <c r="M542" s="10" t="s">
        <v>1113</v>
      </c>
      <c r="N542" s="10">
        <v>144</v>
      </c>
      <c r="O542" s="11">
        <v>205</v>
      </c>
      <c r="P542" s="11">
        <v>0.20499999999999999</v>
      </c>
      <c r="Q542" s="10" t="s">
        <v>1608</v>
      </c>
      <c r="R542" s="10">
        <v>75</v>
      </c>
      <c r="S542" s="12">
        <v>15</v>
      </c>
      <c r="T542" s="13">
        <v>149901</v>
      </c>
      <c r="U542" s="14">
        <v>30729.704999999998</v>
      </c>
      <c r="V542" s="10">
        <v>5.75</v>
      </c>
      <c r="W542" s="15">
        <v>861930.75</v>
      </c>
      <c r="X542" s="29">
        <f>VLOOKUP($F542,Agendamento!$B:$J,9,0)</f>
        <v>46084</v>
      </c>
      <c r="Y542" s="6">
        <f>COUNTIF(Analise!F:F,'Obras e Acervos'!H542)</f>
        <v>1</v>
      </c>
    </row>
    <row r="543" spans="1:25" ht="15" customHeight="1" x14ac:dyDescent="0.25">
      <c r="A543" s="10" t="str">
        <f>CONCATENATE(LEFT(C543,12),"-",RIGHT(C543,2),"_",TEXT(X543,"ddmmaaaa"),"_",COUNTIF($C$2:C543,C543))</f>
        <v>037638640001-53_04032026_2</v>
      </c>
      <c r="B543" s="10" t="str">
        <f>CONCATENATE(LEFT(C543,12),"-",RIGHT(C543,2),"_",COUNTIF($C$2:C543,C543))</f>
        <v>037638640001-53_2</v>
      </c>
      <c r="C543" s="10" t="s">
        <v>2042</v>
      </c>
      <c r="D543" s="10" t="s">
        <v>5957</v>
      </c>
      <c r="E543" s="10" t="s">
        <v>1574</v>
      </c>
      <c r="F543" s="10" t="s">
        <v>1164</v>
      </c>
      <c r="G543" s="10" t="s">
        <v>3601</v>
      </c>
      <c r="H543" s="11" t="s">
        <v>3602</v>
      </c>
      <c r="I543" s="11" t="s">
        <v>3603</v>
      </c>
      <c r="J543" s="10" t="s">
        <v>1559</v>
      </c>
      <c r="K543" s="10" t="s">
        <v>1560</v>
      </c>
      <c r="L543" s="10" t="s">
        <v>1578</v>
      </c>
      <c r="M543" s="10" t="s">
        <v>1164</v>
      </c>
      <c r="N543" s="10">
        <v>40</v>
      </c>
      <c r="O543" s="11">
        <v>95</v>
      </c>
      <c r="P543" s="11">
        <v>9.5000000000000001E-2</v>
      </c>
      <c r="Q543" s="10" t="s">
        <v>1562</v>
      </c>
      <c r="R543" s="10">
        <v>80</v>
      </c>
      <c r="S543" s="12">
        <v>15</v>
      </c>
      <c r="T543" s="13">
        <v>33322</v>
      </c>
      <c r="U543" s="14">
        <v>3165.59</v>
      </c>
      <c r="V543" s="10">
        <v>6.83</v>
      </c>
      <c r="W543" s="15">
        <v>227589.26</v>
      </c>
      <c r="X543" s="29">
        <f>VLOOKUP($F543,Agendamento!$B:$J,9,0)</f>
        <v>46085</v>
      </c>
      <c r="Y543" s="6">
        <f>COUNTIF(Analise!F:F,'Obras e Acervos'!H543)</f>
        <v>1</v>
      </c>
    </row>
    <row r="544" spans="1:25" ht="15" customHeight="1" x14ac:dyDescent="0.25">
      <c r="A544" s="10" t="str">
        <f>CONCATENATE(LEFT(C544,12),"-",RIGHT(C544,2),"_",TEXT(X544,"ddmmaaaa"),"_",COUNTIF($C$2:C544,C544))</f>
        <v>133655820001-51_25022026_2</v>
      </c>
      <c r="B544" s="10" t="str">
        <f>CONCATENATE(LEFT(C544,12),"-",RIGHT(C544,2),"_",COUNTIF($C$2:C544,C544))</f>
        <v>133655820001-51_2</v>
      </c>
      <c r="C544" s="10" t="s">
        <v>1898</v>
      </c>
      <c r="D544" s="10" t="s">
        <v>5941</v>
      </c>
      <c r="E544" s="10" t="s">
        <v>1574</v>
      </c>
      <c r="F544" s="10" t="s">
        <v>853</v>
      </c>
      <c r="G544" s="10" t="s">
        <v>3604</v>
      </c>
      <c r="H544" s="11" t="s">
        <v>3605</v>
      </c>
      <c r="I544" s="11" t="s">
        <v>3606</v>
      </c>
      <c r="J544" s="10" t="s">
        <v>1559</v>
      </c>
      <c r="K544" s="10" t="s">
        <v>1560</v>
      </c>
      <c r="L544" s="10" t="s">
        <v>1578</v>
      </c>
      <c r="M544" s="10" t="s">
        <v>853</v>
      </c>
      <c r="N544" s="10">
        <v>80</v>
      </c>
      <c r="O544" s="11">
        <v>110</v>
      </c>
      <c r="P544" s="11">
        <v>0.11</v>
      </c>
      <c r="Q544" s="10" t="s">
        <v>1608</v>
      </c>
      <c r="R544" s="10">
        <v>80</v>
      </c>
      <c r="S544" s="12">
        <v>15</v>
      </c>
      <c r="T544" s="13">
        <v>32883</v>
      </c>
      <c r="U544" s="14">
        <v>3617.13</v>
      </c>
      <c r="V544" s="10">
        <v>9.32</v>
      </c>
      <c r="W544" s="15">
        <v>306469.56</v>
      </c>
      <c r="X544" s="29">
        <f>VLOOKUP($F544,Agendamento!$B:$J,9,0)</f>
        <v>46078</v>
      </c>
      <c r="Y544" s="6">
        <f>COUNTIF(Analise!F:F,'Obras e Acervos'!H544)</f>
        <v>1</v>
      </c>
    </row>
    <row r="545" spans="1:25" ht="15" customHeight="1" x14ac:dyDescent="0.25">
      <c r="A545" s="10" t="str">
        <f>CONCATENATE(LEFT(C545,12),"-",RIGHT(C545,2),"_",TEXT(X545,"ddmmaaaa"),"_",COUNTIF($C$2:C545,C545))</f>
        <v>087311950001-51_23012026_2</v>
      </c>
      <c r="B545" s="10" t="str">
        <f>CONCATENATE(LEFT(C545,12),"-",RIGHT(C545,2),"_",COUNTIF($C$2:C545,C545))</f>
        <v>087311950001-51_2</v>
      </c>
      <c r="C545" s="16" t="s">
        <v>3024</v>
      </c>
      <c r="D545" s="16" t="s">
        <v>6101</v>
      </c>
      <c r="E545" s="16" t="s">
        <v>1574</v>
      </c>
      <c r="F545" s="16" t="s">
        <v>21</v>
      </c>
      <c r="G545" s="16" t="s">
        <v>3607</v>
      </c>
      <c r="H545" s="16" t="s">
        <v>3608</v>
      </c>
      <c r="I545" s="16" t="s">
        <v>3609</v>
      </c>
      <c r="J545" s="16" t="s">
        <v>1559</v>
      </c>
      <c r="K545" s="16" t="s">
        <v>1560</v>
      </c>
      <c r="L545" s="16" t="s">
        <v>1578</v>
      </c>
      <c r="M545" s="10" t="s">
        <v>21</v>
      </c>
      <c r="N545" s="16">
        <v>40</v>
      </c>
      <c r="O545" s="16">
        <v>117</v>
      </c>
      <c r="P545" s="16">
        <v>0.11700000000000001</v>
      </c>
      <c r="Q545" s="16" t="s">
        <v>1562</v>
      </c>
      <c r="R545" s="16">
        <v>80</v>
      </c>
      <c r="S545" s="17">
        <v>15</v>
      </c>
      <c r="T545" s="18">
        <v>32777</v>
      </c>
      <c r="U545" s="19">
        <v>3834.9090000000001</v>
      </c>
      <c r="V545" s="16">
        <v>6.86</v>
      </c>
      <c r="W545" s="20">
        <v>224850.22</v>
      </c>
      <c r="X545" s="29">
        <f>VLOOKUP($F545,Agendamento!$B:$J,9,0)</f>
        <v>46045</v>
      </c>
      <c r="Y545" s="6">
        <f>COUNTIF(Analise!F:F,'Obras e Acervos'!H545)</f>
        <v>1</v>
      </c>
    </row>
    <row r="546" spans="1:25" ht="15" customHeight="1" x14ac:dyDescent="0.25">
      <c r="A546" s="10" t="str">
        <f>CONCATENATE(LEFT(C546,12),"-",RIGHT(C546,2),"_",TEXT(X546,"ddmmaaaa"),"_",COUNTIF($C$2:C546,C546))</f>
        <v>086526680001-25_09022026_2</v>
      </c>
      <c r="B546" s="10" t="str">
        <f>CONCATENATE(LEFT(C546,12),"-",RIGHT(C546,2),"_",COUNTIF($C$2:C546,C546))</f>
        <v>086526680001-25_2</v>
      </c>
      <c r="C546" s="10" t="s">
        <v>2226</v>
      </c>
      <c r="D546" s="10" t="s">
        <v>5983</v>
      </c>
      <c r="E546" s="10" t="s">
        <v>1574</v>
      </c>
      <c r="F546" s="10" t="s">
        <v>230</v>
      </c>
      <c r="G546" s="10" t="s">
        <v>3610</v>
      </c>
      <c r="H546" s="11" t="s">
        <v>3611</v>
      </c>
      <c r="I546" s="11" t="s">
        <v>3612</v>
      </c>
      <c r="J546" s="10" t="s">
        <v>1559</v>
      </c>
      <c r="K546" s="10" t="s">
        <v>1560</v>
      </c>
      <c r="L546" s="10" t="s">
        <v>1578</v>
      </c>
      <c r="M546" s="10" t="s">
        <v>230</v>
      </c>
      <c r="N546" s="10">
        <v>72</v>
      </c>
      <c r="O546" s="11">
        <v>93</v>
      </c>
      <c r="P546" s="11">
        <v>9.2999999999999999E-2</v>
      </c>
      <c r="Q546" s="10" t="s">
        <v>1608</v>
      </c>
      <c r="R546" s="10">
        <v>80</v>
      </c>
      <c r="S546" s="12">
        <v>15</v>
      </c>
      <c r="T546" s="13">
        <v>34761</v>
      </c>
      <c r="U546" s="14">
        <v>3232.7730000000001</v>
      </c>
      <c r="V546" s="10">
        <v>8.57</v>
      </c>
      <c r="W546" s="15">
        <v>297901.77</v>
      </c>
      <c r="X546" s="29">
        <f>VLOOKUP($F546,Agendamento!$B:$J,9,0)</f>
        <v>46062</v>
      </c>
      <c r="Y546" s="6">
        <f>COUNTIF(Analise!F:F,'Obras e Acervos'!H546)</f>
        <v>1</v>
      </c>
    </row>
    <row r="547" spans="1:25" ht="15" customHeight="1" x14ac:dyDescent="0.25">
      <c r="A547" s="10" t="str">
        <f>CONCATENATE(LEFT(C547,12),"-",RIGHT(C547,2),"_",TEXT(X547,"ddmmaaaa"),"_",COUNTIF($C$2:C547,C547))</f>
        <v>174234570001-01_04032026_2</v>
      </c>
      <c r="B547" s="10" t="str">
        <f>CONCATENATE(LEFT(C547,12),"-",RIGHT(C547,2),"_",COUNTIF($C$2:C547,C547))</f>
        <v>174234570001-01_2</v>
      </c>
      <c r="C547" s="10" t="s">
        <v>1766</v>
      </c>
      <c r="D547" s="10" t="s">
        <v>1285</v>
      </c>
      <c r="E547" s="10" t="s">
        <v>1574</v>
      </c>
      <c r="F547" s="10" t="s">
        <v>1286</v>
      </c>
      <c r="G547" s="10" t="s">
        <v>3613</v>
      </c>
      <c r="H547" s="11" t="s">
        <v>3614</v>
      </c>
      <c r="I547" s="11" t="s">
        <v>3615</v>
      </c>
      <c r="J547" s="10" t="s">
        <v>1559</v>
      </c>
      <c r="K547" s="10" t="s">
        <v>1560</v>
      </c>
      <c r="L547" s="10" t="s">
        <v>1578</v>
      </c>
      <c r="M547" s="10" t="s">
        <v>1286</v>
      </c>
      <c r="N547" s="10">
        <v>56</v>
      </c>
      <c r="O547" s="11">
        <v>163</v>
      </c>
      <c r="P547" s="11">
        <v>0.16300000000000001</v>
      </c>
      <c r="Q547" s="10" t="s">
        <v>1562</v>
      </c>
      <c r="R547" s="10">
        <v>80</v>
      </c>
      <c r="S547" s="12">
        <v>15</v>
      </c>
      <c r="T547" s="13">
        <v>35004</v>
      </c>
      <c r="U547" s="14">
        <v>5705.652</v>
      </c>
      <c r="V547" s="10">
        <v>8.6199999999999992</v>
      </c>
      <c r="W547" s="15">
        <v>301734.48</v>
      </c>
      <c r="X547" s="29">
        <f>VLOOKUP($F547,Agendamento!$B:$J,9,0)</f>
        <v>46085</v>
      </c>
      <c r="Y547" s="6">
        <f>COUNTIF(Analise!F:F,'Obras e Acervos'!H547)</f>
        <v>1</v>
      </c>
    </row>
    <row r="548" spans="1:25" ht="15" customHeight="1" x14ac:dyDescent="0.25">
      <c r="A548" s="10" t="str">
        <f>CONCATENATE(LEFT(C548,12),"-",RIGHT(C548,2),"_",TEXT(X548,"ddmmaaaa"),"_",COUNTIF($C$2:C548,C548))</f>
        <v>434117480001-90_03032026_2</v>
      </c>
      <c r="B548" s="10" t="str">
        <f>CONCATENATE(LEFT(C548,12),"-",RIGHT(C548,2),"_",COUNTIF($C$2:C548,C548))</f>
        <v>434117480001-90_2</v>
      </c>
      <c r="C548" s="10" t="s">
        <v>3040</v>
      </c>
      <c r="D548" s="10" t="s">
        <v>859</v>
      </c>
      <c r="E548" s="10" t="s">
        <v>1574</v>
      </c>
      <c r="F548" s="10" t="s">
        <v>1099</v>
      </c>
      <c r="G548" s="10" t="s">
        <v>3616</v>
      </c>
      <c r="H548" s="11" t="s">
        <v>3617</v>
      </c>
      <c r="I548" s="11" t="s">
        <v>3618</v>
      </c>
      <c r="J548" s="10" t="s">
        <v>1559</v>
      </c>
      <c r="K548" s="10" t="s">
        <v>1560</v>
      </c>
      <c r="L548" s="10" t="s">
        <v>1578</v>
      </c>
      <c r="M548" s="10" t="s">
        <v>1099</v>
      </c>
      <c r="N548" s="10">
        <v>32</v>
      </c>
      <c r="O548" s="11">
        <v>68</v>
      </c>
      <c r="P548" s="11">
        <v>6.8000000000000005E-2</v>
      </c>
      <c r="Q548" s="10" t="s">
        <v>1562</v>
      </c>
      <c r="R548" s="10">
        <v>80</v>
      </c>
      <c r="S548" s="12">
        <v>15</v>
      </c>
      <c r="T548" s="13">
        <v>35852</v>
      </c>
      <c r="U548" s="14">
        <v>2437.9360000000001</v>
      </c>
      <c r="V548" s="10">
        <v>5.87</v>
      </c>
      <c r="W548" s="15">
        <v>210451.24</v>
      </c>
      <c r="X548" s="29">
        <f>VLOOKUP($F548,Agendamento!$B:$J,9,0)</f>
        <v>46084</v>
      </c>
      <c r="Y548" s="6">
        <f>COUNTIF(Analise!F:F,'Obras e Acervos'!H548)</f>
        <v>1</v>
      </c>
    </row>
    <row r="549" spans="1:25" ht="15" customHeight="1" x14ac:dyDescent="0.25">
      <c r="A549" s="10" t="str">
        <f>CONCATENATE(LEFT(C549,12),"-",RIGHT(C549,2),"_",TEXT(X549,"ddmmaaaa"),"_",COUNTIF($C$2:C549,C549))</f>
        <v>033235830001-80_05032026_1</v>
      </c>
      <c r="B549" s="10" t="str">
        <f>CONCATENATE(LEFT(C549,12),"-",RIGHT(C549,2),"_",COUNTIF($C$2:C549,C549))</f>
        <v>033235830001-80_1</v>
      </c>
      <c r="C549" s="10" t="s">
        <v>3619</v>
      </c>
      <c r="D549" s="10" t="s">
        <v>6130</v>
      </c>
      <c r="E549" s="10" t="s">
        <v>1574</v>
      </c>
      <c r="F549" s="10" t="s">
        <v>1268</v>
      </c>
      <c r="G549" s="10" t="s">
        <v>3620</v>
      </c>
      <c r="H549" s="11" t="s">
        <v>3621</v>
      </c>
      <c r="I549" s="11" t="s">
        <v>3622</v>
      </c>
      <c r="J549" s="10" t="s">
        <v>1559</v>
      </c>
      <c r="K549" s="10" t="s">
        <v>1560</v>
      </c>
      <c r="L549" s="10" t="s">
        <v>1578</v>
      </c>
      <c r="M549" s="10" t="s">
        <v>1268</v>
      </c>
      <c r="N549" s="10">
        <v>40</v>
      </c>
      <c r="O549" s="11">
        <v>160</v>
      </c>
      <c r="P549" s="11">
        <v>0.16</v>
      </c>
      <c r="Q549" s="10" t="s">
        <v>1562</v>
      </c>
      <c r="R549" s="10">
        <v>80</v>
      </c>
      <c r="S549" s="12">
        <v>15</v>
      </c>
      <c r="T549" s="13">
        <v>33261</v>
      </c>
      <c r="U549" s="14">
        <v>5321.76</v>
      </c>
      <c r="V549" s="10">
        <v>6.83</v>
      </c>
      <c r="W549" s="15">
        <v>227172.63</v>
      </c>
      <c r="X549" s="29">
        <f>VLOOKUP($F549,Agendamento!$B:$J,9,0)</f>
        <v>46086</v>
      </c>
      <c r="Y549" s="6">
        <f>COUNTIF(Analise!F:F,'Obras e Acervos'!H549)</f>
        <v>1</v>
      </c>
    </row>
    <row r="550" spans="1:25" ht="15" customHeight="1" x14ac:dyDescent="0.25">
      <c r="A550" s="10" t="str">
        <f>CONCATENATE(LEFT(C550,12),"-",RIGHT(C550,2),"_",TEXT(X550,"ddmmaaaa"),"_",COUNTIF($C$2:C550,C550))</f>
        <v>086868630001-76_11022026_2</v>
      </c>
      <c r="B550" s="10" t="str">
        <f>CONCATENATE(LEFT(C550,12),"-",RIGHT(C550,2),"_",COUNTIF($C$2:C550,C550))</f>
        <v>086868630001-76_2</v>
      </c>
      <c r="C550" s="10" t="s">
        <v>2884</v>
      </c>
      <c r="D550" s="10" t="s">
        <v>327</v>
      </c>
      <c r="E550" s="10" t="s">
        <v>1574</v>
      </c>
      <c r="F550" s="10" t="s">
        <v>328</v>
      </c>
      <c r="G550" s="10" t="s">
        <v>3623</v>
      </c>
      <c r="H550" s="11" t="s">
        <v>3624</v>
      </c>
      <c r="I550" s="11" t="s">
        <v>3625</v>
      </c>
      <c r="J550" s="10" t="s">
        <v>1559</v>
      </c>
      <c r="K550" s="10" t="s">
        <v>1560</v>
      </c>
      <c r="L550" s="10" t="s">
        <v>1578</v>
      </c>
      <c r="M550" s="10" t="s">
        <v>328</v>
      </c>
      <c r="N550" s="10">
        <v>32</v>
      </c>
      <c r="O550" s="11">
        <v>100</v>
      </c>
      <c r="P550" s="11">
        <v>0.1</v>
      </c>
      <c r="Q550" s="10" t="s">
        <v>1562</v>
      </c>
      <c r="R550" s="10">
        <v>80</v>
      </c>
      <c r="S550" s="12">
        <v>15</v>
      </c>
      <c r="T550" s="13">
        <v>33398</v>
      </c>
      <c r="U550" s="14">
        <v>3339.8</v>
      </c>
      <c r="V550" s="10">
        <v>5.94</v>
      </c>
      <c r="W550" s="15">
        <v>198384.12000000002</v>
      </c>
      <c r="X550" s="29">
        <f>VLOOKUP($F550,Agendamento!$B:$J,9,0)</f>
        <v>46064</v>
      </c>
      <c r="Y550" s="6">
        <f>COUNTIF(Analise!F:F,'Obras e Acervos'!H550)</f>
        <v>1</v>
      </c>
    </row>
    <row r="551" spans="1:25" ht="15" customHeight="1" x14ac:dyDescent="0.25">
      <c r="A551" s="10" t="str">
        <f>CONCATENATE(LEFT(C551,12),"-",RIGHT(C551,2),"_",TEXT(X551,"ddmmaaaa"),"_",COUNTIF($C$2:C551,C551))</f>
        <v>387460380001-80_03032026_2</v>
      </c>
      <c r="B551" s="10" t="str">
        <f>CONCATENATE(LEFT(C551,12),"-",RIGHT(C551,2),"_",COUNTIF($C$2:C551,C551))</f>
        <v>387460380001-80_2</v>
      </c>
      <c r="C551" s="10" t="s">
        <v>2086</v>
      </c>
      <c r="D551" s="10" t="s">
        <v>5964</v>
      </c>
      <c r="E551" s="10" t="s">
        <v>1574</v>
      </c>
      <c r="F551" s="10" t="s">
        <v>1118</v>
      </c>
      <c r="G551" s="10" t="s">
        <v>3626</v>
      </c>
      <c r="H551" s="11" t="s">
        <v>3627</v>
      </c>
      <c r="I551" s="11" t="s">
        <v>3628</v>
      </c>
      <c r="J551" s="10" t="s">
        <v>1559</v>
      </c>
      <c r="K551" s="10" t="s">
        <v>1560</v>
      </c>
      <c r="L551" s="10" t="s">
        <v>1578</v>
      </c>
      <c r="M551" s="10" t="s">
        <v>1118</v>
      </c>
      <c r="N551" s="10">
        <v>24</v>
      </c>
      <c r="O551" s="11">
        <v>86</v>
      </c>
      <c r="P551" s="11">
        <v>8.5999999999999993E-2</v>
      </c>
      <c r="Q551" s="10" t="s">
        <v>1562</v>
      </c>
      <c r="R551" s="10">
        <v>80</v>
      </c>
      <c r="S551" s="12">
        <v>15</v>
      </c>
      <c r="T551" s="13">
        <v>39427</v>
      </c>
      <c r="U551" s="14">
        <v>3390.7219999999998</v>
      </c>
      <c r="V551" s="10">
        <v>4.63</v>
      </c>
      <c r="W551" s="15">
        <v>182547.01</v>
      </c>
      <c r="X551" s="29">
        <f>VLOOKUP($F551,Agendamento!$B:$J,9,0)</f>
        <v>46084</v>
      </c>
      <c r="Y551" s="6">
        <f>COUNTIF(Analise!F:F,'Obras e Acervos'!H551)</f>
        <v>1</v>
      </c>
    </row>
    <row r="552" spans="1:25" ht="15" customHeight="1" x14ac:dyDescent="0.25">
      <c r="A552" s="10" t="str">
        <f>CONCATENATE(LEFT(C552,12),"-",RIGHT(C552,2),"_",TEXT(X552,"ddmmaaaa"),"_",COUNTIF($C$2:C552,C552))</f>
        <v>434144350001-95_02032026_1</v>
      </c>
      <c r="B552" s="10" t="str">
        <f>CONCATENATE(LEFT(C552,12),"-",RIGHT(C552,2),"_",COUNTIF($C$2:C552,C552))</f>
        <v>434144350001-95_1</v>
      </c>
      <c r="C552" s="10" t="s">
        <v>3629</v>
      </c>
      <c r="D552" s="10" t="s">
        <v>1050</v>
      </c>
      <c r="E552" s="10" t="s">
        <v>1574</v>
      </c>
      <c r="F552" s="10" t="s">
        <v>1051</v>
      </c>
      <c r="G552" s="10" t="s">
        <v>3630</v>
      </c>
      <c r="H552" s="11" t="s">
        <v>3631</v>
      </c>
      <c r="I552" s="11" t="s">
        <v>3632</v>
      </c>
      <c r="J552" s="10" t="s">
        <v>1559</v>
      </c>
      <c r="K552" s="10" t="s">
        <v>1560</v>
      </c>
      <c r="L552" s="10" t="s">
        <v>1578</v>
      </c>
      <c r="M552" s="10" t="s">
        <v>1051</v>
      </c>
      <c r="N552" s="10">
        <v>40</v>
      </c>
      <c r="O552" s="11">
        <v>104</v>
      </c>
      <c r="P552" s="11">
        <v>0.104</v>
      </c>
      <c r="Q552" s="10" t="s">
        <v>1599</v>
      </c>
      <c r="R552" s="10">
        <v>80</v>
      </c>
      <c r="S552" s="12">
        <v>15</v>
      </c>
      <c r="T552" s="13">
        <v>34231</v>
      </c>
      <c r="U552" s="14">
        <v>3560.0239999999999</v>
      </c>
      <c r="V552" s="10">
        <v>6.81</v>
      </c>
      <c r="W552" s="15">
        <v>233113.11</v>
      </c>
      <c r="X552" s="29">
        <f>VLOOKUP($F552,Agendamento!$B:$J,9,0)</f>
        <v>46083</v>
      </c>
      <c r="Y552" s="6">
        <f>COUNTIF(Analise!F:F,'Obras e Acervos'!H552)</f>
        <v>1</v>
      </c>
    </row>
    <row r="553" spans="1:25" ht="15" customHeight="1" x14ac:dyDescent="0.25">
      <c r="A553" s="10" t="str">
        <f>CONCATENATE(LEFT(C553,12),"-",RIGHT(C553,2),"_",TEXT(X553,"ddmmaaaa"),"_",COUNTIF($C$2:C553,C553))</f>
        <v>333244840001-83_04022026_2</v>
      </c>
      <c r="B553" s="10" t="str">
        <f>CONCATENATE(LEFT(C553,12),"-",RIGHT(C553,2),"_",COUNTIF($C$2:C553,C553))</f>
        <v>333244840001-83_2</v>
      </c>
      <c r="C553" s="10" t="s">
        <v>1790</v>
      </c>
      <c r="D553" s="10" t="s">
        <v>5928</v>
      </c>
      <c r="E553" s="10" t="s">
        <v>1574</v>
      </c>
      <c r="F553" s="10" t="s">
        <v>151</v>
      </c>
      <c r="G553" s="10" t="s">
        <v>3633</v>
      </c>
      <c r="H553" s="11" t="s">
        <v>3634</v>
      </c>
      <c r="I553" s="11" t="s">
        <v>3635</v>
      </c>
      <c r="J553" s="10" t="s">
        <v>1559</v>
      </c>
      <c r="K553" s="10" t="s">
        <v>1560</v>
      </c>
      <c r="L553" s="10" t="s">
        <v>1578</v>
      </c>
      <c r="M553" s="10" t="s">
        <v>151</v>
      </c>
      <c r="N553" s="10">
        <v>112</v>
      </c>
      <c r="O553" s="11">
        <v>265</v>
      </c>
      <c r="P553" s="11">
        <v>0.26500000000000001</v>
      </c>
      <c r="Q553" s="10" t="s">
        <v>1562</v>
      </c>
      <c r="R553" s="10">
        <v>75</v>
      </c>
      <c r="S553" s="12">
        <v>15</v>
      </c>
      <c r="T553" s="13">
        <v>41458</v>
      </c>
      <c r="U553" s="14">
        <v>10986.37</v>
      </c>
      <c r="V553" s="10">
        <v>13.45</v>
      </c>
      <c r="W553" s="15">
        <v>557610.1</v>
      </c>
      <c r="X553" s="29">
        <f>VLOOKUP($F553,Agendamento!$B:$J,9,0)</f>
        <v>46057</v>
      </c>
      <c r="Y553" s="6">
        <f>COUNTIF(Analise!F:F,'Obras e Acervos'!H553)</f>
        <v>1</v>
      </c>
    </row>
    <row r="554" spans="1:25" ht="15" customHeight="1" x14ac:dyDescent="0.25">
      <c r="A554" s="10" t="str">
        <f>CONCATENATE(LEFT(C554,12),"-",RIGHT(C554,2),"_",TEXT(X554,"ddmmaaaa"),"_",COUNTIF($C$2:C554,C554))</f>
        <v>176299430001-80_25022026_2</v>
      </c>
      <c r="B554" s="10" t="str">
        <f>CONCATENATE(LEFT(C554,12),"-",RIGHT(C554,2),"_",COUNTIF($C$2:C554,C554))</f>
        <v>176299430001-80_2</v>
      </c>
      <c r="C554" s="10" t="s">
        <v>2098</v>
      </c>
      <c r="D554" s="10" t="s">
        <v>879</v>
      </c>
      <c r="E554" s="10" t="s">
        <v>1574</v>
      </c>
      <c r="F554" s="10" t="s">
        <v>880</v>
      </c>
      <c r="G554" s="10" t="s">
        <v>3636</v>
      </c>
      <c r="H554" s="11" t="s">
        <v>3637</v>
      </c>
      <c r="I554" s="11" t="s">
        <v>3638</v>
      </c>
      <c r="J554" s="10" t="s">
        <v>1559</v>
      </c>
      <c r="K554" s="10" t="s">
        <v>1560</v>
      </c>
      <c r="L554" s="10" t="s">
        <v>1578</v>
      </c>
      <c r="M554" s="10" t="s">
        <v>880</v>
      </c>
      <c r="N554" s="10">
        <v>48</v>
      </c>
      <c r="O554" s="11">
        <v>137</v>
      </c>
      <c r="P554" s="11">
        <v>0.13700000000000001</v>
      </c>
      <c r="Q554" s="10" t="s">
        <v>1562</v>
      </c>
      <c r="R554" s="10">
        <v>80</v>
      </c>
      <c r="S554" s="12">
        <v>15</v>
      </c>
      <c r="T554" s="13">
        <v>67758</v>
      </c>
      <c r="U554" s="14">
        <v>9282.8460000000014</v>
      </c>
      <c r="V554" s="10">
        <v>5.6</v>
      </c>
      <c r="W554" s="15">
        <v>379444.8</v>
      </c>
      <c r="X554" s="29">
        <f>VLOOKUP($F554,Agendamento!$B:$J,9,0)</f>
        <v>46078</v>
      </c>
      <c r="Y554" s="6">
        <f>COUNTIF(Analise!F:F,'Obras e Acervos'!H554)</f>
        <v>1</v>
      </c>
    </row>
    <row r="555" spans="1:25" ht="15" customHeight="1" x14ac:dyDescent="0.25">
      <c r="A555" s="10" t="str">
        <f>CONCATENATE(LEFT(C555,12),"-",RIGHT(C555,2),"_",TEXT(X555,"ddmmaaaa"),"_",COUNTIF($C$2:C555,C555))</f>
        <v>421504930001-96_30012026_2</v>
      </c>
      <c r="B555" s="10" t="str">
        <f>CONCATENATE(LEFT(C555,12),"-",RIGHT(C555,2),"_",COUNTIF($C$2:C555,C555))</f>
        <v>421504930001-96_2</v>
      </c>
      <c r="C555" s="10" t="s">
        <v>1802</v>
      </c>
      <c r="D555" s="10" t="s">
        <v>5930</v>
      </c>
      <c r="E555" s="10" t="s">
        <v>1574</v>
      </c>
      <c r="F555" s="10" t="s">
        <v>117</v>
      </c>
      <c r="G555" s="10" t="s">
        <v>3639</v>
      </c>
      <c r="H555" s="11" t="s">
        <v>3640</v>
      </c>
      <c r="I555" s="11" t="s">
        <v>3641</v>
      </c>
      <c r="J555" s="10" t="s">
        <v>1559</v>
      </c>
      <c r="K555" s="10" t="s">
        <v>1560</v>
      </c>
      <c r="L555" s="10" t="s">
        <v>1578</v>
      </c>
      <c r="M555" s="10" t="s">
        <v>117</v>
      </c>
      <c r="N555" s="10">
        <v>40</v>
      </c>
      <c r="O555" s="11">
        <v>113</v>
      </c>
      <c r="P555" s="11">
        <v>0.113</v>
      </c>
      <c r="Q555" s="10" t="s">
        <v>1562</v>
      </c>
      <c r="R555" s="10">
        <v>75</v>
      </c>
      <c r="S555" s="12">
        <v>15</v>
      </c>
      <c r="T555" s="13">
        <v>33095</v>
      </c>
      <c r="U555" s="14">
        <v>3739.7350000000001</v>
      </c>
      <c r="V555" s="10">
        <v>6.73</v>
      </c>
      <c r="W555" s="15">
        <v>222729.35</v>
      </c>
      <c r="X555" s="29">
        <f>VLOOKUP($F555,Agendamento!$B:$J,9,0)</f>
        <v>46052</v>
      </c>
      <c r="Y555" s="6">
        <f>COUNTIF(Analise!F:F,'Obras e Acervos'!H555)</f>
        <v>1</v>
      </c>
    </row>
    <row r="556" spans="1:25" ht="15" customHeight="1" x14ac:dyDescent="0.25">
      <c r="A556" s="10" t="str">
        <f>CONCATENATE(LEFT(C556,12),"-",RIGHT(C556,2),"_",TEXT(X556,"ddmmaaaa"),"_",COUNTIF($C$2:C556,C556))</f>
        <v>143078900001-93_19022026_2</v>
      </c>
      <c r="B556" s="10" t="str">
        <f>CONCATENATE(LEFT(C556,12),"-",RIGHT(C556,2),"_",COUNTIF($C$2:C556,C556))</f>
        <v>143078900001-93_2</v>
      </c>
      <c r="C556" s="10" t="s">
        <v>2753</v>
      </c>
      <c r="D556" s="10" t="s">
        <v>6062</v>
      </c>
      <c r="E556" s="10" t="s">
        <v>1574</v>
      </c>
      <c r="F556" s="10" t="s">
        <v>602</v>
      </c>
      <c r="G556" s="10" t="s">
        <v>3642</v>
      </c>
      <c r="H556" s="11" t="s">
        <v>3643</v>
      </c>
      <c r="I556" s="11" t="s">
        <v>3644</v>
      </c>
      <c r="J556" s="10" t="s">
        <v>1559</v>
      </c>
      <c r="K556" s="10" t="s">
        <v>1560</v>
      </c>
      <c r="L556" s="10" t="s">
        <v>1578</v>
      </c>
      <c r="M556" s="10" t="s">
        <v>602</v>
      </c>
      <c r="N556" s="10">
        <v>176</v>
      </c>
      <c r="O556" s="11">
        <v>430</v>
      </c>
      <c r="P556" s="11">
        <v>0.43</v>
      </c>
      <c r="Q556" s="10" t="s">
        <v>1562</v>
      </c>
      <c r="R556" s="10">
        <v>80</v>
      </c>
      <c r="S556" s="12">
        <v>15</v>
      </c>
      <c r="T556" s="13">
        <v>34125</v>
      </c>
      <c r="U556" s="14">
        <v>14673.75</v>
      </c>
      <c r="V556" s="10">
        <v>21.95</v>
      </c>
      <c r="W556" s="15">
        <v>749043.75</v>
      </c>
      <c r="X556" s="29">
        <f>VLOOKUP($F556,Agendamento!$B:$J,9,0)</f>
        <v>46072</v>
      </c>
      <c r="Y556" s="6">
        <f>COUNTIF(Analise!F:F,'Obras e Acervos'!H556)</f>
        <v>1</v>
      </c>
    </row>
    <row r="557" spans="1:25" ht="15" customHeight="1" x14ac:dyDescent="0.25">
      <c r="A557" s="10" t="str">
        <f>CONCATENATE(LEFT(C557,12),"-",RIGHT(C557,2),"_",TEXT(X557,"ddmmaaaa"),"_",COUNTIF($C$2:C557,C557))</f>
        <v>101711020001-23_09022026_1</v>
      </c>
      <c r="B557" s="10" t="str">
        <f>CONCATENATE(LEFT(C557,12),"-",RIGHT(C557,2),"_",COUNTIF($C$2:C557,C557))</f>
        <v>101711020001-23_1</v>
      </c>
      <c r="C557" s="10" t="s">
        <v>3645</v>
      </c>
      <c r="D557" s="10" t="s">
        <v>6131</v>
      </c>
      <c r="E557" s="10" t="s">
        <v>1574</v>
      </c>
      <c r="F557" s="10" t="s">
        <v>214</v>
      </c>
      <c r="G557" s="10" t="s">
        <v>3646</v>
      </c>
      <c r="H557" s="11" t="s">
        <v>3647</v>
      </c>
      <c r="I557" s="11" t="s">
        <v>3648</v>
      </c>
      <c r="J557" s="10" t="s">
        <v>1559</v>
      </c>
      <c r="K557" s="10" t="s">
        <v>1560</v>
      </c>
      <c r="L557" s="10" t="s">
        <v>1578</v>
      </c>
      <c r="M557" s="10" t="s">
        <v>214</v>
      </c>
      <c r="N557" s="10">
        <v>32</v>
      </c>
      <c r="O557" s="11">
        <v>80</v>
      </c>
      <c r="P557" s="11">
        <v>0.08</v>
      </c>
      <c r="Q557" s="10" t="s">
        <v>1562</v>
      </c>
      <c r="R557" s="10">
        <v>80</v>
      </c>
      <c r="S557" s="12">
        <v>15</v>
      </c>
      <c r="T557" s="13">
        <v>35610</v>
      </c>
      <c r="U557" s="14">
        <v>2848.8</v>
      </c>
      <c r="V557" s="10">
        <v>5.89</v>
      </c>
      <c r="W557" s="15">
        <v>209742.9</v>
      </c>
      <c r="X557" s="29">
        <f>VLOOKUP($F557,Agendamento!$B:$J,9,0)</f>
        <v>46062</v>
      </c>
      <c r="Y557" s="6">
        <f>COUNTIF(Analise!F:F,'Obras e Acervos'!H557)</f>
        <v>1</v>
      </c>
    </row>
    <row r="558" spans="1:25" ht="15" customHeight="1" x14ac:dyDescent="0.25">
      <c r="A558" s="10" t="str">
        <f>CONCATENATE(LEFT(C558,12),"-",RIGHT(C558,2),"_",TEXT(X558,"ddmmaaaa"),"_",COUNTIF($C$2:C558,C558))</f>
        <v>441390930001-05_28012026_1</v>
      </c>
      <c r="B558" s="10" t="str">
        <f>CONCATENATE(LEFT(C558,12),"-",RIGHT(C558,2),"_",COUNTIF($C$2:C558,C558))</f>
        <v>441390930001-05_1</v>
      </c>
      <c r="C558" s="10" t="s">
        <v>3649</v>
      </c>
      <c r="D558" s="10" t="s">
        <v>91</v>
      </c>
      <c r="E558" s="10" t="s">
        <v>1555</v>
      </c>
      <c r="F558" s="10" t="s">
        <v>92</v>
      </c>
      <c r="G558" s="10" t="s">
        <v>3650</v>
      </c>
      <c r="H558" s="11" t="s">
        <v>3651</v>
      </c>
      <c r="I558" s="11" t="s">
        <v>3652</v>
      </c>
      <c r="J558" s="10" t="s">
        <v>1559</v>
      </c>
      <c r="K558" s="10" t="s">
        <v>1560</v>
      </c>
      <c r="L558" s="10" t="s">
        <v>1561</v>
      </c>
      <c r="M558" s="10" t="s">
        <v>92</v>
      </c>
      <c r="N558" s="10">
        <v>32</v>
      </c>
      <c r="O558" s="11">
        <v>96</v>
      </c>
      <c r="P558" s="11">
        <v>9.6000000000000002E-2</v>
      </c>
      <c r="Q558" s="10" t="s">
        <v>1562</v>
      </c>
      <c r="R558" s="10">
        <v>75</v>
      </c>
      <c r="S558" s="12">
        <v>10</v>
      </c>
      <c r="T558" s="13">
        <v>59325</v>
      </c>
      <c r="U558" s="14">
        <v>5695.2</v>
      </c>
      <c r="V558" s="10">
        <v>6.26</v>
      </c>
      <c r="W558" s="15">
        <v>216276.74</v>
      </c>
      <c r="X558" s="29">
        <f>VLOOKUP($F558,Agendamento!$B:$J,9,0)</f>
        <v>46050</v>
      </c>
      <c r="Y558" s="6">
        <f>COUNTIF(Analise!F:F,'Obras e Acervos'!H558)</f>
        <v>1</v>
      </c>
    </row>
    <row r="559" spans="1:25" ht="15" customHeight="1" x14ac:dyDescent="0.25">
      <c r="A559" s="10" t="str">
        <f>CONCATENATE(LEFT(C559,12),"-",RIGHT(C559,2),"_",TEXT(X559,"ddmmaaaa"),"_",COUNTIF($C$2:C559,C559))</f>
        <v>223380340001-23_27022026_1</v>
      </c>
      <c r="B559" s="10" t="str">
        <f>CONCATENATE(LEFT(C559,12),"-",RIGHT(C559,2),"_",COUNTIF($C$2:C559,C559))</f>
        <v>223380340001-23_1</v>
      </c>
      <c r="C559" s="10" t="s">
        <v>3653</v>
      </c>
      <c r="D559" s="10" t="s">
        <v>6132</v>
      </c>
      <c r="E559" s="10" t="s">
        <v>1574</v>
      </c>
      <c r="F559" s="10" t="s">
        <v>1012</v>
      </c>
      <c r="G559" s="10" t="s">
        <v>3654</v>
      </c>
      <c r="H559" s="11" t="s">
        <v>3655</v>
      </c>
      <c r="I559" s="11" t="s">
        <v>3656</v>
      </c>
      <c r="J559" s="10" t="s">
        <v>1559</v>
      </c>
      <c r="K559" s="10" t="s">
        <v>1560</v>
      </c>
      <c r="L559" s="10" t="s">
        <v>1578</v>
      </c>
      <c r="M559" s="10" t="s">
        <v>1012</v>
      </c>
      <c r="N559" s="10">
        <v>48</v>
      </c>
      <c r="O559" s="11">
        <v>149</v>
      </c>
      <c r="P559" s="11">
        <v>0.14899999999999999</v>
      </c>
      <c r="Q559" s="10" t="s">
        <v>1562</v>
      </c>
      <c r="R559" s="10">
        <v>80</v>
      </c>
      <c r="S559" s="12">
        <v>15</v>
      </c>
      <c r="T559" s="13">
        <v>38337</v>
      </c>
      <c r="U559" s="14">
        <v>5712.2129999999997</v>
      </c>
      <c r="V559" s="10">
        <v>7.15</v>
      </c>
      <c r="W559" s="15">
        <v>274109.55</v>
      </c>
      <c r="X559" s="29">
        <f>VLOOKUP($F559,Agendamento!$B:$J,9,0)</f>
        <v>46080</v>
      </c>
      <c r="Y559" s="6">
        <f>COUNTIF(Analise!F:F,'Obras e Acervos'!H559)</f>
        <v>1</v>
      </c>
    </row>
    <row r="560" spans="1:25" ht="15" customHeight="1" x14ac:dyDescent="0.25">
      <c r="A560" s="10" t="str">
        <f>CONCATENATE(LEFT(C560,12),"-",RIGHT(C560,2),"_",TEXT(X560,"ddmmaaaa"),"_",COUNTIF($C$2:C560,C560))</f>
        <v>404984990001-23_10032026_2</v>
      </c>
      <c r="B560" s="10" t="str">
        <f>CONCATENATE(LEFT(C560,12),"-",RIGHT(C560,2),"_",COUNTIF($C$2:C560,C560))</f>
        <v>404984990001-23_2</v>
      </c>
      <c r="C560" s="10" t="s">
        <v>1826</v>
      </c>
      <c r="D560" s="10" t="s">
        <v>819</v>
      </c>
      <c r="E560" s="10" t="s">
        <v>1574</v>
      </c>
      <c r="F560" s="10" t="s">
        <v>1336</v>
      </c>
      <c r="G560" s="10" t="s">
        <v>3657</v>
      </c>
      <c r="H560" s="11" t="s">
        <v>3658</v>
      </c>
      <c r="I560" s="11" t="s">
        <v>3659</v>
      </c>
      <c r="J560" s="10" t="s">
        <v>1559</v>
      </c>
      <c r="K560" s="10" t="s">
        <v>1560</v>
      </c>
      <c r="L560" s="10" t="s">
        <v>1578</v>
      </c>
      <c r="M560" s="10" t="s">
        <v>1336</v>
      </c>
      <c r="N560" s="10">
        <v>36</v>
      </c>
      <c r="O560" s="11">
        <v>180</v>
      </c>
      <c r="P560" s="11">
        <v>0.18</v>
      </c>
      <c r="Q560" s="10" t="s">
        <v>1562</v>
      </c>
      <c r="R560" s="10">
        <v>80</v>
      </c>
      <c r="S560" s="12">
        <v>15</v>
      </c>
      <c r="T560" s="13">
        <v>33064</v>
      </c>
      <c r="U560" s="14">
        <v>5951.5199999999995</v>
      </c>
      <c r="V560" s="10">
        <v>6.4</v>
      </c>
      <c r="W560" s="15">
        <v>211609.60000000001</v>
      </c>
      <c r="X560" s="29">
        <f>VLOOKUP($F560,Agendamento!$B:$J,9,0)</f>
        <v>46091</v>
      </c>
      <c r="Y560" s="6">
        <f>COUNTIF(Analise!F:F,'Obras e Acervos'!H560)</f>
        <v>1</v>
      </c>
    </row>
    <row r="561" spans="1:25" ht="15" customHeight="1" x14ac:dyDescent="0.25">
      <c r="A561" s="10" t="str">
        <f>CONCATENATE(LEFT(C561,12),"-",RIGHT(C561,2),"_",TEXT(X561,"ddmmaaaa"),"_",COUNTIF($C$2:C561,C561))</f>
        <v>304386290001-89_25022026_2</v>
      </c>
      <c r="B561" s="10" t="str">
        <f>CONCATENATE(LEFT(C561,12),"-",RIGHT(C561,2),"_",COUNTIF($C$2:C561,C561))</f>
        <v>304386290001-89_2</v>
      </c>
      <c r="C561" s="10" t="s">
        <v>1972</v>
      </c>
      <c r="D561" s="10" t="s">
        <v>5950</v>
      </c>
      <c r="E561" s="10" t="s">
        <v>1574</v>
      </c>
      <c r="F561" s="10" t="s">
        <v>842</v>
      </c>
      <c r="G561" s="10" t="s">
        <v>3660</v>
      </c>
      <c r="H561" s="11" t="s">
        <v>3661</v>
      </c>
      <c r="I561" s="11" t="s">
        <v>3662</v>
      </c>
      <c r="J561" s="10" t="s">
        <v>1559</v>
      </c>
      <c r="K561" s="10" t="s">
        <v>1560</v>
      </c>
      <c r="L561" s="10" t="s">
        <v>1578</v>
      </c>
      <c r="M561" s="10" t="s">
        <v>842</v>
      </c>
      <c r="N561" s="10">
        <v>128</v>
      </c>
      <c r="O561" s="11">
        <v>306</v>
      </c>
      <c r="P561" s="11">
        <v>0.30599999999999999</v>
      </c>
      <c r="Q561" s="10" t="s">
        <v>1562</v>
      </c>
      <c r="R561" s="10">
        <v>80</v>
      </c>
      <c r="S561" s="12">
        <v>15</v>
      </c>
      <c r="T561" s="13">
        <v>36913</v>
      </c>
      <c r="U561" s="14">
        <v>11295.378000000001</v>
      </c>
      <c r="V561" s="10">
        <v>16.53</v>
      </c>
      <c r="W561" s="15">
        <v>610171.89</v>
      </c>
      <c r="X561" s="29">
        <f>VLOOKUP($F561,Agendamento!$B:$J,9,0)</f>
        <v>46078</v>
      </c>
      <c r="Y561" s="6">
        <f>COUNTIF(Analise!F:F,'Obras e Acervos'!H561)</f>
        <v>1</v>
      </c>
    </row>
    <row r="562" spans="1:25" ht="15" customHeight="1" x14ac:dyDescent="0.25">
      <c r="A562" s="10" t="str">
        <f>CONCATENATE(LEFT(C562,12),"-",RIGHT(C562,2),"_",TEXT(X562,"ddmmaaaa"),"_",COUNTIF($C$2:C562,C562))</f>
        <v>441390930001-05_30012026_2</v>
      </c>
      <c r="B562" s="10" t="str">
        <f>CONCATENATE(LEFT(C562,12),"-",RIGHT(C562,2),"_",COUNTIF($C$2:C562,C562))</f>
        <v>441390930001-05_2</v>
      </c>
      <c r="C562" s="10" t="s">
        <v>3649</v>
      </c>
      <c r="D562" s="10" t="s">
        <v>91</v>
      </c>
      <c r="E562" s="10" t="s">
        <v>1574</v>
      </c>
      <c r="F562" s="10" t="s">
        <v>104</v>
      </c>
      <c r="G562" s="10" t="s">
        <v>3663</v>
      </c>
      <c r="H562" s="11" t="s">
        <v>3664</v>
      </c>
      <c r="I562" s="11" t="s">
        <v>3665</v>
      </c>
      <c r="J562" s="10" t="s">
        <v>1559</v>
      </c>
      <c r="K562" s="10" t="s">
        <v>1560</v>
      </c>
      <c r="L562" s="10" t="s">
        <v>1578</v>
      </c>
      <c r="M562" s="10" t="s">
        <v>104</v>
      </c>
      <c r="N562" s="10">
        <v>48</v>
      </c>
      <c r="O562" s="11">
        <v>130</v>
      </c>
      <c r="P562" s="11">
        <v>0.13</v>
      </c>
      <c r="Q562" s="10" t="s">
        <v>1562</v>
      </c>
      <c r="R562" s="10">
        <v>75</v>
      </c>
      <c r="S562" s="12">
        <v>15</v>
      </c>
      <c r="T562" s="13">
        <v>33761</v>
      </c>
      <c r="U562" s="14">
        <v>4388.93</v>
      </c>
      <c r="V562" s="10">
        <v>7.58</v>
      </c>
      <c r="W562" s="15">
        <v>255908.38</v>
      </c>
      <c r="X562" s="29">
        <f>VLOOKUP($F562,Agendamento!$B:$J,9,0)</f>
        <v>46052</v>
      </c>
      <c r="Y562" s="6">
        <f>COUNTIF(Analise!F:F,'Obras e Acervos'!H562)</f>
        <v>1</v>
      </c>
    </row>
    <row r="563" spans="1:25" ht="15" customHeight="1" x14ac:dyDescent="0.25">
      <c r="A563" s="10" t="str">
        <f>CONCATENATE(LEFT(C563,12),"-",RIGHT(C563,2),"_",TEXT(X563,"ddmmaaaa"),"_",COUNTIF($C$2:C563,C563))</f>
        <v>801907960001-21_12022026_2</v>
      </c>
      <c r="B563" s="10" t="str">
        <f>CONCATENATE(LEFT(C563,12),"-",RIGHT(C563,2),"_",COUNTIF($C$2:C563,C563))</f>
        <v>801907960001-21_2</v>
      </c>
      <c r="C563" s="10" t="s">
        <v>2952</v>
      </c>
      <c r="D563" s="10" t="s">
        <v>343</v>
      </c>
      <c r="E563" s="10" t="s">
        <v>1574</v>
      </c>
      <c r="F563" s="10" t="s">
        <v>344</v>
      </c>
      <c r="G563" s="10" t="s">
        <v>3666</v>
      </c>
      <c r="H563" s="11" t="s">
        <v>3667</v>
      </c>
      <c r="I563" s="11" t="s">
        <v>3668</v>
      </c>
      <c r="J563" s="10" t="s">
        <v>1559</v>
      </c>
      <c r="K563" s="10" t="s">
        <v>1560</v>
      </c>
      <c r="L563" s="10" t="s">
        <v>1578</v>
      </c>
      <c r="M563" s="10" t="s">
        <v>344</v>
      </c>
      <c r="N563" s="10">
        <v>136</v>
      </c>
      <c r="O563" s="11">
        <v>313</v>
      </c>
      <c r="P563" s="11">
        <v>0.313</v>
      </c>
      <c r="Q563" s="10" t="s">
        <v>1562</v>
      </c>
      <c r="R563" s="10">
        <v>80</v>
      </c>
      <c r="S563" s="12">
        <v>15</v>
      </c>
      <c r="T563" s="13">
        <v>43442</v>
      </c>
      <c r="U563" s="14">
        <v>13597.346</v>
      </c>
      <c r="V563" s="10">
        <v>15.31</v>
      </c>
      <c r="W563" s="15">
        <v>665097.02</v>
      </c>
      <c r="X563" s="29">
        <f>VLOOKUP($F563,Agendamento!$B:$J,9,0)</f>
        <v>46065</v>
      </c>
      <c r="Y563" s="6">
        <f>COUNTIF(Analise!F:F,'Obras e Acervos'!H563)</f>
        <v>1</v>
      </c>
    </row>
    <row r="564" spans="1:25" ht="15" customHeight="1" x14ac:dyDescent="0.25">
      <c r="A564" s="10" t="str">
        <f>CONCATENATE(LEFT(C564,12),"-",RIGHT(C564,2),"_",TEXT(X564,"ddmmaaaa"),"_",COUNTIF($C$2:C564,C564))</f>
        <v>341072830001-97_20022026_2</v>
      </c>
      <c r="B564" s="10" t="str">
        <f>CONCATENATE(LEFT(C564,12),"-",RIGHT(C564,2),"_",COUNTIF($C$2:C564,C564))</f>
        <v>341072830001-97_2</v>
      </c>
      <c r="C564" s="10" t="s">
        <v>2159</v>
      </c>
      <c r="D564" s="10" t="s">
        <v>655</v>
      </c>
      <c r="E564" s="10" t="s">
        <v>1574</v>
      </c>
      <c r="F564" s="10" t="s">
        <v>657</v>
      </c>
      <c r="G564" s="10" t="s">
        <v>3669</v>
      </c>
      <c r="H564" s="11" t="s">
        <v>3670</v>
      </c>
      <c r="I564" s="11" t="s">
        <v>3671</v>
      </c>
      <c r="J564" s="10" t="s">
        <v>1559</v>
      </c>
      <c r="K564" s="10" t="s">
        <v>1560</v>
      </c>
      <c r="L564" s="10" t="s">
        <v>1578</v>
      </c>
      <c r="M564" s="10" t="s">
        <v>6230</v>
      </c>
      <c r="N564" s="10">
        <v>24</v>
      </c>
      <c r="O564" s="11">
        <v>57</v>
      </c>
      <c r="P564" s="11">
        <v>5.7000000000000002E-2</v>
      </c>
      <c r="Q564" s="10" t="s">
        <v>1599</v>
      </c>
      <c r="R564" s="10">
        <v>80</v>
      </c>
      <c r="S564" s="12">
        <v>15</v>
      </c>
      <c r="T564" s="13">
        <v>37428</v>
      </c>
      <c r="U564" s="14">
        <v>2133.3960000000002</v>
      </c>
      <c r="V564" s="10">
        <v>4.78</v>
      </c>
      <c r="W564" s="15">
        <v>178905.84</v>
      </c>
      <c r="X564" s="29">
        <f>VLOOKUP($F564,Agendamento!$B:$J,9,0)</f>
        <v>46073</v>
      </c>
      <c r="Y564" s="6">
        <f>COUNTIF(Analise!F:F,'Obras e Acervos'!H564)</f>
        <v>1</v>
      </c>
    </row>
    <row r="565" spans="1:25" ht="15" customHeight="1" x14ac:dyDescent="0.25">
      <c r="A565" s="10" t="str">
        <f>CONCATENATE(LEFT(C565,12),"-",RIGHT(C565,2),"_",TEXT(X565,"ddmmaaaa"),"_",COUNTIF($C$2:C565,C565))</f>
        <v>133609660001-81_19022026_2</v>
      </c>
      <c r="B565" s="10" t="str">
        <f>CONCATENATE(LEFT(C565,12),"-",RIGHT(C565,2),"_",COUNTIF($C$2:C565,C565))</f>
        <v>133609660001-81_2</v>
      </c>
      <c r="C565" s="10" t="s">
        <v>2793</v>
      </c>
      <c r="D565" s="10" t="s">
        <v>6071</v>
      </c>
      <c r="E565" s="10" t="s">
        <v>1574</v>
      </c>
      <c r="F565" s="10" t="s">
        <v>614</v>
      </c>
      <c r="G565" s="10" t="s">
        <v>3672</v>
      </c>
      <c r="H565" s="11" t="s">
        <v>3673</v>
      </c>
      <c r="I565" s="11" t="s">
        <v>3674</v>
      </c>
      <c r="J565" s="10" t="s">
        <v>1559</v>
      </c>
      <c r="K565" s="10" t="s">
        <v>1560</v>
      </c>
      <c r="L565" s="10" t="s">
        <v>1578</v>
      </c>
      <c r="M565" s="10" t="s">
        <v>614</v>
      </c>
      <c r="N565" s="10">
        <v>80</v>
      </c>
      <c r="O565" s="11">
        <v>270</v>
      </c>
      <c r="P565" s="11">
        <v>0.27</v>
      </c>
      <c r="Q565" s="10" t="s">
        <v>1562</v>
      </c>
      <c r="R565" s="10">
        <v>80</v>
      </c>
      <c r="S565" s="12">
        <v>15</v>
      </c>
      <c r="T565" s="13">
        <v>33792</v>
      </c>
      <c r="U565" s="14">
        <v>9123.84</v>
      </c>
      <c r="V565" s="10">
        <v>11.28</v>
      </c>
      <c r="W565" s="15">
        <v>381173.75999999995</v>
      </c>
      <c r="X565" s="29">
        <f>VLOOKUP($F565,Agendamento!$B:$J,9,0)</f>
        <v>46072</v>
      </c>
      <c r="Y565" s="6">
        <f>COUNTIF(Analise!F:F,'Obras e Acervos'!H565)</f>
        <v>1</v>
      </c>
    </row>
    <row r="566" spans="1:25" ht="15" customHeight="1" x14ac:dyDescent="0.25">
      <c r="A566" s="10" t="str">
        <f>CONCATENATE(LEFT(C566,12),"-",RIGHT(C566,2),"_",TEXT(X566,"ddmmaaaa"),"_",COUNTIF($C$2:C566,C566))</f>
        <v>077425500001-25_16062026_2</v>
      </c>
      <c r="B566" s="10" t="str">
        <f>CONCATENATE(LEFT(C566,12),"-",RIGHT(C566,2),"_",COUNTIF($C$2:C566,C566))</f>
        <v>077425500001-25_2</v>
      </c>
      <c r="C566" s="10" t="s">
        <v>3122</v>
      </c>
      <c r="D566" s="10" t="s">
        <v>6114</v>
      </c>
      <c r="E566" s="10" t="s">
        <v>1574</v>
      </c>
      <c r="F566" s="10" t="s">
        <v>1530</v>
      </c>
      <c r="G566" s="10" t="s">
        <v>3675</v>
      </c>
      <c r="H566" s="11" t="s">
        <v>3676</v>
      </c>
      <c r="I566" s="11" t="s">
        <v>3677</v>
      </c>
      <c r="J566" s="10" t="s">
        <v>1559</v>
      </c>
      <c r="K566" s="10" t="s">
        <v>1560</v>
      </c>
      <c r="L566" s="10" t="s">
        <v>1578</v>
      </c>
      <c r="M566" s="10" t="s">
        <v>1530</v>
      </c>
      <c r="N566" s="10">
        <v>104</v>
      </c>
      <c r="O566" s="11">
        <v>153</v>
      </c>
      <c r="P566" s="11">
        <v>0.153</v>
      </c>
      <c r="Q566" s="10" t="s">
        <v>1562</v>
      </c>
      <c r="R566" s="10">
        <v>75</v>
      </c>
      <c r="S566" s="12">
        <v>15</v>
      </c>
      <c r="T566" s="13">
        <v>33443</v>
      </c>
      <c r="U566" s="14">
        <v>5116.7789999999995</v>
      </c>
      <c r="V566" s="10">
        <v>13.66</v>
      </c>
      <c r="W566" s="15">
        <v>456831.38</v>
      </c>
      <c r="X566" s="29">
        <f>VLOOKUP($F566,Agendamento!$B:$J,9,0)</f>
        <v>46189</v>
      </c>
      <c r="Y566" s="6">
        <f>COUNTIF(Analise!F:F,'Obras e Acervos'!H566)</f>
        <v>1</v>
      </c>
    </row>
    <row r="567" spans="1:25" ht="15" customHeight="1" x14ac:dyDescent="0.25">
      <c r="A567" s="10" t="str">
        <f>CONCATENATE(LEFT(C567,12),"-",RIGHT(C567,2),"_",TEXT(X567,"ddmmaaaa"),"_",COUNTIF($C$2:C567,C567))</f>
        <v>130421920001-40_20022026_2</v>
      </c>
      <c r="B567" s="10" t="str">
        <f>CONCATENATE(LEFT(C567,12),"-",RIGHT(C567,2),"_",COUNTIF($C$2:C567,C567))</f>
        <v>130421920001-40_2</v>
      </c>
      <c r="C567" s="10" t="s">
        <v>2494</v>
      </c>
      <c r="D567" s="10" t="s">
        <v>667</v>
      </c>
      <c r="E567" s="10" t="s">
        <v>1574</v>
      </c>
      <c r="F567" s="10" t="s">
        <v>668</v>
      </c>
      <c r="G567" s="10" t="s">
        <v>3678</v>
      </c>
      <c r="H567" s="11" t="s">
        <v>3679</v>
      </c>
      <c r="I567" s="11" t="s">
        <v>3680</v>
      </c>
      <c r="J567" s="10" t="s">
        <v>1559</v>
      </c>
      <c r="K567" s="10" t="s">
        <v>1560</v>
      </c>
      <c r="L567" s="10" t="s">
        <v>1578</v>
      </c>
      <c r="M567" s="10" t="s">
        <v>668</v>
      </c>
      <c r="N567" s="10">
        <v>48</v>
      </c>
      <c r="O567" s="11">
        <v>115</v>
      </c>
      <c r="P567" s="11">
        <v>0.115</v>
      </c>
      <c r="Q567" s="10" t="s">
        <v>1562</v>
      </c>
      <c r="R567" s="10">
        <v>80</v>
      </c>
      <c r="S567" s="12">
        <v>15</v>
      </c>
      <c r="T567" s="13">
        <v>34882</v>
      </c>
      <c r="U567" s="14">
        <v>4011.4300000000003</v>
      </c>
      <c r="V567" s="10">
        <v>7.69</v>
      </c>
      <c r="W567" s="15">
        <v>268242.58</v>
      </c>
      <c r="X567" s="29">
        <f>VLOOKUP($F567,Agendamento!$B:$J,9,0)</f>
        <v>46073</v>
      </c>
      <c r="Y567" s="6">
        <f>COUNTIF(Analise!F:F,'Obras e Acervos'!H567)</f>
        <v>1</v>
      </c>
    </row>
    <row r="568" spans="1:25" ht="15" customHeight="1" x14ac:dyDescent="0.25">
      <c r="A568" s="10" t="str">
        <f>CONCATENATE(LEFT(C568,12),"-",RIGHT(C568,2),"_",TEXT(X568,"ddmmaaaa"),"_",COUNTIF($C$2:C568,C568))</f>
        <v>050044170001-46_11022026_2</v>
      </c>
      <c r="B568" s="10" t="str">
        <f>CONCATENATE(LEFT(C568,12),"-",RIGHT(C568,2),"_",COUNTIF($C$2:C568,C568))</f>
        <v>050044170001-46_2</v>
      </c>
      <c r="C568" s="10" t="s">
        <v>2657</v>
      </c>
      <c r="D568" s="10" t="s">
        <v>6045</v>
      </c>
      <c r="E568" s="10" t="s">
        <v>1574</v>
      </c>
      <c r="F568" s="10" t="s">
        <v>301</v>
      </c>
      <c r="G568" s="10" t="s">
        <v>3681</v>
      </c>
      <c r="H568" s="11" t="s">
        <v>3682</v>
      </c>
      <c r="I568" s="11" t="s">
        <v>3683</v>
      </c>
      <c r="J568" s="10" t="s">
        <v>1559</v>
      </c>
      <c r="K568" s="10" t="s">
        <v>1560</v>
      </c>
      <c r="L568" s="10" t="s">
        <v>1578</v>
      </c>
      <c r="M568" s="10" t="s">
        <v>6231</v>
      </c>
      <c r="N568" s="10">
        <v>80</v>
      </c>
      <c r="O568" s="11">
        <v>100</v>
      </c>
      <c r="P568" s="11">
        <v>0.1</v>
      </c>
      <c r="Q568" s="10" t="s">
        <v>1608</v>
      </c>
      <c r="R568" s="10">
        <v>75</v>
      </c>
      <c r="S568" s="12">
        <v>15</v>
      </c>
      <c r="T568" s="13">
        <v>44442</v>
      </c>
      <c r="U568" s="14">
        <v>4444.2</v>
      </c>
      <c r="V568" s="10">
        <v>5.99</v>
      </c>
      <c r="W568" s="15">
        <v>266207.58</v>
      </c>
      <c r="X568" s="29">
        <f>VLOOKUP($F568,Agendamento!$B:$J,9,0)</f>
        <v>46064</v>
      </c>
      <c r="Y568" s="6">
        <f>COUNTIF(Analise!F:F,'Obras e Acervos'!H568)</f>
        <v>1</v>
      </c>
    </row>
    <row r="569" spans="1:25" ht="15" customHeight="1" x14ac:dyDescent="0.25">
      <c r="A569" s="10" t="str">
        <f>CONCATENATE(LEFT(C569,12),"-",RIGHT(C569,2),"_",TEXT(X569,"ddmmaaaa"),"_",COUNTIF($C$2:C569,C569))</f>
        <v>375947760001-97_03032026_1</v>
      </c>
      <c r="B569" s="10" t="str">
        <f>CONCATENATE(LEFT(C569,12),"-",RIGHT(C569,2),"_",COUNTIF($C$2:C569,C569))</f>
        <v>375947760001-97_1</v>
      </c>
      <c r="C569" s="10" t="s">
        <v>3684</v>
      </c>
      <c r="D569" s="10" t="s">
        <v>1276</v>
      </c>
      <c r="E569" s="10" t="s">
        <v>1574</v>
      </c>
      <c r="F569" s="10" t="s">
        <v>1277</v>
      </c>
      <c r="G569" s="10" t="s">
        <v>3685</v>
      </c>
      <c r="H569" s="11" t="s">
        <v>3686</v>
      </c>
      <c r="I569" s="11" t="s">
        <v>3687</v>
      </c>
      <c r="J569" s="10" t="s">
        <v>1559</v>
      </c>
      <c r="K569" s="10" t="s">
        <v>1560</v>
      </c>
      <c r="L569" s="10" t="s">
        <v>1578</v>
      </c>
      <c r="M569" s="10" t="s">
        <v>6232</v>
      </c>
      <c r="N569" s="10">
        <v>72</v>
      </c>
      <c r="O569" s="11">
        <v>80</v>
      </c>
      <c r="P569" s="11">
        <v>0.08</v>
      </c>
      <c r="Q569" s="10" t="s">
        <v>1608</v>
      </c>
      <c r="R569" s="10">
        <v>80</v>
      </c>
      <c r="S569" s="12">
        <v>15</v>
      </c>
      <c r="T569" s="13">
        <v>33004</v>
      </c>
      <c r="U569" s="14">
        <v>2640.32</v>
      </c>
      <c r="V569" s="10">
        <v>8.61</v>
      </c>
      <c r="W569" s="15">
        <v>284164.44</v>
      </c>
      <c r="X569" s="29">
        <f>VLOOKUP($F569,Agendamento!$B:$J,9,0)</f>
        <v>46084</v>
      </c>
      <c r="Y569" s="6">
        <f>COUNTIF(Analise!F:F,'Obras e Acervos'!H569)</f>
        <v>1</v>
      </c>
    </row>
    <row r="570" spans="1:25" ht="15" customHeight="1" x14ac:dyDescent="0.25">
      <c r="A570" s="10" t="str">
        <f>CONCATENATE(LEFT(C570,12),"-",RIGHT(C570,2),"_",TEXT(X570,"ddmmaaaa"),"_",COUNTIF($C$2:C570,C570))</f>
        <v>053600510001-48_16022026_2</v>
      </c>
      <c r="B570" s="10" t="str">
        <f>CONCATENATE(LEFT(C570,12),"-",RIGHT(C570,2),"_",COUNTIF($C$2:C570,C570))</f>
        <v>053600510001-48_2</v>
      </c>
      <c r="C570" s="10" t="s">
        <v>2988</v>
      </c>
      <c r="D570" s="10" t="s">
        <v>6096</v>
      </c>
      <c r="E570" s="10" t="s">
        <v>1574</v>
      </c>
      <c r="F570" s="10" t="s">
        <v>501</v>
      </c>
      <c r="G570" s="10" t="s">
        <v>3688</v>
      </c>
      <c r="H570" s="11" t="s">
        <v>3689</v>
      </c>
      <c r="I570" s="11" t="s">
        <v>3690</v>
      </c>
      <c r="J570" s="10" t="s">
        <v>1559</v>
      </c>
      <c r="K570" s="10" t="s">
        <v>1560</v>
      </c>
      <c r="L570" s="10" t="s">
        <v>1578</v>
      </c>
      <c r="M570" s="10" t="s">
        <v>501</v>
      </c>
      <c r="N570" s="10">
        <v>24</v>
      </c>
      <c r="O570" s="11">
        <v>150</v>
      </c>
      <c r="P570" s="11">
        <v>0.15</v>
      </c>
      <c r="Q570" s="10" t="s">
        <v>1562</v>
      </c>
      <c r="R570" s="10">
        <v>80</v>
      </c>
      <c r="S570" s="12">
        <v>15</v>
      </c>
      <c r="T570" s="13">
        <v>66061</v>
      </c>
      <c r="U570" s="14">
        <v>9909.15</v>
      </c>
      <c r="V570" s="10">
        <v>3.55</v>
      </c>
      <c r="W570" s="15">
        <v>234516.55</v>
      </c>
      <c r="X570" s="29">
        <f>VLOOKUP($F570,Agendamento!$B:$J,9,0)</f>
        <v>46069</v>
      </c>
      <c r="Y570" s="6">
        <f>COUNTIF(Analise!F:F,'Obras e Acervos'!H570)</f>
        <v>1</v>
      </c>
    </row>
    <row r="571" spans="1:25" ht="15" customHeight="1" x14ac:dyDescent="0.25">
      <c r="A571" s="10" t="str">
        <f>CONCATENATE(LEFT(C571,12),"-",RIGHT(C571,2),"_",TEXT(X571,"ddmmaaaa"),"_",COUNTIF($C$2:C571,C571))</f>
        <v>151949900001-13_04032026_2</v>
      </c>
      <c r="B571" s="10" t="str">
        <f>CONCATENATE(LEFT(C571,12),"-",RIGHT(C571,2),"_",COUNTIF($C$2:C571,C571))</f>
        <v>151949900001-13_2</v>
      </c>
      <c r="C571" s="10" t="s">
        <v>2019</v>
      </c>
      <c r="D571" s="10" t="s">
        <v>1221</v>
      </c>
      <c r="E571" s="10" t="s">
        <v>1574</v>
      </c>
      <c r="F571" s="10" t="s">
        <v>1223</v>
      </c>
      <c r="G571" s="10" t="s">
        <v>3691</v>
      </c>
      <c r="H571" s="11" t="s">
        <v>3692</v>
      </c>
      <c r="I571" s="11" t="s">
        <v>3693</v>
      </c>
      <c r="J571" s="10" t="s">
        <v>1559</v>
      </c>
      <c r="K571" s="10" t="s">
        <v>1560</v>
      </c>
      <c r="L571" s="10" t="s">
        <v>1578</v>
      </c>
      <c r="M571" s="10" t="s">
        <v>1223</v>
      </c>
      <c r="N571" s="10">
        <v>96</v>
      </c>
      <c r="O571" s="11">
        <v>125</v>
      </c>
      <c r="P571" s="11">
        <v>0.125</v>
      </c>
      <c r="Q571" s="10" t="s">
        <v>1608</v>
      </c>
      <c r="R571" s="10">
        <v>80</v>
      </c>
      <c r="S571" s="12">
        <v>15</v>
      </c>
      <c r="T571" s="13">
        <v>33989</v>
      </c>
      <c r="U571" s="14">
        <v>4248.625</v>
      </c>
      <c r="V571" s="10">
        <v>10.7</v>
      </c>
      <c r="W571" s="15">
        <v>363682.3</v>
      </c>
      <c r="X571" s="29">
        <f>VLOOKUP($F571,Agendamento!$B:$J,9,0)</f>
        <v>46085</v>
      </c>
      <c r="Y571" s="6">
        <f>COUNTIF(Analise!F:F,'Obras e Acervos'!H571)</f>
        <v>1</v>
      </c>
    </row>
    <row r="572" spans="1:25" ht="15" customHeight="1" x14ac:dyDescent="0.25">
      <c r="A572" s="10" t="str">
        <f>CONCATENATE(LEFT(C572,12),"-",RIGHT(C572,2),"_",TEXT(X572,"ddmmaaaa"),"_",COUNTIF($C$2:C572,C572))</f>
        <v>433991930001-08_04022026_2</v>
      </c>
      <c r="B572" s="10" t="str">
        <f>CONCATENATE(LEFT(C572,12),"-",RIGHT(C572,2),"_",COUNTIF($C$2:C572,C572))</f>
        <v>433991930001-08_2</v>
      </c>
      <c r="C572" s="10" t="s">
        <v>1714</v>
      </c>
      <c r="D572" s="10" t="s">
        <v>159</v>
      </c>
      <c r="E572" s="10" t="s">
        <v>1574</v>
      </c>
      <c r="F572" s="10" t="s">
        <v>161</v>
      </c>
      <c r="G572" s="10" t="s">
        <v>3694</v>
      </c>
      <c r="H572" s="11" t="s">
        <v>3695</v>
      </c>
      <c r="I572" s="11" t="s">
        <v>3696</v>
      </c>
      <c r="J572" s="10" t="s">
        <v>1559</v>
      </c>
      <c r="K572" s="10" t="s">
        <v>1560</v>
      </c>
      <c r="L572" s="10" t="s">
        <v>1578</v>
      </c>
      <c r="M572" s="10" t="s">
        <v>161</v>
      </c>
      <c r="N572" s="10">
        <v>32</v>
      </c>
      <c r="O572" s="11">
        <v>105</v>
      </c>
      <c r="P572" s="11">
        <v>0.105</v>
      </c>
      <c r="Q572" s="10" t="s">
        <v>1562</v>
      </c>
      <c r="R572" s="10">
        <v>80</v>
      </c>
      <c r="S572" s="12">
        <v>15</v>
      </c>
      <c r="T572" s="13">
        <v>33019</v>
      </c>
      <c r="U572" s="14">
        <v>3466.9949999999999</v>
      </c>
      <c r="V572" s="10">
        <v>5.96</v>
      </c>
      <c r="W572" s="15">
        <v>196793.24</v>
      </c>
      <c r="X572" s="29">
        <f>VLOOKUP($F572,Agendamento!$B:$J,9,0)</f>
        <v>46057</v>
      </c>
      <c r="Y572" s="6">
        <f>COUNTIF(Analise!F:F,'Obras e Acervos'!H572)</f>
        <v>1</v>
      </c>
    </row>
    <row r="573" spans="1:25" ht="15" customHeight="1" x14ac:dyDescent="0.25">
      <c r="A573" s="10" t="str">
        <f>CONCATENATE(LEFT(C573,12),"-",RIGHT(C573,2),"_",TEXT(X573,"ddmmaaaa"),"_",COUNTIF($C$2:C573,C573))</f>
        <v>146747400001-18_05032026_2</v>
      </c>
      <c r="B573" s="10" t="str">
        <f>CONCATENATE(LEFT(C573,12),"-",RIGHT(C573,2),"_",COUNTIF($C$2:C573,C573))</f>
        <v>146747400001-18_2</v>
      </c>
      <c r="C573" s="38" t="s">
        <v>5760</v>
      </c>
      <c r="D573" s="10" t="s">
        <v>1253</v>
      </c>
      <c r="E573" s="10" t="s">
        <v>1574</v>
      </c>
      <c r="F573" s="10" t="s">
        <v>1254</v>
      </c>
      <c r="G573" s="10" t="s">
        <v>3697</v>
      </c>
      <c r="H573" s="11" t="s">
        <v>3698</v>
      </c>
      <c r="I573" s="11" t="s">
        <v>3699</v>
      </c>
      <c r="J573" s="10" t="s">
        <v>1559</v>
      </c>
      <c r="K573" s="10" t="s">
        <v>1560</v>
      </c>
      <c r="L573" s="10" t="s">
        <v>1578</v>
      </c>
      <c r="M573" s="10" t="s">
        <v>1254</v>
      </c>
      <c r="N573" s="10">
        <v>112</v>
      </c>
      <c r="O573" s="11">
        <v>140</v>
      </c>
      <c r="P573" s="11">
        <v>0.14000000000000001</v>
      </c>
      <c r="Q573" s="10" t="s">
        <v>1608</v>
      </c>
      <c r="R573" s="10">
        <v>80</v>
      </c>
      <c r="S573" s="12">
        <v>16</v>
      </c>
      <c r="T573" s="13">
        <v>33591</v>
      </c>
      <c r="U573" s="14">
        <v>4702.7400000000007</v>
      </c>
      <c r="V573" s="10">
        <v>12.15</v>
      </c>
      <c r="W573" s="15">
        <v>408130.65</v>
      </c>
      <c r="X573" s="29">
        <f>VLOOKUP($F573,Agendamento!$B:$J,9,0)</f>
        <v>46086</v>
      </c>
      <c r="Y573" s="6">
        <f>COUNTIF(Analise!F:F,'Obras e Acervos'!H573)</f>
        <v>1</v>
      </c>
    </row>
    <row r="574" spans="1:25" ht="15" customHeight="1" x14ac:dyDescent="0.25">
      <c r="A574" s="10" t="str">
        <f>CONCATENATE(LEFT(C574,12),"-",RIGHT(C574,2),"_",TEXT(X574,"ddmmaaaa"),"_",COUNTIF($C$2:C574,C574))</f>
        <v>317286620001-06_27022026_1</v>
      </c>
      <c r="B574" s="10" t="str">
        <f>CONCATENATE(LEFT(C574,12),"-",RIGHT(C574,2),"_",COUNTIF($C$2:C574,C574))</f>
        <v>317286620001-06_1</v>
      </c>
      <c r="C574" s="10" t="s">
        <v>3700</v>
      </c>
      <c r="D574" s="10" t="s">
        <v>6133</v>
      </c>
      <c r="E574" s="10" t="s">
        <v>1574</v>
      </c>
      <c r="F574" s="10" t="s">
        <v>956</v>
      </c>
      <c r="G574" s="10" t="s">
        <v>3701</v>
      </c>
      <c r="H574" s="11" t="s">
        <v>3702</v>
      </c>
      <c r="I574" s="11" t="s">
        <v>3703</v>
      </c>
      <c r="J574" s="10" t="s">
        <v>1559</v>
      </c>
      <c r="K574" s="10" t="s">
        <v>1560</v>
      </c>
      <c r="L574" s="10" t="s">
        <v>1578</v>
      </c>
      <c r="M574" s="10" t="s">
        <v>956</v>
      </c>
      <c r="N574" s="10">
        <v>40</v>
      </c>
      <c r="O574" s="11">
        <v>100</v>
      </c>
      <c r="P574" s="11">
        <v>0.1</v>
      </c>
      <c r="Q574" s="10" t="s">
        <v>1608</v>
      </c>
      <c r="R574" s="10">
        <v>80</v>
      </c>
      <c r="S574" s="12">
        <v>16</v>
      </c>
      <c r="T574" s="13">
        <v>29333</v>
      </c>
      <c r="U574" s="14">
        <v>2933.3</v>
      </c>
      <c r="V574" s="10">
        <v>5.83</v>
      </c>
      <c r="W574" s="15">
        <v>171011.39</v>
      </c>
      <c r="X574" s="29">
        <f>VLOOKUP($F574,Agendamento!$B:$J,9,0)</f>
        <v>46080</v>
      </c>
      <c r="Y574" s="6">
        <f>COUNTIF(Analise!F:F,'Obras e Acervos'!H574)</f>
        <v>1</v>
      </c>
    </row>
    <row r="575" spans="1:25" ht="15" customHeight="1" x14ac:dyDescent="0.25">
      <c r="A575" s="10" t="str">
        <f>CONCATENATE(LEFT(C575,12),"-",RIGHT(C575,2),"_",TEXT(X575,"ddmmaaaa"),"_",COUNTIF($C$2:C575,C575))</f>
        <v>433988210001-30_02032026_1</v>
      </c>
      <c r="B575" s="10" t="str">
        <f>CONCATENATE(LEFT(C575,12),"-",RIGHT(C575,2),"_",COUNTIF($C$2:C575,C575))</f>
        <v>433988210001-30_1</v>
      </c>
      <c r="C575" s="10" t="s">
        <v>3704</v>
      </c>
      <c r="D575" s="10" t="s">
        <v>1052</v>
      </c>
      <c r="E575" s="10" t="s">
        <v>1574</v>
      </c>
      <c r="F575" s="10" t="s">
        <v>1053</v>
      </c>
      <c r="G575" s="10" t="s">
        <v>3705</v>
      </c>
      <c r="H575" s="11" t="s">
        <v>3706</v>
      </c>
      <c r="I575" s="11" t="s">
        <v>3707</v>
      </c>
      <c r="J575" s="10" t="s">
        <v>1559</v>
      </c>
      <c r="K575" s="10" t="s">
        <v>1560</v>
      </c>
      <c r="L575" s="10" t="s">
        <v>1578</v>
      </c>
      <c r="M575" s="10" t="s">
        <v>1053</v>
      </c>
      <c r="N575" s="10">
        <v>24</v>
      </c>
      <c r="O575" s="11">
        <v>90</v>
      </c>
      <c r="P575" s="11">
        <v>0.09</v>
      </c>
      <c r="Q575" s="10" t="s">
        <v>1562</v>
      </c>
      <c r="R575" s="10">
        <v>80</v>
      </c>
      <c r="S575" s="12">
        <v>16</v>
      </c>
      <c r="T575" s="13">
        <v>45211</v>
      </c>
      <c r="U575" s="14">
        <v>4068.99</v>
      </c>
      <c r="V575" s="10">
        <v>4.2699999999999996</v>
      </c>
      <c r="W575" s="15">
        <v>193050.96999999997</v>
      </c>
      <c r="X575" s="29">
        <f>VLOOKUP($F575,Agendamento!$B:$J,9,0)</f>
        <v>46083</v>
      </c>
      <c r="Y575" s="6">
        <f>COUNTIF(Analise!F:F,'Obras e Acervos'!H575)</f>
        <v>1</v>
      </c>
    </row>
    <row r="576" spans="1:25" ht="15" customHeight="1" x14ac:dyDescent="0.25">
      <c r="A576" s="10" t="str">
        <f>CONCATENATE(LEFT(C576,12),"-",RIGHT(C576,2),"_",TEXT(X576,"ddmmaaaa"),"_",COUNTIF($C$2:C576,C576))</f>
        <v>411286730001-09_24022026_2</v>
      </c>
      <c r="B576" s="10" t="str">
        <f>CONCATENATE(LEFT(C576,12),"-",RIGHT(C576,2),"_",COUNTIF($C$2:C576,C576))</f>
        <v>411286730001-09_2</v>
      </c>
      <c r="C576" s="10" t="s">
        <v>1726</v>
      </c>
      <c r="D576" s="10" t="s">
        <v>774</v>
      </c>
      <c r="E576" s="10" t="s">
        <v>1574</v>
      </c>
      <c r="F576" s="10" t="s">
        <v>775</v>
      </c>
      <c r="G576" s="10" t="s">
        <v>3708</v>
      </c>
      <c r="H576" s="11" t="s">
        <v>3709</v>
      </c>
      <c r="I576" s="11" t="s">
        <v>3710</v>
      </c>
      <c r="J576" s="10" t="s">
        <v>1559</v>
      </c>
      <c r="K576" s="10" t="s">
        <v>1560</v>
      </c>
      <c r="L576" s="10" t="s">
        <v>1578</v>
      </c>
      <c r="M576" s="10" t="s">
        <v>775</v>
      </c>
      <c r="N576" s="10">
        <v>32</v>
      </c>
      <c r="O576" s="11">
        <v>113</v>
      </c>
      <c r="P576" s="11">
        <v>0.113</v>
      </c>
      <c r="Q576" s="10" t="s">
        <v>1562</v>
      </c>
      <c r="R576" s="10">
        <v>80</v>
      </c>
      <c r="S576" s="12">
        <v>16</v>
      </c>
      <c r="T576" s="13">
        <v>31258</v>
      </c>
      <c r="U576" s="14">
        <v>3532.154</v>
      </c>
      <c r="V576" s="10">
        <v>6.39</v>
      </c>
      <c r="W576" s="15">
        <v>199738.62</v>
      </c>
      <c r="X576" s="29">
        <f>VLOOKUP($F576,Agendamento!$B:$J,9,0)</f>
        <v>46077</v>
      </c>
      <c r="Y576" s="6">
        <f>COUNTIF(Analise!F:F,'Obras e Acervos'!H576)</f>
        <v>1</v>
      </c>
    </row>
    <row r="577" spans="1:25" ht="15" customHeight="1" x14ac:dyDescent="0.25">
      <c r="A577" s="10" t="str">
        <f>CONCATENATE(LEFT(C577,12),"-",RIGHT(C577,2),"_",TEXT(X577,"ddmmaaaa"),"_",COUNTIF($C$2:C577,C577))</f>
        <v>393714780001-63_19022026_1</v>
      </c>
      <c r="B577" s="10" t="str">
        <f>CONCATENATE(LEFT(C577,12),"-",RIGHT(C577,2),"_",COUNTIF($C$2:C577,C577))</f>
        <v>393714780001-63_1</v>
      </c>
      <c r="C577" s="10" t="s">
        <v>3711</v>
      </c>
      <c r="D577" s="10" t="s">
        <v>632</v>
      </c>
      <c r="E577" s="10" t="s">
        <v>1574</v>
      </c>
      <c r="F577" s="10" t="s">
        <v>633</v>
      </c>
      <c r="G577" s="10" t="s">
        <v>3712</v>
      </c>
      <c r="H577" s="11" t="s">
        <v>3713</v>
      </c>
      <c r="I577" s="11" t="s">
        <v>3714</v>
      </c>
      <c r="J577" s="10" t="s">
        <v>1559</v>
      </c>
      <c r="K577" s="10" t="s">
        <v>1560</v>
      </c>
      <c r="L577" s="10" t="s">
        <v>1578</v>
      </c>
      <c r="M577" s="10" t="s">
        <v>633</v>
      </c>
      <c r="N577" s="10">
        <v>64</v>
      </c>
      <c r="O577" s="11">
        <v>200</v>
      </c>
      <c r="P577" s="11">
        <v>0.2</v>
      </c>
      <c r="Q577" s="10" t="s">
        <v>1562</v>
      </c>
      <c r="R577" s="10">
        <v>80</v>
      </c>
      <c r="S577" s="12">
        <v>16</v>
      </c>
      <c r="T577" s="13">
        <v>31030</v>
      </c>
      <c r="U577" s="14">
        <v>6206</v>
      </c>
      <c r="V577" s="10">
        <v>10.19</v>
      </c>
      <c r="W577" s="15">
        <v>316195.7</v>
      </c>
      <c r="X577" s="29">
        <f>VLOOKUP($F577,Agendamento!$B:$J,9,0)</f>
        <v>46072</v>
      </c>
      <c r="Y577" s="6">
        <f>COUNTIF(Analise!F:F,'Obras e Acervos'!H577)</f>
        <v>1</v>
      </c>
    </row>
    <row r="578" spans="1:25" ht="15" customHeight="1" x14ac:dyDescent="0.25">
      <c r="A578" s="10" t="str">
        <f>CONCATENATE(LEFT(C578,12),"-",RIGHT(C578,2),"_",TEXT(X578,"ddmmaaaa"),"_",COUNTIF($C$2:C578,C578))</f>
        <v>288258240001-10_12022026_2</v>
      </c>
      <c r="B578" s="10" t="str">
        <f>CONCATENATE(LEFT(C578,12),"-",RIGHT(C578,2),"_",COUNTIF($C$2:C578,C578))</f>
        <v>288258240001-10_2</v>
      </c>
      <c r="C578" s="10" t="s">
        <v>3012</v>
      </c>
      <c r="D578" s="10" t="s">
        <v>6099</v>
      </c>
      <c r="E578" s="10" t="s">
        <v>1574</v>
      </c>
      <c r="F578" s="10" t="s">
        <v>386</v>
      </c>
      <c r="G578" s="10" t="s">
        <v>3715</v>
      </c>
      <c r="H578" s="11" t="s">
        <v>3716</v>
      </c>
      <c r="I578" s="11" t="s">
        <v>3717</v>
      </c>
      <c r="J578" s="10" t="s">
        <v>1559</v>
      </c>
      <c r="K578" s="10" t="s">
        <v>1560</v>
      </c>
      <c r="L578" s="10" t="s">
        <v>1578</v>
      </c>
      <c r="M578" s="10" t="s">
        <v>386</v>
      </c>
      <c r="N578" s="10">
        <v>36</v>
      </c>
      <c r="O578" s="11">
        <v>100</v>
      </c>
      <c r="P578" s="11">
        <v>0.1</v>
      </c>
      <c r="Q578" s="10" t="s">
        <v>1562</v>
      </c>
      <c r="R578" s="10">
        <v>80</v>
      </c>
      <c r="S578" s="12">
        <v>16</v>
      </c>
      <c r="T578" s="13">
        <v>37166</v>
      </c>
      <c r="U578" s="14">
        <v>3716.6000000000004</v>
      </c>
      <c r="V578" s="10">
        <v>6.3</v>
      </c>
      <c r="W578" s="15">
        <v>234145.8</v>
      </c>
      <c r="X578" s="29">
        <f>VLOOKUP($F578,Agendamento!$B:$J,9,0)</f>
        <v>46065</v>
      </c>
      <c r="Y578" s="6">
        <f>COUNTIF(Analise!F:F,'Obras e Acervos'!H578)</f>
        <v>1</v>
      </c>
    </row>
    <row r="579" spans="1:25" ht="15" customHeight="1" x14ac:dyDescent="0.25">
      <c r="A579" s="10" t="str">
        <f>CONCATENATE(LEFT(C579,12),"-",RIGHT(C579,2),"_",TEXT(X579,"ddmmaaaa"),"_",COUNTIF($C$2:C579,C579))</f>
        <v>114065460001-63_02032026_2</v>
      </c>
      <c r="B579" s="10" t="str">
        <f>CONCATENATE(LEFT(C579,12),"-",RIGHT(C579,2),"_",COUNTIF($C$2:C579,C579))</f>
        <v>114065460001-63_2</v>
      </c>
      <c r="C579" s="10" t="s">
        <v>1579</v>
      </c>
      <c r="D579" s="10" t="s">
        <v>857</v>
      </c>
      <c r="E579" s="10" t="s">
        <v>1574</v>
      </c>
      <c r="F579" s="10" t="s">
        <v>1069</v>
      </c>
      <c r="G579" s="10" t="s">
        <v>3718</v>
      </c>
      <c r="H579" s="11" t="s">
        <v>3719</v>
      </c>
      <c r="I579" s="11" t="s">
        <v>3720</v>
      </c>
      <c r="J579" s="10" t="s">
        <v>1559</v>
      </c>
      <c r="K579" s="10" t="s">
        <v>1560</v>
      </c>
      <c r="L579" s="10" t="s">
        <v>1578</v>
      </c>
      <c r="M579" s="10" t="s">
        <v>1069</v>
      </c>
      <c r="N579" s="10">
        <v>40</v>
      </c>
      <c r="O579" s="11">
        <v>124</v>
      </c>
      <c r="P579" s="11">
        <v>0.124</v>
      </c>
      <c r="Q579" s="10" t="s">
        <v>1562</v>
      </c>
      <c r="R579" s="10">
        <v>80</v>
      </c>
      <c r="S579" s="12">
        <v>16</v>
      </c>
      <c r="T579" s="13">
        <v>33288</v>
      </c>
      <c r="U579" s="14">
        <v>4127.7119999999995</v>
      </c>
      <c r="V579" s="10">
        <v>6.83</v>
      </c>
      <c r="W579" s="15">
        <v>227357.04</v>
      </c>
      <c r="X579" s="29">
        <f>VLOOKUP($F579,Agendamento!$B:$J,9,0)</f>
        <v>46083</v>
      </c>
      <c r="Y579" s="6">
        <f>COUNTIF(Analise!F:F,'Obras e Acervos'!H579)</f>
        <v>1</v>
      </c>
    </row>
    <row r="580" spans="1:25" ht="15" customHeight="1" x14ac:dyDescent="0.25">
      <c r="A580" s="10" t="str">
        <f>CONCATENATE(LEFT(C580,12),"-",RIGHT(C580,2),"_",TEXT(X580,"ddmmaaaa"),"_",COUNTIF($C$2:C580,C580))</f>
        <v>053346270001-00_18022026_2</v>
      </c>
      <c r="B580" s="10" t="str">
        <f>CONCATENATE(LEFT(C580,12),"-",RIGHT(C580,2),"_",COUNTIF($C$2:C580,C580))</f>
        <v>053346270001-00_2</v>
      </c>
      <c r="C580" s="10" t="s">
        <v>2050</v>
      </c>
      <c r="D580" s="10" t="s">
        <v>561</v>
      </c>
      <c r="E580" s="10" t="s">
        <v>1574</v>
      </c>
      <c r="F580" s="10" t="s">
        <v>562</v>
      </c>
      <c r="G580" s="10" t="s">
        <v>3721</v>
      </c>
      <c r="H580" s="11" t="s">
        <v>3722</v>
      </c>
      <c r="I580" s="11" t="s">
        <v>3723</v>
      </c>
      <c r="J580" s="10" t="s">
        <v>1559</v>
      </c>
      <c r="K580" s="10" t="s">
        <v>1560</v>
      </c>
      <c r="L580" s="10" t="s">
        <v>1578</v>
      </c>
      <c r="M580" s="10" t="s">
        <v>562</v>
      </c>
      <c r="N580" s="10">
        <v>120</v>
      </c>
      <c r="O580" s="11">
        <v>140</v>
      </c>
      <c r="P580" s="11">
        <v>0.14000000000000001</v>
      </c>
      <c r="Q580" s="10" t="s">
        <v>1608</v>
      </c>
      <c r="R580" s="10">
        <v>75</v>
      </c>
      <c r="S580" s="12">
        <v>16</v>
      </c>
      <c r="T580" s="13">
        <v>44635</v>
      </c>
      <c r="U580" s="14">
        <v>6248.9000000000005</v>
      </c>
      <c r="V580" s="10">
        <v>10.66</v>
      </c>
      <c r="W580" s="15">
        <v>475809.10000000003</v>
      </c>
      <c r="X580" s="29">
        <f>VLOOKUP($F580,Agendamento!$B:$J,9,0)</f>
        <v>46071</v>
      </c>
      <c r="Y580" s="6">
        <f>COUNTIF(Analise!F:F,'Obras e Acervos'!H580)</f>
        <v>1</v>
      </c>
    </row>
    <row r="581" spans="1:25" ht="15" customHeight="1" x14ac:dyDescent="0.25">
      <c r="A581" s="10" t="str">
        <f>CONCATENATE(LEFT(C581,12),"-",RIGHT(C581,2),"_",TEXT(X581,"ddmmaaaa"),"_",COUNTIF($C$2:C581,C581))</f>
        <v>611016710001-33_27022026_2</v>
      </c>
      <c r="B581" s="10" t="str">
        <f>CONCATENATE(LEFT(C581,12),"-",RIGHT(C581,2),"_",COUNTIF($C$2:C581,C581))</f>
        <v>611016710001-33_2</v>
      </c>
      <c r="C581" s="10" t="s">
        <v>2375</v>
      </c>
      <c r="D581" s="10" t="s">
        <v>6007</v>
      </c>
      <c r="E581" s="10" t="s">
        <v>1574</v>
      </c>
      <c r="F581" s="10" t="s">
        <v>984</v>
      </c>
      <c r="G581" s="10" t="s">
        <v>3724</v>
      </c>
      <c r="H581" s="11" t="s">
        <v>3725</v>
      </c>
      <c r="I581" s="11" t="s">
        <v>3726</v>
      </c>
      <c r="J581" s="10" t="s">
        <v>1559</v>
      </c>
      <c r="K581" s="10" t="s">
        <v>1560</v>
      </c>
      <c r="L581" s="10" t="s">
        <v>1578</v>
      </c>
      <c r="M581" s="10" t="s">
        <v>984</v>
      </c>
      <c r="N581" s="10">
        <v>32</v>
      </c>
      <c r="O581" s="11">
        <v>93</v>
      </c>
      <c r="P581" s="11">
        <v>9.2999999999999999E-2</v>
      </c>
      <c r="Q581" s="10" t="s">
        <v>1562</v>
      </c>
      <c r="R581" s="10">
        <v>80</v>
      </c>
      <c r="S581" s="12">
        <v>16</v>
      </c>
      <c r="T581" s="13">
        <v>32121</v>
      </c>
      <c r="U581" s="14">
        <v>2987.2530000000002</v>
      </c>
      <c r="V581" s="10">
        <v>6.35</v>
      </c>
      <c r="W581" s="15">
        <v>203968.34999999998</v>
      </c>
      <c r="X581" s="29">
        <f>VLOOKUP($F581,Agendamento!$B:$J,9,0)</f>
        <v>46080</v>
      </c>
      <c r="Y581" s="6">
        <f>COUNTIF(Analise!F:F,'Obras e Acervos'!H581)</f>
        <v>1</v>
      </c>
    </row>
    <row r="582" spans="1:25" ht="15" customHeight="1" x14ac:dyDescent="0.25">
      <c r="A582" s="10" t="str">
        <f>CONCATENATE(LEFT(C582,12),"-",RIGHT(C582,2),"_",TEXT(X582,"ddmmaaaa"),"_",COUNTIF($C$2:C582,C582))</f>
        <v>876397610001-76_09022026_2</v>
      </c>
      <c r="B582" s="10" t="str">
        <f>CONCATENATE(LEFT(C582,12),"-",RIGHT(C582,2),"_",COUNTIF($C$2:C582,C582))</f>
        <v>876397610001-76_2</v>
      </c>
      <c r="C582" s="10" t="s">
        <v>2070</v>
      </c>
      <c r="D582" s="10" t="s">
        <v>5962</v>
      </c>
      <c r="E582" s="10" t="s">
        <v>1574</v>
      </c>
      <c r="F582" s="10" t="s">
        <v>228</v>
      </c>
      <c r="G582" s="10" t="s">
        <v>3727</v>
      </c>
      <c r="H582" s="11" t="s">
        <v>3728</v>
      </c>
      <c r="I582" s="11" t="s">
        <v>3729</v>
      </c>
      <c r="J582" s="10" t="s">
        <v>1559</v>
      </c>
      <c r="K582" s="10" t="s">
        <v>1560</v>
      </c>
      <c r="L582" s="10" t="s">
        <v>1578</v>
      </c>
      <c r="M582" s="10" t="s">
        <v>228</v>
      </c>
      <c r="N582" s="10">
        <v>40</v>
      </c>
      <c r="O582" s="11">
        <v>57</v>
      </c>
      <c r="P582" s="11">
        <v>5.7000000000000002E-2</v>
      </c>
      <c r="Q582" s="10" t="s">
        <v>1608</v>
      </c>
      <c r="R582" s="10">
        <v>80</v>
      </c>
      <c r="S582" s="12">
        <v>16</v>
      </c>
      <c r="T582" s="13">
        <v>30227</v>
      </c>
      <c r="U582" s="14">
        <v>1722.9390000000001</v>
      </c>
      <c r="V582" s="10">
        <v>6.3</v>
      </c>
      <c r="W582" s="15">
        <v>190430.1</v>
      </c>
      <c r="X582" s="29">
        <f>VLOOKUP($F582,Agendamento!$B:$J,9,0)</f>
        <v>46062</v>
      </c>
      <c r="Y582" s="6">
        <f>COUNTIF(Analise!F:F,'Obras e Acervos'!H582)</f>
        <v>1</v>
      </c>
    </row>
    <row r="583" spans="1:25" ht="15" customHeight="1" x14ac:dyDescent="0.25">
      <c r="A583" s="10" t="str">
        <f>CONCATENATE(LEFT(C583,12),"-",RIGHT(C583,2),"_",TEXT(X583,"ddmmaaaa"),"_",COUNTIF($C$2:C583,C583))</f>
        <v>434145020001-71_26022026_1</v>
      </c>
      <c r="B583" s="10" t="str">
        <f>CONCATENATE(LEFT(C583,12),"-",RIGHT(C583,2),"_",COUNTIF($C$2:C583,C583))</f>
        <v>434145020001-71_1</v>
      </c>
      <c r="C583" s="10" t="s">
        <v>3730</v>
      </c>
      <c r="D583" s="10" t="s">
        <v>926</v>
      </c>
      <c r="E583" s="10" t="s">
        <v>1574</v>
      </c>
      <c r="F583" s="10" t="s">
        <v>927</v>
      </c>
      <c r="G583" s="10" t="s">
        <v>3731</v>
      </c>
      <c r="H583" s="11" t="s">
        <v>3732</v>
      </c>
      <c r="I583" s="11" t="s">
        <v>3733</v>
      </c>
      <c r="J583" s="10" t="s">
        <v>1559</v>
      </c>
      <c r="K583" s="10" t="s">
        <v>1560</v>
      </c>
      <c r="L583" s="10" t="s">
        <v>1578</v>
      </c>
      <c r="M583" s="10" t="s">
        <v>927</v>
      </c>
      <c r="N583" s="10">
        <v>40</v>
      </c>
      <c r="O583" s="11">
        <v>104</v>
      </c>
      <c r="P583" s="11">
        <v>0.104</v>
      </c>
      <c r="Q583" s="10" t="s">
        <v>1562</v>
      </c>
      <c r="R583" s="10">
        <v>80</v>
      </c>
      <c r="S583" s="12">
        <v>16</v>
      </c>
      <c r="T583" s="13">
        <v>29333</v>
      </c>
      <c r="U583" s="14">
        <v>3050.6320000000001</v>
      </c>
      <c r="V583" s="10">
        <v>6.81</v>
      </c>
      <c r="W583" s="15">
        <v>199757.72999999998</v>
      </c>
      <c r="X583" s="29">
        <f>VLOOKUP($F583,Agendamento!$B:$J,9,0)</f>
        <v>46079</v>
      </c>
      <c r="Y583" s="6">
        <f>COUNTIF(Analise!F:F,'Obras e Acervos'!H583)</f>
        <v>1</v>
      </c>
    </row>
    <row r="584" spans="1:25" ht="15" customHeight="1" x14ac:dyDescent="0.25">
      <c r="A584" s="10" t="str">
        <f>CONCATENATE(LEFT(C584,12),"-",RIGHT(C584,2),"_",TEXT(X584,"ddmmaaaa"),"_",COUNTIF($C$2:C584,C584))</f>
        <v>426016760001-80_09032026_2</v>
      </c>
      <c r="B584" s="10" t="str">
        <f>CONCATENATE(LEFT(C584,12),"-",RIGHT(C584,2),"_",COUNTIF($C$2:C584,C584))</f>
        <v>426016760001-80_2</v>
      </c>
      <c r="C584" s="10" t="s">
        <v>2238</v>
      </c>
      <c r="D584" s="10" t="s">
        <v>5985</v>
      </c>
      <c r="E584" s="10" t="s">
        <v>1574</v>
      </c>
      <c r="F584" s="10" t="s">
        <v>1322</v>
      </c>
      <c r="G584" s="10" t="s">
        <v>3734</v>
      </c>
      <c r="H584" s="11" t="s">
        <v>3735</v>
      </c>
      <c r="I584" s="11" t="s">
        <v>3736</v>
      </c>
      <c r="J584" s="10" t="s">
        <v>1559</v>
      </c>
      <c r="K584" s="10" t="s">
        <v>1560</v>
      </c>
      <c r="L584" s="10" t="s">
        <v>1578</v>
      </c>
      <c r="M584" s="10" t="s">
        <v>1322</v>
      </c>
      <c r="N584" s="10">
        <v>80</v>
      </c>
      <c r="O584" s="11">
        <v>219</v>
      </c>
      <c r="P584" s="11">
        <v>0.219</v>
      </c>
      <c r="Q584" s="10" t="s">
        <v>1562</v>
      </c>
      <c r="R584" s="10">
        <v>80</v>
      </c>
      <c r="S584" s="12">
        <v>16</v>
      </c>
      <c r="T584" s="13">
        <v>37045</v>
      </c>
      <c r="U584" s="14">
        <v>8112.8549999999996</v>
      </c>
      <c r="V584" s="10">
        <v>11.2</v>
      </c>
      <c r="W584" s="15">
        <v>414904</v>
      </c>
      <c r="X584" s="29">
        <f>VLOOKUP($F584,Agendamento!$B:$J,9,0)</f>
        <v>46090</v>
      </c>
      <c r="Y584" s="6">
        <f>COUNTIF(Analise!F:F,'Obras e Acervos'!H584)</f>
        <v>1</v>
      </c>
    </row>
    <row r="585" spans="1:25" ht="15" customHeight="1" x14ac:dyDescent="0.25">
      <c r="A585" s="10" t="str">
        <f>CONCATENATE(LEFT(C585,12),"-",RIGHT(C585,2),"_",TEXT(X585,"ddmmaaaa"),"_",COUNTIF($C$2:C585,C585))</f>
        <v>174814160001-71_26022026_2</v>
      </c>
      <c r="B585" s="10" t="str">
        <f>CONCATENATE(LEFT(C585,12),"-",RIGHT(C585,2),"_",COUNTIF($C$2:C585,C585))</f>
        <v>174814160001-71_2</v>
      </c>
      <c r="C585" s="10" t="s">
        <v>3044</v>
      </c>
      <c r="D585" s="10" t="s">
        <v>6103</v>
      </c>
      <c r="E585" s="10" t="s">
        <v>1574</v>
      </c>
      <c r="F585" s="10" t="s">
        <v>914</v>
      </c>
      <c r="G585" s="10" t="s">
        <v>3737</v>
      </c>
      <c r="H585" s="11" t="s">
        <v>3738</v>
      </c>
      <c r="I585" s="11" t="s">
        <v>3739</v>
      </c>
      <c r="J585" s="10" t="s">
        <v>1559</v>
      </c>
      <c r="K585" s="10" t="s">
        <v>1560</v>
      </c>
      <c r="L585" s="10" t="s">
        <v>1578</v>
      </c>
      <c r="M585" s="10" t="s">
        <v>914</v>
      </c>
      <c r="N585" s="10">
        <v>36</v>
      </c>
      <c r="O585" s="11">
        <v>118</v>
      </c>
      <c r="P585" s="11">
        <v>0.11799999999999999</v>
      </c>
      <c r="Q585" s="10" t="s">
        <v>1562</v>
      </c>
      <c r="R585" s="10">
        <v>80</v>
      </c>
      <c r="S585" s="12">
        <v>16</v>
      </c>
      <c r="T585" s="13">
        <v>35045</v>
      </c>
      <c r="U585" s="14">
        <v>4135.3099999999995</v>
      </c>
      <c r="V585" s="10">
        <v>6.34</v>
      </c>
      <c r="W585" s="15">
        <v>222185.3</v>
      </c>
      <c r="X585" s="29">
        <f>VLOOKUP($F585,Agendamento!$B:$J,9,0)</f>
        <v>46079</v>
      </c>
      <c r="Y585" s="6">
        <f>COUNTIF(Analise!F:F,'Obras e Acervos'!H585)</f>
        <v>1</v>
      </c>
    </row>
    <row r="586" spans="1:25" ht="15" customHeight="1" x14ac:dyDescent="0.25">
      <c r="A586" s="10" t="str">
        <f>CONCATENATE(LEFT(C586,12),"-",RIGHT(C586,2),"_",TEXT(X586,"ddmmaaaa"),"_",COUNTIF($C$2:C586,C586))</f>
        <v>132061660001-00_24022026_2</v>
      </c>
      <c r="B586" s="10" t="str">
        <f>CONCATENATE(LEFT(C586,12),"-",RIGHT(C586,2),"_",COUNTIF($C$2:C586,C586))</f>
        <v>132061660001-00_2</v>
      </c>
      <c r="C586" s="10" t="s">
        <v>1613</v>
      </c>
      <c r="D586" s="10" t="s">
        <v>5897</v>
      </c>
      <c r="E586" s="10" t="s">
        <v>1574</v>
      </c>
      <c r="F586" s="10" t="s">
        <v>793</v>
      </c>
      <c r="G586" s="10" t="s">
        <v>3740</v>
      </c>
      <c r="H586" s="11" t="s">
        <v>3741</v>
      </c>
      <c r="I586" s="11" t="s">
        <v>3742</v>
      </c>
      <c r="J586" s="10" t="s">
        <v>1559</v>
      </c>
      <c r="K586" s="10" t="s">
        <v>1560</v>
      </c>
      <c r="L586" s="10" t="s">
        <v>1578</v>
      </c>
      <c r="M586" s="10" t="s">
        <v>793</v>
      </c>
      <c r="N586" s="10">
        <v>56</v>
      </c>
      <c r="O586" s="11">
        <v>155</v>
      </c>
      <c r="P586" s="11">
        <v>0.155</v>
      </c>
      <c r="Q586" s="10" t="s">
        <v>1562</v>
      </c>
      <c r="R586" s="10">
        <v>80</v>
      </c>
      <c r="S586" s="12">
        <v>16</v>
      </c>
      <c r="T586" s="13">
        <v>31273</v>
      </c>
      <c r="U586" s="14">
        <v>4847.3149999999996</v>
      </c>
      <c r="V586" s="10">
        <v>9.23</v>
      </c>
      <c r="W586" s="15">
        <v>288649.79000000004</v>
      </c>
      <c r="X586" s="29">
        <f>VLOOKUP($F586,Agendamento!$B:$J,9,0)</f>
        <v>46077</v>
      </c>
      <c r="Y586" s="6">
        <f>COUNTIF(Analise!F:F,'Obras e Acervos'!H586)</f>
        <v>1</v>
      </c>
    </row>
    <row r="587" spans="1:25" ht="15" customHeight="1" x14ac:dyDescent="0.25">
      <c r="A587" s="10" t="str">
        <f>CONCATENATE(LEFT(C587,12),"-",RIGHT(C587,2),"_",TEXT(X587,"ddmmaaaa"),"_",COUNTIF($C$2:C587,C587))</f>
        <v>434136860001-55_03032026_2</v>
      </c>
      <c r="B587" s="10" t="str">
        <f>CONCATENATE(LEFT(C587,12),"-",RIGHT(C587,2),"_",COUNTIF($C$2:C587,C587))</f>
        <v>434136860001-55_2</v>
      </c>
      <c r="C587" s="10" t="s">
        <v>3060</v>
      </c>
      <c r="D587" s="10" t="s">
        <v>1057</v>
      </c>
      <c r="E587" s="10" t="s">
        <v>1574</v>
      </c>
      <c r="F587" s="10" t="s">
        <v>1101</v>
      </c>
      <c r="G587" s="10" t="s">
        <v>3743</v>
      </c>
      <c r="H587" s="11" t="s">
        <v>3744</v>
      </c>
      <c r="I587" s="11" t="s">
        <v>3745</v>
      </c>
      <c r="J587" s="10" t="s">
        <v>1559</v>
      </c>
      <c r="K587" s="10" t="s">
        <v>1560</v>
      </c>
      <c r="L587" s="10" t="s">
        <v>1578</v>
      </c>
      <c r="M587" s="10" t="s">
        <v>1101</v>
      </c>
      <c r="N587" s="10">
        <v>32</v>
      </c>
      <c r="O587" s="11">
        <v>68</v>
      </c>
      <c r="P587" s="11">
        <v>6.8000000000000005E-2</v>
      </c>
      <c r="Q587" s="10" t="s">
        <v>1562</v>
      </c>
      <c r="R587" s="10">
        <v>80</v>
      </c>
      <c r="S587" s="12">
        <v>16</v>
      </c>
      <c r="T587" s="13">
        <v>33530</v>
      </c>
      <c r="U587" s="14">
        <v>2280.04</v>
      </c>
      <c r="V587" s="10">
        <v>5.94</v>
      </c>
      <c r="W587" s="15">
        <v>199168.2</v>
      </c>
      <c r="X587" s="29">
        <f>VLOOKUP($F587,Agendamento!$B:$J,9,0)</f>
        <v>46084</v>
      </c>
      <c r="Y587" s="6">
        <f>COUNTIF(Analise!F:F,'Obras e Acervos'!H587)</f>
        <v>1</v>
      </c>
    </row>
    <row r="588" spans="1:25" ht="15" customHeight="1" x14ac:dyDescent="0.25">
      <c r="A588" s="10" t="str">
        <f>CONCATENATE(LEFT(C588,12),"-",RIGHT(C588,2),"_",TEXT(X588,"ddmmaaaa"),"_",COUNTIF($C$2:C588,C588))</f>
        <v>172430150001-83_11032026_2</v>
      </c>
      <c r="B588" s="10" t="str">
        <f>CONCATENATE(LEFT(C588,12),"-",RIGHT(C588,2),"_",COUNTIF($C$2:C588,C588))</f>
        <v>172430150001-83_2</v>
      </c>
      <c r="C588" s="10" t="s">
        <v>1782</v>
      </c>
      <c r="D588" s="10" t="s">
        <v>5926</v>
      </c>
      <c r="E588" s="10" t="s">
        <v>1574</v>
      </c>
      <c r="F588" s="10" t="s">
        <v>1413</v>
      </c>
      <c r="G588" s="10" t="s">
        <v>3746</v>
      </c>
      <c r="H588" s="11" t="s">
        <v>3747</v>
      </c>
      <c r="I588" s="11" t="s">
        <v>3748</v>
      </c>
      <c r="J588" s="10" t="s">
        <v>1559</v>
      </c>
      <c r="K588" s="10" t="s">
        <v>1560</v>
      </c>
      <c r="L588" s="10" t="s">
        <v>1578</v>
      </c>
      <c r="M588" s="10" t="s">
        <v>1413</v>
      </c>
      <c r="N588" s="10">
        <v>108</v>
      </c>
      <c r="O588" s="11">
        <v>315</v>
      </c>
      <c r="P588" s="11">
        <v>0.315</v>
      </c>
      <c r="Q588" s="10" t="s">
        <v>1562</v>
      </c>
      <c r="R588" s="10">
        <v>75</v>
      </c>
      <c r="S588" s="12">
        <v>16</v>
      </c>
      <c r="T588" s="13">
        <v>29727</v>
      </c>
      <c r="U588" s="14">
        <v>9364.0049999999992</v>
      </c>
      <c r="V588" s="10">
        <v>13.94</v>
      </c>
      <c r="W588" s="15">
        <v>414394.38</v>
      </c>
      <c r="X588" s="29">
        <f>VLOOKUP($F588,Agendamento!$B:$J,9,0)</f>
        <v>46092</v>
      </c>
      <c r="Y588" s="6">
        <f>COUNTIF(Analise!F:F,'Obras e Acervos'!H588)</f>
        <v>1</v>
      </c>
    </row>
    <row r="589" spans="1:25" ht="15" customHeight="1" x14ac:dyDescent="0.25">
      <c r="A589" s="10" t="str">
        <f>CONCATENATE(LEFT(C589,12),"-",RIGHT(C589,2),"_",TEXT(X589,"ddmmaaaa"),"_",COUNTIF($C$2:C589,C589))</f>
        <v>435976880001-41_16022026_2</v>
      </c>
      <c r="B589" s="10" t="str">
        <f>CONCATENATE(LEFT(C589,12),"-",RIGHT(C589,2),"_",COUNTIF($C$2:C589,C589))</f>
        <v>435976880001-41_2</v>
      </c>
      <c r="C589" s="10" t="s">
        <v>2418</v>
      </c>
      <c r="D589" s="10" t="s">
        <v>542</v>
      </c>
      <c r="E589" s="10" t="s">
        <v>1574</v>
      </c>
      <c r="F589" s="10" t="s">
        <v>543</v>
      </c>
      <c r="G589" s="10" t="s">
        <v>3749</v>
      </c>
      <c r="H589" s="11" t="s">
        <v>3750</v>
      </c>
      <c r="I589" s="11" t="s">
        <v>3751</v>
      </c>
      <c r="J589" s="10" t="s">
        <v>1559</v>
      </c>
      <c r="K589" s="10" t="s">
        <v>1560</v>
      </c>
      <c r="L589" s="10" t="s">
        <v>1578</v>
      </c>
      <c r="M589" s="10" t="s">
        <v>543</v>
      </c>
      <c r="N589" s="10">
        <v>48</v>
      </c>
      <c r="O589" s="11">
        <v>143</v>
      </c>
      <c r="P589" s="11">
        <v>0.14299999999999999</v>
      </c>
      <c r="Q589" s="10" t="s">
        <v>1562</v>
      </c>
      <c r="R589" s="10">
        <v>80</v>
      </c>
      <c r="S589" s="12">
        <v>16</v>
      </c>
      <c r="T589" s="13">
        <v>32666</v>
      </c>
      <c r="U589" s="14">
        <v>4671.2379999999994</v>
      </c>
      <c r="V589" s="10">
        <v>7.75</v>
      </c>
      <c r="W589" s="15">
        <v>253161.5</v>
      </c>
      <c r="X589" s="29">
        <f>VLOOKUP($F589,Agendamento!$B:$J,9,0)</f>
        <v>46069</v>
      </c>
      <c r="Y589" s="6">
        <f>COUNTIF(Analise!F:F,'Obras e Acervos'!H589)</f>
        <v>1</v>
      </c>
    </row>
    <row r="590" spans="1:25" ht="15" customHeight="1" x14ac:dyDescent="0.25">
      <c r="A590" s="10" t="str">
        <f>CONCATENATE(LEFT(C590,12),"-",RIGHT(C590,2),"_",TEXT(X590,"ddmmaaaa"),"_",COUNTIF($C$2:C590,C590))</f>
        <v>057642360001-18_13022026_2</v>
      </c>
      <c r="B590" s="10" t="str">
        <f>CONCATENATE(LEFT(C590,12),"-",RIGHT(C590,2),"_",COUNTIF($C$2:C590,C590))</f>
        <v>057642360001-18_2</v>
      </c>
      <c r="C590" s="10" t="s">
        <v>2741</v>
      </c>
      <c r="D590" s="10" t="s">
        <v>266</v>
      </c>
      <c r="E590" s="10" t="s">
        <v>1574</v>
      </c>
      <c r="F590" s="10" t="s">
        <v>476</v>
      </c>
      <c r="G590" s="10" t="s">
        <v>3752</v>
      </c>
      <c r="H590" s="11" t="s">
        <v>3753</v>
      </c>
      <c r="I590" s="11" t="s">
        <v>3754</v>
      </c>
      <c r="J590" s="10" t="s">
        <v>1559</v>
      </c>
      <c r="K590" s="10" t="s">
        <v>1560</v>
      </c>
      <c r="L590" s="10" t="s">
        <v>1578</v>
      </c>
      <c r="M590" s="10" t="s">
        <v>476</v>
      </c>
      <c r="N590" s="10">
        <v>144</v>
      </c>
      <c r="O590" s="11">
        <v>160</v>
      </c>
      <c r="P590" s="11">
        <v>0.16</v>
      </c>
      <c r="Q590" s="10" t="s">
        <v>1608</v>
      </c>
      <c r="R590" s="10">
        <v>80</v>
      </c>
      <c r="S590" s="12">
        <v>16</v>
      </c>
      <c r="T590" s="13">
        <v>35621</v>
      </c>
      <c r="U590" s="14">
        <v>5699.36</v>
      </c>
      <c r="V590" s="10">
        <v>14.88</v>
      </c>
      <c r="W590" s="15">
        <v>530040.48</v>
      </c>
      <c r="X590" s="29">
        <f>VLOOKUP($F590,Agendamento!$B:$J,9,0)</f>
        <v>46066</v>
      </c>
      <c r="Y590" s="6">
        <f>COUNTIF(Analise!F:F,'Obras e Acervos'!H590)</f>
        <v>1</v>
      </c>
    </row>
    <row r="591" spans="1:25" ht="15" customHeight="1" x14ac:dyDescent="0.25">
      <c r="A591" s="10" t="str">
        <f>CONCATENATE(LEFT(C591,12),"-",RIGHT(C591,2),"_",TEXT(X591,"ddmmaaaa"),"_",COUNTIF($C$2:C591,C591))</f>
        <v>424447030001-59_10022026_2</v>
      </c>
      <c r="B591" s="10" t="str">
        <f>CONCATENATE(LEFT(C591,12),"-",RIGHT(C591,2),"_",COUNTIF($C$2:C591,C591))</f>
        <v>424447030001-59_2</v>
      </c>
      <c r="C591" s="10" t="s">
        <v>1945</v>
      </c>
      <c r="D591" s="10" t="s">
        <v>243</v>
      </c>
      <c r="E591" s="10" t="s">
        <v>1574</v>
      </c>
      <c r="F591" s="10" t="s">
        <v>245</v>
      </c>
      <c r="G591" s="10" t="s">
        <v>3755</v>
      </c>
      <c r="H591" s="11" t="s">
        <v>3756</v>
      </c>
      <c r="I591" s="11" t="s">
        <v>3757</v>
      </c>
      <c r="J591" s="10" t="s">
        <v>1559</v>
      </c>
      <c r="K591" s="10" t="s">
        <v>1560</v>
      </c>
      <c r="L591" s="10" t="s">
        <v>1578</v>
      </c>
      <c r="M591" s="10" t="s">
        <v>245</v>
      </c>
      <c r="N591" s="10">
        <v>48</v>
      </c>
      <c r="O591" s="11">
        <v>141</v>
      </c>
      <c r="P591" s="11">
        <v>0.14099999999999999</v>
      </c>
      <c r="Q591" s="10" t="s">
        <v>1562</v>
      </c>
      <c r="R591" s="10">
        <v>80</v>
      </c>
      <c r="S591" s="12">
        <v>16</v>
      </c>
      <c r="T591" s="13">
        <v>31303</v>
      </c>
      <c r="U591" s="14">
        <v>4413.723</v>
      </c>
      <c r="V591" s="10">
        <v>8.27</v>
      </c>
      <c r="W591" s="15">
        <v>258875.81</v>
      </c>
      <c r="X591" s="29">
        <f>VLOOKUP($F591,Agendamento!$B:$J,9,0)</f>
        <v>46063</v>
      </c>
      <c r="Y591" s="6">
        <f>COUNTIF(Analise!F:F,'Obras e Acervos'!H591)</f>
        <v>1</v>
      </c>
    </row>
    <row r="592" spans="1:25" ht="15" customHeight="1" x14ac:dyDescent="0.25">
      <c r="A592" s="10" t="str">
        <f>CONCATENATE(LEFT(C592,12),"-",RIGHT(C592,2),"_",TEXT(X592,"ddmmaaaa"),"_",COUNTIF($C$2:C592,C592))</f>
        <v>144418800001-46_04032026_2</v>
      </c>
      <c r="B592" s="10" t="str">
        <f>CONCATENATE(LEFT(C592,12),"-",RIGHT(C592,2),"_",COUNTIF($C$2:C592,C592))</f>
        <v>144418800001-46_2</v>
      </c>
      <c r="C592" s="10" t="s">
        <v>1953</v>
      </c>
      <c r="D592" s="10" t="s">
        <v>897</v>
      </c>
      <c r="E592" s="10" t="s">
        <v>1574</v>
      </c>
      <c r="F592" s="10" t="s">
        <v>1186</v>
      </c>
      <c r="G592" s="10" t="s">
        <v>3758</v>
      </c>
      <c r="H592" s="11" t="s">
        <v>3759</v>
      </c>
      <c r="I592" s="11" t="s">
        <v>3760</v>
      </c>
      <c r="J592" s="10" t="s">
        <v>1559</v>
      </c>
      <c r="K592" s="10" t="s">
        <v>1560</v>
      </c>
      <c r="L592" s="10" t="s">
        <v>1578</v>
      </c>
      <c r="M592" s="10" t="s">
        <v>1186</v>
      </c>
      <c r="N592" s="10">
        <v>88</v>
      </c>
      <c r="O592" s="11">
        <v>260</v>
      </c>
      <c r="P592" s="11">
        <v>0.26</v>
      </c>
      <c r="Q592" s="10" t="s">
        <v>1562</v>
      </c>
      <c r="R592" s="10">
        <v>80</v>
      </c>
      <c r="S592" s="12">
        <v>16</v>
      </c>
      <c r="T592" s="13">
        <v>30985</v>
      </c>
      <c r="U592" s="14">
        <v>8056.1</v>
      </c>
      <c r="V592" s="10">
        <v>13.04</v>
      </c>
      <c r="W592" s="15">
        <v>404044.39999999997</v>
      </c>
      <c r="X592" s="29">
        <f>VLOOKUP($F592,Agendamento!$B:$J,9,0)</f>
        <v>46085</v>
      </c>
      <c r="Y592" s="6">
        <f>COUNTIF(Analise!F:F,'Obras e Acervos'!H592)</f>
        <v>1</v>
      </c>
    </row>
    <row r="593" spans="1:25" ht="15" customHeight="1" x14ac:dyDescent="0.25">
      <c r="A593" s="10" t="str">
        <f>CONCATENATE(LEFT(C593,12),"-",RIGHT(C593,2),"_",TEXT(X593,"ddmmaaaa"),"_",COUNTIF($C$2:C593,C593))</f>
        <v>174584520001-14_04032026_1</v>
      </c>
      <c r="B593" s="10" t="str">
        <f>CONCATENATE(LEFT(C593,12),"-",RIGHT(C593,2),"_",COUNTIF($C$2:C593,C593))</f>
        <v>174584520001-14_1</v>
      </c>
      <c r="C593" s="10" t="s">
        <v>3761</v>
      </c>
      <c r="D593" s="10" t="s">
        <v>6134</v>
      </c>
      <c r="E593" s="10" t="s">
        <v>1574</v>
      </c>
      <c r="F593" s="10" t="s">
        <v>1225</v>
      </c>
      <c r="G593" s="10" t="s">
        <v>3762</v>
      </c>
      <c r="H593" s="11" t="s">
        <v>3763</v>
      </c>
      <c r="I593" s="11" t="s">
        <v>3764</v>
      </c>
      <c r="J593" s="10" t="s">
        <v>1559</v>
      </c>
      <c r="K593" s="10" t="s">
        <v>1560</v>
      </c>
      <c r="L593" s="10" t="s">
        <v>1578</v>
      </c>
      <c r="M593" s="10" t="s">
        <v>1225</v>
      </c>
      <c r="N593" s="10">
        <v>36</v>
      </c>
      <c r="O593" s="11">
        <v>150</v>
      </c>
      <c r="P593" s="11">
        <v>0.15</v>
      </c>
      <c r="Q593" s="10" t="s">
        <v>1562</v>
      </c>
      <c r="R593" s="10">
        <v>72</v>
      </c>
      <c r="S593" s="12">
        <v>16</v>
      </c>
      <c r="T593" s="13">
        <v>32045</v>
      </c>
      <c r="U593" s="14">
        <v>4806.75</v>
      </c>
      <c r="V593" s="10">
        <v>6.66</v>
      </c>
      <c r="W593" s="15">
        <v>213419.7</v>
      </c>
      <c r="X593" s="29">
        <f>VLOOKUP($F593,Agendamento!$B:$J,9,0)</f>
        <v>46085</v>
      </c>
      <c r="Y593" s="6">
        <f>COUNTIF(Analise!F:F,'Obras e Acervos'!H593)</f>
        <v>1</v>
      </c>
    </row>
    <row r="594" spans="1:25" ht="15" customHeight="1" x14ac:dyDescent="0.25">
      <c r="A594" s="10" t="str">
        <f>CONCATENATE(LEFT(C594,12),"-",RIGHT(C594,2),"_",TEXT(X594,"ddmmaaaa"),"_",COUNTIF($C$2:C594,C594))</f>
        <v>196124280001-13_13022026_1</v>
      </c>
      <c r="B594" s="10" t="str">
        <f>CONCATENATE(LEFT(C594,12),"-",RIGHT(C594,2),"_",COUNTIF($C$2:C594,C594))</f>
        <v>196124280001-13_1</v>
      </c>
      <c r="C594" s="10" t="s">
        <v>3765</v>
      </c>
      <c r="D594" s="10" t="s">
        <v>6135</v>
      </c>
      <c r="E594" s="10" t="s">
        <v>1574</v>
      </c>
      <c r="F594" s="10" t="s">
        <v>497</v>
      </c>
      <c r="G594" s="10" t="s">
        <v>3766</v>
      </c>
      <c r="H594" s="11" t="s">
        <v>3767</v>
      </c>
      <c r="I594" s="11" t="s">
        <v>3768</v>
      </c>
      <c r="J594" s="10" t="s">
        <v>1559</v>
      </c>
      <c r="K594" s="10" t="s">
        <v>1560</v>
      </c>
      <c r="L594" s="10" t="s">
        <v>1578</v>
      </c>
      <c r="M594" s="10" t="s">
        <v>6233</v>
      </c>
      <c r="N594" s="10">
        <v>32</v>
      </c>
      <c r="O594" s="11">
        <v>91</v>
      </c>
      <c r="P594" s="11">
        <v>9.0999999999999998E-2</v>
      </c>
      <c r="Q594" s="10" t="s">
        <v>1562</v>
      </c>
      <c r="R594" s="10">
        <v>80</v>
      </c>
      <c r="S594" s="12">
        <v>16</v>
      </c>
      <c r="T594" s="13">
        <v>32167</v>
      </c>
      <c r="U594" s="14">
        <v>2927.1970000000001</v>
      </c>
      <c r="V594" s="10">
        <v>5.93</v>
      </c>
      <c r="W594" s="15">
        <v>190750.31</v>
      </c>
      <c r="X594" s="29">
        <f>VLOOKUP($F594,Agendamento!$B:$J,9,0)</f>
        <v>46066</v>
      </c>
      <c r="Y594" s="6">
        <f>COUNTIF(Analise!F:F,'Obras e Acervos'!H594)</f>
        <v>1</v>
      </c>
    </row>
    <row r="595" spans="1:25" ht="15" customHeight="1" x14ac:dyDescent="0.25">
      <c r="A595" s="10" t="str">
        <f>CONCATENATE(LEFT(C595,12),"-",RIGHT(C595,2),"_",TEXT(X595,"ddmmaaaa"),"_",COUNTIF($C$2:C595,C595))</f>
        <v>070704160001-25_19022026_1</v>
      </c>
      <c r="B595" s="10" t="str">
        <f>CONCATENATE(LEFT(C595,12),"-",RIGHT(C595,2),"_",COUNTIF($C$2:C595,C595))</f>
        <v>070704160001-25_1</v>
      </c>
      <c r="C595" s="10" t="s">
        <v>3769</v>
      </c>
      <c r="D595" s="10" t="s">
        <v>6136</v>
      </c>
      <c r="E595" s="10" t="s">
        <v>1574</v>
      </c>
      <c r="F595" s="10" t="s">
        <v>609</v>
      </c>
      <c r="G595" s="10" t="s">
        <v>3770</v>
      </c>
      <c r="H595" s="11" t="s">
        <v>3771</v>
      </c>
      <c r="I595" s="11" t="s">
        <v>3772</v>
      </c>
      <c r="J595" s="10" t="s">
        <v>1559</v>
      </c>
      <c r="K595" s="10" t="s">
        <v>1560</v>
      </c>
      <c r="L595" s="10" t="s">
        <v>1578</v>
      </c>
      <c r="M595" s="10" t="s">
        <v>609</v>
      </c>
      <c r="N595" s="10">
        <v>64</v>
      </c>
      <c r="O595" s="11">
        <v>105</v>
      </c>
      <c r="P595" s="11">
        <v>0.105</v>
      </c>
      <c r="Q595" s="10" t="s">
        <v>1608</v>
      </c>
      <c r="R595" s="10">
        <v>80</v>
      </c>
      <c r="S595" s="12">
        <v>16</v>
      </c>
      <c r="T595" s="13">
        <v>29788</v>
      </c>
      <c r="U595" s="14">
        <v>3127.74</v>
      </c>
      <c r="V595" s="10">
        <v>7.92</v>
      </c>
      <c r="W595" s="15">
        <v>235920.96</v>
      </c>
      <c r="X595" s="29">
        <f>VLOOKUP($F595,Agendamento!$B:$J,9,0)</f>
        <v>46072</v>
      </c>
      <c r="Y595" s="6">
        <f>COUNTIF(Analise!F:F,'Obras e Acervos'!H595)</f>
        <v>1</v>
      </c>
    </row>
    <row r="596" spans="1:25" ht="15" customHeight="1" x14ac:dyDescent="0.25">
      <c r="A596" s="10" t="str">
        <f>CONCATENATE(LEFT(C596,12),"-",RIGHT(C596,2),"_",TEXT(X596,"ddmmaaaa"),"_",COUNTIF($C$2:C596,C596))</f>
        <v>093747510001-42_26032026_2</v>
      </c>
      <c r="B596" s="10" t="str">
        <f>CONCATENATE(LEFT(C596,12),"-",RIGHT(C596,2),"_",COUNTIF($C$2:C596,C596))</f>
        <v>093747510001-42_2</v>
      </c>
      <c r="C596" s="10" t="s">
        <v>2936</v>
      </c>
      <c r="D596" s="10" t="s">
        <v>6093</v>
      </c>
      <c r="E596" s="10" t="s">
        <v>1574</v>
      </c>
      <c r="F596" s="10" t="s">
        <v>1511</v>
      </c>
      <c r="G596" s="10" t="s">
        <v>3773</v>
      </c>
      <c r="H596" s="11" t="s">
        <v>3774</v>
      </c>
      <c r="I596" s="11" t="s">
        <v>3775</v>
      </c>
      <c r="J596" s="10" t="s">
        <v>1559</v>
      </c>
      <c r="K596" s="10" t="s">
        <v>1560</v>
      </c>
      <c r="L596" s="10" t="s">
        <v>1578</v>
      </c>
      <c r="M596" s="10" t="s">
        <v>1511</v>
      </c>
      <c r="N596" s="10">
        <v>24</v>
      </c>
      <c r="O596" s="11">
        <v>57</v>
      </c>
      <c r="P596" s="11">
        <v>5.7000000000000002E-2</v>
      </c>
      <c r="Q596" s="10" t="s">
        <v>1562</v>
      </c>
      <c r="R596" s="10">
        <v>80</v>
      </c>
      <c r="S596" s="12">
        <v>16</v>
      </c>
      <c r="T596" s="13">
        <v>37863</v>
      </c>
      <c r="U596" s="14">
        <v>2158.1910000000003</v>
      </c>
      <c r="V596" s="10">
        <v>4.66</v>
      </c>
      <c r="W596" s="15">
        <v>176441.58000000002</v>
      </c>
      <c r="X596" s="29">
        <f>VLOOKUP($F596,Agendamento!$B:$J,9,0)</f>
        <v>46107</v>
      </c>
      <c r="Y596" s="6">
        <f>COUNTIF(Analise!F:F,'Obras e Acervos'!H596)</f>
        <v>1</v>
      </c>
    </row>
    <row r="597" spans="1:25" ht="15" customHeight="1" x14ac:dyDescent="0.25">
      <c r="A597" s="10" t="str">
        <f>CONCATENATE(LEFT(C597,12),"-",RIGHT(C597,2),"_",TEXT(X597,"ddmmaaaa"),"_",COUNTIF($C$2:C597,C597))</f>
        <v>044692800001-32_06022026_2</v>
      </c>
      <c r="B597" s="10" t="str">
        <f>CONCATENATE(LEFT(C597,12),"-",RIGHT(C597,2),"_",COUNTIF($C$2:C597,C597))</f>
        <v>044692800001-32_2</v>
      </c>
      <c r="C597" s="10" t="s">
        <v>1830</v>
      </c>
      <c r="D597" s="10" t="s">
        <v>5933</v>
      </c>
      <c r="E597" s="10" t="s">
        <v>1574</v>
      </c>
      <c r="F597" s="10" t="s">
        <v>194</v>
      </c>
      <c r="G597" s="10" t="s">
        <v>3776</v>
      </c>
      <c r="H597" s="11" t="s">
        <v>3777</v>
      </c>
      <c r="I597" s="11" t="s">
        <v>3778</v>
      </c>
      <c r="J597" s="10" t="s">
        <v>1559</v>
      </c>
      <c r="K597" s="10" t="s">
        <v>1560</v>
      </c>
      <c r="L597" s="10" t="s">
        <v>1578</v>
      </c>
      <c r="M597" s="10" t="s">
        <v>194</v>
      </c>
      <c r="N597" s="10">
        <v>88</v>
      </c>
      <c r="O597" s="11">
        <v>105</v>
      </c>
      <c r="P597" s="11">
        <v>0.105</v>
      </c>
      <c r="Q597" s="10" t="s">
        <v>1608</v>
      </c>
      <c r="R597" s="10">
        <v>75</v>
      </c>
      <c r="S597" s="12">
        <v>16</v>
      </c>
      <c r="T597" s="13">
        <v>40605</v>
      </c>
      <c r="U597" s="14">
        <v>4263.5249999999996</v>
      </c>
      <c r="V597" s="10">
        <v>9.0299999999999994</v>
      </c>
      <c r="W597" s="15">
        <v>366663.14999999997</v>
      </c>
      <c r="X597" s="29">
        <f>VLOOKUP($F597,Agendamento!$B:$J,9,0)</f>
        <v>46059</v>
      </c>
      <c r="Y597" s="6">
        <f>COUNTIF(Analise!F:F,'Obras e Acervos'!H597)</f>
        <v>1</v>
      </c>
    </row>
    <row r="598" spans="1:25" ht="15" customHeight="1" x14ac:dyDescent="0.25">
      <c r="A598" s="10" t="str">
        <f>CONCATENATE(LEFT(C598,12),"-",RIGHT(C598,2),"_",TEXT(X598,"ddmmaaaa"),"_",COUNTIF($C$2:C598,C598))</f>
        <v>223441030001-01_11032026_2</v>
      </c>
      <c r="B598" s="10" t="str">
        <f>CONCATENATE(LEFT(C598,12),"-",RIGHT(C598,2),"_",COUNTIF($C$2:C598,C598))</f>
        <v>223441030001-01_2</v>
      </c>
      <c r="C598" s="10" t="s">
        <v>2151</v>
      </c>
      <c r="D598" s="10" t="s">
        <v>5972</v>
      </c>
      <c r="E598" s="10" t="s">
        <v>1574</v>
      </c>
      <c r="F598" s="10" t="s">
        <v>1388</v>
      </c>
      <c r="G598" s="10" t="s">
        <v>3779</v>
      </c>
      <c r="H598" s="11" t="s">
        <v>3780</v>
      </c>
      <c r="I598" s="11" t="s">
        <v>3781</v>
      </c>
      <c r="J598" s="10" t="s">
        <v>1559</v>
      </c>
      <c r="K598" s="10" t="s">
        <v>1560</v>
      </c>
      <c r="L598" s="10" t="s">
        <v>1578</v>
      </c>
      <c r="M598" s="10" t="s">
        <v>1388</v>
      </c>
      <c r="N598" s="10">
        <v>52</v>
      </c>
      <c r="O598" s="11">
        <v>125</v>
      </c>
      <c r="P598" s="11">
        <v>0.125</v>
      </c>
      <c r="Q598" s="10" t="s">
        <v>1599</v>
      </c>
      <c r="R598" s="10">
        <v>80</v>
      </c>
      <c r="S598" s="12">
        <v>16</v>
      </c>
      <c r="T598" s="13">
        <v>30333</v>
      </c>
      <c r="U598" s="14">
        <v>3791.625</v>
      </c>
      <c r="V598" s="10">
        <v>8.85</v>
      </c>
      <c r="W598" s="15">
        <v>268447.05</v>
      </c>
      <c r="X598" s="29">
        <f>VLOOKUP($F598,Agendamento!$B:$J,9,0)</f>
        <v>46092</v>
      </c>
      <c r="Y598" s="6">
        <f>COUNTIF(Analise!F:F,'Obras e Acervos'!H598)</f>
        <v>1</v>
      </c>
    </row>
    <row r="599" spans="1:25" ht="15" customHeight="1" x14ac:dyDescent="0.25">
      <c r="A599" s="10" t="str">
        <f>CONCATENATE(LEFT(C599,12),"-",RIGHT(C599,2),"_",TEXT(X599,"ddmmaaaa"),"_",COUNTIF($C$2:C599,C599))</f>
        <v>299841480001-90_10022026_2</v>
      </c>
      <c r="B599" s="10" t="str">
        <f>CONCATENATE(LEFT(C599,12),"-",RIGHT(C599,2),"_",COUNTIF($C$2:C599,C599))</f>
        <v>299841480001-90_2</v>
      </c>
      <c r="C599" s="10" t="s">
        <v>2319</v>
      </c>
      <c r="D599" s="10" t="s">
        <v>5996</v>
      </c>
      <c r="E599" s="10" t="s">
        <v>1574</v>
      </c>
      <c r="F599" s="10" t="s">
        <v>258</v>
      </c>
      <c r="G599" s="10" t="s">
        <v>3782</v>
      </c>
      <c r="H599" s="11" t="s">
        <v>3783</v>
      </c>
      <c r="I599" s="11" t="s">
        <v>3784</v>
      </c>
      <c r="J599" s="10" t="s">
        <v>1559</v>
      </c>
      <c r="K599" s="10" t="s">
        <v>1560</v>
      </c>
      <c r="L599" s="10" t="s">
        <v>1578</v>
      </c>
      <c r="M599" s="10" t="s">
        <v>258</v>
      </c>
      <c r="N599" s="10">
        <v>56</v>
      </c>
      <c r="O599" s="11">
        <v>188</v>
      </c>
      <c r="P599" s="11">
        <v>0.188</v>
      </c>
      <c r="Q599" s="10" t="s">
        <v>1562</v>
      </c>
      <c r="R599" s="10">
        <v>80</v>
      </c>
      <c r="S599" s="12">
        <v>16</v>
      </c>
      <c r="T599" s="13">
        <v>30939</v>
      </c>
      <c r="U599" s="14">
        <v>5816.5320000000002</v>
      </c>
      <c r="V599" s="10">
        <v>9.24</v>
      </c>
      <c r="W599" s="15">
        <v>285876.36</v>
      </c>
      <c r="X599" s="29">
        <f>VLOOKUP($F599,Agendamento!$B:$J,9,0)</f>
        <v>46063</v>
      </c>
      <c r="Y599" s="6">
        <f>COUNTIF(Analise!F:F,'Obras e Acervos'!H599)</f>
        <v>1</v>
      </c>
    </row>
    <row r="600" spans="1:25" ht="15" customHeight="1" x14ac:dyDescent="0.25">
      <c r="A600" s="10" t="str">
        <f>CONCATENATE(LEFT(C600,12),"-",RIGHT(C600,2),"_",TEXT(X600,"ddmmaaaa"),"_",COUNTIF($C$2:C600,C600))</f>
        <v>150589190001-03_23022026_2</v>
      </c>
      <c r="B600" s="10" t="str">
        <f>CONCATENATE(LEFT(C600,12),"-",RIGHT(C600,2),"_",COUNTIF($C$2:C600,C600))</f>
        <v>150589190001-03_2</v>
      </c>
      <c r="C600" s="10" t="s">
        <v>2964</v>
      </c>
      <c r="D600" s="10" t="s">
        <v>705</v>
      </c>
      <c r="E600" s="10" t="s">
        <v>1574</v>
      </c>
      <c r="F600" s="10" t="s">
        <v>710</v>
      </c>
      <c r="G600" s="10" t="s">
        <v>3785</v>
      </c>
      <c r="H600" s="11" t="s">
        <v>3786</v>
      </c>
      <c r="I600" s="11" t="s">
        <v>3787</v>
      </c>
      <c r="J600" s="10" t="s">
        <v>1559</v>
      </c>
      <c r="K600" s="10" t="s">
        <v>1560</v>
      </c>
      <c r="L600" s="10" t="s">
        <v>1578</v>
      </c>
      <c r="M600" s="10" t="s">
        <v>710</v>
      </c>
      <c r="N600" s="10">
        <v>48</v>
      </c>
      <c r="O600" s="11">
        <v>143</v>
      </c>
      <c r="P600" s="11">
        <v>0.14299999999999999</v>
      </c>
      <c r="Q600" s="10" t="s">
        <v>1562</v>
      </c>
      <c r="R600" s="10">
        <v>80</v>
      </c>
      <c r="S600" s="12">
        <v>16</v>
      </c>
      <c r="T600" s="13">
        <v>30364</v>
      </c>
      <c r="U600" s="14">
        <v>4342.0519999999997</v>
      </c>
      <c r="V600" s="10">
        <v>8.31</v>
      </c>
      <c r="W600" s="15">
        <v>252324.84000000003</v>
      </c>
      <c r="X600" s="29">
        <f>VLOOKUP($F600,Agendamento!$B:$J,9,0)</f>
        <v>46076</v>
      </c>
      <c r="Y600" s="6">
        <f>COUNTIF(Analise!F:F,'Obras e Acervos'!H600)</f>
        <v>1</v>
      </c>
    </row>
    <row r="601" spans="1:25" ht="15" customHeight="1" x14ac:dyDescent="0.25">
      <c r="A601" s="10" t="str">
        <f>CONCATENATE(LEFT(C601,12),"-",RIGHT(C601,2),"_",TEXT(X601,"ddmmaaaa"),"_",COUNTIF($C$2:C601,C601))</f>
        <v>879324630001-70_19022026_2</v>
      </c>
      <c r="B601" s="10" t="str">
        <f>CONCATENATE(LEFT(C601,12),"-",RIGHT(C601,2),"_",COUNTIF($C$2:C601,C601))</f>
        <v>879324630001-70_2</v>
      </c>
      <c r="C601" s="10" t="s">
        <v>2653</v>
      </c>
      <c r="D601" s="10" t="s">
        <v>6044</v>
      </c>
      <c r="E601" s="10" t="s">
        <v>1574</v>
      </c>
      <c r="F601" s="10" t="s">
        <v>631</v>
      </c>
      <c r="G601" s="10" t="s">
        <v>3788</v>
      </c>
      <c r="H601" s="11" t="s">
        <v>3789</v>
      </c>
      <c r="I601" s="11" t="s">
        <v>3790</v>
      </c>
      <c r="J601" s="10" t="s">
        <v>1559</v>
      </c>
      <c r="K601" s="10" t="s">
        <v>1560</v>
      </c>
      <c r="L601" s="10" t="s">
        <v>1578</v>
      </c>
      <c r="M601" s="10" t="s">
        <v>631</v>
      </c>
      <c r="N601" s="10">
        <v>120</v>
      </c>
      <c r="O601" s="11">
        <v>137</v>
      </c>
      <c r="P601" s="11">
        <v>0.13700000000000001</v>
      </c>
      <c r="Q601" s="10" t="s">
        <v>1608</v>
      </c>
      <c r="R601" s="10">
        <v>75</v>
      </c>
      <c r="S601" s="12">
        <v>16</v>
      </c>
      <c r="T601" s="13">
        <v>32606</v>
      </c>
      <c r="U601" s="14">
        <v>4467.0219999999999</v>
      </c>
      <c r="V601" s="10">
        <v>11.63</v>
      </c>
      <c r="W601" s="15">
        <v>379207.78</v>
      </c>
      <c r="X601" s="29">
        <f>VLOOKUP($F601,Agendamento!$B:$J,9,0)</f>
        <v>46072</v>
      </c>
      <c r="Y601" s="6">
        <f>COUNTIF(Analise!F:F,'Obras e Acervos'!H601)</f>
        <v>1</v>
      </c>
    </row>
    <row r="602" spans="1:25" ht="15" customHeight="1" x14ac:dyDescent="0.25">
      <c r="A602" s="10" t="str">
        <f>CONCATENATE(LEFT(C602,12),"-",RIGHT(C602,2),"_",TEXT(X602,"ddmmaaaa"),"_",COUNTIF($C$2:C602,C602))</f>
        <v>271827250001-02_12022026_2</v>
      </c>
      <c r="B602" s="10" t="str">
        <f>CONCATENATE(LEFT(C602,12),"-",RIGHT(C602,2),"_",COUNTIF($C$2:C602,C602))</f>
        <v>271827250001-02_2</v>
      </c>
      <c r="C602" s="10" t="s">
        <v>2502</v>
      </c>
      <c r="D602" s="10" t="s">
        <v>362</v>
      </c>
      <c r="E602" s="10" t="s">
        <v>1574</v>
      </c>
      <c r="F602" s="10" t="s">
        <v>369</v>
      </c>
      <c r="G602" s="10" t="s">
        <v>3791</v>
      </c>
      <c r="H602" s="11" t="s">
        <v>3792</v>
      </c>
      <c r="I602" s="11" t="s">
        <v>3793</v>
      </c>
      <c r="J602" s="10" t="s">
        <v>1559</v>
      </c>
      <c r="K602" s="10" t="s">
        <v>1560</v>
      </c>
      <c r="L602" s="10" t="s">
        <v>1578</v>
      </c>
      <c r="M602" s="10" t="s">
        <v>369</v>
      </c>
      <c r="N602" s="10">
        <v>32</v>
      </c>
      <c r="O602" s="11">
        <v>105</v>
      </c>
      <c r="P602" s="11">
        <v>0.105</v>
      </c>
      <c r="Q602" s="10" t="s">
        <v>1562</v>
      </c>
      <c r="R602" s="10">
        <v>80</v>
      </c>
      <c r="S602" s="12">
        <v>16</v>
      </c>
      <c r="T602" s="13">
        <v>29515</v>
      </c>
      <c r="U602" s="14">
        <v>3099.0749999999998</v>
      </c>
      <c r="V602" s="10">
        <v>5.93</v>
      </c>
      <c r="W602" s="15">
        <v>175023.94999999998</v>
      </c>
      <c r="X602" s="29">
        <f>VLOOKUP($F602,Agendamento!$B:$J,9,0)</f>
        <v>46065</v>
      </c>
      <c r="Y602" s="6">
        <f>COUNTIF(Analise!F:F,'Obras e Acervos'!H602)</f>
        <v>1</v>
      </c>
    </row>
    <row r="603" spans="1:25" ht="15" customHeight="1" x14ac:dyDescent="0.25">
      <c r="A603" s="10" t="str">
        <f>CONCATENATE(LEFT(C603,12),"-",RIGHT(C603,2),"_",TEXT(X603,"ddmmaaaa"),"_",COUNTIF($C$2:C603,C603))</f>
        <v>196543370001-40_24022026_2</v>
      </c>
      <c r="B603" s="10" t="str">
        <f>CONCATENATE(LEFT(C603,12),"-",RIGHT(C603,2),"_",COUNTIF($C$2:C603,C603))</f>
        <v>196543370001-40_2</v>
      </c>
      <c r="C603" s="10" t="s">
        <v>3138</v>
      </c>
      <c r="D603" s="10" t="s">
        <v>6116</v>
      </c>
      <c r="E603" s="10" t="s">
        <v>1574</v>
      </c>
      <c r="F603" s="10" t="s">
        <v>772</v>
      </c>
      <c r="G603" s="10" t="s">
        <v>3794</v>
      </c>
      <c r="H603" s="11" t="s">
        <v>3795</v>
      </c>
      <c r="I603" s="11" t="s">
        <v>3796</v>
      </c>
      <c r="J603" s="10" t="s">
        <v>1559</v>
      </c>
      <c r="K603" s="10" t="s">
        <v>1560</v>
      </c>
      <c r="L603" s="10" t="s">
        <v>1578</v>
      </c>
      <c r="M603" s="10" t="s">
        <v>772</v>
      </c>
      <c r="N603" s="10">
        <v>48</v>
      </c>
      <c r="O603" s="11">
        <v>160</v>
      </c>
      <c r="P603" s="11">
        <v>0.16</v>
      </c>
      <c r="Q603" s="10" t="s">
        <v>1562</v>
      </c>
      <c r="R603" s="10">
        <v>80</v>
      </c>
      <c r="S603" s="12">
        <v>16</v>
      </c>
      <c r="T603" s="13">
        <v>29606</v>
      </c>
      <c r="U603" s="14">
        <v>4736.96</v>
      </c>
      <c r="V603" s="10">
        <v>7.67</v>
      </c>
      <c r="W603" s="15">
        <v>227078.02</v>
      </c>
      <c r="X603" s="29">
        <f>VLOOKUP($F603,Agendamento!$B:$J,9,0)</f>
        <v>46077</v>
      </c>
      <c r="Y603" s="6">
        <f>COUNTIF(Analise!F:F,'Obras e Acervos'!H603)</f>
        <v>1</v>
      </c>
    </row>
    <row r="604" spans="1:25" ht="15" customHeight="1" x14ac:dyDescent="0.25">
      <c r="A604" s="10" t="str">
        <f>CONCATENATE(LEFT(C604,12),"-",RIGHT(C604,2),"_",TEXT(X604,"ddmmaaaa"),"_",COUNTIF($C$2:C604,C604))</f>
        <v>076809040001-54_04032026_2</v>
      </c>
      <c r="B604" s="10" t="str">
        <f>CONCATENATE(LEFT(C604,12),"-",RIGHT(C604,2),"_",COUNTIF($C$2:C604,C604))</f>
        <v>076809040001-54_2</v>
      </c>
      <c r="C604" s="10" t="s">
        <v>2669</v>
      </c>
      <c r="D604" s="10" t="s">
        <v>1215</v>
      </c>
      <c r="E604" s="10" t="s">
        <v>1574</v>
      </c>
      <c r="F604" s="10" t="s">
        <v>1217</v>
      </c>
      <c r="G604" s="10" t="s">
        <v>3797</v>
      </c>
      <c r="H604" s="11" t="s">
        <v>3798</v>
      </c>
      <c r="I604" s="11" t="s">
        <v>3799</v>
      </c>
      <c r="J604" s="10" t="s">
        <v>1559</v>
      </c>
      <c r="K604" s="10" t="s">
        <v>1560</v>
      </c>
      <c r="L604" s="10" t="s">
        <v>1578</v>
      </c>
      <c r="M604" s="10" t="s">
        <v>1217</v>
      </c>
      <c r="N604" s="10">
        <v>40</v>
      </c>
      <c r="O604" s="11">
        <v>121</v>
      </c>
      <c r="P604" s="11">
        <v>0.121</v>
      </c>
      <c r="Q604" s="10" t="s">
        <v>1562</v>
      </c>
      <c r="R604" s="10">
        <v>80</v>
      </c>
      <c r="S604" s="12">
        <v>16</v>
      </c>
      <c r="T604" s="13">
        <v>34863</v>
      </c>
      <c r="U604" s="14">
        <v>4218.4229999999998</v>
      </c>
      <c r="V604" s="10">
        <v>6.8</v>
      </c>
      <c r="W604" s="15">
        <v>237068.4</v>
      </c>
      <c r="X604" s="29">
        <f>VLOOKUP($F604,Agendamento!$B:$J,9,0)</f>
        <v>46085</v>
      </c>
      <c r="Y604" s="6">
        <f>COUNTIF(Analise!F:F,'Obras e Acervos'!H604)</f>
        <v>1</v>
      </c>
    </row>
    <row r="605" spans="1:25" ht="15" customHeight="1" x14ac:dyDescent="0.25">
      <c r="A605" s="10" t="str">
        <f>CONCATENATE(LEFT(C605,12),"-",RIGHT(C605,2),"_",TEXT(X605,"ddmmaaaa"),"_",COUNTIF($C$2:C605,C605))</f>
        <v>107286130001-01_13022026_2</v>
      </c>
      <c r="B605" s="10" t="str">
        <f>CONCATENATE(LEFT(C605,12),"-",RIGHT(C605,2),"_",COUNTIF($C$2:C605,C605))</f>
        <v>107286130001-01_2</v>
      </c>
      <c r="C605" s="10" t="s">
        <v>2992</v>
      </c>
      <c r="D605" s="10" t="s">
        <v>463</v>
      </c>
      <c r="E605" s="10" t="s">
        <v>1574</v>
      </c>
      <c r="F605" s="10" t="s">
        <v>464</v>
      </c>
      <c r="G605" s="10" t="s">
        <v>3800</v>
      </c>
      <c r="H605" s="11" t="s">
        <v>3801</v>
      </c>
      <c r="I605" s="11" t="s">
        <v>3802</v>
      </c>
      <c r="J605" s="10" t="s">
        <v>1559</v>
      </c>
      <c r="K605" s="10" t="s">
        <v>1560</v>
      </c>
      <c r="L605" s="10" t="s">
        <v>1578</v>
      </c>
      <c r="M605" s="10" t="s">
        <v>464</v>
      </c>
      <c r="N605" s="10">
        <v>48</v>
      </c>
      <c r="O605" s="11">
        <v>119</v>
      </c>
      <c r="P605" s="11">
        <v>0.11899999999999999</v>
      </c>
      <c r="Q605" s="10" t="s">
        <v>1562</v>
      </c>
      <c r="R605" s="10">
        <v>80</v>
      </c>
      <c r="S605" s="12">
        <v>16</v>
      </c>
      <c r="T605" s="13">
        <v>32106</v>
      </c>
      <c r="U605" s="14">
        <v>3820.614</v>
      </c>
      <c r="V605" s="10">
        <v>8.25</v>
      </c>
      <c r="W605" s="15">
        <v>264874.5</v>
      </c>
      <c r="X605" s="29">
        <f>VLOOKUP($F605,Agendamento!$B:$J,9,0)</f>
        <v>46066</v>
      </c>
      <c r="Y605" s="6">
        <f>COUNTIF(Analise!F:F,'Obras e Acervos'!H605)</f>
        <v>1</v>
      </c>
    </row>
    <row r="606" spans="1:25" ht="15" customHeight="1" x14ac:dyDescent="0.25">
      <c r="A606" s="10" t="str">
        <f>CONCATENATE(LEFT(C606,12),"-",RIGHT(C606,2),"_",TEXT(X606,"ddmmaaaa"),"_",COUNTIF($C$2:C606,C606))</f>
        <v>199080820001-03_20022026_2</v>
      </c>
      <c r="B606" s="10" t="str">
        <f>CONCATENATE(LEFT(C606,12),"-",RIGHT(C606,2),"_",COUNTIF($C$2:C606,C606))</f>
        <v>199080820001-03_2</v>
      </c>
      <c r="C606" s="10" t="s">
        <v>3146</v>
      </c>
      <c r="D606" s="10" t="s">
        <v>375</v>
      </c>
      <c r="E606" s="10" t="s">
        <v>1574</v>
      </c>
      <c r="F606" s="10" t="s">
        <v>675</v>
      </c>
      <c r="G606" s="10" t="s">
        <v>3803</v>
      </c>
      <c r="H606" s="11" t="s">
        <v>3804</v>
      </c>
      <c r="I606" s="11" t="s">
        <v>3805</v>
      </c>
      <c r="J606" s="10" t="s">
        <v>1559</v>
      </c>
      <c r="K606" s="10" t="s">
        <v>1560</v>
      </c>
      <c r="L606" s="10" t="s">
        <v>1578</v>
      </c>
      <c r="M606" s="10" t="s">
        <v>675</v>
      </c>
      <c r="N606" s="10">
        <v>48</v>
      </c>
      <c r="O606" s="11">
        <v>145</v>
      </c>
      <c r="P606" s="11">
        <v>0.14499999999999999</v>
      </c>
      <c r="Q606" s="10" t="s">
        <v>1562</v>
      </c>
      <c r="R606" s="10">
        <v>80</v>
      </c>
      <c r="S606" s="12">
        <v>16</v>
      </c>
      <c r="T606" s="13">
        <v>29712</v>
      </c>
      <c r="U606" s="14">
        <v>4308.24</v>
      </c>
      <c r="V606" s="10">
        <v>7.73</v>
      </c>
      <c r="W606" s="15">
        <v>229673.76</v>
      </c>
      <c r="X606" s="29">
        <f>VLOOKUP($F606,Agendamento!$B:$J,9,0)</f>
        <v>46073</v>
      </c>
      <c r="Y606" s="6">
        <f>COUNTIF(Analise!F:F,'Obras e Acervos'!H606)</f>
        <v>1</v>
      </c>
    </row>
    <row r="607" spans="1:25" ht="15" customHeight="1" x14ac:dyDescent="0.25">
      <c r="A607" s="10" t="str">
        <f>CONCATENATE(LEFT(C607,12),"-",RIGHT(C607,2),"_",TEXT(X607,"ddmmaaaa"),"_",COUNTIF($C$2:C607,C607))</f>
        <v>433994490001-87_24022026_2</v>
      </c>
      <c r="B607" s="10" t="str">
        <f>CONCATENATE(LEFT(C607,12),"-",RIGHT(C607,2),"_",COUNTIF($C$2:C607,C607))</f>
        <v>433994490001-87_2</v>
      </c>
      <c r="C607" s="10" t="s">
        <v>2828</v>
      </c>
      <c r="D607" s="10" t="s">
        <v>785</v>
      </c>
      <c r="E607" s="10" t="s">
        <v>1574</v>
      </c>
      <c r="F607" s="10" t="s">
        <v>786</v>
      </c>
      <c r="G607" s="10" t="s">
        <v>3806</v>
      </c>
      <c r="H607" s="11" t="s">
        <v>3807</v>
      </c>
      <c r="I607" s="11" t="s">
        <v>3808</v>
      </c>
      <c r="J607" s="10" t="s">
        <v>1559</v>
      </c>
      <c r="K607" s="10" t="s">
        <v>1560</v>
      </c>
      <c r="L607" s="10" t="s">
        <v>1578</v>
      </c>
      <c r="M607" s="10" t="s">
        <v>786</v>
      </c>
      <c r="N607" s="10">
        <v>72</v>
      </c>
      <c r="O607" s="11">
        <v>210</v>
      </c>
      <c r="P607" s="11">
        <v>0.21</v>
      </c>
      <c r="Q607" s="10" t="s">
        <v>1562</v>
      </c>
      <c r="R607" s="10">
        <v>80</v>
      </c>
      <c r="S607" s="12">
        <v>16</v>
      </c>
      <c r="T607" s="13">
        <v>36833</v>
      </c>
      <c r="U607" s="14">
        <v>7734.9299999999994</v>
      </c>
      <c r="V607" s="10">
        <v>10.3</v>
      </c>
      <c r="W607" s="15">
        <v>379379.9</v>
      </c>
      <c r="X607" s="29">
        <f>VLOOKUP($F607,Agendamento!$B:$J,9,0)</f>
        <v>46077</v>
      </c>
      <c r="Y607" s="6">
        <f>COUNTIF(Analise!F:F,'Obras e Acervos'!H607)</f>
        <v>1</v>
      </c>
    </row>
    <row r="608" spans="1:25" ht="15" customHeight="1" x14ac:dyDescent="0.25">
      <c r="A608" s="10" t="str">
        <f>CONCATENATE(LEFT(C608,12),"-",RIGHT(C608,2),"_",TEXT(X608,"ddmmaaaa"),"_",COUNTIF($C$2:C608,C608))</f>
        <v>016001270001-04_02032026_2</v>
      </c>
      <c r="B608" s="10" t="str">
        <f>CONCATENATE(LEFT(C608,12),"-",RIGHT(C608,2),"_",COUNTIF($C$2:C608,C608))</f>
        <v>016001270001-04_2</v>
      </c>
      <c r="C608" s="10" t="s">
        <v>2518</v>
      </c>
      <c r="D608" s="10" t="s">
        <v>6026</v>
      </c>
      <c r="E608" s="10" t="s">
        <v>1574</v>
      </c>
      <c r="F608" s="10" t="s">
        <v>1023</v>
      </c>
      <c r="G608" s="10" t="s">
        <v>3809</v>
      </c>
      <c r="H608" s="11" t="s">
        <v>3810</v>
      </c>
      <c r="I608" s="11" t="s">
        <v>3811</v>
      </c>
      <c r="J608" s="10" t="s">
        <v>1559</v>
      </c>
      <c r="K608" s="10" t="s">
        <v>1560</v>
      </c>
      <c r="L608" s="10" t="s">
        <v>1578</v>
      </c>
      <c r="M608" s="10" t="s">
        <v>6234</v>
      </c>
      <c r="N608" s="10">
        <v>192</v>
      </c>
      <c r="O608" s="11">
        <v>459</v>
      </c>
      <c r="P608" s="11">
        <v>0.45900000000000002</v>
      </c>
      <c r="Q608" s="10" t="s">
        <v>1562</v>
      </c>
      <c r="R608" s="10">
        <v>80</v>
      </c>
      <c r="S608" s="12">
        <v>17</v>
      </c>
      <c r="T608" s="13">
        <v>51457</v>
      </c>
      <c r="U608" s="14">
        <v>23618.763000000003</v>
      </c>
      <c r="V608" s="10">
        <v>19.239999999999998</v>
      </c>
      <c r="W608" s="15">
        <v>990032.67999999993</v>
      </c>
      <c r="X608" s="29">
        <f>VLOOKUP($F608,Agendamento!$B:$J,9,0)</f>
        <v>46083</v>
      </c>
      <c r="Y608" s="6">
        <f>COUNTIF(Analise!F:F,'Obras e Acervos'!H608)</f>
        <v>1</v>
      </c>
    </row>
    <row r="609" spans="1:25" ht="15" customHeight="1" x14ac:dyDescent="0.25">
      <c r="A609" s="10" t="str">
        <f>CONCATENATE(LEFT(C609,12),"-",RIGHT(C609,2),"_",TEXT(X609,"ddmmaaaa"),"_",COUNTIF($C$2:C609,C609))</f>
        <v>442905940001-98_03032026_2</v>
      </c>
      <c r="B609" s="10" t="str">
        <f>CONCATENATE(LEFT(C609,12),"-",RIGHT(C609,2),"_",COUNTIF($C$2:C609,C609))</f>
        <v>442905940001-98_2</v>
      </c>
      <c r="C609" s="10" t="s">
        <v>2034</v>
      </c>
      <c r="D609" s="10" t="s">
        <v>1148</v>
      </c>
      <c r="E609" s="10" t="s">
        <v>1574</v>
      </c>
      <c r="F609" s="10" t="s">
        <v>1149</v>
      </c>
      <c r="G609" s="10" t="s">
        <v>3812</v>
      </c>
      <c r="H609" s="11" t="s">
        <v>3813</v>
      </c>
      <c r="I609" s="11" t="s">
        <v>3814</v>
      </c>
      <c r="J609" s="10" t="s">
        <v>1559</v>
      </c>
      <c r="K609" s="10" t="s">
        <v>1560</v>
      </c>
      <c r="L609" s="10" t="s">
        <v>1578</v>
      </c>
      <c r="M609" s="10" t="s">
        <v>1149</v>
      </c>
      <c r="N609" s="10">
        <v>52</v>
      </c>
      <c r="O609" s="11">
        <v>260</v>
      </c>
      <c r="P609" s="11">
        <v>0.26</v>
      </c>
      <c r="Q609" s="10" t="s">
        <v>1562</v>
      </c>
      <c r="R609" s="10">
        <v>80</v>
      </c>
      <c r="S609" s="12">
        <v>17</v>
      </c>
      <c r="T609" s="13">
        <v>31868</v>
      </c>
      <c r="U609" s="14">
        <v>8285.68</v>
      </c>
      <c r="V609" s="10">
        <v>8.73</v>
      </c>
      <c r="W609" s="15">
        <v>278207.64</v>
      </c>
      <c r="X609" s="29">
        <f>VLOOKUP($F609,Agendamento!$B:$J,9,0)</f>
        <v>46084</v>
      </c>
      <c r="Y609" s="6">
        <f>COUNTIF(Analise!F:F,'Obras e Acervos'!H609)</f>
        <v>1</v>
      </c>
    </row>
    <row r="610" spans="1:25" ht="15" customHeight="1" x14ac:dyDescent="0.25">
      <c r="A610" s="10" t="str">
        <f>CONCATENATE(LEFT(C610,12),"-",RIGHT(C610,2),"_",TEXT(X610,"ddmmaaaa"),"_",COUNTIF($C$2:C610,C610))</f>
        <v>146747400001-18_05032026_3</v>
      </c>
      <c r="B610" s="10" t="str">
        <f>CONCATENATE(LEFT(C610,12),"-",RIGHT(C610,2),"_",COUNTIF($C$2:C610,C610))</f>
        <v>146747400001-18_3</v>
      </c>
      <c r="C610" s="38" t="s">
        <v>5760</v>
      </c>
      <c r="D610" s="10" t="s">
        <v>1255</v>
      </c>
      <c r="E610" s="10" t="s">
        <v>1574</v>
      </c>
      <c r="F610" s="10" t="s">
        <v>1256</v>
      </c>
      <c r="G610" s="10" t="s">
        <v>3815</v>
      </c>
      <c r="H610" s="11" t="s">
        <v>3816</v>
      </c>
      <c r="I610" s="11" t="s">
        <v>3817</v>
      </c>
      <c r="J610" s="10" t="s">
        <v>1559</v>
      </c>
      <c r="K610" s="10" t="s">
        <v>1560</v>
      </c>
      <c r="L610" s="10" t="s">
        <v>1578</v>
      </c>
      <c r="M610" s="10" t="s">
        <v>1256</v>
      </c>
      <c r="N610" s="10">
        <v>128</v>
      </c>
      <c r="O610" s="11">
        <v>150</v>
      </c>
      <c r="P610" s="11">
        <v>0.15</v>
      </c>
      <c r="Q610" s="10" t="s">
        <v>1608</v>
      </c>
      <c r="R610" s="10">
        <v>80</v>
      </c>
      <c r="S610" s="12">
        <v>17</v>
      </c>
      <c r="T610" s="13">
        <v>27898</v>
      </c>
      <c r="U610" s="14">
        <v>4184.7</v>
      </c>
      <c r="V610" s="10">
        <v>13.65</v>
      </c>
      <c r="W610" s="15">
        <v>380807.7</v>
      </c>
      <c r="X610" s="29">
        <f>VLOOKUP($F610,Agendamento!$B:$J,9,0)</f>
        <v>46086</v>
      </c>
      <c r="Y610" s="6">
        <f>COUNTIF(Analise!F:F,'Obras e Acervos'!H610)</f>
        <v>1</v>
      </c>
    </row>
    <row r="611" spans="1:25" ht="15" customHeight="1" x14ac:dyDescent="0.25">
      <c r="A611" s="10" t="str">
        <f>CONCATENATE(LEFT(C611,12),"-",RIGHT(C611,2),"_",TEXT(X611,"ddmmaaaa"),"_",COUNTIF($C$2:C611,C611))</f>
        <v>111532450001-75_03032026_1</v>
      </c>
      <c r="B611" s="10" t="str">
        <f>CONCATENATE(LEFT(C611,12),"-",RIGHT(C611,2),"_",COUNTIF($C$2:C611,C611))</f>
        <v>111532450001-75_1</v>
      </c>
      <c r="C611" s="10" t="s">
        <v>3818</v>
      </c>
      <c r="D611" s="10" t="s">
        <v>6137</v>
      </c>
      <c r="E611" s="10" t="s">
        <v>1574</v>
      </c>
      <c r="F611" s="10" t="s">
        <v>1153</v>
      </c>
      <c r="G611" s="10" t="s">
        <v>3819</v>
      </c>
      <c r="H611" s="11" t="s">
        <v>3820</v>
      </c>
      <c r="I611" s="11" t="s">
        <v>3821</v>
      </c>
      <c r="J611" s="10" t="s">
        <v>1559</v>
      </c>
      <c r="K611" s="10" t="s">
        <v>1560</v>
      </c>
      <c r="L611" s="10" t="s">
        <v>1578</v>
      </c>
      <c r="M611" s="10" t="s">
        <v>1153</v>
      </c>
      <c r="N611" s="10">
        <v>56</v>
      </c>
      <c r="O611" s="11">
        <v>210</v>
      </c>
      <c r="P611" s="11">
        <v>0.21</v>
      </c>
      <c r="Q611" s="10" t="s">
        <v>1562</v>
      </c>
      <c r="R611" s="10">
        <v>80</v>
      </c>
      <c r="S611" s="12">
        <v>17</v>
      </c>
      <c r="T611" s="13">
        <v>26883</v>
      </c>
      <c r="U611" s="14">
        <v>5645.4299999999994</v>
      </c>
      <c r="V611" s="10">
        <v>9.25</v>
      </c>
      <c r="W611" s="15">
        <v>248667.75</v>
      </c>
      <c r="X611" s="29">
        <f>VLOOKUP($F611,Agendamento!$B:$J,9,0)</f>
        <v>46084</v>
      </c>
      <c r="Y611" s="6">
        <f>COUNTIF(Analise!F:F,'Obras e Acervos'!H611)</f>
        <v>1</v>
      </c>
    </row>
    <row r="612" spans="1:25" ht="15" customHeight="1" x14ac:dyDescent="0.25">
      <c r="A612" s="10" t="str">
        <f>CONCATENATE(LEFT(C612,12),"-",RIGHT(C612,2),"_",TEXT(X612,"ddmmaaaa"),"_",COUNTIF($C$2:C612,C612))</f>
        <v>421578060001-38_10032026_2</v>
      </c>
      <c r="B612" s="10" t="str">
        <f>CONCATENATE(LEFT(C612,12),"-",RIGHT(C612,2),"_",COUNTIF($C$2:C612,C612))</f>
        <v>421578060001-38_2</v>
      </c>
      <c r="C612" s="10" t="s">
        <v>1570</v>
      </c>
      <c r="D612" s="10" t="s">
        <v>1344</v>
      </c>
      <c r="E612" s="10" t="s">
        <v>1574</v>
      </c>
      <c r="F612" s="10" t="s">
        <v>1346</v>
      </c>
      <c r="G612" s="10" t="s">
        <v>3822</v>
      </c>
      <c r="H612" s="11" t="s">
        <v>3823</v>
      </c>
      <c r="I612" s="11" t="s">
        <v>3824</v>
      </c>
      <c r="J612" s="10" t="s">
        <v>1559</v>
      </c>
      <c r="K612" s="10" t="s">
        <v>1560</v>
      </c>
      <c r="L612" s="10" t="s">
        <v>1578</v>
      </c>
      <c r="M612" s="10" t="s">
        <v>1346</v>
      </c>
      <c r="N612" s="10">
        <v>44</v>
      </c>
      <c r="O612" s="11">
        <v>130</v>
      </c>
      <c r="P612" s="11">
        <v>0.13</v>
      </c>
      <c r="Q612" s="10" t="s">
        <v>1562</v>
      </c>
      <c r="R612" s="10">
        <v>80</v>
      </c>
      <c r="S612" s="12">
        <v>17</v>
      </c>
      <c r="T612" s="13">
        <v>27004</v>
      </c>
      <c r="U612" s="14">
        <v>3510.52</v>
      </c>
      <c r="V612" s="10">
        <v>7.82</v>
      </c>
      <c r="W612" s="15">
        <v>211171.28</v>
      </c>
      <c r="X612" s="29">
        <f>VLOOKUP($F612,Agendamento!$B:$J,9,0)</f>
        <v>46091</v>
      </c>
      <c r="Y612" s="6">
        <f>COUNTIF(Analise!F:F,'Obras e Acervos'!H612)</f>
        <v>1</v>
      </c>
    </row>
    <row r="613" spans="1:25" ht="15" customHeight="1" x14ac:dyDescent="0.25">
      <c r="A613" s="10" t="str">
        <f>CONCATENATE(LEFT(C613,12),"-",RIGHT(C613,2),"_",TEXT(X613,"ddmmaaaa"),"_",COUNTIF($C$2:C613,C613))</f>
        <v>410757770001-00_29012026_2</v>
      </c>
      <c r="B613" s="10" t="str">
        <f>CONCATENATE(LEFT(C613,12),"-",RIGHT(C613,2),"_",COUNTIF($C$2:C613,C613))</f>
        <v>410757770001-00_2</v>
      </c>
      <c r="C613" s="10" t="s">
        <v>1583</v>
      </c>
      <c r="D613" s="10" t="s">
        <v>5892</v>
      </c>
      <c r="E613" s="10" t="s">
        <v>1574</v>
      </c>
      <c r="F613" s="10" t="s">
        <v>103</v>
      </c>
      <c r="G613" s="10" t="s">
        <v>3825</v>
      </c>
      <c r="H613" s="11" t="s">
        <v>3826</v>
      </c>
      <c r="I613" s="11" t="s">
        <v>3827</v>
      </c>
      <c r="J613" s="10" t="s">
        <v>1559</v>
      </c>
      <c r="K613" s="10" t="s">
        <v>1560</v>
      </c>
      <c r="L613" s="10" t="s">
        <v>1578</v>
      </c>
      <c r="M613" s="10" t="s">
        <v>6235</v>
      </c>
      <c r="N613" s="10">
        <v>32</v>
      </c>
      <c r="O613" s="11">
        <v>76</v>
      </c>
      <c r="P613" s="11">
        <v>7.5999999999999998E-2</v>
      </c>
      <c r="Q613" s="10" t="s">
        <v>1562</v>
      </c>
      <c r="R613" s="10">
        <v>80</v>
      </c>
      <c r="S613" s="12">
        <v>17</v>
      </c>
      <c r="T613" s="13">
        <v>34867</v>
      </c>
      <c r="U613" s="14">
        <v>2649.8919999999998</v>
      </c>
      <c r="V613" s="10">
        <v>5.9</v>
      </c>
      <c r="W613" s="15">
        <v>205715.30000000002</v>
      </c>
      <c r="X613" s="29">
        <f>VLOOKUP($F613,Agendamento!$B:$J,9,0)</f>
        <v>46051</v>
      </c>
      <c r="Y613" s="6">
        <f>COUNTIF(Analise!F:F,'Obras e Acervos'!H613)</f>
        <v>1</v>
      </c>
    </row>
    <row r="614" spans="1:25" ht="15" customHeight="1" x14ac:dyDescent="0.25">
      <c r="A614" s="10" t="str">
        <f>CONCATENATE(LEFT(C614,12),"-",RIGHT(C614,2),"_",TEXT(X614,"ddmmaaaa"),"_",COUNTIF($C$2:C614,C614))</f>
        <v>236229070001-98_20022026_2</v>
      </c>
      <c r="B614" s="10" t="str">
        <f>CONCATENATE(LEFT(C614,12),"-",RIGHT(C614,2),"_",COUNTIF($C$2:C614,C614))</f>
        <v>236229070001-98_2</v>
      </c>
      <c r="C614" s="10" t="s">
        <v>2054</v>
      </c>
      <c r="D614" s="10" t="s">
        <v>5958</v>
      </c>
      <c r="E614" s="10" t="s">
        <v>1574</v>
      </c>
      <c r="F614" s="10" t="s">
        <v>672</v>
      </c>
      <c r="G614" s="10" t="s">
        <v>3828</v>
      </c>
      <c r="H614" s="11" t="s">
        <v>3829</v>
      </c>
      <c r="I614" s="11" t="s">
        <v>3830</v>
      </c>
      <c r="J614" s="10" t="s">
        <v>1559</v>
      </c>
      <c r="K614" s="10" t="s">
        <v>1560</v>
      </c>
      <c r="L614" s="10" t="s">
        <v>1578</v>
      </c>
      <c r="M614" s="10" t="s">
        <v>672</v>
      </c>
      <c r="N614" s="10">
        <v>48</v>
      </c>
      <c r="O614" s="11">
        <v>115</v>
      </c>
      <c r="P614" s="11">
        <v>0.115</v>
      </c>
      <c r="Q614" s="10" t="s">
        <v>1562</v>
      </c>
      <c r="R614" s="10">
        <v>80</v>
      </c>
      <c r="S614" s="12">
        <v>17</v>
      </c>
      <c r="T614" s="13">
        <v>26989</v>
      </c>
      <c r="U614" s="14">
        <v>3103.7350000000001</v>
      </c>
      <c r="V614" s="10">
        <v>8.2899999999999991</v>
      </c>
      <c r="W614" s="15">
        <v>223738.80999999997</v>
      </c>
      <c r="X614" s="29">
        <f>VLOOKUP($F614,Agendamento!$B:$J,9,0)</f>
        <v>46073</v>
      </c>
      <c r="Y614" s="6">
        <f>COUNTIF(Analise!F:F,'Obras e Acervos'!H614)</f>
        <v>1</v>
      </c>
    </row>
    <row r="615" spans="1:25" ht="15" customHeight="1" x14ac:dyDescent="0.25">
      <c r="A615" s="10" t="str">
        <f>CONCATENATE(LEFT(C615,12),"-",RIGHT(C615,2),"_",TEXT(X615,"ddmmaaaa"),"_",COUNTIF($C$2:C615,C615))</f>
        <v>379051280001-04_04032026_1</v>
      </c>
      <c r="B615" s="10" t="str">
        <f>CONCATENATE(LEFT(C615,12),"-",RIGHT(C615,2),"_",COUNTIF($C$2:C615,C615))</f>
        <v>379051280001-04_1</v>
      </c>
      <c r="C615" s="10" t="s">
        <v>3831</v>
      </c>
      <c r="D615" s="10" t="s">
        <v>6138</v>
      </c>
      <c r="E615" s="10" t="s">
        <v>1574</v>
      </c>
      <c r="F615" s="10" t="s">
        <v>1234</v>
      </c>
      <c r="G615" s="10" t="s">
        <v>3832</v>
      </c>
      <c r="H615" s="11" t="s">
        <v>3833</v>
      </c>
      <c r="I615" s="11" t="s">
        <v>3834</v>
      </c>
      <c r="J615" s="10" t="s">
        <v>1559</v>
      </c>
      <c r="K615" s="10" t="s">
        <v>1560</v>
      </c>
      <c r="L615" s="10" t="s">
        <v>1578</v>
      </c>
      <c r="M615" s="10" t="s">
        <v>1234</v>
      </c>
      <c r="N615" s="10">
        <v>64</v>
      </c>
      <c r="O615" s="11">
        <v>200</v>
      </c>
      <c r="P615" s="11">
        <v>0.2</v>
      </c>
      <c r="Q615" s="10" t="s">
        <v>1562</v>
      </c>
      <c r="R615" s="10">
        <v>80</v>
      </c>
      <c r="S615" s="12">
        <v>17</v>
      </c>
      <c r="T615" s="13">
        <v>29368</v>
      </c>
      <c r="U615" s="14">
        <v>5873.6</v>
      </c>
      <c r="V615" s="10">
        <v>9.33</v>
      </c>
      <c r="W615" s="15">
        <v>274003.44</v>
      </c>
      <c r="X615" s="29">
        <f>VLOOKUP($F615,Agendamento!$B:$J,9,0)</f>
        <v>46085</v>
      </c>
      <c r="Y615" s="6">
        <f>COUNTIF(Analise!F:F,'Obras e Acervos'!H615)</f>
        <v>1</v>
      </c>
    </row>
    <row r="616" spans="1:25" ht="15" customHeight="1" x14ac:dyDescent="0.25">
      <c r="A616" s="10" t="str">
        <f>CONCATENATE(LEFT(C616,12),"-",RIGHT(C616,2),"_",TEXT(X616,"ddmmaaaa"),"_",COUNTIF($C$2:C616,C616))</f>
        <v>072358880001-90_27022026_2</v>
      </c>
      <c r="B616" s="10" t="str">
        <f>CONCATENATE(LEFT(C616,12),"-",RIGHT(C616,2),"_",COUNTIF($C$2:C616,C616))</f>
        <v>072358880001-90_2</v>
      </c>
      <c r="C616" s="10" t="s">
        <v>2379</v>
      </c>
      <c r="D616" s="10" t="s">
        <v>948</v>
      </c>
      <c r="E616" s="10" t="s">
        <v>1574</v>
      </c>
      <c r="F616" s="10" t="s">
        <v>949</v>
      </c>
      <c r="G616" s="10" t="s">
        <v>3835</v>
      </c>
      <c r="H616" s="11" t="s">
        <v>3836</v>
      </c>
      <c r="I616" s="11" t="s">
        <v>3837</v>
      </c>
      <c r="J616" s="10" t="s">
        <v>1559</v>
      </c>
      <c r="K616" s="10" t="s">
        <v>1560</v>
      </c>
      <c r="L616" s="10" t="s">
        <v>1578</v>
      </c>
      <c r="M616" s="10" t="s">
        <v>949</v>
      </c>
      <c r="N616" s="10">
        <v>96</v>
      </c>
      <c r="O616" s="11">
        <v>200</v>
      </c>
      <c r="P616" s="11">
        <v>0.2</v>
      </c>
      <c r="Q616" s="10" t="s">
        <v>1608</v>
      </c>
      <c r="R616" s="10">
        <v>80</v>
      </c>
      <c r="S616" s="12">
        <v>17</v>
      </c>
      <c r="T616" s="13">
        <v>27110</v>
      </c>
      <c r="U616" s="14">
        <v>5422</v>
      </c>
      <c r="V616" s="10">
        <v>11.75</v>
      </c>
      <c r="W616" s="15">
        <v>318542.5</v>
      </c>
      <c r="X616" s="29">
        <f>VLOOKUP($F616,Agendamento!$B:$J,9,0)</f>
        <v>46080</v>
      </c>
      <c r="Y616" s="6">
        <f>COUNTIF(Analise!F:F,'Obras e Acervos'!H616)</f>
        <v>1</v>
      </c>
    </row>
    <row r="617" spans="1:25" ht="15" customHeight="1" x14ac:dyDescent="0.25">
      <c r="A617" s="10" t="str">
        <f>CONCATENATE(LEFT(C617,12),"-",RIGHT(C617,2),"_",TEXT(X617,"ddmmaaaa"),"_",COUNTIF($C$2:C617,C617))</f>
        <v>430481660001-90_11022026_2</v>
      </c>
      <c r="B617" s="10" t="str">
        <f>CONCATENATE(LEFT(C617,12),"-",RIGHT(C617,2),"_",COUNTIF($C$2:C617,C617))</f>
        <v>430481660001-90_2</v>
      </c>
      <c r="C617" s="10" t="s">
        <v>3036</v>
      </c>
      <c r="D617" s="10" t="s">
        <v>298</v>
      </c>
      <c r="E617" s="10" t="s">
        <v>1574</v>
      </c>
      <c r="F617" s="10" t="s">
        <v>299</v>
      </c>
      <c r="G617" s="10" t="s">
        <v>3838</v>
      </c>
      <c r="H617" s="11" t="s">
        <v>3839</v>
      </c>
      <c r="I617" s="11" t="s">
        <v>3840</v>
      </c>
      <c r="J617" s="10" t="s">
        <v>1559</v>
      </c>
      <c r="K617" s="10" t="s">
        <v>1560</v>
      </c>
      <c r="L617" s="10" t="s">
        <v>1578</v>
      </c>
      <c r="M617" s="10" t="s">
        <v>299</v>
      </c>
      <c r="N617" s="10">
        <v>80</v>
      </c>
      <c r="O617" s="11">
        <v>100</v>
      </c>
      <c r="P617" s="11">
        <v>0.1</v>
      </c>
      <c r="Q617" s="10" t="s">
        <v>1608</v>
      </c>
      <c r="R617" s="10">
        <v>75</v>
      </c>
      <c r="S617" s="12">
        <v>17</v>
      </c>
      <c r="T617" s="13">
        <v>42836</v>
      </c>
      <c r="U617" s="14">
        <v>4283.6000000000004</v>
      </c>
      <c r="V617" s="10">
        <v>5.58</v>
      </c>
      <c r="W617" s="15">
        <v>239024.88</v>
      </c>
      <c r="X617" s="29">
        <f>VLOOKUP($F617,Agendamento!$B:$J,9,0)</f>
        <v>46064</v>
      </c>
      <c r="Y617" s="6">
        <f>COUNTIF(Analise!F:F,'Obras e Acervos'!H617)</f>
        <v>1</v>
      </c>
    </row>
    <row r="618" spans="1:25" ht="15" customHeight="1" x14ac:dyDescent="0.25">
      <c r="A618" s="10" t="str">
        <f>CONCATENATE(LEFT(C618,12),"-",RIGHT(C618,2),"_",TEXT(X618,"ddmmaaaa"),"_",COUNTIF($C$2:C618,C618))</f>
        <v>613535790001-60_25022026_2</v>
      </c>
      <c r="B618" s="10" t="str">
        <f>CONCATENATE(LEFT(C618,12),"-",RIGHT(C618,2),"_",COUNTIF($C$2:C618,C618))</f>
        <v>613535790001-60_2</v>
      </c>
      <c r="C618" s="10" t="s">
        <v>1914</v>
      </c>
      <c r="D618" s="10" t="s">
        <v>5944</v>
      </c>
      <c r="E618" s="10" t="s">
        <v>1574</v>
      </c>
      <c r="F618" s="10" t="s">
        <v>845</v>
      </c>
      <c r="G618" s="10" t="s">
        <v>3841</v>
      </c>
      <c r="H618" s="11" t="s">
        <v>3842</v>
      </c>
      <c r="I618" s="11" t="s">
        <v>3843</v>
      </c>
      <c r="J618" s="10" t="s">
        <v>1559</v>
      </c>
      <c r="K618" s="10" t="s">
        <v>1560</v>
      </c>
      <c r="L618" s="10" t="s">
        <v>1578</v>
      </c>
      <c r="M618" s="10" t="s">
        <v>845</v>
      </c>
      <c r="N618" s="10">
        <v>40</v>
      </c>
      <c r="O618" s="11">
        <v>125</v>
      </c>
      <c r="P618" s="11">
        <v>0.125</v>
      </c>
      <c r="Q618" s="10" t="s">
        <v>1562</v>
      </c>
      <c r="R618" s="10">
        <v>80</v>
      </c>
      <c r="S618" s="12">
        <v>17</v>
      </c>
      <c r="T618" s="13">
        <v>36079</v>
      </c>
      <c r="U618" s="14">
        <v>4509.875</v>
      </c>
      <c r="V618" s="10">
        <v>6.76</v>
      </c>
      <c r="W618" s="15">
        <v>243894.03999999998</v>
      </c>
      <c r="X618" s="29">
        <f>VLOOKUP($F618,Agendamento!$B:$J,9,0)</f>
        <v>46078</v>
      </c>
      <c r="Y618" s="6">
        <f>COUNTIF(Analise!F:F,'Obras e Acervos'!H618)</f>
        <v>1</v>
      </c>
    </row>
    <row r="619" spans="1:25" ht="15" customHeight="1" x14ac:dyDescent="0.25">
      <c r="A619" s="10" t="str">
        <f>CONCATENATE(LEFT(C619,12),"-",RIGHT(C619,2),"_",TEXT(X619,"ddmmaaaa"),"_",COUNTIF($C$2:C619,C619))</f>
        <v>434138090001-58_03032026_1</v>
      </c>
      <c r="B619" s="10" t="str">
        <f>CONCATENATE(LEFT(C619,12),"-",RIGHT(C619,2),"_",COUNTIF($C$2:C619,C619))</f>
        <v>434138090001-58_1</v>
      </c>
      <c r="C619" s="10" t="s">
        <v>3844</v>
      </c>
      <c r="D619" s="10" t="s">
        <v>1108</v>
      </c>
      <c r="E619" s="10" t="s">
        <v>1574</v>
      </c>
      <c r="F619" s="10" t="s">
        <v>1109</v>
      </c>
      <c r="G619" s="10" t="s">
        <v>3845</v>
      </c>
      <c r="H619" s="11" t="s">
        <v>3846</v>
      </c>
      <c r="I619" s="11" t="s">
        <v>3847</v>
      </c>
      <c r="J619" s="10" t="s">
        <v>1559</v>
      </c>
      <c r="K619" s="10" t="s">
        <v>1560</v>
      </c>
      <c r="L619" s="10" t="s">
        <v>1578</v>
      </c>
      <c r="M619" s="10" t="s">
        <v>1109</v>
      </c>
      <c r="N619" s="10">
        <v>36</v>
      </c>
      <c r="O619" s="11">
        <v>120</v>
      </c>
      <c r="P619" s="11">
        <v>0.12</v>
      </c>
      <c r="Q619" s="10" t="s">
        <v>1562</v>
      </c>
      <c r="R619" s="10">
        <v>80</v>
      </c>
      <c r="S619" s="12">
        <v>17</v>
      </c>
      <c r="T619" s="13">
        <v>29110</v>
      </c>
      <c r="U619" s="14">
        <v>3493.2</v>
      </c>
      <c r="V619" s="10">
        <v>6.38</v>
      </c>
      <c r="W619" s="15">
        <v>185721.8</v>
      </c>
      <c r="X619" s="29">
        <f>VLOOKUP($F619,Agendamento!$B:$J,9,0)</f>
        <v>46084</v>
      </c>
      <c r="Y619" s="6">
        <f>COUNTIF(Analise!F:F,'Obras e Acervos'!H619)</f>
        <v>1</v>
      </c>
    </row>
    <row r="620" spans="1:25" ht="15" customHeight="1" x14ac:dyDescent="0.25">
      <c r="A620" s="10" t="str">
        <f>CONCATENATE(LEFT(C620,12),"-",RIGHT(C620,2),"_",TEXT(X620,"ddmmaaaa"),"_",COUNTIF($C$2:C620,C620))</f>
        <v>415730170001-15_10032026_1</v>
      </c>
      <c r="B620" s="10" t="str">
        <f>CONCATENATE(LEFT(C620,12),"-",RIGHT(C620,2),"_",COUNTIF($C$2:C620,C620))</f>
        <v>415730170001-15_1</v>
      </c>
      <c r="C620" s="10" t="s">
        <v>3848</v>
      </c>
      <c r="D620" s="10" t="s">
        <v>1338</v>
      </c>
      <c r="E620" s="10" t="s">
        <v>1574</v>
      </c>
      <c r="F620" s="10" t="s">
        <v>1339</v>
      </c>
      <c r="G620" s="10" t="s">
        <v>3849</v>
      </c>
      <c r="H620" s="11" t="s">
        <v>3850</v>
      </c>
      <c r="I620" s="11" t="s">
        <v>3851</v>
      </c>
      <c r="J620" s="10" t="s">
        <v>1559</v>
      </c>
      <c r="K620" s="10" t="s">
        <v>1560</v>
      </c>
      <c r="L620" s="10" t="s">
        <v>1578</v>
      </c>
      <c r="M620" s="10" t="s">
        <v>1339</v>
      </c>
      <c r="N620" s="10">
        <v>40</v>
      </c>
      <c r="O620" s="11">
        <v>130</v>
      </c>
      <c r="P620" s="11">
        <v>0.13</v>
      </c>
      <c r="Q620" s="10" t="s">
        <v>1562</v>
      </c>
      <c r="R620" s="10">
        <v>80</v>
      </c>
      <c r="S620" s="12">
        <v>17</v>
      </c>
      <c r="T620" s="13">
        <v>28338</v>
      </c>
      <c r="U620" s="14">
        <v>3683.94</v>
      </c>
      <c r="V620" s="10">
        <v>6.9</v>
      </c>
      <c r="W620" s="15">
        <v>195532.2</v>
      </c>
      <c r="X620" s="29">
        <f>VLOOKUP($F620,Agendamento!$B:$J,9,0)</f>
        <v>46091</v>
      </c>
      <c r="Y620" s="6">
        <f>COUNTIF(Analise!F:F,'Obras e Acervos'!H620)</f>
        <v>1</v>
      </c>
    </row>
    <row r="621" spans="1:25" ht="15" customHeight="1" x14ac:dyDescent="0.25">
      <c r="A621" s="10" t="str">
        <f>CONCATENATE(LEFT(C621,12),"-",RIGHT(C621,2),"_",TEXT(X621,"ddmmaaaa"),"_",COUNTIF($C$2:C621,C621))</f>
        <v>435906340001-54_05032026_2</v>
      </c>
      <c r="B621" s="10" t="str">
        <f>CONCATENATE(LEFT(C621,12),"-",RIGHT(C621,2),"_",COUNTIF($C$2:C621,C621))</f>
        <v>435906340001-54_2</v>
      </c>
      <c r="C621" s="10" t="s">
        <v>1926</v>
      </c>
      <c r="D621" s="10" t="s">
        <v>1259</v>
      </c>
      <c r="E621" s="10" t="s">
        <v>1574</v>
      </c>
      <c r="F621" s="10" t="s">
        <v>1260</v>
      </c>
      <c r="G621" s="10" t="s">
        <v>3852</v>
      </c>
      <c r="H621" s="11" t="s">
        <v>3853</v>
      </c>
      <c r="I621" s="11" t="s">
        <v>3854</v>
      </c>
      <c r="J621" s="10" t="s">
        <v>1559</v>
      </c>
      <c r="K621" s="10" t="s">
        <v>1560</v>
      </c>
      <c r="L621" s="10" t="s">
        <v>1578</v>
      </c>
      <c r="M621" s="10" t="s">
        <v>1260</v>
      </c>
      <c r="N621" s="10">
        <v>40</v>
      </c>
      <c r="O621" s="11">
        <v>124</v>
      </c>
      <c r="P621" s="11">
        <v>0.124</v>
      </c>
      <c r="Q621" s="10" t="s">
        <v>1562</v>
      </c>
      <c r="R621" s="10">
        <v>80</v>
      </c>
      <c r="S621" s="12">
        <v>17</v>
      </c>
      <c r="T621" s="13">
        <v>27050</v>
      </c>
      <c r="U621" s="14">
        <v>3354.2</v>
      </c>
      <c r="V621" s="10">
        <v>7.35</v>
      </c>
      <c r="W621" s="15">
        <v>198817.5</v>
      </c>
      <c r="X621" s="29">
        <f>VLOOKUP($F621,Agendamento!$B:$J,9,0)</f>
        <v>46086</v>
      </c>
      <c r="Y621" s="6">
        <f>COUNTIF(Analise!F:F,'Obras e Acervos'!H621)</f>
        <v>1</v>
      </c>
    </row>
    <row r="622" spans="1:25" ht="15" customHeight="1" x14ac:dyDescent="0.25">
      <c r="A622" s="10" t="str">
        <f>CONCATENATE(LEFT(C622,12),"-",RIGHT(C622,2),"_",TEXT(X622,"ddmmaaaa"),"_",COUNTIF($C$2:C622,C622))</f>
        <v>051369630001-30_10022026_2</v>
      </c>
      <c r="B622" s="10" t="str">
        <f>CONCATENATE(LEFT(C622,12),"-",RIGHT(C622,2),"_",COUNTIF($C$2:C622,C622))</f>
        <v>051369630001-30_2</v>
      </c>
      <c r="C622" s="10" t="s">
        <v>1617</v>
      </c>
      <c r="D622" s="10" t="s">
        <v>246</v>
      </c>
      <c r="E622" s="10" t="s">
        <v>1574</v>
      </c>
      <c r="F622" s="10" t="s">
        <v>247</v>
      </c>
      <c r="G622" s="10" t="s">
        <v>3855</v>
      </c>
      <c r="H622" s="11" t="s">
        <v>3856</v>
      </c>
      <c r="I622" s="11" t="s">
        <v>3857</v>
      </c>
      <c r="J622" s="10" t="s">
        <v>1559</v>
      </c>
      <c r="K622" s="10" t="s">
        <v>1560</v>
      </c>
      <c r="L622" s="10" t="s">
        <v>1578</v>
      </c>
      <c r="M622" s="10" t="s">
        <v>6236</v>
      </c>
      <c r="N622" s="10">
        <v>40</v>
      </c>
      <c r="O622" s="11">
        <v>122</v>
      </c>
      <c r="P622" s="11">
        <v>0.122</v>
      </c>
      <c r="Q622" s="10" t="s">
        <v>1562</v>
      </c>
      <c r="R622" s="10">
        <v>80</v>
      </c>
      <c r="S622" s="12">
        <v>17</v>
      </c>
      <c r="T622" s="13">
        <v>30686</v>
      </c>
      <c r="U622" s="14">
        <v>3743.692</v>
      </c>
      <c r="V622" s="10">
        <v>7.35</v>
      </c>
      <c r="W622" s="15">
        <v>225542.09999999998</v>
      </c>
      <c r="X622" s="29">
        <f>VLOOKUP($F622,Agendamento!$B:$J,9,0)</f>
        <v>46063</v>
      </c>
      <c r="Y622" s="6">
        <f>COUNTIF(Analise!F:F,'Obras e Acervos'!H622)</f>
        <v>1</v>
      </c>
    </row>
    <row r="623" spans="1:25" ht="15" customHeight="1" x14ac:dyDescent="0.25">
      <c r="A623" s="10" t="str">
        <f>CONCATENATE(LEFT(C623,12),"-",RIGHT(C623,2),"_",TEXT(X623,"ddmmaaaa"),"_",COUNTIF($C$2:C623,C623))</f>
        <v>401901090001-53_05032026_2</v>
      </c>
      <c r="B623" s="10" t="str">
        <f>CONCATENATE(LEFT(C623,12),"-",RIGHT(C623,2),"_",COUNTIF($C$2:C623,C623))</f>
        <v>401901090001-53_2</v>
      </c>
      <c r="C623" s="10" t="s">
        <v>2262</v>
      </c>
      <c r="D623" s="10" t="s">
        <v>5988</v>
      </c>
      <c r="E623" s="10" t="s">
        <v>1574</v>
      </c>
      <c r="F623" s="10" t="s">
        <v>1264</v>
      </c>
      <c r="G623" s="10" t="s">
        <v>3858</v>
      </c>
      <c r="H623" s="11" t="s">
        <v>3859</v>
      </c>
      <c r="I623" s="11" t="s">
        <v>3860</v>
      </c>
      <c r="J623" s="10" t="s">
        <v>1559</v>
      </c>
      <c r="K623" s="10" t="s">
        <v>1560</v>
      </c>
      <c r="L623" s="10" t="s">
        <v>1578</v>
      </c>
      <c r="M623" s="10" t="s">
        <v>1264</v>
      </c>
      <c r="N623" s="10">
        <v>40</v>
      </c>
      <c r="O623" s="11">
        <v>130</v>
      </c>
      <c r="P623" s="11">
        <v>0.13</v>
      </c>
      <c r="Q623" s="10" t="s">
        <v>1562</v>
      </c>
      <c r="R623" s="10">
        <v>80</v>
      </c>
      <c r="S623" s="12">
        <v>17</v>
      </c>
      <c r="T623" s="13">
        <v>35095</v>
      </c>
      <c r="U623" s="14">
        <v>4562.3500000000004</v>
      </c>
      <c r="V623" s="10">
        <v>6.8</v>
      </c>
      <c r="W623" s="15">
        <v>238646</v>
      </c>
      <c r="X623" s="29">
        <f>VLOOKUP($F623,Agendamento!$B:$J,9,0)</f>
        <v>46086</v>
      </c>
      <c r="Y623" s="6">
        <f>COUNTIF(Analise!F:F,'Obras e Acervos'!H623)</f>
        <v>1</v>
      </c>
    </row>
    <row r="624" spans="1:25" ht="15" customHeight="1" x14ac:dyDescent="0.25">
      <c r="A624" s="10" t="str">
        <f>CONCATENATE(LEFT(C624,12),"-",RIGHT(C624,2),"_",TEXT(X624,"ddmmaaaa"),"_",COUNTIF($C$2:C624,C624))</f>
        <v>222433750001-15_28012026_1</v>
      </c>
      <c r="B624" s="10" t="str">
        <f>CONCATENATE(LEFT(C624,12),"-",RIGHT(C624,2),"_",COUNTIF($C$2:C624,C624))</f>
        <v>222433750001-15_1</v>
      </c>
      <c r="C624" s="10" t="s">
        <v>3861</v>
      </c>
      <c r="D624" s="10" t="s">
        <v>6139</v>
      </c>
      <c r="E624" s="10" t="s">
        <v>1555</v>
      </c>
      <c r="F624" s="10" t="s">
        <v>80</v>
      </c>
      <c r="G624" s="10" t="s">
        <v>3862</v>
      </c>
      <c r="H624" s="11" t="s">
        <v>3863</v>
      </c>
      <c r="I624" s="11" t="s">
        <v>3864</v>
      </c>
      <c r="J624" s="10" t="s">
        <v>1559</v>
      </c>
      <c r="K624" s="10" t="s">
        <v>1560</v>
      </c>
      <c r="L624" s="10" t="s">
        <v>1561</v>
      </c>
      <c r="M624" s="10" t="s">
        <v>80</v>
      </c>
      <c r="N624" s="10">
        <v>32</v>
      </c>
      <c r="O624" s="11">
        <v>96</v>
      </c>
      <c r="P624" s="11">
        <v>9.6000000000000002E-2</v>
      </c>
      <c r="Q624" s="10" t="s">
        <v>1562</v>
      </c>
      <c r="R624" s="10">
        <v>75</v>
      </c>
      <c r="S624" s="12">
        <v>3</v>
      </c>
      <c r="T624" s="13">
        <v>46215</v>
      </c>
      <c r="U624" s="14">
        <v>4436.6400000000003</v>
      </c>
      <c r="V624" s="10">
        <v>5.41</v>
      </c>
      <c r="W624" s="15">
        <v>146502.80000000002</v>
      </c>
      <c r="X624" s="29">
        <f>VLOOKUP($F624,Agendamento!$B:$J,9,0)</f>
        <v>46050</v>
      </c>
      <c r="Y624" s="6">
        <f>COUNTIF(Analise!F:F,'Obras e Acervos'!H624)</f>
        <v>1</v>
      </c>
    </row>
    <row r="625" spans="1:25" ht="15" customHeight="1" x14ac:dyDescent="0.25">
      <c r="A625" s="10" t="str">
        <f>CONCATENATE(LEFT(C625,12),"-",RIGHT(C625,2),"_",TEXT(X625,"ddmmaaaa"),"_",COUNTIF($C$2:C625,C625))</f>
        <v>420552250001-95_26012026_1</v>
      </c>
      <c r="B625" s="10" t="str">
        <f>CONCATENATE(LEFT(C625,12),"-",RIGHT(C625,2),"_",COUNTIF($C$2:C625,C625))</f>
        <v>420552250001-95_1</v>
      </c>
      <c r="C625" s="16" t="s">
        <v>3865</v>
      </c>
      <c r="D625" s="16" t="s">
        <v>35</v>
      </c>
      <c r="E625" s="16" t="s">
        <v>1555</v>
      </c>
      <c r="F625" s="16" t="s">
        <v>37</v>
      </c>
      <c r="G625" s="16" t="s">
        <v>3866</v>
      </c>
      <c r="H625" s="16" t="s">
        <v>3867</v>
      </c>
      <c r="I625" s="16" t="s">
        <v>3868</v>
      </c>
      <c r="J625" s="16" t="s">
        <v>1559</v>
      </c>
      <c r="K625" s="16" t="s">
        <v>1560</v>
      </c>
      <c r="L625" s="16" t="s">
        <v>1561</v>
      </c>
      <c r="M625" s="10" t="s">
        <v>6237</v>
      </c>
      <c r="N625" s="16">
        <v>24</v>
      </c>
      <c r="O625" s="16">
        <v>79</v>
      </c>
      <c r="P625" s="16">
        <v>7.9000000000000001E-2</v>
      </c>
      <c r="Q625" s="16" t="s">
        <v>1562</v>
      </c>
      <c r="R625" s="16">
        <v>75</v>
      </c>
      <c r="S625" s="17">
        <v>4</v>
      </c>
      <c r="T625" s="18">
        <v>38929</v>
      </c>
      <c r="U625" s="19">
        <v>3075.3910000000001</v>
      </c>
      <c r="V625" s="16">
        <v>3.66</v>
      </c>
      <c r="W625" s="20">
        <v>378853.92000000004</v>
      </c>
      <c r="X625" s="29">
        <f>VLOOKUP($F625,Agendamento!$B:$J,9,0)</f>
        <v>46048</v>
      </c>
      <c r="Y625" s="6">
        <f>COUNTIF(Analise!F:F,'Obras e Acervos'!H625)</f>
        <v>1</v>
      </c>
    </row>
    <row r="626" spans="1:25" ht="15" customHeight="1" x14ac:dyDescent="0.25">
      <c r="A626" s="10" t="str">
        <f>CONCATENATE(LEFT(C626,12),"-",RIGHT(C626,2),"_",TEXT(X626,"ddmmaaaa"),"_",COUNTIF($C$2:C626,C626))</f>
        <v>354172620001-30_13022026_2</v>
      </c>
      <c r="B626" s="10" t="str">
        <f>CONCATENATE(LEFT(C626,12),"-",RIGHT(C626,2),"_",COUNTIF($C$2:C626,C626))</f>
        <v>354172620001-30_2</v>
      </c>
      <c r="C626" s="10" t="s">
        <v>3080</v>
      </c>
      <c r="D626" s="10" t="s">
        <v>6109</v>
      </c>
      <c r="E626" s="10" t="s">
        <v>1574</v>
      </c>
      <c r="F626" s="10" t="s">
        <v>470</v>
      </c>
      <c r="G626" s="10" t="s">
        <v>3869</v>
      </c>
      <c r="H626" s="11" t="s">
        <v>3870</v>
      </c>
      <c r="I626" s="11" t="s">
        <v>3871</v>
      </c>
      <c r="J626" s="10" t="s">
        <v>1559</v>
      </c>
      <c r="K626" s="10" t="s">
        <v>1560</v>
      </c>
      <c r="L626" s="10" t="s">
        <v>1578</v>
      </c>
      <c r="M626" s="10" t="s">
        <v>470</v>
      </c>
      <c r="N626" s="10">
        <v>32</v>
      </c>
      <c r="O626" s="11">
        <v>103</v>
      </c>
      <c r="P626" s="11">
        <v>0.10299999999999999</v>
      </c>
      <c r="Q626" s="10" t="s">
        <v>1562</v>
      </c>
      <c r="R626" s="10">
        <v>80</v>
      </c>
      <c r="S626" s="12">
        <v>17</v>
      </c>
      <c r="T626" s="13">
        <v>45987</v>
      </c>
      <c r="U626" s="14">
        <v>4736.6610000000001</v>
      </c>
      <c r="V626" s="10">
        <v>5.03</v>
      </c>
      <c r="W626" s="15">
        <v>231314.61000000002</v>
      </c>
      <c r="X626" s="29">
        <f>VLOOKUP($F626,Agendamento!$B:$J,9,0)</f>
        <v>46066</v>
      </c>
      <c r="Y626" s="6">
        <f>COUNTIF(Analise!F:F,'Obras e Acervos'!H626)</f>
        <v>1</v>
      </c>
    </row>
    <row r="627" spans="1:25" ht="15" customHeight="1" x14ac:dyDescent="0.25">
      <c r="A627" s="10" t="str">
        <f>CONCATENATE(LEFT(C627,12),"-",RIGHT(C627,2),"_",TEXT(X627,"ddmmaaaa"),"_",COUNTIF($C$2:C627,C627))</f>
        <v>382265060001-96_11022026_1</v>
      </c>
      <c r="B627" s="10" t="str">
        <f>CONCATENATE(LEFT(C627,12),"-",RIGHT(C627,2),"_",COUNTIF($C$2:C627,C627))</f>
        <v>382265060001-96_1</v>
      </c>
      <c r="C627" s="10" t="s">
        <v>3872</v>
      </c>
      <c r="D627" s="10" t="s">
        <v>330</v>
      </c>
      <c r="E627" s="10" t="s">
        <v>1574</v>
      </c>
      <c r="F627" s="10" t="s">
        <v>331</v>
      </c>
      <c r="G627" s="10" t="s">
        <v>3873</v>
      </c>
      <c r="H627" s="11" t="s">
        <v>3874</v>
      </c>
      <c r="I627" s="11" t="s">
        <v>3875</v>
      </c>
      <c r="J627" s="10" t="s">
        <v>1559</v>
      </c>
      <c r="K627" s="10" t="s">
        <v>1560</v>
      </c>
      <c r="L627" s="10" t="s">
        <v>1578</v>
      </c>
      <c r="M627" s="10" t="s">
        <v>331</v>
      </c>
      <c r="N627" s="10">
        <v>160</v>
      </c>
      <c r="O627" s="11">
        <v>191</v>
      </c>
      <c r="P627" s="11">
        <v>0.191</v>
      </c>
      <c r="Q627" s="10" t="s">
        <v>1608</v>
      </c>
      <c r="R627" s="10">
        <v>80</v>
      </c>
      <c r="S627" s="12">
        <v>17</v>
      </c>
      <c r="T627" s="13">
        <v>33049</v>
      </c>
      <c r="U627" s="14">
        <v>6312.3590000000004</v>
      </c>
      <c r="V627" s="10">
        <v>16.38</v>
      </c>
      <c r="W627" s="15">
        <v>541342.62</v>
      </c>
      <c r="X627" s="29">
        <f>VLOOKUP($F627,Agendamento!$B:$J,9,0)</f>
        <v>46064</v>
      </c>
      <c r="Y627" s="6">
        <f>COUNTIF(Analise!F:F,'Obras e Acervos'!H627)</f>
        <v>1</v>
      </c>
    </row>
    <row r="628" spans="1:25" ht="15" customHeight="1" x14ac:dyDescent="0.25">
      <c r="A628" s="10" t="str">
        <f>CONCATENATE(LEFT(C628,12),"-",RIGHT(C628,2),"_",TEXT(X628,"ddmmaaaa"),"_",COUNTIF($C$2:C628,C628))</f>
        <v>045219750001-16_10032026_2</v>
      </c>
      <c r="B628" s="10" t="str">
        <f>CONCATENATE(LEFT(C628,12),"-",RIGHT(C628,2),"_",COUNTIF($C$2:C628,C628))</f>
        <v>045219750001-16_2</v>
      </c>
      <c r="C628" s="10" t="s">
        <v>2282</v>
      </c>
      <c r="D628" s="10" t="s">
        <v>5991</v>
      </c>
      <c r="E628" s="10" t="s">
        <v>1574</v>
      </c>
      <c r="F628" s="10" t="s">
        <v>1365</v>
      </c>
      <c r="G628" s="10" t="s">
        <v>3876</v>
      </c>
      <c r="H628" s="11" t="s">
        <v>3877</v>
      </c>
      <c r="I628" s="11" t="s">
        <v>3878</v>
      </c>
      <c r="J628" s="10" t="s">
        <v>1559</v>
      </c>
      <c r="K628" s="10" t="s">
        <v>1560</v>
      </c>
      <c r="L628" s="10" t="s">
        <v>1578</v>
      </c>
      <c r="M628" s="10" t="s">
        <v>1365</v>
      </c>
      <c r="N628" s="10">
        <v>64</v>
      </c>
      <c r="O628" s="11">
        <v>181</v>
      </c>
      <c r="P628" s="11">
        <v>0.18099999999999999</v>
      </c>
      <c r="Q628" s="10" t="s">
        <v>1599</v>
      </c>
      <c r="R628" s="10">
        <v>80</v>
      </c>
      <c r="S628" s="12">
        <v>17</v>
      </c>
      <c r="T628" s="13">
        <v>31489</v>
      </c>
      <c r="U628" s="14">
        <v>5699.509</v>
      </c>
      <c r="V628" s="10">
        <v>10.17</v>
      </c>
      <c r="W628" s="15">
        <v>320243.13</v>
      </c>
      <c r="X628" s="29">
        <f>VLOOKUP($F628,Agendamento!$B:$J,9,0)</f>
        <v>46091</v>
      </c>
      <c r="Y628" s="6">
        <f>COUNTIF(Analise!F:F,'Obras e Acervos'!H628)</f>
        <v>1</v>
      </c>
    </row>
    <row r="629" spans="1:25" ht="15" customHeight="1" x14ac:dyDescent="0.25">
      <c r="A629" s="10" t="str">
        <f>CONCATENATE(LEFT(C629,12),"-",RIGHT(C629,2),"_",TEXT(X629,"ddmmaaaa"),"_",COUNTIF($C$2:C629,C629))</f>
        <v>069828730001-23_20022026_2</v>
      </c>
      <c r="B629" s="10" t="str">
        <f>CONCATENATE(LEFT(C629,12),"-",RIGHT(C629,2),"_",COUNTIF($C$2:C629,C629))</f>
        <v>069828730001-23_2</v>
      </c>
      <c r="C629" s="10" t="s">
        <v>2286</v>
      </c>
      <c r="D629" s="10" t="s">
        <v>5992</v>
      </c>
      <c r="E629" s="10" t="s">
        <v>1574</v>
      </c>
      <c r="F629" s="10" t="s">
        <v>660</v>
      </c>
      <c r="G629" s="10" t="s">
        <v>3879</v>
      </c>
      <c r="H629" s="11" t="s">
        <v>3880</v>
      </c>
      <c r="I629" s="11" t="s">
        <v>3881</v>
      </c>
      <c r="J629" s="10" t="s">
        <v>1559</v>
      </c>
      <c r="K629" s="10" t="s">
        <v>1560</v>
      </c>
      <c r="L629" s="10" t="s">
        <v>1578</v>
      </c>
      <c r="M629" s="10" t="s">
        <v>6238</v>
      </c>
      <c r="N629" s="10">
        <v>40</v>
      </c>
      <c r="O629" s="11">
        <v>95</v>
      </c>
      <c r="P629" s="11">
        <v>9.5000000000000001E-2</v>
      </c>
      <c r="Q629" s="10" t="s">
        <v>1599</v>
      </c>
      <c r="R629" s="10">
        <v>80</v>
      </c>
      <c r="S629" s="12">
        <v>17</v>
      </c>
      <c r="T629" s="13">
        <v>27974</v>
      </c>
      <c r="U629" s="14">
        <v>2657.53</v>
      </c>
      <c r="V629" s="10">
        <v>6.87</v>
      </c>
      <c r="W629" s="15">
        <v>192181.38</v>
      </c>
      <c r="X629" s="29">
        <f>VLOOKUP($F629,Agendamento!$B:$J,9,0)</f>
        <v>46073</v>
      </c>
      <c r="Y629" s="6">
        <f>COUNTIF(Analise!F:F,'Obras e Acervos'!H629)</f>
        <v>1</v>
      </c>
    </row>
    <row r="630" spans="1:25" ht="15" customHeight="1" x14ac:dyDescent="0.25">
      <c r="A630" s="10" t="str">
        <f>CONCATENATE(LEFT(C630,12),"-",RIGHT(C630,2),"_",TEXT(X630,"ddmmaaaa"),"_",COUNTIF($C$2:C630,C630))</f>
        <v>321717750001-16_03032026_2</v>
      </c>
      <c r="B630" s="10" t="str">
        <f>CONCATENATE(LEFT(C630,12),"-",RIGHT(C630,2),"_",COUNTIF($C$2:C630,C630))</f>
        <v>321717750001-16_2</v>
      </c>
      <c r="C630" s="10" t="s">
        <v>2291</v>
      </c>
      <c r="D630" s="10" t="s">
        <v>1072</v>
      </c>
      <c r="E630" s="10" t="s">
        <v>1574</v>
      </c>
      <c r="F630" s="10" t="s">
        <v>1103</v>
      </c>
      <c r="G630" s="10" t="s">
        <v>3882</v>
      </c>
      <c r="H630" s="11" t="s">
        <v>3883</v>
      </c>
      <c r="I630" s="11" t="s">
        <v>3884</v>
      </c>
      <c r="J630" s="10" t="s">
        <v>1559</v>
      </c>
      <c r="K630" s="10" t="s">
        <v>1560</v>
      </c>
      <c r="L630" s="10" t="s">
        <v>1578</v>
      </c>
      <c r="M630" s="10" t="s">
        <v>1103</v>
      </c>
      <c r="N630" s="10">
        <v>32</v>
      </c>
      <c r="O630" s="11">
        <v>105</v>
      </c>
      <c r="P630" s="11">
        <v>0.105</v>
      </c>
      <c r="Q630" s="10" t="s">
        <v>1562</v>
      </c>
      <c r="R630" s="10">
        <v>80</v>
      </c>
      <c r="S630" s="12">
        <v>17</v>
      </c>
      <c r="T630" s="13">
        <v>38776</v>
      </c>
      <c r="U630" s="14">
        <v>4071.48</v>
      </c>
      <c r="V630" s="10">
        <v>5.48</v>
      </c>
      <c r="W630" s="15">
        <v>212492.48</v>
      </c>
      <c r="X630" s="29">
        <f>VLOOKUP($F630,Agendamento!$B:$J,9,0)</f>
        <v>46084</v>
      </c>
      <c r="Y630" s="6">
        <f>COUNTIF(Analise!F:F,'Obras e Acervos'!H630)</f>
        <v>1</v>
      </c>
    </row>
    <row r="631" spans="1:25" ht="15" customHeight="1" x14ac:dyDescent="0.25">
      <c r="A631" s="10" t="str">
        <f>CONCATENATE(LEFT(C631,12),"-",RIGHT(C631,2),"_",TEXT(X631,"ddmmaaaa"),"_",COUNTIF($C$2:C631,C631))</f>
        <v>005825840001-50_13032026_2</v>
      </c>
      <c r="B631" s="10" t="str">
        <f>CONCATENATE(LEFT(C631,12),"-",RIGHT(C631,2),"_",COUNTIF($C$2:C631,C631))</f>
        <v>005825840001-50_2</v>
      </c>
      <c r="C631" s="10" t="s">
        <v>3095</v>
      </c>
      <c r="D631" s="10" t="s">
        <v>6111</v>
      </c>
      <c r="E631" s="10" t="s">
        <v>1574</v>
      </c>
      <c r="F631" s="10" t="s">
        <v>1486</v>
      </c>
      <c r="G631" s="10" t="s">
        <v>3885</v>
      </c>
      <c r="H631" s="11" t="s">
        <v>3886</v>
      </c>
      <c r="I631" s="11" t="s">
        <v>3887</v>
      </c>
      <c r="J631" s="10" t="s">
        <v>1559</v>
      </c>
      <c r="K631" s="10" t="s">
        <v>1560</v>
      </c>
      <c r="L631" s="10" t="s">
        <v>1578</v>
      </c>
      <c r="M631" s="10" t="s">
        <v>1486</v>
      </c>
      <c r="N631" s="10">
        <v>32</v>
      </c>
      <c r="O631" s="11">
        <v>75</v>
      </c>
      <c r="P631" s="11">
        <v>7.4999999999999997E-2</v>
      </c>
      <c r="Q631" s="10" t="s">
        <v>1562</v>
      </c>
      <c r="R631" s="10">
        <v>80</v>
      </c>
      <c r="S631" s="12">
        <v>17</v>
      </c>
      <c r="T631" s="13">
        <v>27747</v>
      </c>
      <c r="U631" s="14">
        <v>2081.0250000000001</v>
      </c>
      <c r="V631" s="10">
        <v>6</v>
      </c>
      <c r="W631" s="15">
        <v>166482</v>
      </c>
      <c r="X631" s="29">
        <f>VLOOKUP($F631,Agendamento!$B:$J,9,0)</f>
        <v>46094</v>
      </c>
      <c r="Y631" s="6">
        <f>COUNTIF(Analise!F:F,'Obras e Acervos'!H631)</f>
        <v>1</v>
      </c>
    </row>
    <row r="632" spans="1:25" ht="15" customHeight="1" x14ac:dyDescent="0.25">
      <c r="A632" s="10" t="str">
        <f>CONCATENATE(LEFT(C632,12),"-",RIGHT(C632,2),"_",TEXT(X632,"ddmmaaaa"),"_",COUNTIF($C$2:C632,C632))</f>
        <v>443011540001-99_13022026_2</v>
      </c>
      <c r="B632" s="10" t="str">
        <f>CONCATENATE(LEFT(C632,12),"-",RIGHT(C632,2),"_",COUNTIF($C$2:C632,C632))</f>
        <v>443011540001-99_2</v>
      </c>
      <c r="C632" s="10" t="s">
        <v>2135</v>
      </c>
      <c r="D632" s="10" t="s">
        <v>888</v>
      </c>
      <c r="E632" s="10" t="s">
        <v>1574</v>
      </c>
      <c r="F632" s="10" t="s">
        <v>889</v>
      </c>
      <c r="G632" s="10" t="s">
        <v>3888</v>
      </c>
      <c r="H632" s="11" t="s">
        <v>3889</v>
      </c>
      <c r="I632" s="11" t="s">
        <v>3890</v>
      </c>
      <c r="J632" s="10" t="s">
        <v>1559</v>
      </c>
      <c r="K632" s="10" t="s">
        <v>1560</v>
      </c>
      <c r="L632" s="10" t="s">
        <v>1578</v>
      </c>
      <c r="M632" s="10" t="s">
        <v>889</v>
      </c>
      <c r="N632" s="10">
        <v>96</v>
      </c>
      <c r="O632" s="11">
        <v>127</v>
      </c>
      <c r="P632" s="11">
        <v>0.127</v>
      </c>
      <c r="Q632" s="10" t="s">
        <v>1608</v>
      </c>
      <c r="R632" s="10">
        <v>75</v>
      </c>
      <c r="S632" s="12">
        <v>17</v>
      </c>
      <c r="T632" s="13">
        <v>28186</v>
      </c>
      <c r="U632" s="14">
        <v>3579.6219999999998</v>
      </c>
      <c r="V632" s="10">
        <v>10.67</v>
      </c>
      <c r="W632" s="15">
        <v>300744.62</v>
      </c>
      <c r="X632" s="29">
        <f>VLOOKUP($F632,Agendamento!$B:$J,9,0)</f>
        <v>46066</v>
      </c>
      <c r="Y632" s="6">
        <f>COUNTIF(Analise!F:F,'Obras e Acervos'!H632)</f>
        <v>1</v>
      </c>
    </row>
    <row r="633" spans="1:25" ht="15" customHeight="1" x14ac:dyDescent="0.25">
      <c r="A633" s="10" t="str">
        <f>CONCATENATE(LEFT(C633,12),"-",RIGHT(C633,2),"_",TEXT(X633,"ddmmaaaa"),"_",COUNTIF($C$2:C633,C633))</f>
        <v>249285210001-71_26022026_2</v>
      </c>
      <c r="B633" s="10" t="str">
        <f>CONCATENATE(LEFT(C633,12),"-",RIGHT(C633,2),"_",COUNTIF($C$2:C633,C633))</f>
        <v>249285210001-71_2</v>
      </c>
      <c r="C633" s="10" t="s">
        <v>2139</v>
      </c>
      <c r="D633" s="10" t="s">
        <v>903</v>
      </c>
      <c r="E633" s="10" t="s">
        <v>1574</v>
      </c>
      <c r="F633" s="10" t="s">
        <v>904</v>
      </c>
      <c r="G633" s="10" t="s">
        <v>3891</v>
      </c>
      <c r="H633" s="11" t="s">
        <v>3892</v>
      </c>
      <c r="I633" s="11" t="s">
        <v>3893</v>
      </c>
      <c r="J633" s="10" t="s">
        <v>1559</v>
      </c>
      <c r="K633" s="10" t="s">
        <v>1560</v>
      </c>
      <c r="L633" s="10" t="s">
        <v>1578</v>
      </c>
      <c r="M633" s="10" t="s">
        <v>904</v>
      </c>
      <c r="N633" s="10">
        <v>40</v>
      </c>
      <c r="O633" s="11">
        <v>124</v>
      </c>
      <c r="P633" s="11">
        <v>0.124</v>
      </c>
      <c r="Q633" s="10" t="s">
        <v>1562</v>
      </c>
      <c r="R633" s="10">
        <v>80</v>
      </c>
      <c r="S633" s="12">
        <v>17</v>
      </c>
      <c r="T633" s="13">
        <v>28232</v>
      </c>
      <c r="U633" s="14">
        <v>3500.768</v>
      </c>
      <c r="V633" s="10">
        <v>6.84</v>
      </c>
      <c r="W633" s="15">
        <v>193106.88</v>
      </c>
      <c r="X633" s="29">
        <f>VLOOKUP($F633,Agendamento!$B:$J,9,0)</f>
        <v>46079</v>
      </c>
      <c r="Y633" s="6">
        <f>COUNTIF(Analise!F:F,'Obras e Acervos'!H633)</f>
        <v>1</v>
      </c>
    </row>
    <row r="634" spans="1:25" ht="15" customHeight="1" x14ac:dyDescent="0.25">
      <c r="A634" s="10" t="str">
        <f>CONCATENATE(LEFT(C634,12),"-",RIGHT(C634,2),"_",TEXT(X634,"ddmmaaaa"),"_",COUNTIF($C$2:C634,C634))</f>
        <v>024258220001-40_27012026_2</v>
      </c>
      <c r="B634" s="10" t="str">
        <f>CONCATENATE(LEFT(C634,12),"-",RIGHT(C634,2),"_",COUNTIF($C$2:C634,C634))</f>
        <v>024258220001-40_2</v>
      </c>
      <c r="C634" s="10" t="s">
        <v>3510</v>
      </c>
      <c r="D634" s="10" t="s">
        <v>66</v>
      </c>
      <c r="E634" s="10" t="s">
        <v>1574</v>
      </c>
      <c r="F634" s="10" t="s">
        <v>67</v>
      </c>
      <c r="G634" s="10" t="s">
        <v>3894</v>
      </c>
      <c r="H634" s="22" t="s">
        <v>3895</v>
      </c>
      <c r="I634" s="27" t="s">
        <v>3896</v>
      </c>
      <c r="J634" s="10" t="s">
        <v>1559</v>
      </c>
      <c r="K634" s="10" t="s">
        <v>1560</v>
      </c>
      <c r="L634" s="10" t="s">
        <v>1578</v>
      </c>
      <c r="M634" s="10" t="s">
        <v>67</v>
      </c>
      <c r="N634" s="10">
        <v>32</v>
      </c>
      <c r="O634" s="11">
        <v>102</v>
      </c>
      <c r="P634" s="11">
        <v>0.10199999999999999</v>
      </c>
      <c r="Q634" s="10" t="s">
        <v>1562</v>
      </c>
      <c r="R634" s="10">
        <v>75</v>
      </c>
      <c r="S634" s="12">
        <v>18</v>
      </c>
      <c r="T634" s="13">
        <v>32623</v>
      </c>
      <c r="U634" s="14">
        <v>3327.5459999999998</v>
      </c>
      <c r="V634" s="10">
        <v>6.33</v>
      </c>
      <c r="W634" s="15">
        <v>171321.45</v>
      </c>
      <c r="X634" s="29">
        <f>VLOOKUP($F634,Agendamento!$B:$J,9,0)</f>
        <v>46049</v>
      </c>
      <c r="Y634" s="6">
        <f>COUNTIF(Analise!F:F,'Obras e Acervos'!H634)</f>
        <v>1</v>
      </c>
    </row>
    <row r="635" spans="1:25" ht="15" customHeight="1" x14ac:dyDescent="0.25">
      <c r="A635" s="10" t="str">
        <f>CONCATENATE(LEFT(C635,12),"-",RIGHT(C635,2),"_",TEXT(X635,"ddmmaaaa"),"_",COUNTIF($C$2:C635,C635))</f>
        <v>327726850001-80_23022026_2</v>
      </c>
      <c r="B635" s="10" t="str">
        <f>CONCATENATE(LEFT(C635,12),"-",RIGHT(C635,2),"_",COUNTIF($C$2:C635,C635))</f>
        <v>327726850001-80_2</v>
      </c>
      <c r="C635" s="10" t="s">
        <v>2323</v>
      </c>
      <c r="D635" s="10" t="s">
        <v>5997</v>
      </c>
      <c r="E635" s="10" t="s">
        <v>1574</v>
      </c>
      <c r="F635" s="10" t="s">
        <v>727</v>
      </c>
      <c r="G635" s="10" t="s">
        <v>3897</v>
      </c>
      <c r="H635" s="11" t="s">
        <v>3898</v>
      </c>
      <c r="I635" s="11" t="s">
        <v>3899</v>
      </c>
      <c r="J635" s="10" t="s">
        <v>1559</v>
      </c>
      <c r="K635" s="10" t="s">
        <v>1560</v>
      </c>
      <c r="L635" s="10" t="s">
        <v>1578</v>
      </c>
      <c r="M635" s="10" t="s">
        <v>727</v>
      </c>
      <c r="N635" s="10">
        <v>152</v>
      </c>
      <c r="O635" s="11">
        <v>174</v>
      </c>
      <c r="P635" s="11">
        <v>0.17399999999999999</v>
      </c>
      <c r="Q635" s="10" t="s">
        <v>1608</v>
      </c>
      <c r="R635" s="10">
        <v>75</v>
      </c>
      <c r="S635" s="12">
        <v>17</v>
      </c>
      <c r="T635" s="13">
        <v>27489</v>
      </c>
      <c r="U635" s="14">
        <v>4783.0859999999993</v>
      </c>
      <c r="V635" s="10">
        <v>12.89</v>
      </c>
      <c r="W635" s="15">
        <v>354333.21</v>
      </c>
      <c r="X635" s="29">
        <f>VLOOKUP($F635,Agendamento!$B:$J,9,0)</f>
        <v>46076</v>
      </c>
      <c r="Y635" s="6">
        <f>COUNTIF(Analise!F:F,'Obras e Acervos'!H635)</f>
        <v>1</v>
      </c>
    </row>
    <row r="636" spans="1:25" ht="15" customHeight="1" x14ac:dyDescent="0.25">
      <c r="A636" s="10" t="str">
        <f>CONCATENATE(LEFT(C636,12),"-",RIGHT(C636,2),"_",TEXT(X636,"ddmmaaaa"),"_",COUNTIF($C$2:C636,C636))</f>
        <v>030537920001-50_16022026_1</v>
      </c>
      <c r="B636" s="10" t="str">
        <f>CONCATENATE(LEFT(C636,12),"-",RIGHT(C636,2),"_",COUNTIF($C$2:C636,C636))</f>
        <v>030537920001-50_1</v>
      </c>
      <c r="C636" s="10" t="s">
        <v>3900</v>
      </c>
      <c r="D636" s="10" t="s">
        <v>6140</v>
      </c>
      <c r="E636" s="10" t="s">
        <v>1574</v>
      </c>
      <c r="F636" s="10" t="s">
        <v>535</v>
      </c>
      <c r="G636" s="10" t="s">
        <v>3901</v>
      </c>
      <c r="H636" s="11" t="s">
        <v>3902</v>
      </c>
      <c r="I636" s="11" t="s">
        <v>3903</v>
      </c>
      <c r="J636" s="10" t="s">
        <v>1559</v>
      </c>
      <c r="K636" s="10" t="s">
        <v>1560</v>
      </c>
      <c r="L636" s="10" t="s">
        <v>1578</v>
      </c>
      <c r="M636" s="10" t="s">
        <v>535</v>
      </c>
      <c r="N636" s="10">
        <v>64</v>
      </c>
      <c r="O636" s="11">
        <v>180</v>
      </c>
      <c r="P636" s="11">
        <v>0.18</v>
      </c>
      <c r="Q636" s="10" t="s">
        <v>1599</v>
      </c>
      <c r="R636" s="10">
        <v>80</v>
      </c>
      <c r="S636" s="12">
        <v>17</v>
      </c>
      <c r="T636" s="13">
        <v>28110</v>
      </c>
      <c r="U636" s="14">
        <v>5059.8</v>
      </c>
      <c r="V636" s="10">
        <v>9.48</v>
      </c>
      <c r="W636" s="15">
        <v>266482.8</v>
      </c>
      <c r="X636" s="29">
        <f>VLOOKUP($F636,Agendamento!$B:$J,9,0)</f>
        <v>46069</v>
      </c>
      <c r="Y636" s="6">
        <f>COUNTIF(Analise!F:F,'Obras e Acervos'!H636)</f>
        <v>1</v>
      </c>
    </row>
    <row r="637" spans="1:25" ht="15" customHeight="1" x14ac:dyDescent="0.25">
      <c r="A637" s="10" t="str">
        <f>CONCATENATE(LEFT(C637,12),"-",RIGHT(C637,2),"_",TEXT(X637,"ddmmaaaa"),"_",COUNTIF($C$2:C637,C637))</f>
        <v>447827270001-43_24022026_1</v>
      </c>
      <c r="B637" s="10" t="str">
        <f>CONCATENATE(LEFT(C637,12),"-",RIGHT(C637,2),"_",COUNTIF($C$2:C637,C637))</f>
        <v>447827270001-43_1</v>
      </c>
      <c r="C637" s="10" t="s">
        <v>3904</v>
      </c>
      <c r="D637" s="10" t="s">
        <v>829</v>
      </c>
      <c r="E637" s="10" t="s">
        <v>1574</v>
      </c>
      <c r="F637" s="10" t="s">
        <v>830</v>
      </c>
      <c r="G637" s="10" t="s">
        <v>3905</v>
      </c>
      <c r="H637" s="11" t="s">
        <v>3906</v>
      </c>
      <c r="I637" s="11" t="s">
        <v>3907</v>
      </c>
      <c r="J637" s="10" t="s">
        <v>1559</v>
      </c>
      <c r="K637" s="10" t="s">
        <v>1560</v>
      </c>
      <c r="L637" s="10" t="s">
        <v>1578</v>
      </c>
      <c r="M637" s="10" t="s">
        <v>830</v>
      </c>
      <c r="N637" s="10">
        <v>40</v>
      </c>
      <c r="O637" s="11">
        <v>121</v>
      </c>
      <c r="P637" s="11">
        <v>0.121</v>
      </c>
      <c r="Q637" s="10" t="s">
        <v>1562</v>
      </c>
      <c r="R637" s="10">
        <v>80</v>
      </c>
      <c r="S637" s="12">
        <v>17</v>
      </c>
      <c r="T637" s="13">
        <v>27201</v>
      </c>
      <c r="U637" s="14">
        <v>3291.3209999999999</v>
      </c>
      <c r="V637" s="10">
        <v>7.35</v>
      </c>
      <c r="W637" s="15">
        <v>199927.34999999998</v>
      </c>
      <c r="X637" s="29">
        <f>VLOOKUP($F637,Agendamento!$B:$J,9,0)</f>
        <v>46077</v>
      </c>
      <c r="Y637" s="6">
        <f>COUNTIF(Analise!F:F,'Obras e Acervos'!H637)</f>
        <v>1</v>
      </c>
    </row>
    <row r="638" spans="1:25" ht="15" customHeight="1" x14ac:dyDescent="0.25">
      <c r="A638" s="10" t="str">
        <f>CONCATENATE(LEFT(C638,12),"-",RIGHT(C638,2),"_",TEXT(X638,"ddmmaaaa"),"_",COUNTIF($C$2:C638,C638))</f>
        <v>556217000001-95_13032026_1</v>
      </c>
      <c r="B638" s="10" t="str">
        <f>CONCATENATE(LEFT(C638,12),"-",RIGHT(C638,2),"_",COUNTIF($C$2:C638,C638))</f>
        <v>556217000001-95_1</v>
      </c>
      <c r="C638" s="10" t="s">
        <v>3908</v>
      </c>
      <c r="D638" s="10" t="s">
        <v>6141</v>
      </c>
      <c r="E638" s="10" t="s">
        <v>1574</v>
      </c>
      <c r="F638" s="10" t="s">
        <v>1442</v>
      </c>
      <c r="G638" s="10" t="s">
        <v>3909</v>
      </c>
      <c r="H638" s="11" t="s">
        <v>3910</v>
      </c>
      <c r="I638" s="11" t="s">
        <v>3911</v>
      </c>
      <c r="J638" s="10" t="s">
        <v>1559</v>
      </c>
      <c r="K638" s="10" t="s">
        <v>1560</v>
      </c>
      <c r="L638" s="10" t="s">
        <v>1578</v>
      </c>
      <c r="M638" s="10" t="s">
        <v>6239</v>
      </c>
      <c r="N638" s="10">
        <v>64</v>
      </c>
      <c r="O638" s="11">
        <v>177</v>
      </c>
      <c r="P638" s="11">
        <v>0.17699999999999999</v>
      </c>
      <c r="Q638" s="10" t="s">
        <v>1562</v>
      </c>
      <c r="R638" s="10">
        <v>80</v>
      </c>
      <c r="S638" s="12">
        <v>17</v>
      </c>
      <c r="T638" s="13">
        <v>29625</v>
      </c>
      <c r="U638" s="14">
        <v>5243.625</v>
      </c>
      <c r="V638" s="10">
        <v>9.1199999999999992</v>
      </c>
      <c r="W638" s="15">
        <v>270180</v>
      </c>
      <c r="X638" s="29">
        <f>VLOOKUP($F638,Agendamento!$B:$J,9,0)</f>
        <v>46094</v>
      </c>
      <c r="Y638" s="6">
        <f>COUNTIF(Analise!F:F,'Obras e Acervos'!H638)</f>
        <v>1</v>
      </c>
    </row>
    <row r="639" spans="1:25" ht="15" customHeight="1" x14ac:dyDescent="0.25">
      <c r="A639" s="10" t="str">
        <f>CONCATENATE(LEFT(C639,12),"-",RIGHT(C639,2),"_",TEXT(X639,"ddmmaaaa"),"_",COUNTIF($C$2:C639,C639))</f>
        <v>240817340001-00_12022026_2</v>
      </c>
      <c r="B639" s="10" t="str">
        <f>CONCATENATE(LEFT(C639,12),"-",RIGHT(C639,2),"_",COUNTIF($C$2:C639,C639))</f>
        <v>240817340001-00_2</v>
      </c>
      <c r="C639" s="10" t="s">
        <v>2980</v>
      </c>
      <c r="D639" s="10" t="s">
        <v>353</v>
      </c>
      <c r="E639" s="10" t="s">
        <v>1574</v>
      </c>
      <c r="F639" s="10" t="s">
        <v>359</v>
      </c>
      <c r="G639" s="10" t="s">
        <v>3912</v>
      </c>
      <c r="H639" s="11" t="s">
        <v>3913</v>
      </c>
      <c r="I639" s="11" t="s">
        <v>3914</v>
      </c>
      <c r="J639" s="10" t="s">
        <v>1559</v>
      </c>
      <c r="K639" s="10" t="s">
        <v>1560</v>
      </c>
      <c r="L639" s="10" t="s">
        <v>1578</v>
      </c>
      <c r="M639" s="10" t="s">
        <v>359</v>
      </c>
      <c r="N639" s="10">
        <v>72</v>
      </c>
      <c r="O639" s="11">
        <v>186</v>
      </c>
      <c r="P639" s="11">
        <v>0.186</v>
      </c>
      <c r="Q639" s="10" t="s">
        <v>1562</v>
      </c>
      <c r="R639" s="10">
        <v>80</v>
      </c>
      <c r="S639" s="12">
        <v>17</v>
      </c>
      <c r="T639" s="13">
        <v>29610</v>
      </c>
      <c r="U639" s="14">
        <v>5507.46</v>
      </c>
      <c r="V639" s="10">
        <v>10.3</v>
      </c>
      <c r="W639" s="15">
        <v>304983</v>
      </c>
      <c r="X639" s="29">
        <f>VLOOKUP($F639,Agendamento!$B:$J,9,0)</f>
        <v>46065</v>
      </c>
      <c r="Y639" s="6">
        <f>COUNTIF(Analise!F:F,'Obras e Acervos'!H639)</f>
        <v>1</v>
      </c>
    </row>
    <row r="640" spans="1:25" ht="15" customHeight="1" x14ac:dyDescent="0.25">
      <c r="A640" s="10" t="str">
        <f>CONCATENATE(LEFT(C640,12),"-",RIGHT(C640,2),"_",TEXT(X640,"ddmmaaaa"),"_",COUNTIF($C$2:C640,C640))</f>
        <v>031412510001-84_13022026_2</v>
      </c>
      <c r="B640" s="10" t="str">
        <f>CONCATENATE(LEFT(C640,12),"-",RIGHT(C640,2),"_",COUNTIF($C$2:C640,C640))</f>
        <v>031412510001-84_2</v>
      </c>
      <c r="C640" s="10" t="s">
        <v>1698</v>
      </c>
      <c r="D640" s="10" t="s">
        <v>5913</v>
      </c>
      <c r="E640" s="10" t="s">
        <v>1574</v>
      </c>
      <c r="F640" s="10" t="s">
        <v>428</v>
      </c>
      <c r="G640" s="10" t="s">
        <v>3915</v>
      </c>
      <c r="H640" s="11" t="s">
        <v>3916</v>
      </c>
      <c r="I640" s="11" t="s">
        <v>3917</v>
      </c>
      <c r="J640" s="10" t="s">
        <v>1559</v>
      </c>
      <c r="K640" s="10" t="s">
        <v>1560</v>
      </c>
      <c r="L640" s="10" t="s">
        <v>1578</v>
      </c>
      <c r="M640" s="10" t="s">
        <v>428</v>
      </c>
      <c r="N640" s="10">
        <v>44</v>
      </c>
      <c r="O640" s="11">
        <v>130</v>
      </c>
      <c r="P640" s="11">
        <v>0.13</v>
      </c>
      <c r="Q640" s="10" t="s">
        <v>1562</v>
      </c>
      <c r="R640" s="10">
        <v>80</v>
      </c>
      <c r="S640" s="12">
        <v>17</v>
      </c>
      <c r="T640" s="13">
        <v>28050</v>
      </c>
      <c r="U640" s="14">
        <v>3646.5</v>
      </c>
      <c r="V640" s="10">
        <v>7.3</v>
      </c>
      <c r="W640" s="15">
        <v>204765</v>
      </c>
      <c r="X640" s="29">
        <f>VLOOKUP($F640,Agendamento!$B:$J,9,0)</f>
        <v>46066</v>
      </c>
      <c r="Y640" s="6">
        <f>COUNTIF(Analise!F:F,'Obras e Acervos'!H640)</f>
        <v>1</v>
      </c>
    </row>
    <row r="641" spans="1:25" ht="15" customHeight="1" x14ac:dyDescent="0.25">
      <c r="A641" s="10" t="str">
        <f>CONCATENATE(LEFT(C641,12),"-",RIGHT(C641,2),"_",TEXT(X641,"ddmmaaaa"),"_",COUNTIF($C$2:C641,C641))</f>
        <v>046042330001-54_04032026_1</v>
      </c>
      <c r="B641" s="10" t="str">
        <f>CONCATENATE(LEFT(C641,12),"-",RIGHT(C641,2),"_",COUNTIF($C$2:C641,C641))</f>
        <v>046042330001-54_1</v>
      </c>
      <c r="C641" s="10" t="s">
        <v>3918</v>
      </c>
      <c r="D641" s="10" t="s">
        <v>1188</v>
      </c>
      <c r="E641" s="10" t="s">
        <v>1574</v>
      </c>
      <c r="F641" s="10" t="s">
        <v>1189</v>
      </c>
      <c r="G641" s="10" t="s">
        <v>3919</v>
      </c>
      <c r="H641" s="11" t="s">
        <v>3920</v>
      </c>
      <c r="I641" s="11" t="s">
        <v>3921</v>
      </c>
      <c r="J641" s="10" t="s">
        <v>1559</v>
      </c>
      <c r="K641" s="10" t="s">
        <v>1560</v>
      </c>
      <c r="L641" s="10" t="s">
        <v>1578</v>
      </c>
      <c r="M641" s="10" t="s">
        <v>1189</v>
      </c>
      <c r="N641" s="10">
        <v>40</v>
      </c>
      <c r="O641" s="11">
        <v>121</v>
      </c>
      <c r="P641" s="11">
        <v>0.121</v>
      </c>
      <c r="Q641" s="10" t="s">
        <v>1562</v>
      </c>
      <c r="R641" s="10">
        <v>80</v>
      </c>
      <c r="S641" s="12">
        <v>17</v>
      </c>
      <c r="T641" s="13">
        <v>26853</v>
      </c>
      <c r="U641" s="14">
        <v>3249.2129999999997</v>
      </c>
      <c r="V641" s="10">
        <v>7.37</v>
      </c>
      <c r="W641" s="15">
        <v>197906.61000000002</v>
      </c>
      <c r="X641" s="29">
        <f>VLOOKUP($F641,Agendamento!$B:$J,9,0)</f>
        <v>46085</v>
      </c>
      <c r="Y641" s="6">
        <f>COUNTIF(Analise!F:F,'Obras e Acervos'!H641)</f>
        <v>1</v>
      </c>
    </row>
    <row r="642" spans="1:25" ht="15" customHeight="1" x14ac:dyDescent="0.25">
      <c r="A642" s="10" t="str">
        <f>CONCATENATE(LEFT(C642,12),"-",RIGHT(C642,2),"_",TEXT(X642,"ddmmaaaa"),"_",COUNTIF($C$2:C642,C642))</f>
        <v>165817820001-30_12022026_2</v>
      </c>
      <c r="B642" s="10" t="str">
        <f>CONCATENATE(LEFT(C642,12),"-",RIGHT(C642,2),"_",COUNTIF($C$2:C642,C642))</f>
        <v>165817820001-30_2</v>
      </c>
      <c r="C642" s="10" t="s">
        <v>1710</v>
      </c>
      <c r="D642" s="10" t="s">
        <v>367</v>
      </c>
      <c r="E642" s="10" t="s">
        <v>1574</v>
      </c>
      <c r="F642" s="10" t="s">
        <v>368</v>
      </c>
      <c r="G642" s="10" t="s">
        <v>3922</v>
      </c>
      <c r="H642" s="11" t="s">
        <v>3923</v>
      </c>
      <c r="I642" s="11" t="s">
        <v>3924</v>
      </c>
      <c r="J642" s="10" t="s">
        <v>1559</v>
      </c>
      <c r="K642" s="10" t="s">
        <v>1560</v>
      </c>
      <c r="L642" s="10" t="s">
        <v>1578</v>
      </c>
      <c r="M642" s="10" t="s">
        <v>368</v>
      </c>
      <c r="N642" s="10">
        <v>56</v>
      </c>
      <c r="O642" s="11">
        <v>162</v>
      </c>
      <c r="P642" s="11">
        <v>0.16200000000000001</v>
      </c>
      <c r="Q642" s="10" t="s">
        <v>1562</v>
      </c>
      <c r="R642" s="10">
        <v>80</v>
      </c>
      <c r="S642" s="12">
        <v>17</v>
      </c>
      <c r="T642" s="13">
        <v>28247</v>
      </c>
      <c r="U642" s="14">
        <v>4576.0140000000001</v>
      </c>
      <c r="V642" s="10">
        <v>8.61</v>
      </c>
      <c r="W642" s="15">
        <v>243206.66999999998</v>
      </c>
      <c r="X642" s="29">
        <f>VLOOKUP($F642,Agendamento!$B:$J,9,0)</f>
        <v>46065</v>
      </c>
      <c r="Y642" s="6">
        <f>COUNTIF(Analise!F:F,'Obras e Acervos'!H642)</f>
        <v>1</v>
      </c>
    </row>
    <row r="643" spans="1:25" ht="15" customHeight="1" x14ac:dyDescent="0.25">
      <c r="A643" s="10" t="str">
        <f>CONCATENATE(LEFT(C643,12),"-",RIGHT(C643,2),"_",TEXT(X643,"ddmmaaaa"),"_",COUNTIF($C$2:C643,C643))</f>
        <v>222433750001-15_28012026_2</v>
      </c>
      <c r="B643" s="10" t="str">
        <f>CONCATENATE(LEFT(C643,12),"-",RIGHT(C643,2),"_",COUNTIF($C$2:C643,C643))</f>
        <v>222433750001-15_2</v>
      </c>
      <c r="C643" s="10" t="s">
        <v>3861</v>
      </c>
      <c r="D643" s="10" t="s">
        <v>6139</v>
      </c>
      <c r="E643" s="10" t="s">
        <v>1574</v>
      </c>
      <c r="F643" s="10" t="s">
        <v>79</v>
      </c>
      <c r="G643" s="10" t="s">
        <v>3925</v>
      </c>
      <c r="H643" s="11" t="s">
        <v>3926</v>
      </c>
      <c r="I643" s="11" t="s">
        <v>3927</v>
      </c>
      <c r="J643" s="10" t="s">
        <v>1559</v>
      </c>
      <c r="K643" s="10" t="s">
        <v>1560</v>
      </c>
      <c r="L643" s="10" t="s">
        <v>1578</v>
      </c>
      <c r="M643" s="10" t="s">
        <v>6240</v>
      </c>
      <c r="N643" s="10">
        <v>32</v>
      </c>
      <c r="O643" s="11">
        <v>96</v>
      </c>
      <c r="P643" s="11">
        <v>9.6000000000000002E-2</v>
      </c>
      <c r="Q643" s="10" t="s">
        <v>1562</v>
      </c>
      <c r="R643" s="10">
        <v>75</v>
      </c>
      <c r="S643" s="12">
        <v>21</v>
      </c>
      <c r="T643" s="13">
        <v>37358</v>
      </c>
      <c r="U643" s="14">
        <v>3586.3679999999999</v>
      </c>
      <c r="V643" s="10">
        <v>7.23</v>
      </c>
      <c r="W643" s="15">
        <v>198405.66</v>
      </c>
      <c r="X643" s="29">
        <f>VLOOKUP($F643,Agendamento!$B:$J,9,0)</f>
        <v>46050</v>
      </c>
      <c r="Y643" s="6">
        <f>COUNTIF(Analise!F:F,'Obras e Acervos'!H643)</f>
        <v>1</v>
      </c>
    </row>
    <row r="644" spans="1:25" ht="15" customHeight="1" x14ac:dyDescent="0.25">
      <c r="A644" s="10" t="str">
        <f>CONCATENATE(LEFT(C644,12),"-",RIGHT(C644,2),"_",TEXT(X644,"ddmmaaaa"),"_",COUNTIF($C$2:C644,C644))</f>
        <v>423246590001-43_16032026_2</v>
      </c>
      <c r="B644" s="10" t="str">
        <f>CONCATENATE(LEFT(C644,12),"-",RIGHT(C644,2),"_",COUNTIF($C$2:C644,C644))</f>
        <v>423246590001-43_2</v>
      </c>
      <c r="C644" s="10" t="s">
        <v>3016</v>
      </c>
      <c r="D644" s="10" t="s">
        <v>1357</v>
      </c>
      <c r="E644" s="10" t="s">
        <v>1574</v>
      </c>
      <c r="F644" s="10" t="s">
        <v>1401</v>
      </c>
      <c r="G644" s="10" t="s">
        <v>3928</v>
      </c>
      <c r="H644" s="11" t="s">
        <v>3929</v>
      </c>
      <c r="I644" s="11" t="s">
        <v>3930</v>
      </c>
      <c r="J644" s="10" t="s">
        <v>1559</v>
      </c>
      <c r="K644" s="10" t="s">
        <v>1560</v>
      </c>
      <c r="L644" s="10" t="s">
        <v>1578</v>
      </c>
      <c r="M644" s="10" t="s">
        <v>1401</v>
      </c>
      <c r="N644" s="10">
        <v>80</v>
      </c>
      <c r="O644" s="11">
        <v>219</v>
      </c>
      <c r="P644" s="11">
        <v>0.219</v>
      </c>
      <c r="Q644" s="10" t="s">
        <v>1562</v>
      </c>
      <c r="R644" s="10">
        <v>80</v>
      </c>
      <c r="S644" s="12">
        <v>18</v>
      </c>
      <c r="T644" s="13">
        <v>35289</v>
      </c>
      <c r="U644" s="14">
        <v>7728.2910000000002</v>
      </c>
      <c r="V644" s="10">
        <v>11.23</v>
      </c>
      <c r="W644" s="15">
        <v>396295.47000000003</v>
      </c>
      <c r="X644" s="29">
        <f>VLOOKUP($F644,Agendamento!$B:$J,9,0)</f>
        <v>46097</v>
      </c>
      <c r="Y644" s="6">
        <f>COUNTIF(Analise!F:F,'Obras e Acervos'!H644)</f>
        <v>1</v>
      </c>
    </row>
    <row r="645" spans="1:25" ht="15" customHeight="1" x14ac:dyDescent="0.25">
      <c r="A645" s="10" t="str">
        <f>CONCATENATE(LEFT(C645,12),"-",RIGHT(C645,2),"_",TEXT(X645,"ddmmaaaa"),"_",COUNTIF($C$2:C645,C645))</f>
        <v>433984660001-08_04032026_2</v>
      </c>
      <c r="B645" s="10" t="str">
        <f>CONCATENATE(LEFT(C645,12),"-",RIGHT(C645,2),"_",COUNTIF($C$2:C645,C645))</f>
        <v>433984660001-08_2</v>
      </c>
      <c r="C645" s="10" t="s">
        <v>1894</v>
      </c>
      <c r="D645" s="10" t="s">
        <v>1238</v>
      </c>
      <c r="E645" s="10" t="s">
        <v>1574</v>
      </c>
      <c r="F645" s="10" t="s">
        <v>1239</v>
      </c>
      <c r="G645" s="10" t="s">
        <v>3931</v>
      </c>
      <c r="H645" s="11" t="s">
        <v>3932</v>
      </c>
      <c r="I645" s="11" t="s">
        <v>3933</v>
      </c>
      <c r="J645" s="10" t="s">
        <v>1559</v>
      </c>
      <c r="K645" s="10" t="s">
        <v>1560</v>
      </c>
      <c r="L645" s="10" t="s">
        <v>1578</v>
      </c>
      <c r="M645" s="10" t="s">
        <v>1239</v>
      </c>
      <c r="N645" s="10">
        <v>24</v>
      </c>
      <c r="O645" s="11">
        <v>85</v>
      </c>
      <c r="P645" s="11">
        <v>8.5000000000000006E-2</v>
      </c>
      <c r="Q645" s="10" t="s">
        <v>1562</v>
      </c>
      <c r="R645" s="10">
        <v>80</v>
      </c>
      <c r="S645" s="12">
        <v>18</v>
      </c>
      <c r="T645" s="13">
        <v>23700</v>
      </c>
      <c r="U645" s="14">
        <v>2014.5000000000002</v>
      </c>
      <c r="V645" s="10">
        <v>5.64</v>
      </c>
      <c r="W645" s="15">
        <v>133668</v>
      </c>
      <c r="X645" s="29">
        <f>VLOOKUP($F645,Agendamento!$B:$J,9,0)</f>
        <v>46085</v>
      </c>
      <c r="Y645" s="6">
        <f>COUNTIF(Analise!F:F,'Obras e Acervos'!H645)</f>
        <v>1</v>
      </c>
    </row>
    <row r="646" spans="1:25" ht="15" customHeight="1" x14ac:dyDescent="0.25">
      <c r="A646" s="10" t="str">
        <f>CONCATENATE(LEFT(C646,12),"-",RIGHT(C646,2),"_",TEXT(X646,"ddmmaaaa"),"_",COUNTIF($C$2:C646,C646))</f>
        <v>062221720001-96_16022026_2</v>
      </c>
      <c r="B646" s="10" t="str">
        <f>CONCATENATE(LEFT(C646,12),"-",RIGHT(C646,2),"_",COUNTIF($C$2:C646,C646))</f>
        <v>062221720001-96_2</v>
      </c>
      <c r="C646" s="10" t="s">
        <v>2214</v>
      </c>
      <c r="D646" s="10" t="s">
        <v>5980</v>
      </c>
      <c r="E646" s="10" t="s">
        <v>1574</v>
      </c>
      <c r="F646" s="10" t="s">
        <v>541</v>
      </c>
      <c r="G646" s="10" t="s">
        <v>3934</v>
      </c>
      <c r="H646" s="11" t="s">
        <v>3935</v>
      </c>
      <c r="I646" s="11" t="s">
        <v>3936</v>
      </c>
      <c r="J646" s="10" t="s">
        <v>1559</v>
      </c>
      <c r="K646" s="10" t="s">
        <v>1560</v>
      </c>
      <c r="L646" s="10" t="s">
        <v>1578</v>
      </c>
      <c r="M646" s="10" t="s">
        <v>541</v>
      </c>
      <c r="N646" s="10">
        <v>48</v>
      </c>
      <c r="O646" s="11">
        <v>115</v>
      </c>
      <c r="P646" s="11">
        <v>0.115</v>
      </c>
      <c r="Q646" s="10" t="s">
        <v>1562</v>
      </c>
      <c r="R646" s="10">
        <v>80</v>
      </c>
      <c r="S646" s="12">
        <v>18</v>
      </c>
      <c r="T646" s="13">
        <v>23669</v>
      </c>
      <c r="U646" s="14">
        <v>2721.9349999999999</v>
      </c>
      <c r="V646" s="10">
        <v>8.4700000000000006</v>
      </c>
      <c r="W646" s="15">
        <v>200476.43000000002</v>
      </c>
      <c r="X646" s="29">
        <f>VLOOKUP($F646,Agendamento!$B:$J,9,0)</f>
        <v>46069</v>
      </c>
      <c r="Y646" s="6">
        <f>COUNTIF(Analise!F:F,'Obras e Acervos'!H646)</f>
        <v>1</v>
      </c>
    </row>
    <row r="647" spans="1:25" ht="15" customHeight="1" x14ac:dyDescent="0.25">
      <c r="A647" s="10" t="str">
        <f>CONCATENATE(LEFT(C647,12),"-",RIGHT(C647,2),"_",TEXT(X647,"ddmmaaaa"),"_",COUNTIF($C$2:C647,C647))</f>
        <v>025887170001-21_11022026_1</v>
      </c>
      <c r="B647" s="10" t="str">
        <f>CONCATENATE(LEFT(C647,12),"-",RIGHT(C647,2),"_",COUNTIF($C$2:C647,C647))</f>
        <v>025887170001-21_1</v>
      </c>
      <c r="C647" s="10" t="s">
        <v>3937</v>
      </c>
      <c r="D647" s="10" t="s">
        <v>6142</v>
      </c>
      <c r="E647" s="10" t="s">
        <v>1574</v>
      </c>
      <c r="F647" s="10" t="s">
        <v>427</v>
      </c>
      <c r="G647" s="10" t="s">
        <v>3938</v>
      </c>
      <c r="H647" s="11" t="s">
        <v>3939</v>
      </c>
      <c r="I647" s="11" t="s">
        <v>3940</v>
      </c>
      <c r="J647" s="10" t="s">
        <v>1559</v>
      </c>
      <c r="K647" s="10" t="s">
        <v>1560</v>
      </c>
      <c r="L647" s="10" t="s">
        <v>1578</v>
      </c>
      <c r="M647" s="10" t="s">
        <v>427</v>
      </c>
      <c r="N647" s="10">
        <v>64</v>
      </c>
      <c r="O647" s="11">
        <v>97</v>
      </c>
      <c r="P647" s="11">
        <v>9.7000000000000003E-2</v>
      </c>
      <c r="Q647" s="10" t="s">
        <v>1608</v>
      </c>
      <c r="R647" s="10">
        <v>75</v>
      </c>
      <c r="S647" s="12">
        <v>18</v>
      </c>
      <c r="T647" s="13">
        <v>36108</v>
      </c>
      <c r="U647" s="14">
        <v>3502.4760000000001</v>
      </c>
      <c r="V647" s="10">
        <v>7.73</v>
      </c>
      <c r="W647" s="15">
        <v>279114.84000000003</v>
      </c>
      <c r="X647" s="29">
        <f>VLOOKUP($F647,Agendamento!$B:$J,9,0)</f>
        <v>46064</v>
      </c>
      <c r="Y647" s="6">
        <f>COUNTIF(Analise!F:F,'Obras e Acervos'!H647)</f>
        <v>1</v>
      </c>
    </row>
    <row r="648" spans="1:25" ht="15" customHeight="1" x14ac:dyDescent="0.25">
      <c r="A648" s="10" t="str">
        <f>CONCATENATE(LEFT(C648,12),"-",RIGHT(C648,2),"_",TEXT(X648,"ddmmaaaa"),"_",COUNTIF($C$2:C648,C648))</f>
        <v>413250260001-97_20022026_2</v>
      </c>
      <c r="B648" s="10" t="str">
        <f>CONCATENATE(LEFT(C648,12),"-",RIGHT(C648,2),"_",COUNTIF($C$2:C648,C648))</f>
        <v>413250260001-97_2</v>
      </c>
      <c r="C648" s="10" t="s">
        <v>2383</v>
      </c>
      <c r="D648" s="10" t="s">
        <v>6008</v>
      </c>
      <c r="E648" s="10" t="s">
        <v>1574</v>
      </c>
      <c r="F648" s="10" t="s">
        <v>651</v>
      </c>
      <c r="G648" s="10" t="s">
        <v>3941</v>
      </c>
      <c r="H648" s="11" t="s">
        <v>3942</v>
      </c>
      <c r="I648" s="11" t="s">
        <v>3943</v>
      </c>
      <c r="J648" s="10" t="s">
        <v>1559</v>
      </c>
      <c r="K648" s="10" t="s">
        <v>1560</v>
      </c>
      <c r="L648" s="10" t="s">
        <v>1578</v>
      </c>
      <c r="M648" s="10" t="s">
        <v>6241</v>
      </c>
      <c r="N648" s="10">
        <v>40</v>
      </c>
      <c r="O648" s="11">
        <v>95</v>
      </c>
      <c r="P648" s="11">
        <v>9.5000000000000001E-2</v>
      </c>
      <c r="Q648" s="10" t="s">
        <v>1599</v>
      </c>
      <c r="R648" s="10">
        <v>80</v>
      </c>
      <c r="S648" s="12">
        <v>18</v>
      </c>
      <c r="T648" s="13">
        <v>24412</v>
      </c>
      <c r="U648" s="14">
        <v>2319.14</v>
      </c>
      <c r="V648" s="10">
        <v>7.49</v>
      </c>
      <c r="W648" s="15">
        <v>182845.88</v>
      </c>
      <c r="X648" s="29">
        <f>VLOOKUP($F648,Agendamento!$B:$J,9,0)</f>
        <v>46073</v>
      </c>
      <c r="Y648" s="6">
        <f>COUNTIF(Analise!F:F,'Obras e Acervos'!H648)</f>
        <v>1</v>
      </c>
    </row>
    <row r="649" spans="1:25" ht="15" customHeight="1" x14ac:dyDescent="0.25">
      <c r="A649" s="10" t="str">
        <f>CONCATENATE(LEFT(C649,12),"-",RIGHT(C649,2),"_",TEXT(X649,"ddmmaaaa"),"_",COUNTIF($C$2:C649,C649))</f>
        <v>048391490001-10_27022026_2</v>
      </c>
      <c r="B649" s="10" t="str">
        <f>CONCATENATE(LEFT(C649,12),"-",RIGHT(C649,2),"_",COUNTIF($C$2:C649,C649))</f>
        <v>048391490001-10_2</v>
      </c>
      <c r="C649" s="10" t="s">
        <v>2230</v>
      </c>
      <c r="D649" s="10" t="s">
        <v>5984</v>
      </c>
      <c r="E649" s="10" t="s">
        <v>1574</v>
      </c>
      <c r="F649" s="10" t="s">
        <v>958</v>
      </c>
      <c r="G649" s="10" t="s">
        <v>3944</v>
      </c>
      <c r="H649" s="11" t="s">
        <v>3945</v>
      </c>
      <c r="I649" s="11" t="s">
        <v>3946</v>
      </c>
      <c r="J649" s="10" t="s">
        <v>1559</v>
      </c>
      <c r="K649" s="10" t="s">
        <v>1560</v>
      </c>
      <c r="L649" s="10" t="s">
        <v>1578</v>
      </c>
      <c r="M649" s="10" t="s">
        <v>958</v>
      </c>
      <c r="N649" s="10">
        <v>120</v>
      </c>
      <c r="O649" s="11">
        <v>150</v>
      </c>
      <c r="P649" s="11">
        <v>0.15</v>
      </c>
      <c r="Q649" s="10" t="s">
        <v>1608</v>
      </c>
      <c r="R649" s="10">
        <v>80</v>
      </c>
      <c r="S649" s="12">
        <v>18</v>
      </c>
      <c r="T649" s="13">
        <v>24821</v>
      </c>
      <c r="U649" s="14">
        <v>3723.1499999999996</v>
      </c>
      <c r="V649" s="10">
        <v>14.14</v>
      </c>
      <c r="W649" s="15">
        <v>350968.94</v>
      </c>
      <c r="X649" s="29">
        <f>VLOOKUP($F649,Agendamento!$B:$J,9,0)</f>
        <v>46080</v>
      </c>
      <c r="Y649" s="6">
        <f>COUNTIF(Analise!F:F,'Obras e Acervos'!H649)</f>
        <v>1</v>
      </c>
    </row>
    <row r="650" spans="1:25" ht="15" customHeight="1" x14ac:dyDescent="0.25">
      <c r="A650" s="10" t="str">
        <f>CONCATENATE(LEFT(C650,12),"-",RIGHT(C650,2),"_",TEXT(X650,"ddmmaaaa"),"_",COUNTIF($C$2:C650,C650))</f>
        <v>436794590001-76_24022026_2</v>
      </c>
      <c r="B650" s="10" t="str">
        <f>CONCATENATE(LEFT(C650,12),"-",RIGHT(C650,2),"_",COUNTIF($C$2:C650,C650))</f>
        <v>436794590001-76_2</v>
      </c>
      <c r="C650" s="10" t="s">
        <v>2872</v>
      </c>
      <c r="D650" s="10" t="s">
        <v>6082</v>
      </c>
      <c r="E650" s="10" t="s">
        <v>1574</v>
      </c>
      <c r="F650" s="10" t="s">
        <v>782</v>
      </c>
      <c r="G650" s="10" t="s">
        <v>3947</v>
      </c>
      <c r="H650" s="11" t="s">
        <v>3948</v>
      </c>
      <c r="I650" s="11" t="s">
        <v>3949</v>
      </c>
      <c r="J650" s="10" t="s">
        <v>1559</v>
      </c>
      <c r="K650" s="10" t="s">
        <v>1560</v>
      </c>
      <c r="L650" s="10" t="s">
        <v>1578</v>
      </c>
      <c r="M650" s="10" t="s">
        <v>782</v>
      </c>
      <c r="N650" s="10">
        <v>36</v>
      </c>
      <c r="O650" s="11">
        <v>115</v>
      </c>
      <c r="P650" s="11">
        <v>0.115</v>
      </c>
      <c r="Q650" s="10" t="s">
        <v>1562</v>
      </c>
      <c r="R650" s="10">
        <v>80</v>
      </c>
      <c r="S650" s="12">
        <v>18</v>
      </c>
      <c r="T650" s="13">
        <v>26002</v>
      </c>
      <c r="U650" s="14">
        <v>2990.23</v>
      </c>
      <c r="V650" s="10">
        <v>6.94</v>
      </c>
      <c r="W650" s="15">
        <v>180453.88</v>
      </c>
      <c r="X650" s="29">
        <f>VLOOKUP($F650,Agendamento!$B:$J,9,0)</f>
        <v>46077</v>
      </c>
      <c r="Y650" s="6">
        <f>COUNTIF(Analise!F:F,'Obras e Acervos'!H650)</f>
        <v>1</v>
      </c>
    </row>
    <row r="651" spans="1:25" ht="15" customHeight="1" x14ac:dyDescent="0.25">
      <c r="A651" s="10" t="str">
        <f>CONCATENATE(LEFT(C651,12),"-",RIGHT(C651,2),"_",TEXT(X651,"ddmmaaaa"),"_",COUNTIF($C$2:C651,C651))</f>
        <v>074274340001-11_18022026_2</v>
      </c>
      <c r="B651" s="10" t="str">
        <f>CONCATENATE(LEFT(C651,12),"-",RIGHT(C651,2),"_",COUNTIF($C$2:C651,C651))</f>
        <v>074274340001-11_2</v>
      </c>
      <c r="C651" s="10" t="s">
        <v>1918</v>
      </c>
      <c r="D651" s="10" t="s">
        <v>566</v>
      </c>
      <c r="E651" s="10" t="s">
        <v>1574</v>
      </c>
      <c r="F651" s="10" t="s">
        <v>567</v>
      </c>
      <c r="G651" s="10" t="s">
        <v>3950</v>
      </c>
      <c r="H651" s="11" t="s">
        <v>3951</v>
      </c>
      <c r="I651" s="11" t="s">
        <v>3952</v>
      </c>
      <c r="J651" s="10" t="s">
        <v>1559</v>
      </c>
      <c r="K651" s="10" t="s">
        <v>1560</v>
      </c>
      <c r="L651" s="10" t="s">
        <v>1578</v>
      </c>
      <c r="M651" s="10" t="s">
        <v>567</v>
      </c>
      <c r="N651" s="10">
        <v>56</v>
      </c>
      <c r="O651" s="11">
        <v>76</v>
      </c>
      <c r="P651" s="11">
        <v>7.5999999999999998E-2</v>
      </c>
      <c r="Q651" s="10" t="s">
        <v>1608</v>
      </c>
      <c r="R651" s="10">
        <v>80</v>
      </c>
      <c r="S651" s="12">
        <v>18</v>
      </c>
      <c r="T651" s="13">
        <v>28123</v>
      </c>
      <c r="U651" s="14">
        <v>2137.348</v>
      </c>
      <c r="V651" s="10">
        <v>7.28</v>
      </c>
      <c r="W651" s="15">
        <v>204735.44</v>
      </c>
      <c r="X651" s="29">
        <f>VLOOKUP($F651,Agendamento!$B:$J,9,0)</f>
        <v>46071</v>
      </c>
      <c r="Y651" s="6">
        <f>COUNTIF(Analise!F:F,'Obras e Acervos'!H651)</f>
        <v>1</v>
      </c>
    </row>
    <row r="652" spans="1:25" ht="15" customHeight="1" x14ac:dyDescent="0.25">
      <c r="A652" s="10" t="str">
        <f>CONCATENATE(LEFT(C652,12),"-",RIGHT(C652,2),"_",TEXT(X652,"ddmmaaaa"),"_",COUNTIF($C$2:C652,C652))</f>
        <v>438849790001-10_10022026_2</v>
      </c>
      <c r="B652" s="10" t="str">
        <f>CONCATENATE(LEFT(C652,12),"-",RIGHT(C652,2),"_",COUNTIF($C$2:C652,C652))</f>
        <v>438849790001-10_2</v>
      </c>
      <c r="C652" s="10" t="s">
        <v>3052</v>
      </c>
      <c r="D652" s="10" t="s">
        <v>6104</v>
      </c>
      <c r="E652" s="10" t="s">
        <v>1574</v>
      </c>
      <c r="F652" s="10" t="s">
        <v>276</v>
      </c>
      <c r="G652" s="10" t="s">
        <v>3953</v>
      </c>
      <c r="H652" s="11" t="s">
        <v>3954</v>
      </c>
      <c r="I652" s="11" t="s">
        <v>3955</v>
      </c>
      <c r="J652" s="10" t="s">
        <v>1559</v>
      </c>
      <c r="K652" s="10" t="s">
        <v>1560</v>
      </c>
      <c r="L652" s="10" t="s">
        <v>1578</v>
      </c>
      <c r="M652" s="10" t="s">
        <v>276</v>
      </c>
      <c r="N652" s="10">
        <v>40</v>
      </c>
      <c r="O652" s="11">
        <v>124</v>
      </c>
      <c r="P652" s="11">
        <v>0.124</v>
      </c>
      <c r="Q652" s="10" t="s">
        <v>1562</v>
      </c>
      <c r="R652" s="10">
        <v>80</v>
      </c>
      <c r="S652" s="12">
        <v>18</v>
      </c>
      <c r="T652" s="13">
        <v>24927</v>
      </c>
      <c r="U652" s="14">
        <v>3090.9479999999999</v>
      </c>
      <c r="V652" s="10">
        <v>7.46</v>
      </c>
      <c r="W652" s="15">
        <v>185955.42</v>
      </c>
      <c r="X652" s="29">
        <f>VLOOKUP($F652,Agendamento!$B:$J,9,0)</f>
        <v>46063</v>
      </c>
      <c r="Y652" s="6">
        <f>COUNTIF(Analise!F:F,'Obras e Acervos'!H652)</f>
        <v>1</v>
      </c>
    </row>
    <row r="653" spans="1:25" ht="15" customHeight="1" x14ac:dyDescent="0.25">
      <c r="A653" s="10" t="str">
        <f>CONCATENATE(LEFT(C653,12),"-",RIGHT(C653,2),"_",TEXT(X653,"ddmmaaaa"),"_",COUNTIF($C$2:C653,C653))</f>
        <v>434141850001-93_02032026_2</v>
      </c>
      <c r="B653" s="10" t="str">
        <f>CONCATENATE(LEFT(C653,12),"-",RIGHT(C653,2),"_",COUNTIF($C$2:C653,C653))</f>
        <v>434141850001-93_2</v>
      </c>
      <c r="C653" s="10" t="s">
        <v>2254</v>
      </c>
      <c r="D653" s="10" t="s">
        <v>1063</v>
      </c>
      <c r="E653" s="10" t="s">
        <v>1574</v>
      </c>
      <c r="F653" s="10" t="s">
        <v>1064</v>
      </c>
      <c r="G653" s="10" t="s">
        <v>3956</v>
      </c>
      <c r="H653" s="11" t="s">
        <v>3957</v>
      </c>
      <c r="I653" s="11" t="s">
        <v>3958</v>
      </c>
      <c r="J653" s="10" t="s">
        <v>1559</v>
      </c>
      <c r="K653" s="10" t="s">
        <v>1560</v>
      </c>
      <c r="L653" s="10" t="s">
        <v>1578</v>
      </c>
      <c r="M653" s="10" t="s">
        <v>1064</v>
      </c>
      <c r="N653" s="10">
        <v>40</v>
      </c>
      <c r="O653" s="11">
        <v>104</v>
      </c>
      <c r="P653" s="11">
        <v>0.104</v>
      </c>
      <c r="Q653" s="10" t="s">
        <v>1562</v>
      </c>
      <c r="R653" s="10">
        <v>80</v>
      </c>
      <c r="S653" s="12">
        <v>18</v>
      </c>
      <c r="T653" s="13">
        <v>25775</v>
      </c>
      <c r="U653" s="14">
        <v>2680.6</v>
      </c>
      <c r="V653" s="10">
        <v>7.42</v>
      </c>
      <c r="W653" s="15">
        <v>191250.5</v>
      </c>
      <c r="X653" s="29">
        <f>VLOOKUP($F653,Agendamento!$B:$J,9,0)</f>
        <v>46083</v>
      </c>
      <c r="Y653" s="6">
        <f>COUNTIF(Analise!F:F,'Obras e Acervos'!H653)</f>
        <v>1</v>
      </c>
    </row>
    <row r="654" spans="1:25" ht="15" customHeight="1" x14ac:dyDescent="0.25">
      <c r="A654" s="10" t="str">
        <f>CONCATENATE(LEFT(C654,12),"-",RIGHT(C654,2),"_",TEXT(X654,"ddmmaaaa"),"_",COUNTIF($C$2:C654,C654))</f>
        <v>438866840001-83_13032026_2</v>
      </c>
      <c r="B654" s="10" t="str">
        <f>CONCATENATE(LEFT(C654,12),"-",RIGHT(C654,2),"_",COUNTIF($C$2:C654,C654))</f>
        <v>438866840001-83_2</v>
      </c>
      <c r="C654" s="10" t="s">
        <v>1930</v>
      </c>
      <c r="D654" s="10" t="s">
        <v>5945</v>
      </c>
      <c r="E654" s="10" t="s">
        <v>1574</v>
      </c>
      <c r="F654" s="10" t="s">
        <v>1417</v>
      </c>
      <c r="G654" s="10" t="s">
        <v>3959</v>
      </c>
      <c r="H654" s="11" t="s">
        <v>3960</v>
      </c>
      <c r="I654" s="11" t="s">
        <v>3961</v>
      </c>
      <c r="J654" s="10" t="s">
        <v>1559</v>
      </c>
      <c r="K654" s="10" t="s">
        <v>1560</v>
      </c>
      <c r="L654" s="10" t="s">
        <v>1578</v>
      </c>
      <c r="M654" s="10" t="s">
        <v>1417</v>
      </c>
      <c r="N654" s="10">
        <v>32</v>
      </c>
      <c r="O654" s="11">
        <v>105</v>
      </c>
      <c r="P654" s="11">
        <v>0.105</v>
      </c>
      <c r="Q654" s="10" t="s">
        <v>1599</v>
      </c>
      <c r="R654" s="10">
        <v>80</v>
      </c>
      <c r="S654" s="12">
        <v>18</v>
      </c>
      <c r="T654" s="13">
        <v>26457</v>
      </c>
      <c r="U654" s="14">
        <v>2777.9849999999997</v>
      </c>
      <c r="V654" s="10">
        <v>6.45</v>
      </c>
      <c r="W654" s="15">
        <v>170647.65</v>
      </c>
      <c r="X654" s="29">
        <f>VLOOKUP($F654,Agendamento!$B:$J,9,0)</f>
        <v>46094</v>
      </c>
      <c r="Y654" s="6">
        <f>COUNTIF(Analise!F:F,'Obras e Acervos'!H654)</f>
        <v>1</v>
      </c>
    </row>
    <row r="655" spans="1:25" ht="15" customHeight="1" x14ac:dyDescent="0.25">
      <c r="A655" s="10" t="str">
        <f>CONCATENATE(LEFT(C655,12),"-",RIGHT(C655,2),"_",TEXT(X655,"ddmmaaaa"),"_",COUNTIF($C$2:C655,C655))</f>
        <v>334512790001-89_27022026_2</v>
      </c>
      <c r="B655" s="10" t="str">
        <f>CONCATENATE(LEFT(C655,12),"-",RIGHT(C655,2),"_",COUNTIF($C$2:C655,C655))</f>
        <v>334512790001-89_2</v>
      </c>
      <c r="C655" s="10" t="s">
        <v>1621</v>
      </c>
      <c r="D655" s="10" t="s">
        <v>5898</v>
      </c>
      <c r="E655" s="10" t="s">
        <v>1574</v>
      </c>
      <c r="F655" s="10" t="s">
        <v>964</v>
      </c>
      <c r="G655" s="10" t="s">
        <v>3962</v>
      </c>
      <c r="H655" s="11" t="s">
        <v>3963</v>
      </c>
      <c r="I655" s="11" t="s">
        <v>3964</v>
      </c>
      <c r="J655" s="10" t="s">
        <v>1559</v>
      </c>
      <c r="K655" s="10" t="s">
        <v>1560</v>
      </c>
      <c r="L655" s="10" t="s">
        <v>1578</v>
      </c>
      <c r="M655" s="10" t="s">
        <v>964</v>
      </c>
      <c r="N655" s="10">
        <v>40</v>
      </c>
      <c r="O655" s="11">
        <v>125</v>
      </c>
      <c r="P655" s="11">
        <v>0.125</v>
      </c>
      <c r="Q655" s="10" t="s">
        <v>1562</v>
      </c>
      <c r="R655" s="10">
        <v>80</v>
      </c>
      <c r="S655" s="12">
        <v>18</v>
      </c>
      <c r="T655" s="13">
        <v>23624</v>
      </c>
      <c r="U655" s="14">
        <v>2953</v>
      </c>
      <c r="V655" s="10">
        <v>7.53</v>
      </c>
      <c r="W655" s="15">
        <v>177888.72</v>
      </c>
      <c r="X655" s="29">
        <f>VLOOKUP($F655,Agendamento!$B:$J,9,0)</f>
        <v>46080</v>
      </c>
      <c r="Y655" s="6">
        <f>COUNTIF(Analise!F:F,'Obras e Acervos'!H655)</f>
        <v>3</v>
      </c>
    </row>
    <row r="656" spans="1:25" ht="15" customHeight="1" x14ac:dyDescent="0.25">
      <c r="A656" s="10" t="str">
        <f>CONCATENATE(LEFT(C656,12),"-",RIGHT(C656,2),"_",TEXT(X656,"ddmmaaaa"),"_",COUNTIF($C$2:C656,C656))</f>
        <v>284343540001-63_18022026_1</v>
      </c>
      <c r="B656" s="10" t="str">
        <f>CONCATENATE(LEFT(C656,12),"-",RIGHT(C656,2),"_",COUNTIF($C$2:C656,C656))</f>
        <v>284343540001-63_1</v>
      </c>
      <c r="C656" s="10" t="s">
        <v>3965</v>
      </c>
      <c r="D656" s="10" t="s">
        <v>6143</v>
      </c>
      <c r="E656" s="10" t="s">
        <v>1574</v>
      </c>
      <c r="F656" s="10" t="s">
        <v>556</v>
      </c>
      <c r="G656" s="10" t="s">
        <v>3966</v>
      </c>
      <c r="H656" s="11" t="s">
        <v>3967</v>
      </c>
      <c r="I656" s="11" t="s">
        <v>3968</v>
      </c>
      <c r="J656" s="10" t="s">
        <v>1559</v>
      </c>
      <c r="K656" s="10" t="s">
        <v>1560</v>
      </c>
      <c r="L656" s="10" t="s">
        <v>1578</v>
      </c>
      <c r="M656" s="10" t="s">
        <v>556</v>
      </c>
      <c r="N656" s="10">
        <v>72</v>
      </c>
      <c r="O656" s="11">
        <v>300</v>
      </c>
      <c r="P656" s="11">
        <v>0.3</v>
      </c>
      <c r="Q656" s="10" t="s">
        <v>1562</v>
      </c>
      <c r="R656" s="10">
        <v>80</v>
      </c>
      <c r="S656" s="12">
        <v>18</v>
      </c>
      <c r="T656" s="13">
        <v>45849</v>
      </c>
      <c r="U656" s="14">
        <v>13754.699999999999</v>
      </c>
      <c r="V656" s="10">
        <v>8.9700000000000006</v>
      </c>
      <c r="W656" s="15">
        <v>411265.53</v>
      </c>
      <c r="X656" s="29">
        <f>VLOOKUP($F656,Agendamento!$B:$J,9,0)</f>
        <v>46071</v>
      </c>
      <c r="Y656" s="6">
        <f>COUNTIF(Analise!F:F,'Obras e Acervos'!H656)</f>
        <v>1</v>
      </c>
    </row>
    <row r="657" spans="1:25" ht="15" customHeight="1" x14ac:dyDescent="0.25">
      <c r="A657" s="10" t="str">
        <f>CONCATENATE(LEFT(C657,12),"-",RIGHT(C657,2),"_",TEXT(X657,"ddmmaaaa"),"_",COUNTIF($C$2:C657,C657))</f>
        <v>444618360001-69_06022026_2</v>
      </c>
      <c r="B657" s="10" t="str">
        <f>CONCATENATE(LEFT(C657,12),"-",RIGHT(C657,2),"_",COUNTIF($C$2:C657,C657))</f>
        <v>444618360001-69_2</v>
      </c>
      <c r="C657" s="10" t="s">
        <v>2114</v>
      </c>
      <c r="D657" s="10" t="s">
        <v>185</v>
      </c>
      <c r="E657" s="10" t="s">
        <v>1574</v>
      </c>
      <c r="F657" s="10" t="s">
        <v>186</v>
      </c>
      <c r="G657" s="10" t="s">
        <v>3969</v>
      </c>
      <c r="H657" s="11" t="s">
        <v>3970</v>
      </c>
      <c r="I657" s="11" t="s">
        <v>3971</v>
      </c>
      <c r="J657" s="10" t="s">
        <v>1559</v>
      </c>
      <c r="K657" s="10" t="s">
        <v>1560</v>
      </c>
      <c r="L657" s="10" t="s">
        <v>1578</v>
      </c>
      <c r="M657" s="10" t="s">
        <v>186</v>
      </c>
      <c r="N657" s="10">
        <v>32</v>
      </c>
      <c r="O657" s="11">
        <v>105</v>
      </c>
      <c r="P657" s="11">
        <v>0.105</v>
      </c>
      <c r="Q657" s="10" t="s">
        <v>1562</v>
      </c>
      <c r="R657" s="10">
        <v>80</v>
      </c>
      <c r="S657" s="12">
        <v>18</v>
      </c>
      <c r="T657" s="13">
        <v>23988</v>
      </c>
      <c r="U657" s="14">
        <v>2518.7399999999998</v>
      </c>
      <c r="V657" s="10">
        <v>6.57</v>
      </c>
      <c r="W657" s="15">
        <v>157601.16</v>
      </c>
      <c r="X657" s="29">
        <f>VLOOKUP($F657,Agendamento!$B:$J,9,0)</f>
        <v>46059</v>
      </c>
      <c r="Y657" s="6">
        <f>COUNTIF(Analise!F:F,'Obras e Acervos'!H657)</f>
        <v>1</v>
      </c>
    </row>
    <row r="658" spans="1:25" ht="15" customHeight="1" x14ac:dyDescent="0.25">
      <c r="A658" s="10" t="str">
        <f>CONCATENATE(LEFT(C658,12),"-",RIGHT(C658,2),"_",TEXT(X658,"ddmmaaaa"),"_",COUNTIF($C$2:C658,C658))</f>
        <v>343019640001-91_20022026_2</v>
      </c>
      <c r="B658" s="10" t="str">
        <f>CONCATENATE(LEFT(C658,12),"-",RIGHT(C658,2),"_",COUNTIF($C$2:C658,C658))</f>
        <v>343019640001-91_2</v>
      </c>
      <c r="C658" s="10" t="s">
        <v>2438</v>
      </c>
      <c r="D658" s="10" t="s">
        <v>6017</v>
      </c>
      <c r="E658" s="10" t="s">
        <v>1574</v>
      </c>
      <c r="F658" s="10" t="s">
        <v>647</v>
      </c>
      <c r="G658" s="10" t="s">
        <v>3972</v>
      </c>
      <c r="H658" s="11" t="s">
        <v>3973</v>
      </c>
      <c r="I658" s="11" t="s">
        <v>3974</v>
      </c>
      <c r="J658" s="10" t="s">
        <v>1559</v>
      </c>
      <c r="K658" s="10" t="s">
        <v>1560</v>
      </c>
      <c r="L658" s="10" t="s">
        <v>1578</v>
      </c>
      <c r="M658" s="10" t="s">
        <v>6242</v>
      </c>
      <c r="N658" s="10">
        <v>56</v>
      </c>
      <c r="O658" s="11">
        <v>132</v>
      </c>
      <c r="P658" s="11">
        <v>0.13200000000000001</v>
      </c>
      <c r="Q658" s="10" t="s">
        <v>1599</v>
      </c>
      <c r="R658" s="10">
        <v>80</v>
      </c>
      <c r="S658" s="12">
        <v>18</v>
      </c>
      <c r="T658" s="13">
        <v>23957</v>
      </c>
      <c r="U658" s="14">
        <v>3162.3240000000001</v>
      </c>
      <c r="V658" s="10">
        <v>9.4</v>
      </c>
      <c r="W658" s="15">
        <v>225195.80000000002</v>
      </c>
      <c r="X658" s="29">
        <f>VLOOKUP($F658,Agendamento!$B:$J,9,0)</f>
        <v>46073</v>
      </c>
      <c r="Y658" s="6">
        <f>COUNTIF(Analise!F:F,'Obras e Acervos'!H658)</f>
        <v>1</v>
      </c>
    </row>
    <row r="659" spans="1:25" ht="15" customHeight="1" x14ac:dyDescent="0.25">
      <c r="A659" s="10" t="str">
        <f>CONCATENATE(LEFT(C659,12),"-",RIGHT(C659,2),"_",TEXT(X659,"ddmmaaaa"),"_",COUNTIF($C$2:C659,C659))</f>
        <v>106894240001-69_04032026_2</v>
      </c>
      <c r="B659" s="10" t="str">
        <f>CONCATENATE(LEFT(C659,12),"-",RIGHT(C659,2),"_",COUNTIF($C$2:C659,C659))</f>
        <v>106894240001-69_2</v>
      </c>
      <c r="C659" s="10" t="s">
        <v>2442</v>
      </c>
      <c r="D659" s="10" t="s">
        <v>1179</v>
      </c>
      <c r="E659" s="10" t="s">
        <v>1574</v>
      </c>
      <c r="F659" s="10" t="s">
        <v>1180</v>
      </c>
      <c r="G659" s="10" t="s">
        <v>3975</v>
      </c>
      <c r="H659" s="11" t="s">
        <v>3976</v>
      </c>
      <c r="I659" s="11" t="s">
        <v>3977</v>
      </c>
      <c r="J659" s="10" t="s">
        <v>1559</v>
      </c>
      <c r="K659" s="10" t="s">
        <v>1560</v>
      </c>
      <c r="L659" s="10" t="s">
        <v>1578</v>
      </c>
      <c r="M659" s="10" t="s">
        <v>1180</v>
      </c>
      <c r="N659" s="10">
        <v>24</v>
      </c>
      <c r="O659" s="11">
        <v>83</v>
      </c>
      <c r="P659" s="11">
        <v>8.3000000000000004E-2</v>
      </c>
      <c r="Q659" s="10" t="s">
        <v>1562</v>
      </c>
      <c r="R659" s="10">
        <v>80</v>
      </c>
      <c r="S659" s="12">
        <v>18</v>
      </c>
      <c r="T659" s="13">
        <v>26018</v>
      </c>
      <c r="U659" s="14">
        <v>2159.4940000000001</v>
      </c>
      <c r="V659" s="10">
        <v>5.52</v>
      </c>
      <c r="W659" s="15">
        <v>143619.35999999999</v>
      </c>
      <c r="X659" s="29">
        <f>VLOOKUP($F659,Agendamento!$B:$J,9,0)</f>
        <v>46085</v>
      </c>
      <c r="Y659" s="6">
        <f>COUNTIF(Analise!F:F,'Obras e Acervos'!H659)</f>
        <v>1</v>
      </c>
    </row>
    <row r="660" spans="1:25" ht="15" customHeight="1" x14ac:dyDescent="0.25">
      <c r="A660" s="10" t="str">
        <f>CONCATENATE(LEFT(C660,12),"-",RIGHT(C660,2),"_",TEXT(X660,"ddmmaaaa"),"_",COUNTIF($C$2:C660,C660))</f>
        <v>008459260001-88_23022026_1</v>
      </c>
      <c r="B660" s="10" t="str">
        <f>CONCATENATE(LEFT(C660,12),"-",RIGHT(C660,2),"_",COUNTIF($C$2:C660,C660))</f>
        <v>008459260001-88_1</v>
      </c>
      <c r="C660" s="10" t="s">
        <v>3978</v>
      </c>
      <c r="D660" s="10" t="s">
        <v>6144</v>
      </c>
      <c r="E660" s="10" t="s">
        <v>1574</v>
      </c>
      <c r="F660" s="10" t="s">
        <v>715</v>
      </c>
      <c r="G660" s="10" t="s">
        <v>3979</v>
      </c>
      <c r="H660" s="11" t="s">
        <v>3980</v>
      </c>
      <c r="I660" s="11" t="s">
        <v>3981</v>
      </c>
      <c r="J660" s="10" t="s">
        <v>1559</v>
      </c>
      <c r="K660" s="10" t="s">
        <v>1560</v>
      </c>
      <c r="L660" s="10" t="s">
        <v>1578</v>
      </c>
      <c r="M660" s="10" t="s">
        <v>715</v>
      </c>
      <c r="N660" s="10">
        <v>48</v>
      </c>
      <c r="O660" s="11">
        <v>140</v>
      </c>
      <c r="P660" s="11">
        <v>0.14000000000000001</v>
      </c>
      <c r="Q660" s="10" t="s">
        <v>1562</v>
      </c>
      <c r="R660" s="10">
        <v>75</v>
      </c>
      <c r="S660" s="12">
        <v>18</v>
      </c>
      <c r="T660" s="13">
        <v>23609</v>
      </c>
      <c r="U660" s="14">
        <v>3305.26</v>
      </c>
      <c r="V660" s="10">
        <v>8.25</v>
      </c>
      <c r="W660" s="15">
        <v>194774.25</v>
      </c>
      <c r="X660" s="29">
        <f>VLOOKUP($F660,Agendamento!$B:$J,9,0)</f>
        <v>46076</v>
      </c>
      <c r="Y660" s="6">
        <f>COUNTIF(Analise!F:F,'Obras e Acervos'!H660)</f>
        <v>1</v>
      </c>
    </row>
    <row r="661" spans="1:25" ht="15" customHeight="1" x14ac:dyDescent="0.25">
      <c r="A661" s="10" t="str">
        <f>CONCATENATE(LEFT(C661,12),"-",RIGHT(C661,2),"_",TEXT(X661,"ddmmaaaa"),"_",COUNTIF($C$2:C661,C661))</f>
        <v>324554550001-98_24022026_2</v>
      </c>
      <c r="B661" s="10" t="str">
        <f>CONCATENATE(LEFT(C661,12),"-",RIGHT(C661,2),"_",COUNTIF($C$2:C661,C661))</f>
        <v>324554550001-98_2</v>
      </c>
      <c r="C661" s="10" t="s">
        <v>1822</v>
      </c>
      <c r="D661" s="10" t="s">
        <v>661</v>
      </c>
      <c r="E661" s="10" t="s">
        <v>1574</v>
      </c>
      <c r="F661" s="10" t="s">
        <v>777</v>
      </c>
      <c r="G661" s="10" t="s">
        <v>3982</v>
      </c>
      <c r="H661" s="11" t="s">
        <v>3983</v>
      </c>
      <c r="I661" s="11" t="s">
        <v>3984</v>
      </c>
      <c r="J661" s="10" t="s">
        <v>1559</v>
      </c>
      <c r="K661" s="10" t="s">
        <v>1560</v>
      </c>
      <c r="L661" s="10" t="s">
        <v>1578</v>
      </c>
      <c r="M661" s="10" t="s">
        <v>777</v>
      </c>
      <c r="N661" s="10">
        <v>64</v>
      </c>
      <c r="O661" s="11">
        <v>181</v>
      </c>
      <c r="P661" s="11">
        <v>0.18099999999999999</v>
      </c>
      <c r="Q661" s="10" t="s">
        <v>1562</v>
      </c>
      <c r="R661" s="10">
        <v>80</v>
      </c>
      <c r="S661" s="12">
        <v>18</v>
      </c>
      <c r="T661" s="13">
        <v>24018</v>
      </c>
      <c r="U661" s="14">
        <v>4347.2579999999998</v>
      </c>
      <c r="V661" s="10">
        <v>10.32</v>
      </c>
      <c r="W661" s="15">
        <v>247865.76</v>
      </c>
      <c r="X661" s="29">
        <f>VLOOKUP($F661,Agendamento!$B:$J,9,0)</f>
        <v>46077</v>
      </c>
      <c r="Y661" s="6">
        <f>COUNTIF(Analise!F:F,'Obras e Acervos'!H661)</f>
        <v>1</v>
      </c>
    </row>
    <row r="662" spans="1:25" ht="15" customHeight="1" x14ac:dyDescent="0.25">
      <c r="A662" s="10" t="str">
        <f>CONCATENATE(LEFT(C662,12),"-",RIGHT(C662,2),"_",TEXT(X662,"ddmmaaaa"),"_",COUNTIF($C$2:C662,C662))</f>
        <v>005584580001-60_10022026_2</v>
      </c>
      <c r="B662" s="10" t="str">
        <f>CONCATENATE(LEFT(C662,12),"-",RIGHT(C662,2),"_",COUNTIF($C$2:C662,C662))</f>
        <v>005584580001-60_2</v>
      </c>
      <c r="C662" s="10" t="s">
        <v>2307</v>
      </c>
      <c r="D662" s="10" t="s">
        <v>5995</v>
      </c>
      <c r="E662" s="10" t="s">
        <v>1574</v>
      </c>
      <c r="F662" s="10" t="s">
        <v>287</v>
      </c>
      <c r="G662" s="10" t="s">
        <v>3985</v>
      </c>
      <c r="H662" s="11" t="s">
        <v>3986</v>
      </c>
      <c r="I662" s="11" t="s">
        <v>3987</v>
      </c>
      <c r="J662" s="10" t="s">
        <v>1559</v>
      </c>
      <c r="K662" s="10" t="s">
        <v>1560</v>
      </c>
      <c r="L662" s="10" t="s">
        <v>1578</v>
      </c>
      <c r="M662" s="10" t="s">
        <v>287</v>
      </c>
      <c r="N662" s="10">
        <v>32</v>
      </c>
      <c r="O662" s="11">
        <v>75</v>
      </c>
      <c r="P662" s="11">
        <v>7.4999999999999997E-2</v>
      </c>
      <c r="Q662" s="10" t="s">
        <v>1562</v>
      </c>
      <c r="R662" s="10">
        <v>80</v>
      </c>
      <c r="S662" s="12">
        <v>18</v>
      </c>
      <c r="T662" s="13">
        <v>23715</v>
      </c>
      <c r="U662" s="14">
        <v>1778.625</v>
      </c>
      <c r="V662" s="10">
        <v>6.59</v>
      </c>
      <c r="W662" s="15">
        <v>156281.85</v>
      </c>
      <c r="X662" s="29">
        <f>VLOOKUP($F662,Agendamento!$B:$J,9,0)</f>
        <v>46063</v>
      </c>
      <c r="Y662" s="6">
        <f>COUNTIF(Analise!F:F,'Obras e Acervos'!H662)</f>
        <v>1</v>
      </c>
    </row>
    <row r="663" spans="1:25" ht="15" customHeight="1" x14ac:dyDescent="0.25">
      <c r="A663" s="10" t="str">
        <f>CONCATENATE(LEFT(C663,12),"-",RIGHT(C663,2),"_",TEXT(X663,"ddmmaaaa"),"_",COUNTIF($C$2:C663,C663))</f>
        <v>250706980001-42_27022026_1</v>
      </c>
      <c r="B663" s="10" t="str">
        <f>CONCATENATE(LEFT(C663,12),"-",RIGHT(C663,2),"_",COUNTIF($C$2:C663,C663))</f>
        <v>250706980001-42_1</v>
      </c>
      <c r="C663" s="10" t="s">
        <v>3988</v>
      </c>
      <c r="D663" s="10" t="s">
        <v>6145</v>
      </c>
      <c r="E663" s="10" t="s">
        <v>1574</v>
      </c>
      <c r="F663" s="10" t="s">
        <v>999</v>
      </c>
      <c r="G663" s="10" t="s">
        <v>3989</v>
      </c>
      <c r="H663" s="11" t="s">
        <v>3990</v>
      </c>
      <c r="I663" s="11" t="s">
        <v>3991</v>
      </c>
      <c r="J663" s="10" t="s">
        <v>1559</v>
      </c>
      <c r="K663" s="10" t="s">
        <v>1560</v>
      </c>
      <c r="L663" s="10" t="s">
        <v>1578</v>
      </c>
      <c r="M663" s="10" t="s">
        <v>999</v>
      </c>
      <c r="N663" s="10">
        <v>48</v>
      </c>
      <c r="O663" s="11">
        <v>149</v>
      </c>
      <c r="P663" s="11">
        <v>0.14899999999999999</v>
      </c>
      <c r="Q663" s="10" t="s">
        <v>1562</v>
      </c>
      <c r="R663" s="10">
        <v>80</v>
      </c>
      <c r="S663" s="12">
        <v>18</v>
      </c>
      <c r="T663" s="13">
        <v>24336</v>
      </c>
      <c r="U663" s="14">
        <v>3626.0639999999999</v>
      </c>
      <c r="V663" s="10">
        <v>8.43</v>
      </c>
      <c r="W663" s="15">
        <v>205152.47999999998</v>
      </c>
      <c r="X663" s="29">
        <f>VLOOKUP($F663,Agendamento!$B:$J,9,0)</f>
        <v>46080</v>
      </c>
      <c r="Y663" s="6">
        <f>COUNTIF(Analise!F:F,'Obras e Acervos'!H663)</f>
        <v>1</v>
      </c>
    </row>
    <row r="664" spans="1:25" ht="15" customHeight="1" x14ac:dyDescent="0.25">
      <c r="A664" s="10" t="str">
        <f>CONCATENATE(LEFT(C664,12),"-",RIGHT(C664,2),"_",TEXT(X664,"ddmmaaaa"),"_",COUNTIF($C$2:C664,C664))</f>
        <v>433990010001-63_06022026_2</v>
      </c>
      <c r="B664" s="10" t="str">
        <f>CONCATENATE(LEFT(C664,12),"-",RIGHT(C664,2),"_",COUNTIF($C$2:C664,C664))</f>
        <v>433990010001-63_2</v>
      </c>
      <c r="C664" s="10" t="s">
        <v>2781</v>
      </c>
      <c r="D664" s="10" t="s">
        <v>187</v>
      </c>
      <c r="E664" s="10" t="s">
        <v>1574</v>
      </c>
      <c r="F664" s="10" t="s">
        <v>188</v>
      </c>
      <c r="G664" s="10" t="s">
        <v>3992</v>
      </c>
      <c r="H664" s="11" t="s">
        <v>3993</v>
      </c>
      <c r="I664" s="11" t="s">
        <v>3994</v>
      </c>
      <c r="J664" s="10" t="s">
        <v>1559</v>
      </c>
      <c r="K664" s="10" t="s">
        <v>1560</v>
      </c>
      <c r="L664" s="10" t="s">
        <v>1578</v>
      </c>
      <c r="M664" s="10" t="s">
        <v>6243</v>
      </c>
      <c r="N664" s="10">
        <v>32</v>
      </c>
      <c r="O664" s="11">
        <v>105</v>
      </c>
      <c r="P664" s="11">
        <v>0.105</v>
      </c>
      <c r="Q664" s="10" t="s">
        <v>1562</v>
      </c>
      <c r="R664" s="10">
        <v>80</v>
      </c>
      <c r="S664" s="12">
        <v>18</v>
      </c>
      <c r="T664" s="13">
        <v>23533</v>
      </c>
      <c r="U664" s="14">
        <v>2470.9649999999997</v>
      </c>
      <c r="V664" s="10">
        <v>6.6</v>
      </c>
      <c r="W664" s="15">
        <v>155317.79999999999</v>
      </c>
      <c r="X664" s="29">
        <f>VLOOKUP($F664,Agendamento!$B:$J,9,0)</f>
        <v>46059</v>
      </c>
      <c r="Y664" s="6">
        <f>COUNTIF(Analise!F:F,'Obras e Acervos'!H664)</f>
        <v>1</v>
      </c>
    </row>
    <row r="665" spans="1:25" ht="15" customHeight="1" x14ac:dyDescent="0.25">
      <c r="A665" s="10" t="str">
        <f>CONCATENATE(LEFT(C665,12),"-",RIGHT(C665,2),"_",TEXT(X665,"ddmmaaaa"),"_",COUNTIF($C$2:C665,C665))</f>
        <v>056067940001-55_27012026_1</v>
      </c>
      <c r="B665" s="10" t="str">
        <f>CONCATENATE(LEFT(C665,12),"-",RIGHT(C665,2),"_",COUNTIF($C$2:C665,C665))</f>
        <v>056067940001-55_1</v>
      </c>
      <c r="C665" s="21" t="s">
        <v>3995</v>
      </c>
      <c r="D665" s="10" t="s">
        <v>49</v>
      </c>
      <c r="E665" s="10" t="s">
        <v>1555</v>
      </c>
      <c r="F665" s="10" t="s">
        <v>50</v>
      </c>
      <c r="G665" s="10" t="s">
        <v>3996</v>
      </c>
      <c r="H665" s="22" t="s">
        <v>3997</v>
      </c>
      <c r="I665" s="27" t="s">
        <v>3998</v>
      </c>
      <c r="J665" s="10" t="s">
        <v>1559</v>
      </c>
      <c r="K665" s="10" t="s">
        <v>1560</v>
      </c>
      <c r="L665" s="10" t="s">
        <v>1561</v>
      </c>
      <c r="M665" s="10" t="s">
        <v>6244</v>
      </c>
      <c r="N665" s="10">
        <v>40</v>
      </c>
      <c r="O665" s="11">
        <v>96</v>
      </c>
      <c r="P665" s="22">
        <v>9.6000000000000002E-2</v>
      </c>
      <c r="Q665" s="10" t="s">
        <v>1562</v>
      </c>
      <c r="R665" s="10">
        <v>80</v>
      </c>
      <c r="S665" s="12">
        <v>6</v>
      </c>
      <c r="T665" s="23">
        <v>37023</v>
      </c>
      <c r="U665" s="24">
        <v>3554.2080000000001</v>
      </c>
      <c r="V665" s="10">
        <v>5.89</v>
      </c>
      <c r="W665" s="15">
        <v>192149.47</v>
      </c>
      <c r="X665" s="29">
        <f>VLOOKUP($F665,Agendamento!$B:$J,9,0)</f>
        <v>46049</v>
      </c>
      <c r="Y665" s="6">
        <f>COUNTIF(Analise!F:F,'Obras e Acervos'!H665)</f>
        <v>1</v>
      </c>
    </row>
    <row r="666" spans="1:25" ht="15" customHeight="1" x14ac:dyDescent="0.25">
      <c r="A666" s="10" t="str">
        <f>CONCATENATE(LEFT(C666,12),"-",RIGHT(C666,2),"_",TEXT(X666,"ddmmaaaa"),"_",COUNTIF($C$2:C666,C666))</f>
        <v>253021220001-63_24022026_2</v>
      </c>
      <c r="B666" s="10" t="str">
        <f>CONCATENATE(LEFT(C666,12),"-",RIGHT(C666,2),"_",COUNTIF($C$2:C666,C666))</f>
        <v>253021220001-63_2</v>
      </c>
      <c r="C666" s="10" t="s">
        <v>1678</v>
      </c>
      <c r="D666" s="10" t="s">
        <v>5909</v>
      </c>
      <c r="E666" s="10" t="s">
        <v>1574</v>
      </c>
      <c r="F666" s="10" t="s">
        <v>823</v>
      </c>
      <c r="G666" s="10" t="s">
        <v>3999</v>
      </c>
      <c r="H666" s="11" t="s">
        <v>4000</v>
      </c>
      <c r="I666" s="11" t="s">
        <v>4001</v>
      </c>
      <c r="J666" s="10" t="s">
        <v>1559</v>
      </c>
      <c r="K666" s="10" t="s">
        <v>1560</v>
      </c>
      <c r="L666" s="10" t="s">
        <v>1578</v>
      </c>
      <c r="M666" s="10" t="s">
        <v>823</v>
      </c>
      <c r="N666" s="10">
        <v>28</v>
      </c>
      <c r="O666" s="11">
        <v>120</v>
      </c>
      <c r="P666" s="11">
        <v>0.12</v>
      </c>
      <c r="Q666" s="10" t="s">
        <v>1562</v>
      </c>
      <c r="R666" s="10">
        <v>80</v>
      </c>
      <c r="S666" s="12">
        <v>18</v>
      </c>
      <c r="T666" s="13">
        <v>23745</v>
      </c>
      <c r="U666" s="14">
        <v>2849.4</v>
      </c>
      <c r="V666" s="10">
        <v>6.11</v>
      </c>
      <c r="W666" s="15">
        <v>145081.95000000001</v>
      </c>
      <c r="X666" s="29">
        <f>VLOOKUP($F666,Agendamento!$B:$J,9,0)</f>
        <v>46077</v>
      </c>
      <c r="Y666" s="6">
        <f>COUNTIF(Analise!F:F,'Obras e Acervos'!H666)</f>
        <v>1</v>
      </c>
    </row>
    <row r="667" spans="1:25" ht="15" customHeight="1" x14ac:dyDescent="0.25">
      <c r="A667" s="10" t="str">
        <f>CONCATENATE(LEFT(C667,12),"-",RIGHT(C667,2),"_",TEXT(X667,"ddmmaaaa"),"_",COUNTIF($C$2:C667,C667))</f>
        <v>313453190001-82_11032026_2</v>
      </c>
      <c r="B667" s="10" t="str">
        <f>CONCATENATE(LEFT(C667,12),"-",RIGHT(C667,2),"_",COUNTIF($C$2:C667,C667))</f>
        <v>313453190001-82_2</v>
      </c>
      <c r="C667" s="10" t="s">
        <v>2805</v>
      </c>
      <c r="D667" s="10" t="s">
        <v>6073</v>
      </c>
      <c r="E667" s="10" t="s">
        <v>1574</v>
      </c>
      <c r="F667" s="10" t="s">
        <v>1367</v>
      </c>
      <c r="G667" s="10" t="s">
        <v>4002</v>
      </c>
      <c r="H667" s="11" t="s">
        <v>4003</v>
      </c>
      <c r="I667" s="11" t="s">
        <v>4004</v>
      </c>
      <c r="J667" s="10" t="s">
        <v>1559</v>
      </c>
      <c r="K667" s="10" t="s">
        <v>1560</v>
      </c>
      <c r="L667" s="10" t="s">
        <v>1578</v>
      </c>
      <c r="M667" s="10" t="s">
        <v>1367</v>
      </c>
      <c r="N667" s="10">
        <v>32</v>
      </c>
      <c r="O667" s="11">
        <v>37</v>
      </c>
      <c r="P667" s="11">
        <v>3.6999999999999998E-2</v>
      </c>
      <c r="Q667" s="10" t="s">
        <v>2290</v>
      </c>
      <c r="R667" s="10">
        <v>80</v>
      </c>
      <c r="S667" s="12">
        <v>18</v>
      </c>
      <c r="T667" s="13">
        <v>24018</v>
      </c>
      <c r="U667" s="14">
        <v>888.66599999999994</v>
      </c>
      <c r="V667" s="10">
        <v>5.73</v>
      </c>
      <c r="W667" s="15">
        <v>137623.14000000001</v>
      </c>
      <c r="X667" s="29">
        <f>VLOOKUP($F667,Agendamento!$B:$J,9,0)</f>
        <v>46092</v>
      </c>
      <c r="Y667" s="6">
        <f>COUNTIF(Analise!F:F,'Obras e Acervos'!H667)</f>
        <v>1</v>
      </c>
    </row>
    <row r="668" spans="1:25" ht="15" customHeight="1" x14ac:dyDescent="0.25">
      <c r="A668" s="10" t="str">
        <f>CONCATENATE(LEFT(C668,12),"-",RIGHT(C668,2),"_",TEXT(X668,"ddmmaaaa"),"_",COUNTIF($C$2:C668,C668))</f>
        <v>134985990001-87_12022026_2</v>
      </c>
      <c r="B668" s="10" t="str">
        <f>CONCATENATE(LEFT(C668,12),"-",RIGHT(C668,2),"_",COUNTIF($C$2:C668,C668))</f>
        <v>134985990001-87_2</v>
      </c>
      <c r="C668" s="10" t="s">
        <v>2972</v>
      </c>
      <c r="D668" s="10" t="s">
        <v>6095</v>
      </c>
      <c r="E668" s="10" t="s">
        <v>1574</v>
      </c>
      <c r="F668" s="10" t="s">
        <v>394</v>
      </c>
      <c r="G668" s="10" t="s">
        <v>4005</v>
      </c>
      <c r="H668" s="11" t="s">
        <v>4006</v>
      </c>
      <c r="I668" s="11" t="s">
        <v>4007</v>
      </c>
      <c r="J668" s="10" t="s">
        <v>1559</v>
      </c>
      <c r="K668" s="10" t="s">
        <v>1560</v>
      </c>
      <c r="L668" s="10" t="s">
        <v>1578</v>
      </c>
      <c r="M668" s="10" t="s">
        <v>394</v>
      </c>
      <c r="N668" s="10">
        <v>56</v>
      </c>
      <c r="O668" s="11">
        <v>145</v>
      </c>
      <c r="P668" s="11">
        <v>0.14499999999999999</v>
      </c>
      <c r="Q668" s="10" t="s">
        <v>1562</v>
      </c>
      <c r="R668" s="10">
        <v>75</v>
      </c>
      <c r="S668" s="12">
        <v>18</v>
      </c>
      <c r="T668" s="13">
        <v>26215</v>
      </c>
      <c r="U668" s="14">
        <v>3801.1749999999997</v>
      </c>
      <c r="V668" s="10">
        <v>9.1300000000000008</v>
      </c>
      <c r="W668" s="15">
        <v>239342.95</v>
      </c>
      <c r="X668" s="29">
        <f>VLOOKUP($F668,Agendamento!$B:$J,9,0)</f>
        <v>46065</v>
      </c>
      <c r="Y668" s="6">
        <f>COUNTIF(Analise!F:F,'Obras e Acervos'!H668)</f>
        <v>1</v>
      </c>
    </row>
    <row r="669" spans="1:25" ht="15" customHeight="1" x14ac:dyDescent="0.25">
      <c r="A669" s="10" t="str">
        <f>CONCATENATE(LEFT(C669,12),"-",RIGHT(C669,2),"_",TEXT(X669,"ddmmaaaa"),"_",COUNTIF($C$2:C669,C669))</f>
        <v>285670730002-60_10032026_2</v>
      </c>
      <c r="B669" s="10" t="str">
        <f>CONCATENATE(LEFT(C669,12),"-",RIGHT(C669,2),"_",COUNTIF($C$2:C669,C669))</f>
        <v>285670730002-60_2</v>
      </c>
      <c r="C669" s="38" t="s">
        <v>5762</v>
      </c>
      <c r="D669" s="10" t="s">
        <v>1332</v>
      </c>
      <c r="E669" s="10" t="s">
        <v>1574</v>
      </c>
      <c r="F669" s="10" t="s">
        <v>1333</v>
      </c>
      <c r="G669" s="10" t="s">
        <v>4008</v>
      </c>
      <c r="H669" s="11" t="s">
        <v>4009</v>
      </c>
      <c r="I669" s="11" t="s">
        <v>4010</v>
      </c>
      <c r="J669" s="10" t="s">
        <v>1559</v>
      </c>
      <c r="K669" s="10" t="s">
        <v>1560</v>
      </c>
      <c r="L669" s="10" t="s">
        <v>1578</v>
      </c>
      <c r="M669" s="10" t="s">
        <v>1333</v>
      </c>
      <c r="N669" s="10">
        <v>32</v>
      </c>
      <c r="O669" s="11">
        <v>101</v>
      </c>
      <c r="P669" s="11">
        <v>0.10100000000000001</v>
      </c>
      <c r="Q669" s="10" t="s">
        <v>1562</v>
      </c>
      <c r="R669" s="10">
        <v>80</v>
      </c>
      <c r="S669" s="12">
        <v>18</v>
      </c>
      <c r="T669" s="13">
        <v>23715</v>
      </c>
      <c r="U669" s="14">
        <v>2395.2150000000001</v>
      </c>
      <c r="V669" s="10">
        <v>6.59</v>
      </c>
      <c r="W669" s="15">
        <v>156281.85</v>
      </c>
      <c r="X669" s="29">
        <f>VLOOKUP($F669,Agendamento!$B:$J,9,0)</f>
        <v>46091</v>
      </c>
      <c r="Y669" s="6">
        <f>COUNTIF(Analise!F:F,'Obras e Acervos'!H669)</f>
        <v>1</v>
      </c>
    </row>
    <row r="670" spans="1:25" ht="15" customHeight="1" x14ac:dyDescent="0.25">
      <c r="A670" s="10" t="str">
        <f>CONCATENATE(LEFT(C670,12),"-",RIGHT(C670,2),"_",TEXT(X670,"ddmmaaaa"),"_",COUNTIF($C$2:C670,C670))</f>
        <v>076353830001-13_23022026_1</v>
      </c>
      <c r="B670" s="10" t="str">
        <f>CONCATENATE(LEFT(C670,12),"-",RIGHT(C670,2),"_",COUNTIF($C$2:C670,C670))</f>
        <v>076353830001-13_1</v>
      </c>
      <c r="C670" s="10" t="s">
        <v>4011</v>
      </c>
      <c r="D670" s="10" t="s">
        <v>6146</v>
      </c>
      <c r="E670" s="10" t="s">
        <v>1574</v>
      </c>
      <c r="F670" s="10" t="s">
        <v>755</v>
      </c>
      <c r="G670" s="10" t="s">
        <v>4012</v>
      </c>
      <c r="H670" s="11" t="s">
        <v>4013</v>
      </c>
      <c r="I670" s="11" t="s">
        <v>4014</v>
      </c>
      <c r="J670" s="10" t="s">
        <v>1559</v>
      </c>
      <c r="K670" s="10" t="s">
        <v>1560</v>
      </c>
      <c r="L670" s="10" t="s">
        <v>1578</v>
      </c>
      <c r="M670" s="10" t="s">
        <v>755</v>
      </c>
      <c r="N670" s="10">
        <v>64</v>
      </c>
      <c r="O670" s="11">
        <v>200</v>
      </c>
      <c r="P670" s="11">
        <v>0.2</v>
      </c>
      <c r="Q670" s="10" t="s">
        <v>1562</v>
      </c>
      <c r="R670" s="10">
        <v>80</v>
      </c>
      <c r="S670" s="12">
        <v>18</v>
      </c>
      <c r="T670" s="13">
        <v>24003</v>
      </c>
      <c r="U670" s="14">
        <v>4800.6000000000004</v>
      </c>
      <c r="V670" s="10">
        <v>10.32</v>
      </c>
      <c r="W670" s="15">
        <v>247710.96000000002</v>
      </c>
      <c r="X670" s="29">
        <f>VLOOKUP($F670,Agendamento!$B:$J,9,0)</f>
        <v>46076</v>
      </c>
      <c r="Y670" s="6">
        <f>COUNTIF(Analise!F:F,'Obras e Acervos'!H670)</f>
        <v>1</v>
      </c>
    </row>
    <row r="671" spans="1:25" ht="15" customHeight="1" x14ac:dyDescent="0.25">
      <c r="A671" s="10" t="str">
        <f>CONCATENATE(LEFT(C671,12),"-",RIGHT(C671,2),"_",TEXT(X671,"ddmmaaaa"),"_",COUNTIF($C$2:C671,C671))</f>
        <v>048415830001-34_16022026_2</v>
      </c>
      <c r="B671" s="10" t="str">
        <f>CONCATENATE(LEFT(C671,12),"-",RIGHT(C671,2),"_",COUNTIF($C$2:C671,C671))</f>
        <v>048415830001-34_2</v>
      </c>
      <c r="C671" s="10" t="s">
        <v>1878</v>
      </c>
      <c r="D671" s="10" t="s">
        <v>5938</v>
      </c>
      <c r="E671" s="10" t="s">
        <v>1574</v>
      </c>
      <c r="F671" s="10" t="s">
        <v>509</v>
      </c>
      <c r="G671" s="10" t="s">
        <v>4015</v>
      </c>
      <c r="H671" s="11" t="s">
        <v>4016</v>
      </c>
      <c r="I671" s="11" t="s">
        <v>4017</v>
      </c>
      <c r="J671" s="10" t="s">
        <v>1559</v>
      </c>
      <c r="K671" s="10" t="s">
        <v>1560</v>
      </c>
      <c r="L671" s="10" t="s">
        <v>1578</v>
      </c>
      <c r="M671" s="10" t="s">
        <v>509</v>
      </c>
      <c r="N671" s="10">
        <v>32</v>
      </c>
      <c r="O671" s="11">
        <v>102</v>
      </c>
      <c r="P671" s="11">
        <v>0.10199999999999999</v>
      </c>
      <c r="Q671" s="10" t="s">
        <v>1599</v>
      </c>
      <c r="R671" s="10">
        <v>80</v>
      </c>
      <c r="S671" s="12">
        <v>18</v>
      </c>
      <c r="T671" s="13">
        <v>24200</v>
      </c>
      <c r="U671" s="14">
        <v>2468.3999999999996</v>
      </c>
      <c r="V671" s="10">
        <v>6.55</v>
      </c>
      <c r="W671" s="15">
        <v>158510</v>
      </c>
      <c r="X671" s="29">
        <f>VLOOKUP($F671,Agendamento!$B:$J,9,0)</f>
        <v>46069</v>
      </c>
      <c r="Y671" s="6">
        <f>COUNTIF(Analise!F:F,'Obras e Acervos'!H671)</f>
        <v>1</v>
      </c>
    </row>
    <row r="672" spans="1:25" ht="15" customHeight="1" x14ac:dyDescent="0.25">
      <c r="A672" s="10" t="str">
        <f>CONCATENATE(LEFT(C672,12),"-",RIGHT(C672,2),"_",TEXT(X672,"ddmmaaaa"),"_",COUNTIF($C$2:C672,C672))</f>
        <v>443071100001-76_10022026_2</v>
      </c>
      <c r="B672" s="10" t="str">
        <f>CONCATENATE(LEFT(C672,12),"-",RIGHT(C672,2),"_",COUNTIF($C$2:C672,C672))</f>
        <v>443071100001-76_2</v>
      </c>
      <c r="C672" s="10" t="s">
        <v>2824</v>
      </c>
      <c r="D672" s="10" t="s">
        <v>6076</v>
      </c>
      <c r="E672" s="10" t="s">
        <v>1574</v>
      </c>
      <c r="F672" s="10" t="s">
        <v>281</v>
      </c>
      <c r="G672" s="10" t="s">
        <v>4018</v>
      </c>
      <c r="H672" s="11" t="s">
        <v>4019</v>
      </c>
      <c r="I672" s="11" t="s">
        <v>4020</v>
      </c>
      <c r="J672" s="10" t="s">
        <v>1559</v>
      </c>
      <c r="K672" s="10" t="s">
        <v>1560</v>
      </c>
      <c r="L672" s="10" t="s">
        <v>1578</v>
      </c>
      <c r="M672" s="10" t="s">
        <v>281</v>
      </c>
      <c r="N672" s="10">
        <v>32</v>
      </c>
      <c r="O672" s="11">
        <v>100</v>
      </c>
      <c r="P672" s="11">
        <v>0.1</v>
      </c>
      <c r="Q672" s="10" t="s">
        <v>1562</v>
      </c>
      <c r="R672" s="10">
        <v>80</v>
      </c>
      <c r="S672" s="12">
        <v>18</v>
      </c>
      <c r="T672" s="13">
        <v>23745</v>
      </c>
      <c r="U672" s="14">
        <v>2374.5</v>
      </c>
      <c r="V672" s="10">
        <v>6.59</v>
      </c>
      <c r="W672" s="15">
        <v>156479.54999999999</v>
      </c>
      <c r="X672" s="29">
        <f>VLOOKUP($F672,Agendamento!$B:$J,9,0)</f>
        <v>46063</v>
      </c>
      <c r="Y672" s="6">
        <f>COUNTIF(Analise!F:F,'Obras e Acervos'!H672)</f>
        <v>1</v>
      </c>
    </row>
    <row r="673" spans="1:25" ht="15" customHeight="1" x14ac:dyDescent="0.25">
      <c r="A673" s="10" t="str">
        <f>CONCATENATE(LEFT(C673,12),"-",RIGHT(C673,2),"_",TEXT(X673,"ddmmaaaa"),"_",COUNTIF($C$2:C673,C673))</f>
        <v>739376820001-37_28012026_1</v>
      </c>
      <c r="B673" s="10" t="str">
        <f>CONCATENATE(LEFT(C673,12),"-",RIGHT(C673,2),"_",COUNTIF($C$2:C673,C673))</f>
        <v>739376820001-37_1</v>
      </c>
      <c r="C673" s="10" t="s">
        <v>4021</v>
      </c>
      <c r="D673" s="10" t="s">
        <v>6147</v>
      </c>
      <c r="E673" s="10" t="s">
        <v>1555</v>
      </c>
      <c r="F673" s="10" t="s">
        <v>82</v>
      </c>
      <c r="G673" s="10" t="s">
        <v>4022</v>
      </c>
      <c r="H673" s="11" t="s">
        <v>4023</v>
      </c>
      <c r="I673" s="11" t="s">
        <v>4024</v>
      </c>
      <c r="J673" s="10" t="s">
        <v>1559</v>
      </c>
      <c r="K673" s="10" t="s">
        <v>1560</v>
      </c>
      <c r="L673" s="10" t="s">
        <v>1561</v>
      </c>
      <c r="M673" s="10" t="s">
        <v>82</v>
      </c>
      <c r="N673" s="10">
        <v>32</v>
      </c>
      <c r="O673" s="11">
        <v>71</v>
      </c>
      <c r="P673" s="11">
        <v>7.0999999999999994E-2</v>
      </c>
      <c r="Q673" s="10" t="s">
        <v>1562</v>
      </c>
      <c r="R673" s="10">
        <v>80</v>
      </c>
      <c r="S673" s="12">
        <v>9</v>
      </c>
      <c r="T673" s="13">
        <v>33264</v>
      </c>
      <c r="U673" s="14">
        <v>2361.7439999999997</v>
      </c>
      <c r="V673" s="10">
        <v>9.14</v>
      </c>
      <c r="W673" s="15">
        <v>236369.54</v>
      </c>
      <c r="X673" s="29">
        <f>VLOOKUP($F673,Agendamento!$B:$J,9,0)</f>
        <v>46050</v>
      </c>
      <c r="Y673" s="6">
        <f>COUNTIF(Analise!F:F,'Obras e Acervos'!H673)</f>
        <v>1</v>
      </c>
    </row>
    <row r="674" spans="1:25" ht="15" customHeight="1" x14ac:dyDescent="0.25">
      <c r="A674" s="10" t="str">
        <f>CONCATENATE(LEFT(C674,12),"-",RIGHT(C674,2),"_",TEXT(X674,"ddmmaaaa"),"_",COUNTIF($C$2:C674,C674))</f>
        <v>407961540001-56_06022026_1</v>
      </c>
      <c r="B674" s="10" t="str">
        <f>CONCATENATE(LEFT(C674,12),"-",RIGHT(C674,2),"_",COUNTIF($C$2:C674,C674))</f>
        <v>407961540001-56_1</v>
      </c>
      <c r="C674" s="10" t="s">
        <v>4025</v>
      </c>
      <c r="D674" s="10" t="s">
        <v>207</v>
      </c>
      <c r="E674" s="10" t="s">
        <v>1574</v>
      </c>
      <c r="F674" s="10" t="s">
        <v>208</v>
      </c>
      <c r="G674" s="10" t="s">
        <v>4026</v>
      </c>
      <c r="H674" s="11" t="s">
        <v>4027</v>
      </c>
      <c r="I674" s="11" t="s">
        <v>4028</v>
      </c>
      <c r="J674" s="10" t="s">
        <v>1559</v>
      </c>
      <c r="K674" s="10" t="s">
        <v>1560</v>
      </c>
      <c r="L674" s="10" t="s">
        <v>1578</v>
      </c>
      <c r="M674" s="10" t="s">
        <v>208</v>
      </c>
      <c r="N674" s="10">
        <v>56</v>
      </c>
      <c r="O674" s="11">
        <v>162</v>
      </c>
      <c r="P674" s="11">
        <v>0.16200000000000001</v>
      </c>
      <c r="Q674" s="10" t="s">
        <v>1599</v>
      </c>
      <c r="R674" s="10">
        <v>80</v>
      </c>
      <c r="S674" s="12">
        <v>19</v>
      </c>
      <c r="T674" s="13">
        <v>26467</v>
      </c>
      <c r="U674" s="14">
        <v>4287.6540000000005</v>
      </c>
      <c r="V674" s="10">
        <v>9.26</v>
      </c>
      <c r="W674" s="15">
        <v>245084.41999999998</v>
      </c>
      <c r="X674" s="29">
        <f>VLOOKUP($F674,Agendamento!$B:$J,9,0)</f>
        <v>46059</v>
      </c>
      <c r="Y674" s="6">
        <f>COUNTIF(Analise!F:F,'Obras e Acervos'!H674)</f>
        <v>1</v>
      </c>
    </row>
    <row r="675" spans="1:25" ht="15" customHeight="1" x14ac:dyDescent="0.25">
      <c r="A675" s="10" t="str">
        <f>CONCATENATE(LEFT(C675,12),"-",RIGHT(C675,2),"_",TEXT(X675,"ddmmaaaa"),"_",COUNTIF($C$2:C675,C675))</f>
        <v>286919710001-44_04032026_2</v>
      </c>
      <c r="B675" s="10" t="str">
        <f>CONCATENATE(LEFT(C675,12),"-",RIGHT(C675,2),"_",COUNTIF($C$2:C675,C675))</f>
        <v>286919710001-44_2</v>
      </c>
      <c r="C675" s="10" t="s">
        <v>1890</v>
      </c>
      <c r="D675" s="10" t="s">
        <v>5940</v>
      </c>
      <c r="E675" s="10" t="s">
        <v>1574</v>
      </c>
      <c r="F675" s="10" t="s">
        <v>1280</v>
      </c>
      <c r="G675" s="10" t="s">
        <v>4029</v>
      </c>
      <c r="H675" s="11" t="s">
        <v>4030</v>
      </c>
      <c r="I675" s="11" t="s">
        <v>4031</v>
      </c>
      <c r="J675" s="10" t="s">
        <v>1559</v>
      </c>
      <c r="K675" s="10" t="s">
        <v>1560</v>
      </c>
      <c r="L675" s="10" t="s">
        <v>1578</v>
      </c>
      <c r="M675" s="10" t="s">
        <v>6245</v>
      </c>
      <c r="N675" s="10">
        <v>64</v>
      </c>
      <c r="O675" s="11">
        <v>181</v>
      </c>
      <c r="P675" s="11">
        <v>0.18099999999999999</v>
      </c>
      <c r="Q675" s="10" t="s">
        <v>1562</v>
      </c>
      <c r="R675" s="10">
        <v>80</v>
      </c>
      <c r="S675" s="12">
        <v>19</v>
      </c>
      <c r="T675" s="13">
        <v>44859</v>
      </c>
      <c r="U675" s="14">
        <v>8119.4789999999994</v>
      </c>
      <c r="V675" s="10">
        <v>8.1999999999999993</v>
      </c>
      <c r="W675" s="15">
        <v>367843.8</v>
      </c>
      <c r="X675" s="29">
        <f>VLOOKUP($F675,Agendamento!$B:$J,9,0)</f>
        <v>46085</v>
      </c>
      <c r="Y675" s="6">
        <f>COUNTIF(Analise!F:F,'Obras e Acervos'!H675)</f>
        <v>1</v>
      </c>
    </row>
    <row r="676" spans="1:25" ht="15" customHeight="1" x14ac:dyDescent="0.25">
      <c r="A676" s="10" t="str">
        <f>CONCATENATE(LEFT(C676,12),"-",RIGHT(C676,2),"_",TEXT(X676,"ddmmaaaa"),"_",COUNTIF($C$2:C676,C676))</f>
        <v>511657360001-50_16022026_2</v>
      </c>
      <c r="B676" s="10" t="str">
        <f>CONCATENATE(LEFT(C676,12),"-",RIGHT(C676,2),"_",COUNTIF($C$2:C676,C676))</f>
        <v>511657360001-50_2</v>
      </c>
      <c r="C676" s="10" t="s">
        <v>1738</v>
      </c>
      <c r="D676" s="10" t="s">
        <v>5918</v>
      </c>
      <c r="E676" s="10" t="s">
        <v>1574</v>
      </c>
      <c r="F676" s="10" t="s">
        <v>537</v>
      </c>
      <c r="G676" s="10" t="s">
        <v>4032</v>
      </c>
      <c r="H676" s="11" t="s">
        <v>4033</v>
      </c>
      <c r="I676" s="11" t="s">
        <v>4034</v>
      </c>
      <c r="J676" s="10" t="s">
        <v>1559</v>
      </c>
      <c r="K676" s="10" t="s">
        <v>1560</v>
      </c>
      <c r="L676" s="10" t="s">
        <v>1578</v>
      </c>
      <c r="M676" s="10" t="s">
        <v>537</v>
      </c>
      <c r="N676" s="10">
        <v>48</v>
      </c>
      <c r="O676" s="11">
        <v>165</v>
      </c>
      <c r="P676" s="11">
        <v>0.16500000000000001</v>
      </c>
      <c r="Q676" s="10" t="s">
        <v>1562</v>
      </c>
      <c r="R676" s="10">
        <v>75</v>
      </c>
      <c r="S676" s="12">
        <v>19</v>
      </c>
      <c r="T676" s="13">
        <v>27255</v>
      </c>
      <c r="U676" s="14">
        <v>4497.0749999999998</v>
      </c>
      <c r="V676" s="10">
        <v>8.15</v>
      </c>
      <c r="W676" s="15">
        <v>222128.25</v>
      </c>
      <c r="X676" s="29">
        <f>VLOOKUP($F676,Agendamento!$B:$J,9,0)</f>
        <v>46069</v>
      </c>
      <c r="Y676" s="6">
        <f>COUNTIF(Analise!F:F,'Obras e Acervos'!H676)</f>
        <v>1</v>
      </c>
    </row>
    <row r="677" spans="1:25" ht="15" customHeight="1" x14ac:dyDescent="0.25">
      <c r="A677" s="10" t="str">
        <f>CONCATENATE(LEFT(C677,12),"-",RIGHT(C677,2),"_",TEXT(X677,"ddmmaaaa"),"_",COUNTIF($C$2:C677,C677))</f>
        <v>422154690001-98_04032026_2</v>
      </c>
      <c r="B677" s="10" t="str">
        <f>CONCATENATE(LEFT(C677,12),"-",RIGHT(C677,2),"_",COUNTIF($C$2:C677,C677))</f>
        <v>422154690001-98_2</v>
      </c>
      <c r="C677" s="10" t="s">
        <v>2363</v>
      </c>
      <c r="D677" s="10" t="s">
        <v>1228</v>
      </c>
      <c r="E677" s="10" t="s">
        <v>1574</v>
      </c>
      <c r="F677" s="10" t="s">
        <v>1229</v>
      </c>
      <c r="G677" s="10" t="s">
        <v>4035</v>
      </c>
      <c r="H677" s="11" t="s">
        <v>4036</v>
      </c>
      <c r="I677" s="11" t="s">
        <v>4037</v>
      </c>
      <c r="J677" s="10" t="s">
        <v>1559</v>
      </c>
      <c r="K677" s="10" t="s">
        <v>1560</v>
      </c>
      <c r="L677" s="10" t="s">
        <v>1578</v>
      </c>
      <c r="M677" s="10" t="s">
        <v>1229</v>
      </c>
      <c r="N677" s="10">
        <v>64</v>
      </c>
      <c r="O677" s="11">
        <v>181</v>
      </c>
      <c r="P677" s="11">
        <v>0.18099999999999999</v>
      </c>
      <c r="Q677" s="10" t="s">
        <v>1562</v>
      </c>
      <c r="R677" s="10">
        <v>80</v>
      </c>
      <c r="S677" s="12">
        <v>19</v>
      </c>
      <c r="T677" s="13">
        <v>25028</v>
      </c>
      <c r="U677" s="14">
        <v>4530.0680000000002</v>
      </c>
      <c r="V677" s="10">
        <v>10.28</v>
      </c>
      <c r="W677" s="15">
        <v>257287.84</v>
      </c>
      <c r="X677" s="29">
        <f>VLOOKUP($F677,Agendamento!$B:$J,9,0)</f>
        <v>46085</v>
      </c>
      <c r="Y677" s="6">
        <f>COUNTIF(Analise!F:F,'Obras e Acervos'!H677)</f>
        <v>1</v>
      </c>
    </row>
    <row r="678" spans="1:25" ht="15" customHeight="1" x14ac:dyDescent="0.25">
      <c r="A678" s="10" t="str">
        <f>CONCATENATE(LEFT(C678,12),"-",RIGHT(C678,2),"_",TEXT(X678,"ddmmaaaa"),"_",COUNTIF($C$2:C678,C678))</f>
        <v>040929430001-42_10032026_2</v>
      </c>
      <c r="B678" s="10" t="str">
        <f>CONCATENATE(LEFT(C678,12),"-",RIGHT(C678,2),"_",COUNTIF($C$2:C678,C678))</f>
        <v>040929430001-42_2</v>
      </c>
      <c r="C678" s="10" t="s">
        <v>1587</v>
      </c>
      <c r="D678" s="10" t="s">
        <v>5893</v>
      </c>
      <c r="E678" s="10" t="s">
        <v>1574</v>
      </c>
      <c r="F678" s="10" t="s">
        <v>1356</v>
      </c>
      <c r="G678" s="10" t="s">
        <v>4038</v>
      </c>
      <c r="H678" s="11" t="s">
        <v>4039</v>
      </c>
      <c r="I678" s="11" t="s">
        <v>4040</v>
      </c>
      <c r="J678" s="10" t="s">
        <v>1559</v>
      </c>
      <c r="K678" s="10" t="s">
        <v>1560</v>
      </c>
      <c r="L678" s="10" t="s">
        <v>1578</v>
      </c>
      <c r="M678" s="10" t="s">
        <v>1356</v>
      </c>
      <c r="N678" s="10">
        <v>48</v>
      </c>
      <c r="O678" s="11">
        <v>139</v>
      </c>
      <c r="P678" s="11">
        <v>0.13900000000000001</v>
      </c>
      <c r="Q678" s="10" t="s">
        <v>1562</v>
      </c>
      <c r="R678" s="10">
        <v>80</v>
      </c>
      <c r="S678" s="12">
        <v>19</v>
      </c>
      <c r="T678" s="13">
        <v>35815</v>
      </c>
      <c r="U678" s="14">
        <v>4978.2850000000008</v>
      </c>
      <c r="V678" s="10">
        <v>7.65</v>
      </c>
      <c r="W678" s="15">
        <v>273984.75</v>
      </c>
      <c r="X678" s="29">
        <f>VLOOKUP($F678,Agendamento!$B:$J,9,0)</f>
        <v>46091</v>
      </c>
      <c r="Y678" s="6">
        <f>COUNTIF(Analise!F:F,'Obras e Acervos'!H678)</f>
        <v>1</v>
      </c>
    </row>
    <row r="679" spans="1:25" ht="15" customHeight="1" x14ac:dyDescent="0.25">
      <c r="A679" s="10" t="str">
        <f>CONCATENATE(LEFT(C679,12),"-",RIGHT(C679,2),"_",TEXT(X679,"ddmmaaaa"),"_",COUNTIF($C$2:C679,C679))</f>
        <v>222280700001-34_12022026_2</v>
      </c>
      <c r="B679" s="10" t="str">
        <f>CONCATENATE(LEFT(C679,12),"-",RIGHT(C679,2),"_",COUNTIF($C$2:C679,C679))</f>
        <v>222280700001-34_2</v>
      </c>
      <c r="C679" s="10" t="s">
        <v>2689</v>
      </c>
      <c r="D679" s="10" t="s">
        <v>6051</v>
      </c>
      <c r="E679" s="10" t="s">
        <v>1574</v>
      </c>
      <c r="F679" s="10" t="s">
        <v>415</v>
      </c>
      <c r="G679" s="10" t="s">
        <v>4041</v>
      </c>
      <c r="H679" s="11" t="s">
        <v>4042</v>
      </c>
      <c r="I679" s="11" t="s">
        <v>4043</v>
      </c>
      <c r="J679" s="10" t="s">
        <v>1559</v>
      </c>
      <c r="K679" s="10" t="s">
        <v>1560</v>
      </c>
      <c r="L679" s="10" t="s">
        <v>1578</v>
      </c>
      <c r="M679" s="10" t="s">
        <v>415</v>
      </c>
      <c r="N679" s="10">
        <v>48</v>
      </c>
      <c r="O679" s="11">
        <v>130</v>
      </c>
      <c r="P679" s="11">
        <v>0.13</v>
      </c>
      <c r="Q679" s="10" t="s">
        <v>1562</v>
      </c>
      <c r="R679" s="10">
        <v>75</v>
      </c>
      <c r="S679" s="12">
        <v>19</v>
      </c>
      <c r="T679" s="13">
        <v>34194</v>
      </c>
      <c r="U679" s="14">
        <v>4445.22</v>
      </c>
      <c r="V679" s="10">
        <v>7.56</v>
      </c>
      <c r="W679" s="15">
        <v>258506.63999999998</v>
      </c>
      <c r="X679" s="29">
        <f>VLOOKUP($F679,Agendamento!$B:$J,9,0)</f>
        <v>46065</v>
      </c>
      <c r="Y679" s="6">
        <f>COUNTIF(Analise!F:F,'Obras e Acervos'!H679)</f>
        <v>1</v>
      </c>
    </row>
    <row r="680" spans="1:25" ht="15" customHeight="1" x14ac:dyDescent="0.25">
      <c r="A680" s="10" t="str">
        <f>CONCATENATE(LEFT(C680,12),"-",RIGHT(C680,2),"_",TEXT(X680,"ddmmaaaa"),"_",COUNTIF($C$2:C680,C680))</f>
        <v>170701360001-70_04032026_1</v>
      </c>
      <c r="B680" s="10" t="str">
        <f>CONCATENATE(LEFT(C680,12),"-",RIGHT(C680,2),"_",COUNTIF($C$2:C680,C680))</f>
        <v>170701360001-70_1</v>
      </c>
      <c r="C680" s="10" t="s">
        <v>4044</v>
      </c>
      <c r="D680" s="10" t="s">
        <v>6148</v>
      </c>
      <c r="E680" s="10" t="s">
        <v>1574</v>
      </c>
      <c r="F680" s="10" t="s">
        <v>1185</v>
      </c>
      <c r="G680" s="10" t="s">
        <v>4045</v>
      </c>
      <c r="H680" s="11" t="s">
        <v>4046</v>
      </c>
      <c r="I680" s="11" t="s">
        <v>4047</v>
      </c>
      <c r="J680" s="10" t="s">
        <v>1559</v>
      </c>
      <c r="K680" s="10" t="s">
        <v>1560</v>
      </c>
      <c r="L680" s="10" t="s">
        <v>1578</v>
      </c>
      <c r="M680" s="10" t="s">
        <v>1185</v>
      </c>
      <c r="N680" s="10">
        <v>28</v>
      </c>
      <c r="O680" s="11">
        <v>150</v>
      </c>
      <c r="P680" s="11">
        <v>0.15</v>
      </c>
      <c r="Q680" s="10" t="s">
        <v>1608</v>
      </c>
      <c r="R680" s="10">
        <v>80</v>
      </c>
      <c r="S680" s="12">
        <v>19</v>
      </c>
      <c r="T680" s="13">
        <v>25316</v>
      </c>
      <c r="U680" s="14">
        <v>3797.3999999999996</v>
      </c>
      <c r="V680" s="10">
        <v>5.29</v>
      </c>
      <c r="W680" s="15">
        <v>133921.64000000001</v>
      </c>
      <c r="X680" s="29">
        <f>VLOOKUP($F680,Agendamento!$B:$J,9,0)</f>
        <v>46085</v>
      </c>
      <c r="Y680" s="6">
        <f>COUNTIF(Analise!F:F,'Obras e Acervos'!H680)</f>
        <v>1</v>
      </c>
    </row>
    <row r="681" spans="1:25" ht="15" customHeight="1" x14ac:dyDescent="0.25">
      <c r="A681" s="10" t="str">
        <f>CONCATENATE(LEFT(C681,12),"-",RIGHT(C681,2),"_",TEXT(X681,"ddmmaaaa"),"_",COUNTIF($C$2:C681,C681))</f>
        <v>157452070001-62_04032026_2</v>
      </c>
      <c r="B681" s="10" t="str">
        <f>CONCATENATE(LEFT(C681,12),"-",RIGHT(C681,2),"_",COUNTIF($C$2:C681,C681))</f>
        <v>157452070001-62_2</v>
      </c>
      <c r="C681" s="10" t="s">
        <v>1902</v>
      </c>
      <c r="D681" s="10" t="s">
        <v>935</v>
      </c>
      <c r="E681" s="10" t="s">
        <v>1574</v>
      </c>
      <c r="F681" s="10" t="s">
        <v>1181</v>
      </c>
      <c r="G681" s="10" t="s">
        <v>4048</v>
      </c>
      <c r="H681" s="11" t="s">
        <v>4049</v>
      </c>
      <c r="I681" s="11" t="s">
        <v>4050</v>
      </c>
      <c r="J681" s="10" t="s">
        <v>1559</v>
      </c>
      <c r="K681" s="10" t="s">
        <v>1560</v>
      </c>
      <c r="L681" s="10" t="s">
        <v>1578</v>
      </c>
      <c r="M681" s="10" t="s">
        <v>1181</v>
      </c>
      <c r="N681" s="10">
        <v>64</v>
      </c>
      <c r="O681" s="11">
        <v>190</v>
      </c>
      <c r="P681" s="11">
        <v>0.19</v>
      </c>
      <c r="Q681" s="10" t="s">
        <v>1562</v>
      </c>
      <c r="R681" s="10">
        <v>80</v>
      </c>
      <c r="S681" s="12">
        <v>19</v>
      </c>
      <c r="T681" s="13">
        <v>24164</v>
      </c>
      <c r="U681" s="14">
        <v>4591.16</v>
      </c>
      <c r="V681" s="10">
        <v>10.31</v>
      </c>
      <c r="W681" s="15">
        <v>249130.84000000003</v>
      </c>
      <c r="X681" s="29">
        <f>VLOOKUP($F681,Agendamento!$B:$J,9,0)</f>
        <v>46085</v>
      </c>
      <c r="Y681" s="6">
        <f>COUNTIF(Analise!F:F,'Obras e Acervos'!H681)</f>
        <v>1</v>
      </c>
    </row>
    <row r="682" spans="1:25" ht="15" customHeight="1" x14ac:dyDescent="0.25">
      <c r="A682" s="10" t="str">
        <f>CONCATENATE(LEFT(C682,12),"-",RIGHT(C682,2),"_",TEXT(X682,"ddmmaaaa"),"_",COUNTIF($C$2:C682,C682))</f>
        <v>056067940001-55_27012026_2</v>
      </c>
      <c r="B682" s="10" t="str">
        <f>CONCATENATE(LEFT(C682,12),"-",RIGHT(C682,2),"_",COUNTIF($C$2:C682,C682))</f>
        <v>056067940001-55_2</v>
      </c>
      <c r="C682" s="21" t="s">
        <v>3995</v>
      </c>
      <c r="D682" s="10" t="s">
        <v>49</v>
      </c>
      <c r="E682" s="10" t="s">
        <v>1574</v>
      </c>
      <c r="F682" s="10" t="s">
        <v>52</v>
      </c>
      <c r="G682" s="10" t="s">
        <v>4051</v>
      </c>
      <c r="H682" s="22" t="s">
        <v>4052</v>
      </c>
      <c r="I682" s="27" t="s">
        <v>4053</v>
      </c>
      <c r="J682" s="10" t="s">
        <v>1559</v>
      </c>
      <c r="K682" s="10" t="s">
        <v>1560</v>
      </c>
      <c r="L682" s="10" t="s">
        <v>1578</v>
      </c>
      <c r="M682" s="10" t="s">
        <v>6246</v>
      </c>
      <c r="N682" s="10">
        <v>72</v>
      </c>
      <c r="O682" s="11">
        <v>79</v>
      </c>
      <c r="P682" s="22">
        <v>7.9000000000000001E-2</v>
      </c>
      <c r="Q682" s="10" t="s">
        <v>1608</v>
      </c>
      <c r="R682" s="10">
        <v>75</v>
      </c>
      <c r="S682" s="12">
        <v>19</v>
      </c>
      <c r="T682" s="23">
        <v>24255</v>
      </c>
      <c r="U682" s="24">
        <v>1916.145</v>
      </c>
      <c r="V682" s="10">
        <v>5.43</v>
      </c>
      <c r="W682" s="15">
        <v>556933.38</v>
      </c>
      <c r="X682" s="29">
        <f>VLOOKUP($F682,Agendamento!$B:$J,9,0)</f>
        <v>46049</v>
      </c>
      <c r="Y682" s="6">
        <f>COUNTIF(Analise!F:F,'Obras e Acervos'!H682)</f>
        <v>1</v>
      </c>
    </row>
    <row r="683" spans="1:25" ht="15" customHeight="1" x14ac:dyDescent="0.25">
      <c r="A683" s="10" t="str">
        <f>CONCATENATE(LEFT(C683,12),"-",RIGHT(C683,2),"_",TEXT(X683,"ddmmaaaa"),"_",COUNTIF($C$2:C683,C683))</f>
        <v>037681350001-90_24022026_2</v>
      </c>
      <c r="B683" s="10" t="str">
        <f>CONCATENATE(LEFT(C683,12),"-",RIGHT(C683,2),"_",COUNTIF($C$2:C683,C683))</f>
        <v>037681350001-90_2</v>
      </c>
      <c r="C683" s="10" t="s">
        <v>2562</v>
      </c>
      <c r="D683" s="10" t="s">
        <v>6034</v>
      </c>
      <c r="E683" s="10" t="s">
        <v>1574</v>
      </c>
      <c r="F683" s="10" t="s">
        <v>798</v>
      </c>
      <c r="G683" s="10" t="s">
        <v>4054</v>
      </c>
      <c r="H683" s="11" t="s">
        <v>4055</v>
      </c>
      <c r="I683" s="11" t="s">
        <v>4056</v>
      </c>
      <c r="J683" s="10" t="s">
        <v>1559</v>
      </c>
      <c r="K683" s="10" t="s">
        <v>1560</v>
      </c>
      <c r="L683" s="10" t="s">
        <v>1578</v>
      </c>
      <c r="M683" s="10" t="s">
        <v>798</v>
      </c>
      <c r="N683" s="10">
        <v>68</v>
      </c>
      <c r="O683" s="11">
        <v>182</v>
      </c>
      <c r="P683" s="11">
        <v>0.182</v>
      </c>
      <c r="Q683" s="10" t="s">
        <v>1562</v>
      </c>
      <c r="R683" s="10">
        <v>80</v>
      </c>
      <c r="S683" s="12">
        <v>19</v>
      </c>
      <c r="T683" s="13">
        <v>24013</v>
      </c>
      <c r="U683" s="14">
        <v>4370.366</v>
      </c>
      <c r="V683" s="10">
        <v>10.8</v>
      </c>
      <c r="W683" s="15">
        <v>259340.40000000002</v>
      </c>
      <c r="X683" s="29">
        <f>VLOOKUP($F683,Agendamento!$B:$J,9,0)</f>
        <v>46077</v>
      </c>
      <c r="Y683" s="6">
        <f>COUNTIF(Analise!F:F,'Obras e Acervos'!H683)</f>
        <v>1</v>
      </c>
    </row>
    <row r="684" spans="1:25" ht="15" customHeight="1" x14ac:dyDescent="0.25">
      <c r="A684" s="10" t="str">
        <f>CONCATENATE(LEFT(C684,12),"-",RIGHT(C684,2),"_",TEXT(X684,"ddmmaaaa"),"_",COUNTIF($C$2:C684,C684))</f>
        <v>436803710001-74_16032026_2</v>
      </c>
      <c r="B684" s="10" t="str">
        <f>CONCATENATE(LEFT(C684,12),"-",RIGHT(C684,2),"_",COUNTIF($C$2:C684,C684))</f>
        <v>436803710001-74_2</v>
      </c>
      <c r="C684" s="10" t="s">
        <v>1609</v>
      </c>
      <c r="D684" s="10" t="s">
        <v>5896</v>
      </c>
      <c r="E684" s="10" t="s">
        <v>1574</v>
      </c>
      <c r="F684" s="10" t="s">
        <v>1496</v>
      </c>
      <c r="G684" s="10" t="s">
        <v>4057</v>
      </c>
      <c r="H684" s="11" t="s">
        <v>4058</v>
      </c>
      <c r="I684" s="11" t="s">
        <v>4059</v>
      </c>
      <c r="J684" s="10" t="s">
        <v>1559</v>
      </c>
      <c r="K684" s="10" t="s">
        <v>1560</v>
      </c>
      <c r="L684" s="10" t="s">
        <v>1578</v>
      </c>
      <c r="M684" s="10" t="s">
        <v>1496</v>
      </c>
      <c r="N684" s="10">
        <v>96</v>
      </c>
      <c r="O684" s="11">
        <v>257</v>
      </c>
      <c r="P684" s="11">
        <v>0.25700000000000001</v>
      </c>
      <c r="Q684" s="10" t="s">
        <v>1562</v>
      </c>
      <c r="R684" s="10">
        <v>80</v>
      </c>
      <c r="S684" s="12">
        <v>19</v>
      </c>
      <c r="T684" s="13">
        <v>29664</v>
      </c>
      <c r="U684" s="14">
        <v>7623.6480000000001</v>
      </c>
      <c r="V684" s="10">
        <v>12.92</v>
      </c>
      <c r="W684" s="15">
        <v>383258.88</v>
      </c>
      <c r="X684" s="29">
        <f>VLOOKUP($F684,Agendamento!$B:$J,9,0)</f>
        <v>46097</v>
      </c>
      <c r="Y684" s="6">
        <f>COUNTIF(Analise!F:F,'Obras e Acervos'!H684)</f>
        <v>1</v>
      </c>
    </row>
    <row r="685" spans="1:25" ht="15" customHeight="1" x14ac:dyDescent="0.25">
      <c r="A685" s="10" t="str">
        <f>CONCATENATE(LEFT(C685,12),"-",RIGHT(C685,2),"_",TEXT(X685,"ddmmaaaa"),"_",COUNTIF($C$2:C685,C685))</f>
        <v>505879300001-61_18022026_2</v>
      </c>
      <c r="B685" s="10" t="str">
        <f>CONCATENATE(LEFT(C685,12),"-",RIGHT(C685,2),"_",COUNTIF($C$2:C685,C685))</f>
        <v>505879300001-61_2</v>
      </c>
      <c r="C685" s="10" t="s">
        <v>2242</v>
      </c>
      <c r="D685" s="10" t="s">
        <v>5986</v>
      </c>
      <c r="E685" s="10" t="s">
        <v>1574</v>
      </c>
      <c r="F685" s="10" t="s">
        <v>593</v>
      </c>
      <c r="G685" s="10" t="s">
        <v>4060</v>
      </c>
      <c r="H685" s="11" t="s">
        <v>4061</v>
      </c>
      <c r="I685" s="11" t="s">
        <v>4062</v>
      </c>
      <c r="J685" s="10" t="s">
        <v>1559</v>
      </c>
      <c r="K685" s="10" t="s">
        <v>1560</v>
      </c>
      <c r="L685" s="10" t="s">
        <v>1578</v>
      </c>
      <c r="M685" s="10" t="s">
        <v>593</v>
      </c>
      <c r="N685" s="10">
        <v>80</v>
      </c>
      <c r="O685" s="11">
        <v>180</v>
      </c>
      <c r="P685" s="11">
        <v>0.18</v>
      </c>
      <c r="Q685" s="10" t="s">
        <v>1562</v>
      </c>
      <c r="R685" s="10">
        <v>75</v>
      </c>
      <c r="S685" s="12">
        <v>19</v>
      </c>
      <c r="T685" s="13">
        <v>24331</v>
      </c>
      <c r="U685" s="14">
        <v>4379.58</v>
      </c>
      <c r="V685" s="10">
        <v>9.5</v>
      </c>
      <c r="W685" s="15">
        <v>231144.5</v>
      </c>
      <c r="X685" s="29">
        <f>VLOOKUP($F685,Agendamento!$B:$J,9,0)</f>
        <v>46071</v>
      </c>
      <c r="Y685" s="6">
        <f>COUNTIF(Analise!F:F,'Obras e Acervos'!H685)</f>
        <v>1</v>
      </c>
    </row>
    <row r="686" spans="1:25" ht="15" customHeight="1" x14ac:dyDescent="0.25">
      <c r="A686" s="10" t="str">
        <f>CONCATENATE(LEFT(C686,12),"-",RIGHT(C686,2),"_",TEXT(X686,"ddmmaaaa"),"_",COUNTIF($C$2:C686,C686))</f>
        <v>354355040001-19_26022026_1</v>
      </c>
      <c r="B686" s="10" t="str">
        <f>CONCATENATE(LEFT(C686,12),"-",RIGHT(C686,2),"_",COUNTIF($C$2:C686,C686))</f>
        <v>354355040001-19_1</v>
      </c>
      <c r="C686" s="10" t="s">
        <v>4063</v>
      </c>
      <c r="D686" s="10" t="s">
        <v>6149</v>
      </c>
      <c r="E686" s="10" t="s">
        <v>1574</v>
      </c>
      <c r="F686" s="10" t="s">
        <v>913</v>
      </c>
      <c r="G686" s="10" t="s">
        <v>4064</v>
      </c>
      <c r="H686" s="11" t="s">
        <v>4065</v>
      </c>
      <c r="I686" s="11" t="s">
        <v>4066</v>
      </c>
      <c r="J686" s="10" t="s">
        <v>1559</v>
      </c>
      <c r="K686" s="10" t="s">
        <v>1560</v>
      </c>
      <c r="L686" s="10" t="s">
        <v>1578</v>
      </c>
      <c r="M686" s="10" t="s">
        <v>913</v>
      </c>
      <c r="N686" s="10">
        <v>36</v>
      </c>
      <c r="O686" s="11">
        <v>118</v>
      </c>
      <c r="P686" s="11">
        <v>0.11799999999999999</v>
      </c>
      <c r="Q686" s="10" t="s">
        <v>1562</v>
      </c>
      <c r="R686" s="10">
        <v>80</v>
      </c>
      <c r="S686" s="12">
        <v>19</v>
      </c>
      <c r="T686" s="13">
        <v>25997</v>
      </c>
      <c r="U686" s="14">
        <v>3067.6459999999997</v>
      </c>
      <c r="V686" s="10">
        <v>6.94</v>
      </c>
      <c r="W686" s="15">
        <v>180419.18000000002</v>
      </c>
      <c r="X686" s="29">
        <f>VLOOKUP($F686,Agendamento!$B:$J,9,0)</f>
        <v>46079</v>
      </c>
      <c r="Y686" s="6">
        <f>COUNTIF(Analise!F:F,'Obras e Acervos'!H686)</f>
        <v>1</v>
      </c>
    </row>
    <row r="687" spans="1:25" ht="15" customHeight="1" x14ac:dyDescent="0.25">
      <c r="A687" s="10" t="str">
        <f>CONCATENATE(LEFT(C687,12),"-",RIGHT(C687,2),"_",TEXT(X687,"ddmmaaaa"),"_",COUNTIF($C$2:C687,C687))</f>
        <v>611864900001-57_12022026_1</v>
      </c>
      <c r="B687" s="10" t="str">
        <f>CONCATENATE(LEFT(C687,12),"-",RIGHT(C687,2),"_",COUNTIF($C$2:C687,C687))</f>
        <v>611864900001-57_1</v>
      </c>
      <c r="C687" s="10" t="s">
        <v>4067</v>
      </c>
      <c r="D687" s="10" t="s">
        <v>6150</v>
      </c>
      <c r="E687" s="10" t="s">
        <v>1555</v>
      </c>
      <c r="F687" s="10" t="s">
        <v>390</v>
      </c>
      <c r="G687" s="10" t="s">
        <v>4068</v>
      </c>
      <c r="H687" s="11" t="s">
        <v>4069</v>
      </c>
      <c r="I687" s="11" t="s">
        <v>4070</v>
      </c>
      <c r="J687" s="10" t="s">
        <v>1559</v>
      </c>
      <c r="K687" s="10" t="s">
        <v>1560</v>
      </c>
      <c r="L687" s="10" t="s">
        <v>1561</v>
      </c>
      <c r="M687" s="10" t="s">
        <v>390</v>
      </c>
      <c r="N687" s="10">
        <v>40</v>
      </c>
      <c r="O687" s="11">
        <v>111</v>
      </c>
      <c r="P687" s="11">
        <v>0.111</v>
      </c>
      <c r="Q687" s="10" t="s">
        <v>1562</v>
      </c>
      <c r="R687" s="10">
        <v>75</v>
      </c>
      <c r="S687" s="12">
        <v>4</v>
      </c>
      <c r="T687" s="13">
        <v>43702</v>
      </c>
      <c r="U687" s="14">
        <v>4850.9220000000005</v>
      </c>
      <c r="V687" s="10">
        <v>5.75</v>
      </c>
      <c r="W687" s="15">
        <v>251286.5</v>
      </c>
      <c r="X687" s="29">
        <f>VLOOKUP($F687,Agendamento!$B:$J,9,0)</f>
        <v>46065</v>
      </c>
      <c r="Y687" s="6">
        <f>COUNTIF(Analise!F:F,'Obras e Acervos'!H687)</f>
        <v>1</v>
      </c>
    </row>
    <row r="688" spans="1:25" ht="15" customHeight="1" x14ac:dyDescent="0.25">
      <c r="A688" s="10" t="str">
        <f>CONCATENATE(LEFT(C688,12),"-",RIGHT(C688,2),"_",TEXT(X688,"ddmmaaaa"),"_",COUNTIF($C$2:C688,C688))</f>
        <v>581223180001-25_03032026_2</v>
      </c>
      <c r="B688" s="10" t="str">
        <f>CONCATENATE(LEFT(C688,12),"-",RIGHT(C688,2),"_",COUNTIF($C$2:C688,C688))</f>
        <v>581223180001-25_2</v>
      </c>
      <c r="C688" s="10" t="s">
        <v>2258</v>
      </c>
      <c r="D688" s="10" t="s">
        <v>5987</v>
      </c>
      <c r="E688" s="10" t="s">
        <v>1574</v>
      </c>
      <c r="F688" s="10" t="s">
        <v>1146</v>
      </c>
      <c r="G688" s="10" t="s">
        <v>4071</v>
      </c>
      <c r="H688" s="11" t="s">
        <v>4072</v>
      </c>
      <c r="I688" s="11" t="s">
        <v>4073</v>
      </c>
      <c r="J688" s="10" t="s">
        <v>1559</v>
      </c>
      <c r="K688" s="10" t="s">
        <v>1560</v>
      </c>
      <c r="L688" s="10" t="s">
        <v>1578</v>
      </c>
      <c r="M688" s="10" t="s">
        <v>1146</v>
      </c>
      <c r="N688" s="10">
        <v>204</v>
      </c>
      <c r="O688" s="11">
        <v>100</v>
      </c>
      <c r="P688" s="11">
        <v>0.1</v>
      </c>
      <c r="Q688" s="10" t="s">
        <v>1562</v>
      </c>
      <c r="R688" s="10">
        <v>80</v>
      </c>
      <c r="S688" s="12">
        <v>19</v>
      </c>
      <c r="T688" s="13">
        <v>24346</v>
      </c>
      <c r="U688" s="14">
        <v>2434.6</v>
      </c>
      <c r="V688" s="10">
        <v>26.78</v>
      </c>
      <c r="W688" s="15">
        <v>651985.88</v>
      </c>
      <c r="X688" s="29">
        <f>VLOOKUP($F688,Agendamento!$B:$J,9,0)</f>
        <v>46084</v>
      </c>
      <c r="Y688" s="6">
        <f>COUNTIF(Analise!F:F,'Obras e Acervos'!H688)</f>
        <v>1</v>
      </c>
    </row>
    <row r="689" spans="1:25" ht="15" customHeight="1" x14ac:dyDescent="0.25">
      <c r="A689" s="10" t="str">
        <f>CONCATENATE(LEFT(C689,12),"-",RIGHT(C689,2),"_",TEXT(X689,"ddmmaaaa"),"_",COUNTIF($C$2:C689,C689))</f>
        <v>227694490001-51_05022026_2</v>
      </c>
      <c r="B689" s="10" t="str">
        <f>CONCATENATE(LEFT(C689,12),"-",RIGHT(C689,2),"_",COUNTIF($C$2:C689,C689))</f>
        <v>227694490001-51_2</v>
      </c>
      <c r="C689" s="10" t="s">
        <v>2090</v>
      </c>
      <c r="D689" s="10" t="s">
        <v>5965</v>
      </c>
      <c r="E689" s="10" t="s">
        <v>1574</v>
      </c>
      <c r="F689" s="10" t="s">
        <v>170</v>
      </c>
      <c r="G689" s="10" t="s">
        <v>4074</v>
      </c>
      <c r="H689" s="11" t="s">
        <v>4075</v>
      </c>
      <c r="I689" s="11" t="s">
        <v>4076</v>
      </c>
      <c r="J689" s="10" t="s">
        <v>1559</v>
      </c>
      <c r="K689" s="10" t="s">
        <v>1560</v>
      </c>
      <c r="L689" s="10" t="s">
        <v>1578</v>
      </c>
      <c r="M689" s="10" t="s">
        <v>170</v>
      </c>
      <c r="N689" s="10">
        <v>32</v>
      </c>
      <c r="O689" s="11">
        <v>100</v>
      </c>
      <c r="P689" s="11">
        <v>0.1</v>
      </c>
      <c r="Q689" s="10" t="s">
        <v>1562</v>
      </c>
      <c r="R689" s="10">
        <v>80</v>
      </c>
      <c r="S689" s="12">
        <v>19</v>
      </c>
      <c r="T689" s="13">
        <v>36587</v>
      </c>
      <c r="U689" s="14">
        <v>3658.7000000000003</v>
      </c>
      <c r="V689" s="10">
        <v>5.85</v>
      </c>
      <c r="W689" s="15">
        <v>214033.94999999998</v>
      </c>
      <c r="X689" s="29">
        <f>VLOOKUP($F689,Agendamento!$B:$J,9,0)</f>
        <v>46058</v>
      </c>
      <c r="Y689" s="6">
        <f>COUNTIF(Analise!F:F,'Obras e Acervos'!H689)</f>
        <v>1</v>
      </c>
    </row>
    <row r="690" spans="1:25" ht="15" customHeight="1" x14ac:dyDescent="0.25">
      <c r="A690" s="10" t="str">
        <f>CONCATENATE(LEFT(C690,12),"-",RIGHT(C690,2),"_",TEXT(X690,"ddmmaaaa"),"_",COUNTIF($C$2:C690,C690))</f>
        <v>089785020001-01_06022026_1</v>
      </c>
      <c r="B690" s="10" t="str">
        <f>CONCATENATE(LEFT(C690,12),"-",RIGHT(C690,2),"_",COUNTIF($C$2:C690,C690))</f>
        <v>089785020001-01_1</v>
      </c>
      <c r="C690" s="10" t="s">
        <v>4077</v>
      </c>
      <c r="D690" s="10" t="s">
        <v>6151</v>
      </c>
      <c r="E690" s="10" t="s">
        <v>1574</v>
      </c>
      <c r="F690" s="10" t="s">
        <v>210</v>
      </c>
      <c r="G690" s="10" t="s">
        <v>4078</v>
      </c>
      <c r="H690" s="11" t="s">
        <v>4079</v>
      </c>
      <c r="I690" s="11" t="s">
        <v>4080</v>
      </c>
      <c r="J690" s="10" t="s">
        <v>1559</v>
      </c>
      <c r="K690" s="10" t="s">
        <v>1560</v>
      </c>
      <c r="L690" s="10" t="s">
        <v>1578</v>
      </c>
      <c r="M690" s="10" t="s">
        <v>210</v>
      </c>
      <c r="N690" s="10">
        <v>32</v>
      </c>
      <c r="O690" s="11">
        <v>80</v>
      </c>
      <c r="P690" s="11">
        <v>0.08</v>
      </c>
      <c r="Q690" s="10" t="s">
        <v>1562</v>
      </c>
      <c r="R690" s="10">
        <v>80</v>
      </c>
      <c r="S690" s="12">
        <v>19</v>
      </c>
      <c r="T690" s="13">
        <v>24513</v>
      </c>
      <c r="U690" s="14">
        <v>1961.04</v>
      </c>
      <c r="V690" s="10">
        <v>6.54</v>
      </c>
      <c r="W690" s="15">
        <v>160315.01999999999</v>
      </c>
      <c r="X690" s="29">
        <f>VLOOKUP($F690,Agendamento!$B:$J,9,0)</f>
        <v>46059</v>
      </c>
      <c r="Y690" s="6">
        <f>COUNTIF(Analise!F:F,'Obras e Acervos'!H690)</f>
        <v>1</v>
      </c>
    </row>
    <row r="691" spans="1:25" ht="15" customHeight="1" x14ac:dyDescent="0.25">
      <c r="A691" s="10" t="str">
        <f>CONCATENATE(LEFT(C691,12),"-",RIGHT(C691,2),"_",TEXT(X691,"ddmmaaaa"),"_",COUNTIF($C$2:C691,C691))</f>
        <v>864618520001-00_16022026_2</v>
      </c>
      <c r="B691" s="10" t="str">
        <f>CONCATENATE(LEFT(C691,12),"-",RIGHT(C691,2),"_",COUNTIF($C$2:C691,C691))</f>
        <v>864618520001-00_2</v>
      </c>
      <c r="C691" s="10" t="s">
        <v>1625</v>
      </c>
      <c r="D691" s="10" t="s">
        <v>527</v>
      </c>
      <c r="E691" s="10" t="s">
        <v>1574</v>
      </c>
      <c r="F691" s="10" t="s">
        <v>528</v>
      </c>
      <c r="G691" s="10" t="s">
        <v>4081</v>
      </c>
      <c r="H691" s="11" t="s">
        <v>4082</v>
      </c>
      <c r="I691" s="11" t="s">
        <v>4083</v>
      </c>
      <c r="J691" s="10" t="s">
        <v>1559</v>
      </c>
      <c r="K691" s="10" t="s">
        <v>1560</v>
      </c>
      <c r="L691" s="10" t="s">
        <v>1578</v>
      </c>
      <c r="M691" s="10" t="s">
        <v>4084</v>
      </c>
      <c r="N691" s="10">
        <v>88</v>
      </c>
      <c r="O691" s="11">
        <v>227</v>
      </c>
      <c r="P691" s="11">
        <v>0.22700000000000001</v>
      </c>
      <c r="Q691" s="10" t="s">
        <v>1562</v>
      </c>
      <c r="R691" s="10">
        <v>80</v>
      </c>
      <c r="S691" s="12">
        <v>19</v>
      </c>
      <c r="T691" s="13">
        <v>24316</v>
      </c>
      <c r="U691" s="14">
        <v>5519.732</v>
      </c>
      <c r="V691" s="10">
        <v>13.14</v>
      </c>
      <c r="W691" s="15">
        <v>319512.24</v>
      </c>
      <c r="X691" s="29">
        <f>VLOOKUP($F691,Agendamento!$B:$J,9,0)</f>
        <v>46069</v>
      </c>
      <c r="Y691" s="6">
        <f>COUNTIF(Analise!F:F,'Obras e Acervos'!H691)</f>
        <v>1</v>
      </c>
    </row>
    <row r="692" spans="1:25" ht="15" customHeight="1" x14ac:dyDescent="0.25">
      <c r="A692" s="10" t="str">
        <f>CONCATENATE(LEFT(C692,12),"-",RIGHT(C692,2),"_",TEXT(X692,"ddmmaaaa"),"_",COUNTIF($C$2:C692,C692))</f>
        <v>438868800001-58_11032026_2</v>
      </c>
      <c r="B692" s="10" t="str">
        <f>CONCATENATE(LEFT(C692,12),"-",RIGHT(C692,2),"_",COUNTIF($C$2:C692,C692))</f>
        <v>438868800001-58_2</v>
      </c>
      <c r="C692" s="10" t="s">
        <v>1806</v>
      </c>
      <c r="D692" s="10" t="s">
        <v>5931</v>
      </c>
      <c r="E692" s="10" t="s">
        <v>1574</v>
      </c>
      <c r="F692" s="10" t="s">
        <v>1406</v>
      </c>
      <c r="G692" s="10" t="s">
        <v>4085</v>
      </c>
      <c r="H692" s="11" t="s">
        <v>4086</v>
      </c>
      <c r="I692" s="11" t="s">
        <v>4087</v>
      </c>
      <c r="J692" s="10" t="s">
        <v>1559</v>
      </c>
      <c r="K692" s="10" t="s">
        <v>1560</v>
      </c>
      <c r="L692" s="10" t="s">
        <v>1578</v>
      </c>
      <c r="M692" s="10" t="s">
        <v>1406</v>
      </c>
      <c r="N692" s="10">
        <v>32</v>
      </c>
      <c r="O692" s="11">
        <v>105</v>
      </c>
      <c r="P692" s="11">
        <v>0.105</v>
      </c>
      <c r="Q692" s="10" t="s">
        <v>1599</v>
      </c>
      <c r="R692" s="10">
        <v>80</v>
      </c>
      <c r="S692" s="12">
        <v>19</v>
      </c>
      <c r="T692" s="13">
        <v>24482</v>
      </c>
      <c r="U692" s="14">
        <v>2570.61</v>
      </c>
      <c r="V692" s="10">
        <v>6.54</v>
      </c>
      <c r="W692" s="15">
        <v>160112.28</v>
      </c>
      <c r="X692" s="29">
        <f>VLOOKUP($F692,Agendamento!$B:$J,9,0)</f>
        <v>46092</v>
      </c>
      <c r="Y692" s="6">
        <f>COUNTIF(Analise!F:F,'Obras e Acervos'!H692)</f>
        <v>1</v>
      </c>
    </row>
    <row r="693" spans="1:25" ht="15" customHeight="1" x14ac:dyDescent="0.25">
      <c r="A693" s="10" t="str">
        <f>CONCATENATE(LEFT(C693,12),"-",RIGHT(C693,2),"_",TEXT(X693,"ddmmaaaa"),"_",COUNTIF($C$2:C693,C693))</f>
        <v>438868230001-79_11032026_2</v>
      </c>
      <c r="B693" s="10" t="str">
        <f>CONCATENATE(LEFT(C693,12),"-",RIGHT(C693,2),"_",COUNTIF($C$2:C693,C693))</f>
        <v>438868230001-79_2</v>
      </c>
      <c r="C693" s="10" t="s">
        <v>2274</v>
      </c>
      <c r="D693" s="10" t="s">
        <v>5989</v>
      </c>
      <c r="E693" s="10" t="s">
        <v>1574</v>
      </c>
      <c r="F693" s="10" t="s">
        <v>1408</v>
      </c>
      <c r="G693" s="10" t="s">
        <v>4088</v>
      </c>
      <c r="H693" s="11" t="s">
        <v>4089</v>
      </c>
      <c r="I693" s="11" t="s">
        <v>4090</v>
      </c>
      <c r="J693" s="10" t="s">
        <v>1559</v>
      </c>
      <c r="K693" s="10" t="s">
        <v>1560</v>
      </c>
      <c r="L693" s="10" t="s">
        <v>1578</v>
      </c>
      <c r="M693" s="10" t="s">
        <v>1408</v>
      </c>
      <c r="N693" s="10">
        <v>48</v>
      </c>
      <c r="O693" s="11">
        <v>143</v>
      </c>
      <c r="P693" s="11">
        <v>0.14299999999999999</v>
      </c>
      <c r="Q693" s="10" t="s">
        <v>1599</v>
      </c>
      <c r="R693" s="10">
        <v>80</v>
      </c>
      <c r="S693" s="12">
        <v>19</v>
      </c>
      <c r="T693" s="13">
        <v>26164</v>
      </c>
      <c r="U693" s="14">
        <v>3741.4519999999998</v>
      </c>
      <c r="V693" s="10">
        <v>8.34</v>
      </c>
      <c r="W693" s="15">
        <v>218207.76</v>
      </c>
      <c r="X693" s="29">
        <f>VLOOKUP($F693,Agendamento!$B:$J,9,0)</f>
        <v>46092</v>
      </c>
      <c r="Y693" s="6">
        <f>COUNTIF(Analise!F:F,'Obras e Acervos'!H693)</f>
        <v>1</v>
      </c>
    </row>
    <row r="694" spans="1:25" ht="15" customHeight="1" x14ac:dyDescent="0.25">
      <c r="A694" s="10" t="str">
        <f>CONCATENATE(LEFT(C694,12),"-",RIGHT(C694,2),"_",TEXT(X694,"ddmmaaaa"),"_",COUNTIF($C$2:C694,C694))</f>
        <v>198243310001-74_24022026_1</v>
      </c>
      <c r="B694" s="10" t="str">
        <f>CONCATENATE(LEFT(C694,12),"-",RIGHT(C694,2),"_",COUNTIF($C$2:C694,C694))</f>
        <v>198243310001-74_1</v>
      </c>
      <c r="C694" s="10" t="s">
        <v>4091</v>
      </c>
      <c r="D694" s="10" t="s">
        <v>6152</v>
      </c>
      <c r="E694" s="10" t="s">
        <v>1574</v>
      </c>
      <c r="F694" s="10" t="s">
        <v>791</v>
      </c>
      <c r="G694" s="10" t="s">
        <v>4092</v>
      </c>
      <c r="H694" s="11" t="s">
        <v>4093</v>
      </c>
      <c r="I694" s="11" t="s">
        <v>4094</v>
      </c>
      <c r="J694" s="10" t="s">
        <v>1559</v>
      </c>
      <c r="K694" s="10" t="s">
        <v>1560</v>
      </c>
      <c r="L694" s="10" t="s">
        <v>1578</v>
      </c>
      <c r="M694" s="10" t="s">
        <v>6247</v>
      </c>
      <c r="N694" s="10">
        <v>48</v>
      </c>
      <c r="O694" s="11">
        <v>108</v>
      </c>
      <c r="P694" s="11">
        <v>0.108</v>
      </c>
      <c r="Q694" s="10" t="s">
        <v>1562</v>
      </c>
      <c r="R694" s="10">
        <v>80</v>
      </c>
      <c r="S694" s="12">
        <v>19</v>
      </c>
      <c r="T694" s="13">
        <v>40860</v>
      </c>
      <c r="U694" s="14">
        <v>4412.88</v>
      </c>
      <c r="V694" s="10">
        <v>7.15</v>
      </c>
      <c r="W694" s="15">
        <v>292149</v>
      </c>
      <c r="X694" s="29">
        <f>VLOOKUP($F694,Agendamento!$B:$J,9,0)</f>
        <v>46077</v>
      </c>
      <c r="Y694" s="6">
        <f>COUNTIF(Analise!F:F,'Obras e Acervos'!H694)</f>
        <v>1</v>
      </c>
    </row>
    <row r="695" spans="1:25" ht="15" customHeight="1" x14ac:dyDescent="0.25">
      <c r="A695" s="10" t="str">
        <f>CONCATENATE(LEFT(C695,12),"-",RIGHT(C695,2),"_",TEXT(X695,"ddmmaaaa"),"_",COUNTIF($C$2:C695,C695))</f>
        <v>192410260001-50_04032026_2</v>
      </c>
      <c r="B695" s="10" t="str">
        <f>CONCATENATE(LEFT(C695,12),"-",RIGHT(C695,2),"_",COUNTIF($C$2:C695,C695))</f>
        <v>192410260001-50_2</v>
      </c>
      <c r="C695" s="10" t="s">
        <v>1650</v>
      </c>
      <c r="D695" s="10" t="s">
        <v>5904</v>
      </c>
      <c r="E695" s="10" t="s">
        <v>1574</v>
      </c>
      <c r="F695" s="10" t="s">
        <v>1284</v>
      </c>
      <c r="G695" s="10" t="s">
        <v>4095</v>
      </c>
      <c r="H695" s="11" t="s">
        <v>4096</v>
      </c>
      <c r="I695" s="11" t="s">
        <v>4097</v>
      </c>
      <c r="J695" s="10" t="s">
        <v>1559</v>
      </c>
      <c r="K695" s="10" t="s">
        <v>1560</v>
      </c>
      <c r="L695" s="10" t="s">
        <v>1578</v>
      </c>
      <c r="M695" s="10" t="s">
        <v>6248</v>
      </c>
      <c r="N695" s="10">
        <v>80</v>
      </c>
      <c r="O695" s="11">
        <v>210</v>
      </c>
      <c r="P695" s="11">
        <v>0.21</v>
      </c>
      <c r="Q695" s="10" t="s">
        <v>1562</v>
      </c>
      <c r="R695" s="10">
        <v>80</v>
      </c>
      <c r="S695" s="12">
        <v>19</v>
      </c>
      <c r="T695" s="13">
        <v>24437</v>
      </c>
      <c r="U695" s="14">
        <v>5131.7699999999995</v>
      </c>
      <c r="V695" s="10">
        <v>12.19</v>
      </c>
      <c r="W695" s="15">
        <v>297887.02999999997</v>
      </c>
      <c r="X695" s="29">
        <f>VLOOKUP($F695,Agendamento!$B:$J,9,0)</f>
        <v>46085</v>
      </c>
      <c r="Y695" s="6">
        <f>COUNTIF(Analise!F:F,'Obras e Acervos'!H695)</f>
        <v>1</v>
      </c>
    </row>
    <row r="696" spans="1:25" ht="15" customHeight="1" x14ac:dyDescent="0.25">
      <c r="A696" s="10" t="str">
        <f>CONCATENATE(LEFT(C696,12),"-",RIGHT(C696,2),"_",TEXT(X696,"ddmmaaaa"),"_",COUNTIF($C$2:C696,C696))</f>
        <v>898407970001-49_11032026_2</v>
      </c>
      <c r="B696" s="10" t="str">
        <f>CONCATENATE(LEFT(C696,12),"-",RIGHT(C696,2),"_",COUNTIF($C$2:C696,C696))</f>
        <v>898407970001-49_2</v>
      </c>
      <c r="C696" s="10" t="s">
        <v>2131</v>
      </c>
      <c r="D696" s="10" t="s">
        <v>5970</v>
      </c>
      <c r="E696" s="10" t="s">
        <v>1574</v>
      </c>
      <c r="F696" s="10" t="s">
        <v>1400</v>
      </c>
      <c r="G696" s="10" t="s">
        <v>4098</v>
      </c>
      <c r="H696" s="11" t="s">
        <v>4099</v>
      </c>
      <c r="I696" s="11" t="s">
        <v>4100</v>
      </c>
      <c r="J696" s="10" t="s">
        <v>1559</v>
      </c>
      <c r="K696" s="10" t="s">
        <v>1560</v>
      </c>
      <c r="L696" s="10" t="s">
        <v>1578</v>
      </c>
      <c r="M696" s="10" t="s">
        <v>1400</v>
      </c>
      <c r="N696" s="10">
        <v>28</v>
      </c>
      <c r="O696" s="11">
        <v>60</v>
      </c>
      <c r="P696" s="11">
        <v>0.06</v>
      </c>
      <c r="Q696" s="10" t="s">
        <v>1562</v>
      </c>
      <c r="R696" s="10">
        <v>80</v>
      </c>
      <c r="S696" s="12">
        <v>19</v>
      </c>
      <c r="T696" s="13">
        <v>24573</v>
      </c>
      <c r="U696" s="14">
        <v>1474.3799999999999</v>
      </c>
      <c r="V696" s="10">
        <v>6.07</v>
      </c>
      <c r="W696" s="15">
        <v>149158.11000000002</v>
      </c>
      <c r="X696" s="29">
        <f>VLOOKUP($F696,Agendamento!$B:$J,9,0)</f>
        <v>46092</v>
      </c>
      <c r="Y696" s="6">
        <f>COUNTIF(Analise!F:F,'Obras e Acervos'!H696)</f>
        <v>1</v>
      </c>
    </row>
    <row r="697" spans="1:25" ht="15" customHeight="1" x14ac:dyDescent="0.25">
      <c r="A697" s="10" t="str">
        <f>CONCATENATE(LEFT(C697,12),"-",RIGHT(C697,2),"_",TEXT(X697,"ddmmaaaa"),"_",COUNTIF($C$2:C697,C697))</f>
        <v>038899670001-64_02032026_2</v>
      </c>
      <c r="B697" s="10" t="str">
        <f>CONCATENATE(LEFT(C697,12),"-",RIGHT(C697,2),"_",COUNTIF($C$2:C697,C697))</f>
        <v>038899670001-64_2</v>
      </c>
      <c r="C697" s="10" t="s">
        <v>1968</v>
      </c>
      <c r="D697" s="10" t="s">
        <v>1054</v>
      </c>
      <c r="E697" s="10" t="s">
        <v>1574</v>
      </c>
      <c r="F697" s="10" t="s">
        <v>1055</v>
      </c>
      <c r="G697" s="10" t="s">
        <v>4101</v>
      </c>
      <c r="H697" s="11" t="s">
        <v>4102</v>
      </c>
      <c r="I697" s="11" t="s">
        <v>4103</v>
      </c>
      <c r="J697" s="10" t="s">
        <v>1559</v>
      </c>
      <c r="K697" s="10" t="s">
        <v>1560</v>
      </c>
      <c r="L697" s="10" t="s">
        <v>1578</v>
      </c>
      <c r="M697" s="10" t="s">
        <v>1055</v>
      </c>
      <c r="N697" s="10">
        <v>24</v>
      </c>
      <c r="O697" s="11">
        <v>86</v>
      </c>
      <c r="P697" s="11">
        <v>8.5999999999999993E-2</v>
      </c>
      <c r="Q697" s="10" t="s">
        <v>1599</v>
      </c>
      <c r="R697" s="10">
        <v>80</v>
      </c>
      <c r="S697" s="12">
        <v>19</v>
      </c>
      <c r="T697" s="13">
        <v>27088</v>
      </c>
      <c r="U697" s="14">
        <v>2329.5679999999998</v>
      </c>
      <c r="V697" s="10">
        <v>5.48</v>
      </c>
      <c r="W697" s="15">
        <v>148442.24000000002</v>
      </c>
      <c r="X697" s="29">
        <f>VLOOKUP($F697,Agendamento!$B:$J,9,0)</f>
        <v>46083</v>
      </c>
      <c r="Y697" s="6">
        <f>COUNTIF(Analise!F:F,'Obras e Acervos'!H697)</f>
        <v>1</v>
      </c>
    </row>
    <row r="698" spans="1:25" ht="15" customHeight="1" x14ac:dyDescent="0.25">
      <c r="A698" s="10" t="str">
        <f>CONCATENATE(LEFT(C698,12),"-",RIGHT(C698,2),"_",TEXT(X698,"ddmmaaaa"),"_",COUNTIF($C$2:C698,C698))</f>
        <v>061813040001-89_10032026_2</v>
      </c>
      <c r="B698" s="10" t="str">
        <f>CONCATENATE(LEFT(C698,12),"-",RIGHT(C698,2),"_",COUNTIF($C$2:C698,C698))</f>
        <v>061813040001-89_2</v>
      </c>
      <c r="C698" s="10" t="s">
        <v>1976</v>
      </c>
      <c r="D698" s="10" t="s">
        <v>1156</v>
      </c>
      <c r="E698" s="10" t="s">
        <v>1574</v>
      </c>
      <c r="F698" s="10" t="s">
        <v>1352</v>
      </c>
      <c r="G698" s="10" t="s">
        <v>4104</v>
      </c>
      <c r="H698" s="11" t="s">
        <v>4105</v>
      </c>
      <c r="I698" s="11" t="s">
        <v>4106</v>
      </c>
      <c r="J698" s="10" t="s">
        <v>1559</v>
      </c>
      <c r="K698" s="10" t="s">
        <v>1560</v>
      </c>
      <c r="L698" s="10" t="s">
        <v>1578</v>
      </c>
      <c r="M698" s="10" t="s">
        <v>1352</v>
      </c>
      <c r="N698" s="10">
        <v>48</v>
      </c>
      <c r="O698" s="11">
        <v>150</v>
      </c>
      <c r="P698" s="11">
        <v>0.15</v>
      </c>
      <c r="Q698" s="10" t="s">
        <v>1562</v>
      </c>
      <c r="R698" s="10">
        <v>75</v>
      </c>
      <c r="S698" s="12">
        <v>19</v>
      </c>
      <c r="T698" s="13">
        <v>24543</v>
      </c>
      <c r="U698" s="14">
        <v>3681.45</v>
      </c>
      <c r="V698" s="10">
        <v>8.2899999999999991</v>
      </c>
      <c r="W698" s="15">
        <v>203461.46999999997</v>
      </c>
      <c r="X698" s="29">
        <f>VLOOKUP($F698,Agendamento!$B:$J,9,0)</f>
        <v>46091</v>
      </c>
      <c r="Y698" s="6">
        <f>COUNTIF(Analise!F:F,'Obras e Acervos'!H698)</f>
        <v>1</v>
      </c>
    </row>
    <row r="699" spans="1:25" ht="15" customHeight="1" x14ac:dyDescent="0.25">
      <c r="A699" s="10" t="str">
        <f>CONCATENATE(LEFT(C699,12),"-",RIGHT(C699,2),"_",TEXT(X699,"ddmmaaaa"),"_",COUNTIF($C$2:C699,C699))</f>
        <v>481817540001-11_19022026_2</v>
      </c>
      <c r="B699" s="10" t="str">
        <f>CONCATENATE(LEFT(C699,12),"-",RIGHT(C699,2),"_",COUNTIF($C$2:C699,C699))</f>
        <v>481817540001-11_2</v>
      </c>
      <c r="C699" s="10" t="s">
        <v>1842</v>
      </c>
      <c r="D699" s="10" t="s">
        <v>5934</v>
      </c>
      <c r="E699" s="10" t="s">
        <v>1574</v>
      </c>
      <c r="F699" s="10" t="s">
        <v>607</v>
      </c>
      <c r="G699" s="10" t="s">
        <v>4107</v>
      </c>
      <c r="H699" s="11" t="s">
        <v>4108</v>
      </c>
      <c r="I699" s="11" t="s">
        <v>4109</v>
      </c>
      <c r="J699" s="10" t="s">
        <v>1559</v>
      </c>
      <c r="K699" s="10" t="s">
        <v>1560</v>
      </c>
      <c r="L699" s="10" t="s">
        <v>1578</v>
      </c>
      <c r="M699" s="10" t="s">
        <v>607</v>
      </c>
      <c r="N699" s="10">
        <v>144</v>
      </c>
      <c r="O699" s="11">
        <v>165</v>
      </c>
      <c r="P699" s="11">
        <v>0.16500000000000001</v>
      </c>
      <c r="Q699" s="10" t="s">
        <v>1608</v>
      </c>
      <c r="R699" s="10">
        <v>75</v>
      </c>
      <c r="S699" s="12">
        <v>19</v>
      </c>
      <c r="T699" s="13">
        <v>25785</v>
      </c>
      <c r="U699" s="14">
        <v>4254.5250000000005</v>
      </c>
      <c r="V699" s="10">
        <v>16.21</v>
      </c>
      <c r="W699" s="15">
        <v>417974.85000000003</v>
      </c>
      <c r="X699" s="29">
        <f>VLOOKUP($F699,Agendamento!$B:$J,9,0)</f>
        <v>46072</v>
      </c>
      <c r="Y699" s="6">
        <f>COUNTIF(Analise!F:F,'Obras e Acervos'!H699)</f>
        <v>1</v>
      </c>
    </row>
    <row r="700" spans="1:25" ht="15" customHeight="1" x14ac:dyDescent="0.25">
      <c r="A700" s="10" t="str">
        <f>CONCATENATE(LEFT(C700,12),"-",RIGHT(C700,2),"_",TEXT(X700,"ddmmaaaa"),"_",COUNTIF($C$2:C700,C700))</f>
        <v>607301080001-61_23022026_2</v>
      </c>
      <c r="B700" s="10" t="str">
        <f>CONCATENATE(LEFT(C700,12),"-",RIGHT(C700,2),"_",COUNTIF($C$2:C700,C700))</f>
        <v>607301080001-61_2</v>
      </c>
      <c r="C700" s="10" t="s">
        <v>2315</v>
      </c>
      <c r="D700" s="10" t="s">
        <v>739</v>
      </c>
      <c r="E700" s="10" t="s">
        <v>1574</v>
      </c>
      <c r="F700" s="10" t="s">
        <v>740</v>
      </c>
      <c r="G700" s="10" t="s">
        <v>4110</v>
      </c>
      <c r="H700" s="11" t="s">
        <v>4111</v>
      </c>
      <c r="I700" s="11" t="s">
        <v>4112</v>
      </c>
      <c r="J700" s="10" t="s">
        <v>1559</v>
      </c>
      <c r="K700" s="10" t="s">
        <v>1560</v>
      </c>
      <c r="L700" s="10" t="s">
        <v>1578</v>
      </c>
      <c r="M700" s="10" t="s">
        <v>740</v>
      </c>
      <c r="N700" s="10">
        <v>64</v>
      </c>
      <c r="O700" s="11">
        <v>148</v>
      </c>
      <c r="P700" s="11">
        <v>0.14799999999999999</v>
      </c>
      <c r="Q700" s="10" t="s">
        <v>1608</v>
      </c>
      <c r="R700" s="10">
        <v>80</v>
      </c>
      <c r="S700" s="12">
        <v>19</v>
      </c>
      <c r="T700" s="13">
        <v>24482</v>
      </c>
      <c r="U700" s="14">
        <v>3623.3359999999998</v>
      </c>
      <c r="V700" s="10">
        <v>8.7799999999999994</v>
      </c>
      <c r="W700" s="15">
        <v>214951.96</v>
      </c>
      <c r="X700" s="29">
        <f>VLOOKUP($F700,Agendamento!$B:$J,9,0)</f>
        <v>46076</v>
      </c>
      <c r="Y700" s="6">
        <f>COUNTIF(Analise!F:F,'Obras e Acervos'!H700)</f>
        <v>1</v>
      </c>
    </row>
    <row r="701" spans="1:25" ht="15" customHeight="1" x14ac:dyDescent="0.25">
      <c r="A701" s="10" t="str">
        <f>CONCATENATE(LEFT(C701,12),"-",RIGHT(C701,2),"_",TEXT(X701,"ddmmaaaa"),"_",COUNTIF($C$2:C701,C701))</f>
        <v>040530930001-73_16022026_2</v>
      </c>
      <c r="B701" s="10" t="str">
        <f>CONCATENATE(LEFT(C701,12),"-",RIGHT(C701,2),"_",COUNTIF($C$2:C701,C701))</f>
        <v>040530930001-73_2</v>
      </c>
      <c r="C701" s="10" t="s">
        <v>1674</v>
      </c>
      <c r="D701" s="10" t="s">
        <v>5908</v>
      </c>
      <c r="E701" s="10" t="s">
        <v>1574</v>
      </c>
      <c r="F701" s="10" t="s">
        <v>519</v>
      </c>
      <c r="G701" s="10" t="s">
        <v>4113</v>
      </c>
      <c r="H701" s="11" t="s">
        <v>4114</v>
      </c>
      <c r="I701" s="11" t="s">
        <v>4115</v>
      </c>
      <c r="J701" s="10" t="s">
        <v>1559</v>
      </c>
      <c r="K701" s="10" t="s">
        <v>1560</v>
      </c>
      <c r="L701" s="10" t="s">
        <v>1578</v>
      </c>
      <c r="M701" s="10" t="s">
        <v>519</v>
      </c>
      <c r="N701" s="10">
        <v>48</v>
      </c>
      <c r="O701" s="11">
        <v>137</v>
      </c>
      <c r="P701" s="11">
        <v>0.13700000000000001</v>
      </c>
      <c r="Q701" s="10" t="s">
        <v>1562</v>
      </c>
      <c r="R701" s="10">
        <v>80</v>
      </c>
      <c r="S701" s="12">
        <v>19</v>
      </c>
      <c r="T701" s="13">
        <v>24846</v>
      </c>
      <c r="U701" s="14">
        <v>3403.902</v>
      </c>
      <c r="V701" s="10">
        <v>8.41</v>
      </c>
      <c r="W701" s="15">
        <v>208954.86000000002</v>
      </c>
      <c r="X701" s="29">
        <f>VLOOKUP($F701,Agendamento!$B:$J,9,0)</f>
        <v>46069</v>
      </c>
      <c r="Y701" s="6">
        <f>COUNTIF(Analise!F:F,'Obras e Acervos'!H701)</f>
        <v>1</v>
      </c>
    </row>
    <row r="702" spans="1:25" ht="15" customHeight="1" x14ac:dyDescent="0.25">
      <c r="A702" s="10" t="str">
        <f>CONCATENATE(LEFT(C702,12),"-",RIGHT(C702,2),"_",TEXT(X702,"ddmmaaaa"),"_",COUNTIF($C$2:C702,C702))</f>
        <v>197707370001-11_27012026_1</v>
      </c>
      <c r="B702" s="10" t="str">
        <f>CONCATENATE(LEFT(C702,12),"-",RIGHT(C702,2),"_",COUNTIF($C$2:C702,C702))</f>
        <v>197707370001-11_1</v>
      </c>
      <c r="C702" s="21" t="s">
        <v>4116</v>
      </c>
      <c r="D702" s="10" t="s">
        <v>54</v>
      </c>
      <c r="E702" s="10" t="s">
        <v>1555</v>
      </c>
      <c r="F702" s="10" t="s">
        <v>55</v>
      </c>
      <c r="G702" s="10" t="s">
        <v>4117</v>
      </c>
      <c r="H702" s="22" t="s">
        <v>4118</v>
      </c>
      <c r="I702" s="27" t="s">
        <v>4119</v>
      </c>
      <c r="J702" s="10" t="s">
        <v>1559</v>
      </c>
      <c r="K702" s="10" t="s">
        <v>1560</v>
      </c>
      <c r="L702" s="10" t="s">
        <v>1561</v>
      </c>
      <c r="M702" s="10" t="s">
        <v>6249</v>
      </c>
      <c r="N702" s="10">
        <v>40</v>
      </c>
      <c r="O702" s="11">
        <v>96</v>
      </c>
      <c r="P702" s="22">
        <v>9.6000000000000002E-2</v>
      </c>
      <c r="Q702" s="10" t="s">
        <v>1562</v>
      </c>
      <c r="R702" s="10">
        <v>80</v>
      </c>
      <c r="S702" s="12">
        <v>2</v>
      </c>
      <c r="T702" s="23">
        <v>48043</v>
      </c>
      <c r="U702" s="24">
        <v>4612.1279999999997</v>
      </c>
      <c r="V702" s="10">
        <v>9.4700000000000006</v>
      </c>
      <c r="W702" s="15">
        <v>229694.85</v>
      </c>
      <c r="X702" s="29">
        <f>VLOOKUP($F702,Agendamento!$B:$J,9,0)</f>
        <v>46049</v>
      </c>
      <c r="Y702" s="6">
        <f>COUNTIF(Analise!F:F,'Obras e Acervos'!H702)</f>
        <v>1</v>
      </c>
    </row>
    <row r="703" spans="1:25" ht="15" customHeight="1" x14ac:dyDescent="0.25">
      <c r="A703" s="10" t="str">
        <f>CONCATENATE(LEFT(C703,12),"-",RIGHT(C703,2),"_",TEXT(X703,"ddmmaaaa"),"_",COUNTIF($C$2:C703,C703))</f>
        <v>195105640001-00_13022026_2</v>
      </c>
      <c r="B703" s="10" t="str">
        <f>CONCATENATE(LEFT(C703,12),"-",RIGHT(C703,2),"_",COUNTIF($C$2:C703,C703))</f>
        <v>195105640001-00_2</v>
      </c>
      <c r="C703" s="10" t="s">
        <v>1686</v>
      </c>
      <c r="D703" s="10" t="s">
        <v>5910</v>
      </c>
      <c r="E703" s="10" t="s">
        <v>1574</v>
      </c>
      <c r="F703" s="10" t="s">
        <v>489</v>
      </c>
      <c r="G703" s="10" t="s">
        <v>4120</v>
      </c>
      <c r="H703" s="11" t="s">
        <v>4121</v>
      </c>
      <c r="I703" s="11" t="s">
        <v>4122</v>
      </c>
      <c r="J703" s="10" t="s">
        <v>1559</v>
      </c>
      <c r="K703" s="10" t="s">
        <v>1560</v>
      </c>
      <c r="L703" s="10" t="s">
        <v>1578</v>
      </c>
      <c r="M703" s="10" t="s">
        <v>489</v>
      </c>
      <c r="N703" s="10">
        <v>96</v>
      </c>
      <c r="O703" s="11">
        <v>120</v>
      </c>
      <c r="P703" s="11">
        <v>0.12</v>
      </c>
      <c r="Q703" s="10" t="s">
        <v>1608</v>
      </c>
      <c r="R703" s="10">
        <v>80</v>
      </c>
      <c r="S703" s="12">
        <v>19</v>
      </c>
      <c r="T703" s="13">
        <v>25346</v>
      </c>
      <c r="U703" s="14">
        <v>3041.52</v>
      </c>
      <c r="V703" s="10">
        <v>11.81</v>
      </c>
      <c r="W703" s="15">
        <v>299336.26</v>
      </c>
      <c r="X703" s="29">
        <f>VLOOKUP($F703,Agendamento!$B:$J,9,0)</f>
        <v>46066</v>
      </c>
      <c r="Y703" s="6">
        <f>COUNTIF(Analise!F:F,'Obras e Acervos'!H703)</f>
        <v>1</v>
      </c>
    </row>
    <row r="704" spans="1:25" ht="15" customHeight="1" x14ac:dyDescent="0.25">
      <c r="A704" s="10" t="str">
        <f>CONCATENATE(LEFT(C704,12),"-",RIGHT(C704,2),"_",TEXT(X704,"ddmmaaaa"),"_",COUNTIF($C$2:C704,C704))</f>
        <v>281400850001-22_25022026_2</v>
      </c>
      <c r="B704" s="10" t="str">
        <f>CONCATENATE(LEFT(C704,12),"-",RIGHT(C704,2),"_",COUNTIF($C$2:C704,C704))</f>
        <v>281400850001-22_2</v>
      </c>
      <c r="C704" s="10" t="s">
        <v>1858</v>
      </c>
      <c r="D704" s="10" t="s">
        <v>864</v>
      </c>
      <c r="E704" s="10" t="s">
        <v>1574</v>
      </c>
      <c r="F704" s="10" t="s">
        <v>865</v>
      </c>
      <c r="G704" s="10" t="s">
        <v>4123</v>
      </c>
      <c r="H704" s="11" t="s">
        <v>4124</v>
      </c>
      <c r="I704" s="11" t="s">
        <v>4125</v>
      </c>
      <c r="J704" s="10" t="s">
        <v>1559</v>
      </c>
      <c r="K704" s="10" t="s">
        <v>1560</v>
      </c>
      <c r="L704" s="10" t="s">
        <v>1578</v>
      </c>
      <c r="M704" s="10" t="s">
        <v>865</v>
      </c>
      <c r="N704" s="10">
        <v>48</v>
      </c>
      <c r="O704" s="11">
        <v>136</v>
      </c>
      <c r="P704" s="11">
        <v>0.13600000000000001</v>
      </c>
      <c r="Q704" s="10" t="s">
        <v>1562</v>
      </c>
      <c r="R704" s="10">
        <v>80</v>
      </c>
      <c r="S704" s="12">
        <v>19</v>
      </c>
      <c r="T704" s="13">
        <v>24543</v>
      </c>
      <c r="U704" s="14">
        <v>3337.8480000000004</v>
      </c>
      <c r="V704" s="10">
        <v>8.42</v>
      </c>
      <c r="W704" s="15">
        <v>206652.06</v>
      </c>
      <c r="X704" s="29">
        <f>VLOOKUP($F704,Agendamento!$B:$J,9,0)</f>
        <v>46078</v>
      </c>
      <c r="Y704" s="6">
        <f>COUNTIF(Analise!F:F,'Obras e Acervos'!H704)</f>
        <v>1</v>
      </c>
    </row>
    <row r="705" spans="1:25" ht="15" customHeight="1" x14ac:dyDescent="0.25">
      <c r="A705" s="10" t="str">
        <f>CONCATENATE(LEFT(C705,12),"-",RIGHT(C705,2),"_",TEXT(X705,"ddmmaaaa"),"_",COUNTIF($C$2:C705,C705))</f>
        <v>086750340001-98_20022026_1</v>
      </c>
      <c r="B705" s="10" t="str">
        <f>CONCATENATE(LEFT(C705,12),"-",RIGHT(C705,2),"_",COUNTIF($C$2:C705,C705))</f>
        <v>086750340001-98_1</v>
      </c>
      <c r="C705" s="10" t="s">
        <v>4126</v>
      </c>
      <c r="D705" s="10" t="s">
        <v>676</v>
      </c>
      <c r="E705" s="10" t="s">
        <v>1574</v>
      </c>
      <c r="F705" s="10" t="s">
        <v>677</v>
      </c>
      <c r="G705" s="10" t="s">
        <v>4127</v>
      </c>
      <c r="H705" s="11" t="s">
        <v>4128</v>
      </c>
      <c r="I705" s="11" t="s">
        <v>4129</v>
      </c>
      <c r="J705" s="10" t="s">
        <v>1559</v>
      </c>
      <c r="K705" s="10" t="s">
        <v>1560</v>
      </c>
      <c r="L705" s="10" t="s">
        <v>1578</v>
      </c>
      <c r="M705" s="10" t="s">
        <v>677</v>
      </c>
      <c r="N705" s="10">
        <v>28</v>
      </c>
      <c r="O705" s="11">
        <v>96</v>
      </c>
      <c r="P705" s="11">
        <v>9.6000000000000002E-2</v>
      </c>
      <c r="Q705" s="10" t="s">
        <v>1562</v>
      </c>
      <c r="R705" s="10">
        <v>80</v>
      </c>
      <c r="S705" s="12">
        <v>19</v>
      </c>
      <c r="T705" s="13">
        <v>30361</v>
      </c>
      <c r="U705" s="14">
        <v>2914.6559999999999</v>
      </c>
      <c r="V705" s="10">
        <v>5.93</v>
      </c>
      <c r="W705" s="15">
        <v>180040.72999999998</v>
      </c>
      <c r="X705" s="29">
        <f>VLOOKUP($F705,Agendamento!$B:$J,9,0)</f>
        <v>46073</v>
      </c>
      <c r="Y705" s="6">
        <f>COUNTIF(Analise!F:F,'Obras e Acervos'!H705)</f>
        <v>1</v>
      </c>
    </row>
    <row r="706" spans="1:25" ht="15" customHeight="1" x14ac:dyDescent="0.25">
      <c r="A706" s="10" t="str">
        <f>CONCATENATE(LEFT(C706,12),"-",RIGHT(C706,2),"_",TEXT(X706,"ddmmaaaa"),"_",COUNTIF($C$2:C706,C706))</f>
        <v>271379610001-07_13022026_1</v>
      </c>
      <c r="B706" s="10" t="str">
        <f>CONCATENATE(LEFT(C706,12),"-",RIGHT(C706,2),"_",COUNTIF($C$2:C706,C706))</f>
        <v>271379610001-07_1</v>
      </c>
      <c r="C706" s="10" t="s">
        <v>4130</v>
      </c>
      <c r="D706" s="10" t="s">
        <v>6153</v>
      </c>
      <c r="E706" s="10" t="s">
        <v>1574</v>
      </c>
      <c r="F706" s="10" t="s">
        <v>460</v>
      </c>
      <c r="G706" s="10" t="s">
        <v>4131</v>
      </c>
      <c r="H706" s="11" t="s">
        <v>4132</v>
      </c>
      <c r="I706" s="11" t="s">
        <v>4133</v>
      </c>
      <c r="J706" s="10" t="s">
        <v>1559</v>
      </c>
      <c r="K706" s="10" t="s">
        <v>1560</v>
      </c>
      <c r="L706" s="10" t="s">
        <v>1578</v>
      </c>
      <c r="M706" s="10" t="s">
        <v>460</v>
      </c>
      <c r="N706" s="10">
        <v>56</v>
      </c>
      <c r="O706" s="11">
        <v>160</v>
      </c>
      <c r="P706" s="11">
        <v>0.16</v>
      </c>
      <c r="Q706" s="10" t="s">
        <v>1562</v>
      </c>
      <c r="R706" s="10">
        <v>80</v>
      </c>
      <c r="S706" s="12">
        <v>19</v>
      </c>
      <c r="T706" s="13">
        <v>24952</v>
      </c>
      <c r="U706" s="14">
        <v>3992.32</v>
      </c>
      <c r="V706" s="10">
        <v>9.34</v>
      </c>
      <c r="W706" s="15">
        <v>233051.68</v>
      </c>
      <c r="X706" s="29">
        <f>VLOOKUP($F706,Agendamento!$B:$J,9,0)</f>
        <v>46066</v>
      </c>
      <c r="Y706" s="6">
        <f>COUNTIF(Analise!F:F,'Obras e Acervos'!H706)</f>
        <v>1</v>
      </c>
    </row>
    <row r="707" spans="1:25" ht="15" customHeight="1" x14ac:dyDescent="0.25">
      <c r="A707" s="10" t="str">
        <f>CONCATENATE(LEFT(C707,12),"-",RIGHT(C707,2),"_",TEXT(X707,"ddmmaaaa"),"_",COUNTIF($C$2:C707,C707))</f>
        <v>398843010001-60_24022026_2</v>
      </c>
      <c r="B707" s="10" t="str">
        <f>CONCATENATE(LEFT(C707,12),"-",RIGHT(C707,2),"_",COUNTIF($C$2:C707,C707))</f>
        <v>398843010001-60_2</v>
      </c>
      <c r="C707" s="10" t="s">
        <v>3150</v>
      </c>
      <c r="D707" s="10" t="s">
        <v>6117</v>
      </c>
      <c r="E707" s="10" t="s">
        <v>1574</v>
      </c>
      <c r="F707" s="10" t="s">
        <v>805</v>
      </c>
      <c r="G707" s="10" t="s">
        <v>4134</v>
      </c>
      <c r="H707" s="11" t="s">
        <v>4135</v>
      </c>
      <c r="I707" s="11" t="s">
        <v>4136</v>
      </c>
      <c r="J707" s="10" t="s">
        <v>1559</v>
      </c>
      <c r="K707" s="10" t="s">
        <v>1560</v>
      </c>
      <c r="L707" s="10" t="s">
        <v>1578</v>
      </c>
      <c r="M707" s="10" t="s">
        <v>805</v>
      </c>
      <c r="N707" s="10">
        <v>48</v>
      </c>
      <c r="O707" s="11">
        <v>143</v>
      </c>
      <c r="P707" s="11">
        <v>0.14299999999999999</v>
      </c>
      <c r="Q707" s="10" t="s">
        <v>1562</v>
      </c>
      <c r="R707" s="10">
        <v>80</v>
      </c>
      <c r="S707" s="12">
        <v>19</v>
      </c>
      <c r="T707" s="13">
        <v>24816</v>
      </c>
      <c r="U707" s="14">
        <v>3548.6879999999996</v>
      </c>
      <c r="V707" s="10">
        <v>8.41</v>
      </c>
      <c r="W707" s="15">
        <v>208702.56</v>
      </c>
      <c r="X707" s="29">
        <f>VLOOKUP($F707,Agendamento!$B:$J,9,0)</f>
        <v>46077</v>
      </c>
      <c r="Y707" s="6">
        <f>COUNTIF(Analise!F:F,'Obras e Acervos'!H707)</f>
        <v>1</v>
      </c>
    </row>
    <row r="708" spans="1:25" ht="15" customHeight="1" x14ac:dyDescent="0.25">
      <c r="A708" s="10" t="str">
        <f>CONCATENATE(LEFT(C708,12),"-",RIGHT(C708,2),"_",TEXT(X708,"ddmmaaaa"),"_",COUNTIF($C$2:C708,C708))</f>
        <v>339554360001-93_20022026_2</v>
      </c>
      <c r="B708" s="10" t="str">
        <f>CONCATENATE(LEFT(C708,12),"-",RIGHT(C708,2),"_",COUNTIF($C$2:C708,C708))</f>
        <v>339554360001-93_2</v>
      </c>
      <c r="C708" s="10" t="s">
        <v>3154</v>
      </c>
      <c r="D708" s="10" t="s">
        <v>678</v>
      </c>
      <c r="E708" s="10" t="s">
        <v>1574</v>
      </c>
      <c r="F708" s="10" t="s">
        <v>679</v>
      </c>
      <c r="G708" s="10" t="s">
        <v>4137</v>
      </c>
      <c r="H708" s="11" t="s">
        <v>4138</v>
      </c>
      <c r="I708" s="11" t="s">
        <v>4139</v>
      </c>
      <c r="J708" s="10" t="s">
        <v>1559</v>
      </c>
      <c r="K708" s="10" t="s">
        <v>1560</v>
      </c>
      <c r="L708" s="10" t="s">
        <v>1578</v>
      </c>
      <c r="M708" s="10" t="s">
        <v>679</v>
      </c>
      <c r="N708" s="10">
        <v>48</v>
      </c>
      <c r="O708" s="11">
        <v>143</v>
      </c>
      <c r="P708" s="11">
        <v>0.14299999999999999</v>
      </c>
      <c r="Q708" s="10" t="s">
        <v>1562</v>
      </c>
      <c r="R708" s="10">
        <v>80</v>
      </c>
      <c r="S708" s="12">
        <v>19</v>
      </c>
      <c r="T708" s="13">
        <v>52692</v>
      </c>
      <c r="U708" s="14">
        <v>7534.9559999999992</v>
      </c>
      <c r="V708" s="10">
        <v>6.07</v>
      </c>
      <c r="W708" s="15">
        <v>319840.44</v>
      </c>
      <c r="X708" s="29">
        <f>VLOOKUP($F708,Agendamento!$B:$J,9,0)</f>
        <v>46073</v>
      </c>
      <c r="Y708" s="6">
        <f>COUNTIF(Analise!F:F,'Obras e Acervos'!H708)</f>
        <v>1</v>
      </c>
    </row>
    <row r="709" spans="1:25" ht="15" customHeight="1" x14ac:dyDescent="0.25">
      <c r="A709" s="10" t="str">
        <f>CONCATENATE(LEFT(C709,12),"-",RIGHT(C709,2),"_",TEXT(X709,"ddmmaaaa"),"_",COUNTIF($C$2:C709,C709))</f>
        <v>105881860001-03_16032026_2</v>
      </c>
      <c r="B709" s="10" t="str">
        <f>CONCATENATE(LEFT(C709,12),"-",RIGHT(C709,2),"_",COUNTIF($C$2:C709,C709))</f>
        <v>105881860001-03_2</v>
      </c>
      <c r="C709" s="10" t="s">
        <v>2198</v>
      </c>
      <c r="D709" s="10" t="s">
        <v>5978</v>
      </c>
      <c r="E709" s="10" t="s">
        <v>1574</v>
      </c>
      <c r="F709" s="10" t="s">
        <v>1504</v>
      </c>
      <c r="G709" s="10" t="s">
        <v>4140</v>
      </c>
      <c r="H709" s="11" t="s">
        <v>4141</v>
      </c>
      <c r="I709" s="11" t="s">
        <v>4142</v>
      </c>
      <c r="J709" s="10" t="s">
        <v>1559</v>
      </c>
      <c r="K709" s="10" t="s">
        <v>1560</v>
      </c>
      <c r="L709" s="10" t="s">
        <v>1578</v>
      </c>
      <c r="M709" s="10" t="s">
        <v>1504</v>
      </c>
      <c r="N709" s="10">
        <v>144</v>
      </c>
      <c r="O709" s="11">
        <v>420</v>
      </c>
      <c r="P709" s="11">
        <v>0.42</v>
      </c>
      <c r="Q709" s="10" t="s">
        <v>1562</v>
      </c>
      <c r="R709" s="10">
        <v>75</v>
      </c>
      <c r="S709" s="12">
        <v>20</v>
      </c>
      <c r="T709" s="13">
        <v>62528</v>
      </c>
      <c r="U709" s="14">
        <v>26261.759999999998</v>
      </c>
      <c r="V709" s="10">
        <v>13.57</v>
      </c>
      <c r="W709" s="15">
        <v>848504.96</v>
      </c>
      <c r="X709" s="29">
        <f>VLOOKUP($F709,Agendamento!$B:$J,9,0)</f>
        <v>46097</v>
      </c>
      <c r="Y709" s="6">
        <f>COUNTIF(Analise!F:F,'Obras e Acervos'!H709)</f>
        <v>1</v>
      </c>
    </row>
    <row r="710" spans="1:25" ht="15" customHeight="1" x14ac:dyDescent="0.25">
      <c r="A710" s="10" t="str">
        <f>CONCATENATE(LEFT(C710,12),"-",RIGHT(C710,2),"_",TEXT(X710,"ddmmaaaa"),"_",COUNTIF($C$2:C710,C710))</f>
        <v>052881530001-08_23022026_2</v>
      </c>
      <c r="B710" s="10" t="str">
        <f>CONCATENATE(LEFT(C710,12),"-",RIGHT(C710,2),"_",COUNTIF($C$2:C710,C710))</f>
        <v>052881530001-08_2</v>
      </c>
      <c r="C710" s="10" t="s">
        <v>2522</v>
      </c>
      <c r="D710" s="10" t="s">
        <v>6027</v>
      </c>
      <c r="E710" s="10" t="s">
        <v>1574</v>
      </c>
      <c r="F710" s="10" t="s">
        <v>709</v>
      </c>
      <c r="G710" s="10" t="s">
        <v>4143</v>
      </c>
      <c r="H710" s="11" t="s">
        <v>4144</v>
      </c>
      <c r="I710" s="11" t="s">
        <v>4145</v>
      </c>
      <c r="J710" s="10" t="s">
        <v>1559</v>
      </c>
      <c r="K710" s="10" t="s">
        <v>1560</v>
      </c>
      <c r="L710" s="10" t="s">
        <v>1578</v>
      </c>
      <c r="M710" s="10" t="s">
        <v>6250</v>
      </c>
      <c r="N710" s="10">
        <v>48</v>
      </c>
      <c r="O710" s="11">
        <v>140</v>
      </c>
      <c r="P710" s="11">
        <v>0.14000000000000001</v>
      </c>
      <c r="Q710" s="10" t="s">
        <v>1562</v>
      </c>
      <c r="R710" s="10">
        <v>80</v>
      </c>
      <c r="S710" s="12">
        <v>20</v>
      </c>
      <c r="T710" s="13">
        <v>30259</v>
      </c>
      <c r="U710" s="14">
        <v>4236.26</v>
      </c>
      <c r="V710" s="10">
        <v>8.32</v>
      </c>
      <c r="W710" s="15">
        <v>251754.88</v>
      </c>
      <c r="X710" s="29">
        <f>VLOOKUP($F710,Agendamento!$B:$J,9,0)</f>
        <v>46076</v>
      </c>
      <c r="Y710" s="6">
        <f>COUNTIF(Analise!F:F,'Obras e Acervos'!H710)</f>
        <v>1</v>
      </c>
    </row>
    <row r="711" spans="1:25" ht="15" customHeight="1" x14ac:dyDescent="0.25">
      <c r="A711" s="10" t="str">
        <f>CONCATENATE(LEFT(C711,12),"-",RIGHT(C711,2),"_",TEXT(X711,"ddmmaaaa"),"_",COUNTIF($C$2:C711,C711))</f>
        <v>766598200009-09_12022026_2</v>
      </c>
      <c r="B711" s="10" t="str">
        <f>CONCATENATE(LEFT(C711,12),"-",RIGHT(C711,2),"_",COUNTIF($C$2:C711,C711))</f>
        <v>766598200009-09_2</v>
      </c>
      <c r="C711" s="10" t="s">
        <v>1730</v>
      </c>
      <c r="D711" s="10" t="s">
        <v>5916</v>
      </c>
      <c r="E711" s="10" t="s">
        <v>1574</v>
      </c>
      <c r="F711" s="10" t="s">
        <v>392</v>
      </c>
      <c r="G711" s="10" t="s">
        <v>4146</v>
      </c>
      <c r="H711" s="11" t="s">
        <v>4147</v>
      </c>
      <c r="I711" s="11" t="s">
        <v>4148</v>
      </c>
      <c r="J711" s="10" t="s">
        <v>1559</v>
      </c>
      <c r="K711" s="10" t="s">
        <v>1560</v>
      </c>
      <c r="L711" s="10" t="s">
        <v>1578</v>
      </c>
      <c r="M711" s="10" t="s">
        <v>392</v>
      </c>
      <c r="N711" s="10">
        <v>96</v>
      </c>
      <c r="O711" s="11">
        <v>228</v>
      </c>
      <c r="P711" s="11">
        <v>0.22800000000000001</v>
      </c>
      <c r="Q711" s="10" t="s">
        <v>1562</v>
      </c>
      <c r="R711" s="10">
        <v>75</v>
      </c>
      <c r="S711" s="12">
        <v>20</v>
      </c>
      <c r="T711" s="13">
        <v>44500</v>
      </c>
      <c r="U711" s="14">
        <v>10146</v>
      </c>
      <c r="V711" s="10">
        <v>10.73</v>
      </c>
      <c r="W711" s="15">
        <v>477485</v>
      </c>
      <c r="X711" s="29">
        <f>VLOOKUP($F711,Agendamento!$B:$J,9,0)</f>
        <v>46065</v>
      </c>
      <c r="Y711" s="6">
        <f>COUNTIF(Analise!F:F,'Obras e Acervos'!H711)</f>
        <v>1</v>
      </c>
    </row>
    <row r="712" spans="1:25" ht="15" customHeight="1" x14ac:dyDescent="0.25">
      <c r="A712" s="10" t="str">
        <f>CONCATENATE(LEFT(C712,12),"-",RIGHT(C712,2),"_",TEXT(X712,"ddmmaaaa"),"_",COUNTIF($C$2:C712,C712))</f>
        <v>219191640001-97_25022026_2</v>
      </c>
      <c r="B712" s="10" t="str">
        <f>CONCATENATE(LEFT(C712,12),"-",RIGHT(C712,2),"_",COUNTIF($C$2:C712,C712))</f>
        <v>219191640001-97_2</v>
      </c>
      <c r="C712" s="10" t="s">
        <v>2046</v>
      </c>
      <c r="D712" s="10" t="s">
        <v>870</v>
      </c>
      <c r="E712" s="10" t="s">
        <v>1574</v>
      </c>
      <c r="F712" s="10" t="s">
        <v>872</v>
      </c>
      <c r="G712" s="10" t="s">
        <v>4149</v>
      </c>
      <c r="H712" s="11" t="s">
        <v>4150</v>
      </c>
      <c r="I712" s="11" t="s">
        <v>4151</v>
      </c>
      <c r="J712" s="10" t="s">
        <v>1559</v>
      </c>
      <c r="K712" s="10" t="s">
        <v>1560</v>
      </c>
      <c r="L712" s="10" t="s">
        <v>1578</v>
      </c>
      <c r="M712" s="10" t="s">
        <v>872</v>
      </c>
      <c r="N712" s="10">
        <v>96</v>
      </c>
      <c r="O712" s="11">
        <v>121</v>
      </c>
      <c r="P712" s="11">
        <v>0.121</v>
      </c>
      <c r="Q712" s="10" t="s">
        <v>1608</v>
      </c>
      <c r="R712" s="10">
        <v>80</v>
      </c>
      <c r="S712" s="12">
        <v>20</v>
      </c>
      <c r="T712" s="13">
        <v>27789</v>
      </c>
      <c r="U712" s="14">
        <v>3362.4690000000001</v>
      </c>
      <c r="V712" s="10">
        <v>10.81</v>
      </c>
      <c r="W712" s="15">
        <v>300399.09000000003</v>
      </c>
      <c r="X712" s="29">
        <f>VLOOKUP($F712,Agendamento!$B:$J,9,0)</f>
        <v>46078</v>
      </c>
      <c r="Y712" s="6">
        <f>COUNTIF(Analise!F:F,'Obras e Acervos'!H712)</f>
        <v>1</v>
      </c>
    </row>
    <row r="713" spans="1:25" ht="15" customHeight="1" x14ac:dyDescent="0.25">
      <c r="A713" s="10" t="str">
        <f>CONCATENATE(LEFT(C713,12),"-",RIGHT(C713,2),"_",TEXT(X713,"ddmmaaaa"),"_",COUNTIF($C$2:C713,C713))</f>
        <v>410340580001-33_24022026_2</v>
      </c>
      <c r="B713" s="10" t="str">
        <f>CONCATENATE(LEFT(C713,12),"-",RIGHT(C713,2),"_",COUNTIF($C$2:C713,C713))</f>
        <v>410340580001-33_2</v>
      </c>
      <c r="C713" s="10" t="s">
        <v>2538</v>
      </c>
      <c r="D713" s="10" t="s">
        <v>6029</v>
      </c>
      <c r="E713" s="10" t="s">
        <v>1574</v>
      </c>
      <c r="F713" s="10" t="s">
        <v>804</v>
      </c>
      <c r="G713" s="10" t="s">
        <v>4152</v>
      </c>
      <c r="H713" s="11" t="s">
        <v>4153</v>
      </c>
      <c r="I713" s="11" t="s">
        <v>4154</v>
      </c>
      <c r="J713" s="10" t="s">
        <v>1559</v>
      </c>
      <c r="K713" s="10" t="s">
        <v>1560</v>
      </c>
      <c r="L713" s="10" t="s">
        <v>1578</v>
      </c>
      <c r="M713" s="10" t="s">
        <v>804</v>
      </c>
      <c r="N713" s="10">
        <v>32</v>
      </c>
      <c r="O713" s="11">
        <v>50</v>
      </c>
      <c r="P713" s="11">
        <v>0.05</v>
      </c>
      <c r="Q713" s="10" t="s">
        <v>1608</v>
      </c>
      <c r="R713" s="10">
        <v>75</v>
      </c>
      <c r="S713" s="12">
        <v>20</v>
      </c>
      <c r="T713" s="13">
        <v>38727</v>
      </c>
      <c r="U713" s="14">
        <v>1936.3500000000001</v>
      </c>
      <c r="V713" s="10">
        <v>4.2</v>
      </c>
      <c r="W713" s="15">
        <v>162653.4</v>
      </c>
      <c r="X713" s="29">
        <f>VLOOKUP($F713,Agendamento!$B:$J,9,0)</f>
        <v>46077</v>
      </c>
      <c r="Y713" s="6">
        <f>COUNTIF(Analise!F:F,'Obras e Acervos'!H713)</f>
        <v>1</v>
      </c>
    </row>
    <row r="714" spans="1:25" ht="15" customHeight="1" x14ac:dyDescent="0.25">
      <c r="A714" s="10" t="str">
        <f>CONCATENATE(LEFT(C714,12),"-",RIGHT(C714,2),"_",TEXT(X714,"ddmmaaaa"),"_",COUNTIF($C$2:C714,C714))</f>
        <v>029760330001-05_13032026_2</v>
      </c>
      <c r="B714" s="10" t="str">
        <f>CONCATENATE(LEFT(C714,12),"-",RIGHT(C714,2),"_",COUNTIF($C$2:C714,C714))</f>
        <v>029760330001-05_2</v>
      </c>
      <c r="C714" s="10" t="s">
        <v>2371</v>
      </c>
      <c r="D714" s="10" t="s">
        <v>6006</v>
      </c>
      <c r="E714" s="10" t="s">
        <v>1574</v>
      </c>
      <c r="F714" s="10" t="s">
        <v>1443</v>
      </c>
      <c r="G714" s="10" t="s">
        <v>4155</v>
      </c>
      <c r="H714" s="11" t="s">
        <v>4156</v>
      </c>
      <c r="I714" s="11" t="s">
        <v>4157</v>
      </c>
      <c r="J714" s="10" t="s">
        <v>1559</v>
      </c>
      <c r="K714" s="10" t="s">
        <v>1560</v>
      </c>
      <c r="L714" s="10" t="s">
        <v>1578</v>
      </c>
      <c r="M714" s="10" t="s">
        <v>1443</v>
      </c>
      <c r="N714" s="10">
        <v>72</v>
      </c>
      <c r="O714" s="11">
        <v>191</v>
      </c>
      <c r="P714" s="11">
        <v>0.191</v>
      </c>
      <c r="Q714" s="10" t="s">
        <v>1562</v>
      </c>
      <c r="R714" s="10">
        <v>80</v>
      </c>
      <c r="S714" s="12">
        <v>20</v>
      </c>
      <c r="T714" s="13">
        <v>26804</v>
      </c>
      <c r="U714" s="14">
        <v>5119.5640000000003</v>
      </c>
      <c r="V714" s="10">
        <v>11.14</v>
      </c>
      <c r="W714" s="15">
        <v>298596.56</v>
      </c>
      <c r="X714" s="29">
        <f>VLOOKUP($F714,Agendamento!$B:$J,9,0)</f>
        <v>46094</v>
      </c>
      <c r="Y714" s="6">
        <f>COUNTIF(Analise!F:F,'Obras e Acervos'!H714)</f>
        <v>1</v>
      </c>
    </row>
    <row r="715" spans="1:25" ht="15" customHeight="1" x14ac:dyDescent="0.25">
      <c r="A715" s="10" t="str">
        <f>CONCATENATE(LEFT(C715,12),"-",RIGHT(C715,2),"_",TEXT(X715,"ddmmaaaa"),"_",COUNTIF($C$2:C715,C715))</f>
        <v>487649550001-41_02032026_2</v>
      </c>
      <c r="B715" s="10" t="str">
        <f>CONCATENATE(LEFT(C715,12),"-",RIGHT(C715,2),"_",COUNTIF($C$2:C715,C715))</f>
        <v>487649550001-41_2</v>
      </c>
      <c r="C715" s="10" t="s">
        <v>1750</v>
      </c>
      <c r="D715" s="10" t="s">
        <v>5921</v>
      </c>
      <c r="E715" s="10" t="s">
        <v>1574</v>
      </c>
      <c r="F715" s="10" t="s">
        <v>1082</v>
      </c>
      <c r="G715" s="10" t="s">
        <v>4158</v>
      </c>
      <c r="H715" s="11" t="s">
        <v>4159</v>
      </c>
      <c r="I715" s="11" t="s">
        <v>4160</v>
      </c>
      <c r="J715" s="10" t="s">
        <v>1559</v>
      </c>
      <c r="K715" s="10" t="s">
        <v>1560</v>
      </c>
      <c r="L715" s="10" t="s">
        <v>1578</v>
      </c>
      <c r="M715" s="10" t="s">
        <v>1082</v>
      </c>
      <c r="N715" s="10">
        <v>56</v>
      </c>
      <c r="O715" s="11">
        <v>170</v>
      </c>
      <c r="P715" s="11">
        <v>0.17</v>
      </c>
      <c r="Q715" s="10" t="s">
        <v>1562</v>
      </c>
      <c r="R715" s="10">
        <v>80</v>
      </c>
      <c r="S715" s="12">
        <v>20</v>
      </c>
      <c r="T715" s="13">
        <v>27335</v>
      </c>
      <c r="U715" s="14">
        <v>4646.9500000000007</v>
      </c>
      <c r="V715" s="10">
        <v>9.23</v>
      </c>
      <c r="W715" s="15">
        <v>252302.05000000002</v>
      </c>
      <c r="X715" s="29">
        <f>VLOOKUP($F715,Agendamento!$B:$J,9,0)</f>
        <v>46083</v>
      </c>
      <c r="Y715" s="6">
        <f>COUNTIF(Analise!F:F,'Obras e Acervos'!H715)</f>
        <v>1</v>
      </c>
    </row>
    <row r="716" spans="1:25" ht="15" customHeight="1" x14ac:dyDescent="0.25">
      <c r="A716" s="10" t="str">
        <f>CONCATENATE(LEFT(C716,12),"-",RIGHT(C716,2),"_",TEXT(X716,"ddmmaaaa"),"_",COUNTIF($C$2:C716,C716))</f>
        <v>056918200001-90_13022026_2</v>
      </c>
      <c r="B716" s="10" t="str">
        <f>CONCATENATE(LEFT(C716,12),"-",RIGHT(C716,2),"_",COUNTIF($C$2:C716,C716))</f>
        <v>056918200001-90_2</v>
      </c>
      <c r="C716" s="10" t="s">
        <v>1754</v>
      </c>
      <c r="D716" s="10" t="s">
        <v>5922</v>
      </c>
      <c r="E716" s="10" t="s">
        <v>1574</v>
      </c>
      <c r="F716" s="10" t="s">
        <v>452</v>
      </c>
      <c r="G716" s="10" t="s">
        <v>4161</v>
      </c>
      <c r="H716" s="11" t="s">
        <v>4162</v>
      </c>
      <c r="I716" s="11" t="s">
        <v>4163</v>
      </c>
      <c r="J716" s="10" t="s">
        <v>1559</v>
      </c>
      <c r="K716" s="10" t="s">
        <v>1560</v>
      </c>
      <c r="L716" s="10" t="s">
        <v>1578</v>
      </c>
      <c r="M716" s="10" t="s">
        <v>6251</v>
      </c>
      <c r="N716" s="10">
        <v>36</v>
      </c>
      <c r="O716" s="11">
        <v>105</v>
      </c>
      <c r="P716" s="11">
        <v>0.105</v>
      </c>
      <c r="Q716" s="10" t="s">
        <v>1562</v>
      </c>
      <c r="R716" s="10">
        <v>75</v>
      </c>
      <c r="S716" s="12">
        <v>20</v>
      </c>
      <c r="T716" s="13">
        <v>28728</v>
      </c>
      <c r="U716" s="14">
        <v>3016.44</v>
      </c>
      <c r="V716" s="10">
        <v>6.31</v>
      </c>
      <c r="W716" s="15">
        <v>181273.68</v>
      </c>
      <c r="X716" s="29">
        <f>VLOOKUP($F716,Agendamento!$B:$J,9,0)</f>
        <v>46066</v>
      </c>
      <c r="Y716" s="6">
        <f>COUNTIF(Analise!F:F,'Obras e Acervos'!H716)</f>
        <v>1</v>
      </c>
    </row>
    <row r="717" spans="1:25" ht="15" customHeight="1" x14ac:dyDescent="0.25">
      <c r="A717" s="10" t="str">
        <f>CONCATENATE(LEFT(C717,12),"-",RIGHT(C717,2),"_",TEXT(X717,"ddmmaaaa"),"_",COUNTIF($C$2:C717,C717))</f>
        <v>044264470001-88_12022026_2</v>
      </c>
      <c r="B717" s="10" t="str">
        <f>CONCATENATE(LEFT(C717,12),"-",RIGHT(C717,2),"_",COUNTIF($C$2:C717,C717))</f>
        <v>044264470001-88_2</v>
      </c>
      <c r="C717" s="10" t="s">
        <v>2387</v>
      </c>
      <c r="D717" s="10" t="s">
        <v>6009</v>
      </c>
      <c r="E717" s="10" t="s">
        <v>1574</v>
      </c>
      <c r="F717" s="10" t="s">
        <v>418</v>
      </c>
      <c r="G717" s="10" t="s">
        <v>4164</v>
      </c>
      <c r="H717" s="11" t="s">
        <v>4165</v>
      </c>
      <c r="I717" s="11" t="s">
        <v>4166</v>
      </c>
      <c r="J717" s="10" t="s">
        <v>1559</v>
      </c>
      <c r="K717" s="10" t="s">
        <v>1560</v>
      </c>
      <c r="L717" s="10" t="s">
        <v>1578</v>
      </c>
      <c r="M717" s="10" t="s">
        <v>418</v>
      </c>
      <c r="N717" s="10">
        <v>32</v>
      </c>
      <c r="O717" s="11">
        <v>110</v>
      </c>
      <c r="P717" s="11">
        <v>0.11</v>
      </c>
      <c r="Q717" s="10" t="s">
        <v>1562</v>
      </c>
      <c r="R717" s="10">
        <v>75</v>
      </c>
      <c r="S717" s="12">
        <v>20</v>
      </c>
      <c r="T717" s="13">
        <v>28168</v>
      </c>
      <c r="U717" s="14">
        <v>3098.48</v>
      </c>
      <c r="V717" s="10">
        <v>5.9</v>
      </c>
      <c r="W717" s="15">
        <v>166191.20000000001</v>
      </c>
      <c r="X717" s="29">
        <f>VLOOKUP($F717,Agendamento!$B:$J,9,0)</f>
        <v>46065</v>
      </c>
      <c r="Y717" s="6">
        <f>COUNTIF(Analise!F:F,'Obras e Acervos'!H717)</f>
        <v>1</v>
      </c>
    </row>
    <row r="718" spans="1:25" ht="15" customHeight="1" x14ac:dyDescent="0.25">
      <c r="A718" s="10" t="str">
        <f>CONCATENATE(LEFT(C718,12),"-",RIGHT(C718,2),"_",TEXT(X718,"ddmmaaaa"),"_",COUNTIF($C$2:C718,C718))</f>
        <v>146514220001-31_23022026_2</v>
      </c>
      <c r="B718" s="10" t="str">
        <f>CONCATENATE(LEFT(C718,12),"-",RIGHT(C718,2),"_",COUNTIF($C$2:C718,C718))</f>
        <v>146514220001-31_2</v>
      </c>
      <c r="C718" s="10" t="s">
        <v>2709</v>
      </c>
      <c r="D718" s="10" t="s">
        <v>6055</v>
      </c>
      <c r="E718" s="10" t="s">
        <v>1574</v>
      </c>
      <c r="F718" s="10" t="s">
        <v>752</v>
      </c>
      <c r="G718" s="10" t="s">
        <v>4167</v>
      </c>
      <c r="H718" s="11" t="s">
        <v>4168</v>
      </c>
      <c r="I718" s="11" t="s">
        <v>4169</v>
      </c>
      <c r="J718" s="10" t="s">
        <v>1559</v>
      </c>
      <c r="K718" s="10" t="s">
        <v>1560</v>
      </c>
      <c r="L718" s="10" t="s">
        <v>1578</v>
      </c>
      <c r="M718" s="10" t="s">
        <v>752</v>
      </c>
      <c r="N718" s="10">
        <v>32</v>
      </c>
      <c r="O718" s="11">
        <v>103</v>
      </c>
      <c r="P718" s="11">
        <v>0.10299999999999999</v>
      </c>
      <c r="Q718" s="10" t="s">
        <v>1562</v>
      </c>
      <c r="R718" s="10">
        <v>80</v>
      </c>
      <c r="S718" s="12">
        <v>20</v>
      </c>
      <c r="T718" s="13">
        <v>26562</v>
      </c>
      <c r="U718" s="14">
        <v>2735.886</v>
      </c>
      <c r="V718" s="10">
        <v>6.43</v>
      </c>
      <c r="W718" s="15">
        <v>170793.66</v>
      </c>
      <c r="X718" s="29">
        <f>VLOOKUP($F718,Agendamento!$B:$J,9,0)</f>
        <v>46076</v>
      </c>
      <c r="Y718" s="6">
        <f>COUNTIF(Analise!F:F,'Obras e Acervos'!H718)</f>
        <v>1</v>
      </c>
    </row>
    <row r="719" spans="1:25" ht="15" customHeight="1" x14ac:dyDescent="0.25">
      <c r="A719" s="10" t="str">
        <f>CONCATENATE(LEFT(C719,12),"-",RIGHT(C719,2),"_",TEXT(X719,"ddmmaaaa"),"_",COUNTIF($C$2:C719,C719))</f>
        <v>056659540001-37_11032026_2</v>
      </c>
      <c r="B719" s="10" t="str">
        <f>CONCATENATE(LEFT(C719,12),"-",RIGHT(C719,2),"_",COUNTIF($C$2:C719,C719))</f>
        <v>056659540001-37_2</v>
      </c>
      <c r="C719" s="10" t="s">
        <v>2078</v>
      </c>
      <c r="D719" s="10" t="s">
        <v>5963</v>
      </c>
      <c r="E719" s="10" t="s">
        <v>1574</v>
      </c>
      <c r="F719" s="10" t="s">
        <v>1393</v>
      </c>
      <c r="G719" s="10" t="s">
        <v>4170</v>
      </c>
      <c r="H719" s="11" t="s">
        <v>4171</v>
      </c>
      <c r="I719" s="11" t="s">
        <v>4172</v>
      </c>
      <c r="J719" s="10" t="s">
        <v>1559</v>
      </c>
      <c r="K719" s="10" t="s">
        <v>1560</v>
      </c>
      <c r="L719" s="10" t="s">
        <v>1578</v>
      </c>
      <c r="M719" s="10" t="s">
        <v>1393</v>
      </c>
      <c r="N719" s="10">
        <v>48</v>
      </c>
      <c r="O719" s="11">
        <v>143</v>
      </c>
      <c r="P719" s="11">
        <v>0.14299999999999999</v>
      </c>
      <c r="Q719" s="10" t="s">
        <v>1562</v>
      </c>
      <c r="R719" s="10">
        <v>80</v>
      </c>
      <c r="S719" s="12">
        <v>20</v>
      </c>
      <c r="T719" s="13">
        <v>27168</v>
      </c>
      <c r="U719" s="14">
        <v>3885.0239999999999</v>
      </c>
      <c r="V719" s="10">
        <v>8.2899999999999991</v>
      </c>
      <c r="W719" s="15">
        <v>225222.71999999997</v>
      </c>
      <c r="X719" s="29">
        <f>VLOOKUP($F719,Agendamento!$B:$J,9,0)</f>
        <v>46092</v>
      </c>
      <c r="Y719" s="6">
        <f>COUNTIF(Analise!F:F,'Obras e Acervos'!H719)</f>
        <v>1</v>
      </c>
    </row>
    <row r="720" spans="1:25" ht="15" customHeight="1" x14ac:dyDescent="0.25">
      <c r="A720" s="10" t="str">
        <f>CONCATENATE(LEFT(C720,12),"-",RIGHT(C720,2),"_",TEXT(X720,"ddmmaaaa"),"_",COUNTIF($C$2:C720,C720))</f>
        <v>185567220001-92_13022026_1</v>
      </c>
      <c r="B720" s="10" t="str">
        <f>CONCATENATE(LEFT(C720,12),"-",RIGHT(C720,2),"_",COUNTIF($C$2:C720,C720))</f>
        <v>185567220001-92_1</v>
      </c>
      <c r="C720" s="10" t="s">
        <v>4173</v>
      </c>
      <c r="D720" s="10" t="s">
        <v>448</v>
      </c>
      <c r="E720" s="10" t="s">
        <v>1574</v>
      </c>
      <c r="F720" s="10" t="s">
        <v>449</v>
      </c>
      <c r="G720" s="10" t="s">
        <v>4174</v>
      </c>
      <c r="H720" s="11" t="s">
        <v>4175</v>
      </c>
      <c r="I720" s="11" t="s">
        <v>4176</v>
      </c>
      <c r="J720" s="10" t="s">
        <v>1559</v>
      </c>
      <c r="K720" s="10" t="s">
        <v>1560</v>
      </c>
      <c r="L720" s="10" t="s">
        <v>1578</v>
      </c>
      <c r="M720" s="10" t="s">
        <v>449</v>
      </c>
      <c r="N720" s="10">
        <v>40</v>
      </c>
      <c r="O720" s="11">
        <v>227</v>
      </c>
      <c r="P720" s="11">
        <v>0.22700000000000001</v>
      </c>
      <c r="Q720" s="10" t="s">
        <v>1562</v>
      </c>
      <c r="R720" s="10">
        <v>80</v>
      </c>
      <c r="S720" s="12">
        <v>20</v>
      </c>
      <c r="T720" s="13">
        <v>32728</v>
      </c>
      <c r="U720" s="14">
        <v>7429.2560000000003</v>
      </c>
      <c r="V720" s="10">
        <v>6.86</v>
      </c>
      <c r="W720" s="15">
        <v>224514.08000000002</v>
      </c>
      <c r="X720" s="29">
        <f>VLOOKUP($F720,Agendamento!$B:$J,9,0)</f>
        <v>46066</v>
      </c>
      <c r="Y720" s="6">
        <f>COUNTIF(Analise!F:F,'Obras e Acervos'!H720)</f>
        <v>1</v>
      </c>
    </row>
    <row r="721" spans="1:25" ht="15" customHeight="1" x14ac:dyDescent="0.25">
      <c r="A721" s="10" t="str">
        <f>CONCATENATE(LEFT(C721,12),"-",RIGHT(C721,2),"_",TEXT(X721,"ddmmaaaa"),"_",COUNTIF($C$2:C721,C721))</f>
        <v>350689400001-05_25022026_1</v>
      </c>
      <c r="B721" s="10" t="str">
        <f>CONCATENATE(LEFT(C721,12),"-",RIGHT(C721,2),"_",COUNTIF($C$2:C721,C721))</f>
        <v>350689400001-05_1</v>
      </c>
      <c r="C721" s="10" t="s">
        <v>4177</v>
      </c>
      <c r="D721" s="10" t="s">
        <v>854</v>
      </c>
      <c r="E721" s="10" t="s">
        <v>1574</v>
      </c>
      <c r="F721" s="10" t="s">
        <v>855</v>
      </c>
      <c r="G721" s="10" t="s">
        <v>4178</v>
      </c>
      <c r="H721" s="11" t="s">
        <v>4179</v>
      </c>
      <c r="I721" s="11" t="s">
        <v>4180</v>
      </c>
      <c r="J721" s="10" t="s">
        <v>1559</v>
      </c>
      <c r="K721" s="10" t="s">
        <v>1560</v>
      </c>
      <c r="L721" s="10" t="s">
        <v>1578</v>
      </c>
      <c r="M721" s="10" t="s">
        <v>855</v>
      </c>
      <c r="N721" s="10">
        <v>64</v>
      </c>
      <c r="O721" s="11">
        <v>181</v>
      </c>
      <c r="P721" s="11">
        <v>0.18099999999999999</v>
      </c>
      <c r="Q721" s="10" t="s">
        <v>1562</v>
      </c>
      <c r="R721" s="10">
        <v>80</v>
      </c>
      <c r="S721" s="12">
        <v>20</v>
      </c>
      <c r="T721" s="13">
        <v>27229</v>
      </c>
      <c r="U721" s="14">
        <v>4928.4489999999996</v>
      </c>
      <c r="V721" s="10">
        <v>10.17</v>
      </c>
      <c r="W721" s="15">
        <v>276918.93</v>
      </c>
      <c r="X721" s="29">
        <f>VLOOKUP($F721,Agendamento!$B:$J,9,0)</f>
        <v>46078</v>
      </c>
      <c r="Y721" s="6">
        <f>COUNTIF(Analise!F:F,'Obras e Acervos'!H721)</f>
        <v>1</v>
      </c>
    </row>
    <row r="722" spans="1:25" ht="15" customHeight="1" x14ac:dyDescent="0.25">
      <c r="A722" s="10" t="str">
        <f>CONCATENATE(LEFT(C722,12),"-",RIGHT(C722,2),"_",TEXT(X722,"ddmmaaaa"),"_",COUNTIF($C$2:C722,C722))</f>
        <v>421713730001-75_18022026_1</v>
      </c>
      <c r="B722" s="10" t="str">
        <f>CONCATENATE(LEFT(C722,12),"-",RIGHT(C722,2),"_",COUNTIF($C$2:C722,C722))</f>
        <v>421713730001-75_1</v>
      </c>
      <c r="C722" s="10" t="s">
        <v>4181</v>
      </c>
      <c r="D722" s="10" t="s">
        <v>6154</v>
      </c>
      <c r="E722" s="10" t="s">
        <v>1574</v>
      </c>
      <c r="F722" s="10" t="s">
        <v>554</v>
      </c>
      <c r="G722" s="10" t="s">
        <v>4182</v>
      </c>
      <c r="H722" s="11" t="s">
        <v>4183</v>
      </c>
      <c r="I722" s="11" t="s">
        <v>4184</v>
      </c>
      <c r="J722" s="10" t="s">
        <v>1559</v>
      </c>
      <c r="K722" s="10" t="s">
        <v>1560</v>
      </c>
      <c r="L722" s="10" t="s">
        <v>1578</v>
      </c>
      <c r="M722" s="10" t="s">
        <v>554</v>
      </c>
      <c r="N722" s="10">
        <v>72</v>
      </c>
      <c r="O722" s="11">
        <v>300</v>
      </c>
      <c r="P722" s="11">
        <v>0.3</v>
      </c>
      <c r="Q722" s="10" t="s">
        <v>1562</v>
      </c>
      <c r="R722" s="10">
        <v>80</v>
      </c>
      <c r="S722" s="12">
        <v>20</v>
      </c>
      <c r="T722" s="13">
        <v>26244</v>
      </c>
      <c r="U722" s="14">
        <v>7873.2</v>
      </c>
      <c r="V722" s="10">
        <v>11.15</v>
      </c>
      <c r="W722" s="15">
        <v>292620.60000000003</v>
      </c>
      <c r="X722" s="29">
        <f>VLOOKUP($F722,Agendamento!$B:$J,9,0)</f>
        <v>46071</v>
      </c>
      <c r="Y722" s="6">
        <f>COUNTIF(Analise!F:F,'Obras e Acervos'!H722)</f>
        <v>1</v>
      </c>
    </row>
    <row r="723" spans="1:25" ht="15" customHeight="1" x14ac:dyDescent="0.25">
      <c r="A723" s="10" t="str">
        <f>CONCATENATE(LEFT(C723,12),"-",RIGHT(C723,2),"_",TEXT(X723,"ddmmaaaa"),"_",COUNTIF($C$2:C723,C723))</f>
        <v>056600450003-78_24022026_2</v>
      </c>
      <c r="B723" s="10" t="str">
        <f>CONCATENATE(LEFT(C723,12),"-",RIGHT(C723,2),"_",COUNTIF($C$2:C723,C723))</f>
        <v>056600450003-78_2</v>
      </c>
      <c r="C723" s="38" t="s">
        <v>5765</v>
      </c>
      <c r="D723" s="10" t="s">
        <v>6013</v>
      </c>
      <c r="E723" s="10" t="s">
        <v>1574</v>
      </c>
      <c r="F723" s="10" t="s">
        <v>762</v>
      </c>
      <c r="G723" s="10" t="s">
        <v>4185</v>
      </c>
      <c r="H723" s="11" t="s">
        <v>4186</v>
      </c>
      <c r="I723" s="11" t="s">
        <v>4187</v>
      </c>
      <c r="J723" s="10" t="s">
        <v>1559</v>
      </c>
      <c r="K723" s="10" t="s">
        <v>1560</v>
      </c>
      <c r="L723" s="10" t="s">
        <v>1578</v>
      </c>
      <c r="M723" s="10" t="s">
        <v>762</v>
      </c>
      <c r="N723" s="10">
        <v>208</v>
      </c>
      <c r="O723" s="11">
        <v>385</v>
      </c>
      <c r="P723" s="11">
        <v>0.38500000000000001</v>
      </c>
      <c r="Q723" s="10" t="s">
        <v>1608</v>
      </c>
      <c r="R723" s="10">
        <v>80</v>
      </c>
      <c r="S723" s="12">
        <v>20</v>
      </c>
      <c r="T723" s="13">
        <v>33137</v>
      </c>
      <c r="U723" s="14">
        <v>12757.745000000001</v>
      </c>
      <c r="V723" s="10">
        <v>20.61</v>
      </c>
      <c r="W723" s="15">
        <v>682953.57</v>
      </c>
      <c r="X723" s="29">
        <f>VLOOKUP($F723,Agendamento!$B:$J,9,0)</f>
        <v>46077</v>
      </c>
      <c r="Y723" s="6">
        <f>COUNTIF(Analise!F:F,'Obras e Acervos'!H723)</f>
        <v>1</v>
      </c>
    </row>
    <row r="724" spans="1:25" ht="15" customHeight="1" x14ac:dyDescent="0.25">
      <c r="A724" s="10" t="str">
        <f>CONCATENATE(LEFT(C724,12),"-",RIGHT(C724,2),"_",TEXT(X724,"ddmmaaaa"),"_",COUNTIF($C$2:C724,C724))</f>
        <v>420552250001-95_26012026_2</v>
      </c>
      <c r="B724" s="10" t="str">
        <f>CONCATENATE(LEFT(C724,12),"-",RIGHT(C724,2),"_",COUNTIF($C$2:C724,C724))</f>
        <v>420552250001-95_2</v>
      </c>
      <c r="C724" s="16" t="s">
        <v>3865</v>
      </c>
      <c r="D724" s="16" t="s">
        <v>35</v>
      </c>
      <c r="E724" s="16" t="s">
        <v>1574</v>
      </c>
      <c r="F724" s="16" t="s">
        <v>36</v>
      </c>
      <c r="G724" s="16" t="s">
        <v>4188</v>
      </c>
      <c r="H724" s="16" t="s">
        <v>4189</v>
      </c>
      <c r="I724" s="16" t="s">
        <v>4190</v>
      </c>
      <c r="J724" s="16" t="s">
        <v>1559</v>
      </c>
      <c r="K724" s="16" t="s">
        <v>1560</v>
      </c>
      <c r="L724" s="16" t="s">
        <v>1578</v>
      </c>
      <c r="M724" s="10" t="s">
        <v>36</v>
      </c>
      <c r="N724" s="16">
        <v>24</v>
      </c>
      <c r="O724" s="16">
        <v>79</v>
      </c>
      <c r="P724" s="16">
        <v>7.9000000000000001E-2</v>
      </c>
      <c r="Q724" s="16" t="s">
        <v>1562</v>
      </c>
      <c r="R724" s="16">
        <v>75</v>
      </c>
      <c r="S724" s="17">
        <v>14</v>
      </c>
      <c r="T724" s="18">
        <v>27515</v>
      </c>
      <c r="U724" s="19">
        <v>2173.6849999999999</v>
      </c>
      <c r="V724" s="16">
        <v>4.18</v>
      </c>
      <c r="W724" s="20">
        <v>264217.8</v>
      </c>
      <c r="X724" s="29">
        <f>VLOOKUP($F724,Agendamento!$B:$J,9,0)</f>
        <v>46048</v>
      </c>
      <c r="Y724" s="6">
        <f>COUNTIF(Analise!F:F,'Obras e Acervos'!H724)</f>
        <v>1</v>
      </c>
    </row>
    <row r="725" spans="1:25" ht="15" customHeight="1" x14ac:dyDescent="0.25">
      <c r="A725" s="10" t="str">
        <f>CONCATENATE(LEFT(C725,12),"-",RIGHT(C725,2),"_",TEXT(X725,"ddmmaaaa"),"_",COUNTIF($C$2:C725,C725))</f>
        <v>436797320001-62_16032026_2</v>
      </c>
      <c r="B725" s="10" t="str">
        <f>CONCATENATE(LEFT(C725,12),"-",RIGHT(C725,2),"_",COUNTIF($C$2:C725,C725))</f>
        <v>436797320001-62_2</v>
      </c>
      <c r="C725" s="10" t="s">
        <v>1794</v>
      </c>
      <c r="D725" s="10" t="s">
        <v>5929</v>
      </c>
      <c r="E725" s="10" t="s">
        <v>1574</v>
      </c>
      <c r="F725" s="10" t="s">
        <v>1459</v>
      </c>
      <c r="G725" s="10" t="s">
        <v>4191</v>
      </c>
      <c r="H725" s="11" t="s">
        <v>4192</v>
      </c>
      <c r="I725" s="11" t="s">
        <v>4193</v>
      </c>
      <c r="J725" s="10" t="s">
        <v>1559</v>
      </c>
      <c r="K725" s="10" t="s">
        <v>1560</v>
      </c>
      <c r="L725" s="10" t="s">
        <v>1578</v>
      </c>
      <c r="M725" s="10" t="s">
        <v>1459</v>
      </c>
      <c r="N725" s="10">
        <v>24</v>
      </c>
      <c r="O725" s="11">
        <v>42</v>
      </c>
      <c r="P725" s="11">
        <v>4.2000000000000003E-2</v>
      </c>
      <c r="Q725" s="10" t="s">
        <v>1608</v>
      </c>
      <c r="R725" s="10">
        <v>80</v>
      </c>
      <c r="S725" s="12">
        <v>20</v>
      </c>
      <c r="T725" s="13">
        <v>28138</v>
      </c>
      <c r="U725" s="14">
        <v>1181.796</v>
      </c>
      <c r="V725" s="10">
        <v>4.47</v>
      </c>
      <c r="W725" s="15">
        <v>125776.85999999999</v>
      </c>
      <c r="X725" s="29">
        <f>VLOOKUP($F725,Agendamento!$B:$J,9,0)</f>
        <v>46097</v>
      </c>
      <c r="Y725" s="6">
        <f>COUNTIF(Analise!F:F,'Obras e Acervos'!H725)</f>
        <v>1</v>
      </c>
    </row>
    <row r="726" spans="1:25" ht="15" customHeight="1" x14ac:dyDescent="0.25">
      <c r="A726" s="10" t="str">
        <f>CONCATENATE(LEFT(C726,12),"-",RIGHT(C726,2),"_",TEXT(X726,"ddmmaaaa"),"_",COUNTIF($C$2:C726,C726))</f>
        <v>435908740001-59_16032026_2</v>
      </c>
      <c r="B726" s="10" t="str">
        <f>CONCATENATE(LEFT(C726,12),"-",RIGHT(C726,2),"_",COUNTIF($C$2:C726,C726))</f>
        <v>435908740001-59_2</v>
      </c>
      <c r="C726" s="10" t="s">
        <v>2597</v>
      </c>
      <c r="D726" s="10" t="s">
        <v>1014</v>
      </c>
      <c r="E726" s="10" t="s">
        <v>1574</v>
      </c>
      <c r="F726" s="10" t="s">
        <v>1473</v>
      </c>
      <c r="G726" s="10" t="s">
        <v>4194</v>
      </c>
      <c r="H726" s="11" t="s">
        <v>4195</v>
      </c>
      <c r="I726" s="11" t="s">
        <v>4196</v>
      </c>
      <c r="J726" s="10" t="s">
        <v>1559</v>
      </c>
      <c r="K726" s="10" t="s">
        <v>1560</v>
      </c>
      <c r="L726" s="10" t="s">
        <v>1578</v>
      </c>
      <c r="M726" s="10" t="s">
        <v>6252</v>
      </c>
      <c r="N726" s="10">
        <v>40</v>
      </c>
      <c r="O726" s="11">
        <v>88</v>
      </c>
      <c r="P726" s="11">
        <v>8.7999999999999995E-2</v>
      </c>
      <c r="Q726" s="10" t="s">
        <v>1608</v>
      </c>
      <c r="R726" s="10">
        <v>75</v>
      </c>
      <c r="S726" s="12">
        <v>20</v>
      </c>
      <c r="T726" s="13">
        <v>27910</v>
      </c>
      <c r="U726" s="14">
        <v>2456.08</v>
      </c>
      <c r="V726" s="10">
        <v>5.83</v>
      </c>
      <c r="W726" s="15">
        <v>162715.29999999999</v>
      </c>
      <c r="X726" s="29">
        <f>VLOOKUP($F726,Agendamento!$B:$J,9,0)</f>
        <v>46097</v>
      </c>
      <c r="Y726" s="6">
        <f>COUNTIF(Analise!F:F,'Obras e Acervos'!H726)</f>
        <v>1</v>
      </c>
    </row>
    <row r="727" spans="1:25" ht="15" customHeight="1" x14ac:dyDescent="0.25">
      <c r="A727" s="10" t="str">
        <f>CONCATENATE(LEFT(C727,12),"-",RIGHT(C727,2),"_",TEXT(X727,"ddmmaaaa"),"_",COUNTIF($C$2:C727,C727))</f>
        <v>063012730001-52_03032026_2</v>
      </c>
      <c r="B727" s="10" t="str">
        <f>CONCATENATE(LEFT(C727,12),"-",RIGHT(C727,2),"_",COUNTIF($C$2:C727,C727))</f>
        <v>063012730001-52_2</v>
      </c>
      <c r="C727" s="10" t="s">
        <v>2102</v>
      </c>
      <c r="D727" s="10" t="s">
        <v>5967</v>
      </c>
      <c r="E727" s="10" t="s">
        <v>1574</v>
      </c>
      <c r="F727" s="10" t="s">
        <v>1272</v>
      </c>
      <c r="G727" s="10" t="s">
        <v>4197</v>
      </c>
      <c r="H727" s="11" t="s">
        <v>4198</v>
      </c>
      <c r="I727" s="11" t="s">
        <v>4199</v>
      </c>
      <c r="J727" s="10" t="s">
        <v>1559</v>
      </c>
      <c r="K727" s="10" t="s">
        <v>1560</v>
      </c>
      <c r="L727" s="10" t="s">
        <v>1578</v>
      </c>
      <c r="M727" s="10" t="s">
        <v>1272</v>
      </c>
      <c r="N727" s="10">
        <v>0</v>
      </c>
      <c r="O727" s="11">
        <v>66</v>
      </c>
      <c r="P727" s="11">
        <v>6.6000000000000003E-2</v>
      </c>
      <c r="Q727" s="10" t="s">
        <v>1608</v>
      </c>
      <c r="R727" s="10">
        <v>80</v>
      </c>
      <c r="S727" s="12">
        <v>20</v>
      </c>
      <c r="T727" s="13">
        <v>32304</v>
      </c>
      <c r="U727" s="14">
        <v>2132.0640000000003</v>
      </c>
      <c r="V727" s="10">
        <v>7.76</v>
      </c>
      <c r="W727" s="15">
        <v>250679.03999999998</v>
      </c>
      <c r="X727" s="29">
        <f>VLOOKUP($F727,Agendamento!$B:$J,9,0)</f>
        <v>46084</v>
      </c>
      <c r="Y727" s="6">
        <f>COUNTIF(Analise!F:F,'Obras e Acervos'!H727)</f>
        <v>1</v>
      </c>
    </row>
    <row r="728" spans="1:25" ht="15" customHeight="1" x14ac:dyDescent="0.25">
      <c r="A728" s="10" t="str">
        <f>CONCATENATE(LEFT(C728,12),"-",RIGHT(C728,2),"_",TEXT(X728,"ddmmaaaa"),"_",COUNTIF($C$2:C728,C728))</f>
        <v>072756370001-30_13022026_2</v>
      </c>
      <c r="B728" s="10" t="str">
        <f>CONCATENATE(LEFT(C728,12),"-",RIGHT(C728,2),"_",COUNTIF($C$2:C728,C728))</f>
        <v>072756370001-30_2</v>
      </c>
      <c r="C728" s="10" t="s">
        <v>2609</v>
      </c>
      <c r="D728" s="10" t="s">
        <v>6038</v>
      </c>
      <c r="E728" s="10" t="s">
        <v>1574</v>
      </c>
      <c r="F728" s="10" t="s">
        <v>481</v>
      </c>
      <c r="G728" s="10" t="s">
        <v>4200</v>
      </c>
      <c r="H728" s="11" t="s">
        <v>4201</v>
      </c>
      <c r="I728" s="11" t="s">
        <v>4202</v>
      </c>
      <c r="J728" s="10" t="s">
        <v>1559</v>
      </c>
      <c r="K728" s="10" t="s">
        <v>1560</v>
      </c>
      <c r="L728" s="10" t="s">
        <v>1578</v>
      </c>
      <c r="M728" s="10" t="s">
        <v>481</v>
      </c>
      <c r="N728" s="10">
        <v>48</v>
      </c>
      <c r="O728" s="11">
        <v>144</v>
      </c>
      <c r="P728" s="11">
        <v>0.14399999999999999</v>
      </c>
      <c r="Q728" s="10" t="s">
        <v>1562</v>
      </c>
      <c r="R728" s="10">
        <v>80</v>
      </c>
      <c r="S728" s="12">
        <v>20</v>
      </c>
      <c r="T728" s="13">
        <v>28062</v>
      </c>
      <c r="U728" s="14">
        <v>4040.9279999999999</v>
      </c>
      <c r="V728" s="10">
        <v>7.74</v>
      </c>
      <c r="W728" s="15">
        <v>217199.88</v>
      </c>
      <c r="X728" s="29">
        <f>VLOOKUP($F728,Agendamento!$B:$J,9,0)</f>
        <v>46066</v>
      </c>
      <c r="Y728" s="6">
        <f>COUNTIF(Analise!F:F,'Obras e Acervos'!H728)</f>
        <v>1</v>
      </c>
    </row>
    <row r="729" spans="1:25" ht="15" customHeight="1" x14ac:dyDescent="0.25">
      <c r="A729" s="10" t="str">
        <f>CONCATENATE(LEFT(C729,12),"-",RIGHT(C729,2),"_",TEXT(X729,"ddmmaaaa"),"_",COUNTIF($C$2:C729,C729))</f>
        <v>201929410001-81_09032026_1</v>
      </c>
      <c r="B729" s="10" t="str">
        <f>CONCATENATE(LEFT(C729,12),"-",RIGHT(C729,2),"_",COUNTIF($C$2:C729,C729))</f>
        <v>201929410001-81_1</v>
      </c>
      <c r="C729" s="10" t="s">
        <v>4203</v>
      </c>
      <c r="D729" s="10" t="s">
        <v>6155</v>
      </c>
      <c r="E729" s="10" t="s">
        <v>1574</v>
      </c>
      <c r="F729" s="10" t="s">
        <v>1313</v>
      </c>
      <c r="G729" s="10" t="s">
        <v>4204</v>
      </c>
      <c r="H729" s="11" t="s">
        <v>4205</v>
      </c>
      <c r="I729" s="11" t="s">
        <v>4206</v>
      </c>
      <c r="J729" s="10" t="s">
        <v>1559</v>
      </c>
      <c r="K729" s="10" t="s">
        <v>1560</v>
      </c>
      <c r="L729" s="10" t="s">
        <v>1578</v>
      </c>
      <c r="M729" s="10" t="s">
        <v>1313</v>
      </c>
      <c r="N729" s="10">
        <v>40</v>
      </c>
      <c r="O729" s="11">
        <v>130</v>
      </c>
      <c r="P729" s="11">
        <v>0.13</v>
      </c>
      <c r="Q729" s="10" t="s">
        <v>1562</v>
      </c>
      <c r="R729" s="10">
        <v>80</v>
      </c>
      <c r="S729" s="12">
        <v>20</v>
      </c>
      <c r="T729" s="13">
        <v>30834</v>
      </c>
      <c r="U729" s="14">
        <v>4008.42</v>
      </c>
      <c r="V729" s="10">
        <v>7.34</v>
      </c>
      <c r="W729" s="15">
        <v>226321.56</v>
      </c>
      <c r="X729" s="29">
        <f>VLOOKUP($F729,Agendamento!$B:$J,9,0)</f>
        <v>46090</v>
      </c>
      <c r="Y729" s="6">
        <f>COUNTIF(Analise!F:F,'Obras e Acervos'!H729)</f>
        <v>1</v>
      </c>
    </row>
    <row r="730" spans="1:25" ht="15" customHeight="1" x14ac:dyDescent="0.25">
      <c r="A730" s="10" t="str">
        <f>CONCATENATE(LEFT(C730,12),"-",RIGHT(C730,2),"_",TEXT(X730,"ddmmaaaa"),"_",COUNTIF($C$2:C730,C730))</f>
        <v>063260330001-02_09032026_2</v>
      </c>
      <c r="B730" s="10" t="str">
        <f>CONCATENATE(LEFT(C730,12),"-",RIGHT(C730,2),"_",COUNTIF($C$2:C730,C730))</f>
        <v>063260330001-02_2</v>
      </c>
      <c r="C730" s="10" t="s">
        <v>2447</v>
      </c>
      <c r="D730" s="10" t="s">
        <v>1319</v>
      </c>
      <c r="E730" s="10" t="s">
        <v>1574</v>
      </c>
      <c r="F730" s="10" t="s">
        <v>1320</v>
      </c>
      <c r="G730" s="10" t="s">
        <v>4207</v>
      </c>
      <c r="H730" s="11" t="s">
        <v>4208</v>
      </c>
      <c r="I730" s="11" t="s">
        <v>4209</v>
      </c>
      <c r="J730" s="10" t="s">
        <v>1559</v>
      </c>
      <c r="K730" s="10" t="s">
        <v>1560</v>
      </c>
      <c r="L730" s="10" t="s">
        <v>1578</v>
      </c>
      <c r="M730" s="10" t="s">
        <v>1320</v>
      </c>
      <c r="N730" s="10">
        <v>64</v>
      </c>
      <c r="O730" s="11">
        <v>181</v>
      </c>
      <c r="P730" s="11">
        <v>0.18099999999999999</v>
      </c>
      <c r="Q730" s="10" t="s">
        <v>1562</v>
      </c>
      <c r="R730" s="10">
        <v>80</v>
      </c>
      <c r="S730" s="12">
        <v>20</v>
      </c>
      <c r="T730" s="13">
        <v>33925</v>
      </c>
      <c r="U730" s="14">
        <v>6140.4250000000002</v>
      </c>
      <c r="V730" s="10">
        <v>8.56</v>
      </c>
      <c r="W730" s="15">
        <v>290398</v>
      </c>
      <c r="X730" s="29">
        <f>VLOOKUP($F730,Agendamento!$B:$J,9,0)</f>
        <v>46090</v>
      </c>
      <c r="Y730" s="6">
        <f>COUNTIF(Analise!F:F,'Obras e Acervos'!H730)</f>
        <v>1</v>
      </c>
    </row>
    <row r="731" spans="1:25" ht="15" customHeight="1" x14ac:dyDescent="0.25">
      <c r="A731" s="10" t="str">
        <f>CONCATENATE(LEFT(C731,12),"-",RIGHT(C731,2),"_",TEXT(X731,"ddmmaaaa"),"_",COUNTIF($C$2:C731,C731))</f>
        <v>305812450001-10_26022026_2</v>
      </c>
      <c r="B731" s="10" t="str">
        <f>CONCATENATE(LEFT(C731,12),"-",RIGHT(C731,2),"_",COUNTIF($C$2:C731,C731))</f>
        <v>305812450001-10_2</v>
      </c>
      <c r="C731" s="10" t="s">
        <v>2295</v>
      </c>
      <c r="D731" s="10" t="s">
        <v>929</v>
      </c>
      <c r="E731" s="10" t="s">
        <v>1574</v>
      </c>
      <c r="F731" s="10" t="s">
        <v>930</v>
      </c>
      <c r="G731" s="10" t="s">
        <v>4210</v>
      </c>
      <c r="H731" s="11" t="s">
        <v>4211</v>
      </c>
      <c r="I731" s="11" t="s">
        <v>4212</v>
      </c>
      <c r="J731" s="10" t="s">
        <v>1559</v>
      </c>
      <c r="K731" s="10" t="s">
        <v>1560</v>
      </c>
      <c r="L731" s="10" t="s">
        <v>1578</v>
      </c>
      <c r="M731" s="10" t="s">
        <v>930</v>
      </c>
      <c r="N731" s="10">
        <v>56</v>
      </c>
      <c r="O731" s="11">
        <v>153</v>
      </c>
      <c r="P731" s="11">
        <v>0.153</v>
      </c>
      <c r="Q731" s="10" t="s">
        <v>1599</v>
      </c>
      <c r="R731" s="10">
        <v>80</v>
      </c>
      <c r="S731" s="12">
        <v>20</v>
      </c>
      <c r="T731" s="13">
        <v>26259</v>
      </c>
      <c r="U731" s="14">
        <v>4017.627</v>
      </c>
      <c r="V731" s="10">
        <v>9.27</v>
      </c>
      <c r="W731" s="15">
        <v>243420.93</v>
      </c>
      <c r="X731" s="29">
        <f>VLOOKUP($F731,Agendamento!$B:$J,9,0)</f>
        <v>46079</v>
      </c>
      <c r="Y731" s="6">
        <f>COUNTIF(Analise!F:F,'Obras e Acervos'!H731)</f>
        <v>1</v>
      </c>
    </row>
    <row r="732" spans="1:25" ht="15" customHeight="1" x14ac:dyDescent="0.25">
      <c r="A732" s="10" t="str">
        <f>CONCATENATE(LEFT(C732,12),"-",RIGHT(C732,2),"_",TEXT(X732,"ddmmaaaa"),"_",COUNTIF($C$2:C732,C732))</f>
        <v>046963000001-08_13022026_2</v>
      </c>
      <c r="B732" s="10" t="str">
        <f>CONCATENATE(LEFT(C732,12),"-",RIGHT(C732,2),"_",COUNTIF($C$2:C732,C732))</f>
        <v>046963000001-08_2</v>
      </c>
      <c r="C732" s="10" t="s">
        <v>2451</v>
      </c>
      <c r="D732" s="10" t="s">
        <v>6018</v>
      </c>
      <c r="E732" s="10" t="s">
        <v>1574</v>
      </c>
      <c r="F732" s="10" t="s">
        <v>492</v>
      </c>
      <c r="G732" s="10" t="s">
        <v>4213</v>
      </c>
      <c r="H732" s="11" t="s">
        <v>4214</v>
      </c>
      <c r="I732" s="11" t="s">
        <v>4215</v>
      </c>
      <c r="J732" s="10" t="s">
        <v>1559</v>
      </c>
      <c r="K732" s="10" t="s">
        <v>1560</v>
      </c>
      <c r="L732" s="10" t="s">
        <v>1578</v>
      </c>
      <c r="M732" s="10" t="s">
        <v>492</v>
      </c>
      <c r="N732" s="10">
        <v>88</v>
      </c>
      <c r="O732" s="11">
        <v>130</v>
      </c>
      <c r="P732" s="11">
        <v>0.13</v>
      </c>
      <c r="Q732" s="10" t="s">
        <v>1608</v>
      </c>
      <c r="R732" s="10">
        <v>80</v>
      </c>
      <c r="S732" s="12">
        <v>20</v>
      </c>
      <c r="T732" s="13">
        <v>26729</v>
      </c>
      <c r="U732" s="14">
        <v>3474.77</v>
      </c>
      <c r="V732" s="10">
        <v>10.97</v>
      </c>
      <c r="W732" s="15">
        <v>293217.13</v>
      </c>
      <c r="X732" s="29">
        <f>VLOOKUP($F732,Agendamento!$B:$J,9,0)</f>
        <v>46066</v>
      </c>
      <c r="Y732" s="6">
        <f>COUNTIF(Analise!F:F,'Obras e Acervos'!H732)</f>
        <v>1</v>
      </c>
    </row>
    <row r="733" spans="1:25" ht="15" customHeight="1" x14ac:dyDescent="0.25">
      <c r="A733" s="10" t="str">
        <f>CONCATENATE(LEFT(C733,12),"-",RIGHT(C733,2),"_",TEXT(X733,"ddmmaaaa"),"_",COUNTIF($C$2:C733,C733))</f>
        <v>323437060001-42_03032026_1</v>
      </c>
      <c r="B733" s="10" t="str">
        <f>CONCATENATE(LEFT(C733,12),"-",RIGHT(C733,2),"_",COUNTIF($C$2:C733,C733))</f>
        <v>323437060001-42_1</v>
      </c>
      <c r="C733" s="10" t="s">
        <v>4216</v>
      </c>
      <c r="D733" s="10" t="s">
        <v>6156</v>
      </c>
      <c r="E733" s="10" t="s">
        <v>1574</v>
      </c>
      <c r="F733" s="10" t="s">
        <v>1159</v>
      </c>
      <c r="G733" s="10" t="s">
        <v>4217</v>
      </c>
      <c r="H733" s="11" t="s">
        <v>4218</v>
      </c>
      <c r="I733" s="11" t="s">
        <v>4219</v>
      </c>
      <c r="J733" s="10" t="s">
        <v>1559</v>
      </c>
      <c r="K733" s="10" t="s">
        <v>1560</v>
      </c>
      <c r="L733" s="10" t="s">
        <v>1578</v>
      </c>
      <c r="M733" s="10" t="s">
        <v>1159</v>
      </c>
      <c r="N733" s="10">
        <v>36</v>
      </c>
      <c r="O733" s="11">
        <v>102</v>
      </c>
      <c r="P733" s="11">
        <v>0.10199999999999999</v>
      </c>
      <c r="Q733" s="10" t="s">
        <v>1562</v>
      </c>
      <c r="R733" s="10">
        <v>80</v>
      </c>
      <c r="S733" s="12">
        <v>20</v>
      </c>
      <c r="T733" s="13">
        <v>31819</v>
      </c>
      <c r="U733" s="14">
        <v>3245.538</v>
      </c>
      <c r="V733" s="10">
        <v>6.83</v>
      </c>
      <c r="W733" s="15">
        <v>217323.77</v>
      </c>
      <c r="X733" s="29">
        <f>VLOOKUP($F733,Agendamento!$B:$J,9,0)</f>
        <v>46084</v>
      </c>
      <c r="Y733" s="6">
        <f>COUNTIF(Analise!F:F,'Obras e Acervos'!H733)</f>
        <v>1</v>
      </c>
    </row>
    <row r="734" spans="1:25" ht="15" customHeight="1" x14ac:dyDescent="0.25">
      <c r="A734" s="10" t="str">
        <f>CONCATENATE(LEFT(C734,12),"-",RIGHT(C734,2),"_",TEXT(X734,"ddmmaaaa"),"_",COUNTIF($C$2:C734,C734))</f>
        <v>181638370001-17_27022026_2</v>
      </c>
      <c r="B734" s="10" t="str">
        <f>CONCATENATE(LEFT(C734,12),"-",RIGHT(C734,2),"_",COUNTIF($C$2:C734,C734))</f>
        <v>181638370001-17_2</v>
      </c>
      <c r="C734" s="10" t="s">
        <v>2311</v>
      </c>
      <c r="D734" s="10" t="s">
        <v>972</v>
      </c>
      <c r="E734" s="10" t="s">
        <v>1574</v>
      </c>
      <c r="F734" s="10" t="s">
        <v>974</v>
      </c>
      <c r="G734" s="10" t="s">
        <v>4220</v>
      </c>
      <c r="H734" s="11" t="s">
        <v>4221</v>
      </c>
      <c r="I734" s="11" t="s">
        <v>4222</v>
      </c>
      <c r="J734" s="10" t="s">
        <v>1559</v>
      </c>
      <c r="K734" s="10" t="s">
        <v>1560</v>
      </c>
      <c r="L734" s="10" t="s">
        <v>1578</v>
      </c>
      <c r="M734" s="10" t="s">
        <v>974</v>
      </c>
      <c r="N734" s="10">
        <v>72</v>
      </c>
      <c r="O734" s="11">
        <v>89</v>
      </c>
      <c r="P734" s="11">
        <v>8.8999999999999996E-2</v>
      </c>
      <c r="Q734" s="10" t="s">
        <v>1608</v>
      </c>
      <c r="R734" s="10">
        <v>75</v>
      </c>
      <c r="S734" s="12">
        <v>20</v>
      </c>
      <c r="T734" s="13">
        <v>26653</v>
      </c>
      <c r="U734" s="14">
        <v>2372.1169999999997</v>
      </c>
      <c r="V734" s="10">
        <v>9.35</v>
      </c>
      <c r="W734" s="15">
        <v>249205.55</v>
      </c>
      <c r="X734" s="29">
        <f>VLOOKUP($F734,Agendamento!$B:$J,9,0)</f>
        <v>46080</v>
      </c>
      <c r="Y734" s="6">
        <f>COUNTIF(Analise!F:F,'Obras e Acervos'!H734)</f>
        <v>1</v>
      </c>
    </row>
    <row r="735" spans="1:25" ht="15" customHeight="1" x14ac:dyDescent="0.25">
      <c r="A735" s="10" t="str">
        <f>CONCATENATE(LEFT(C735,12),"-",RIGHT(C735,2),"_",TEXT(X735,"ddmmaaaa"),"_",COUNTIF($C$2:C735,C735))</f>
        <v>047761360001-49_13032026_1</v>
      </c>
      <c r="B735" s="10" t="str">
        <f>CONCATENATE(LEFT(C735,12),"-",RIGHT(C735,2),"_",COUNTIF($C$2:C735,C735))</f>
        <v>047761360001-49_1</v>
      </c>
      <c r="C735" s="10" t="s">
        <v>4223</v>
      </c>
      <c r="D735" s="10" t="s">
        <v>6157</v>
      </c>
      <c r="E735" s="10" t="s">
        <v>1574</v>
      </c>
      <c r="F735" s="10" t="s">
        <v>1481</v>
      </c>
      <c r="G735" s="10" t="s">
        <v>4224</v>
      </c>
      <c r="H735" s="11" t="s">
        <v>4225</v>
      </c>
      <c r="I735" s="11" t="s">
        <v>4226</v>
      </c>
      <c r="J735" s="10" t="s">
        <v>1559</v>
      </c>
      <c r="K735" s="10" t="s">
        <v>1560</v>
      </c>
      <c r="L735" s="10" t="s">
        <v>1578</v>
      </c>
      <c r="M735" s="10" t="s">
        <v>1481</v>
      </c>
      <c r="N735" s="10">
        <v>156</v>
      </c>
      <c r="O735" s="11">
        <v>170</v>
      </c>
      <c r="P735" s="11">
        <v>0.17</v>
      </c>
      <c r="Q735" s="10" t="s">
        <v>1608</v>
      </c>
      <c r="R735" s="10">
        <v>80</v>
      </c>
      <c r="S735" s="12">
        <v>20</v>
      </c>
      <c r="T735" s="13">
        <v>115538</v>
      </c>
      <c r="U735" s="14">
        <v>19641.460000000003</v>
      </c>
      <c r="V735" s="10">
        <v>6.49</v>
      </c>
      <c r="W735" s="15">
        <v>749841.62</v>
      </c>
      <c r="X735" s="29">
        <f>VLOOKUP($F735,Agendamento!$B:$J,9,0)</f>
        <v>46094</v>
      </c>
      <c r="Y735" s="6">
        <f>COUNTIF(Analise!F:F,'Obras e Acervos'!H735)</f>
        <v>1</v>
      </c>
    </row>
    <row r="736" spans="1:25" ht="15" customHeight="1" x14ac:dyDescent="0.25">
      <c r="A736" s="10" t="str">
        <f>CONCATENATE(LEFT(C736,12),"-",RIGHT(C736,2),"_",TEXT(X736,"ddmmaaaa"),"_",COUNTIF($C$2:C736,C736))</f>
        <v>014850630001-48_26022026_2</v>
      </c>
      <c r="B736" s="10" t="str">
        <f>CONCATENATE(LEFT(C736,12),"-",RIGHT(C736,2),"_",COUNTIF($C$2:C736,C736))</f>
        <v>014850630001-48_2</v>
      </c>
      <c r="C736" s="10" t="s">
        <v>2637</v>
      </c>
      <c r="D736" s="10" t="s">
        <v>921</v>
      </c>
      <c r="E736" s="10" t="s">
        <v>1574</v>
      </c>
      <c r="F736" s="10" t="s">
        <v>922</v>
      </c>
      <c r="G736" s="10" t="s">
        <v>4227</v>
      </c>
      <c r="H736" s="11" t="s">
        <v>4228</v>
      </c>
      <c r="I736" s="11" t="s">
        <v>4229</v>
      </c>
      <c r="J736" s="10" t="s">
        <v>1559</v>
      </c>
      <c r="K736" s="10" t="s">
        <v>1560</v>
      </c>
      <c r="L736" s="10" t="s">
        <v>1578</v>
      </c>
      <c r="M736" s="10" t="s">
        <v>922</v>
      </c>
      <c r="N736" s="10">
        <v>20</v>
      </c>
      <c r="O736" s="11">
        <v>77</v>
      </c>
      <c r="P736" s="11">
        <v>7.6999999999999999E-2</v>
      </c>
      <c r="Q736" s="10" t="s">
        <v>1562</v>
      </c>
      <c r="R736" s="10">
        <v>80</v>
      </c>
      <c r="S736" s="12">
        <v>20</v>
      </c>
      <c r="T736" s="13">
        <v>26850</v>
      </c>
      <c r="U736" s="14">
        <v>2067.4499999999998</v>
      </c>
      <c r="V736" s="10">
        <v>5.01</v>
      </c>
      <c r="W736" s="15">
        <v>134518.5</v>
      </c>
      <c r="X736" s="29">
        <f>VLOOKUP($F736,Agendamento!$B:$J,9,0)</f>
        <v>46079</v>
      </c>
      <c r="Y736" s="6">
        <f>COUNTIF(Analise!F:F,'Obras e Acervos'!H736)</f>
        <v>1</v>
      </c>
    </row>
    <row r="737" spans="1:25" ht="15" customHeight="1" x14ac:dyDescent="0.25">
      <c r="A737" s="10" t="str">
        <f>CONCATENATE(LEFT(C737,12),"-",RIGHT(C737,2),"_",TEXT(X737,"ddmmaaaa"),"_",COUNTIF($C$2:C737,C737))</f>
        <v>197707370001-11_27012026_2</v>
      </c>
      <c r="B737" s="10" t="str">
        <f>CONCATENATE(LEFT(C737,12),"-",RIGHT(C737,2),"_",COUNTIF($C$2:C737,C737))</f>
        <v>197707370001-11_2</v>
      </c>
      <c r="C737" s="21" t="s">
        <v>4116</v>
      </c>
      <c r="D737" s="10" t="s">
        <v>54</v>
      </c>
      <c r="E737" s="10" t="s">
        <v>1574</v>
      </c>
      <c r="F737" s="10" t="s">
        <v>56</v>
      </c>
      <c r="G737" s="10" t="s">
        <v>4230</v>
      </c>
      <c r="H737" s="22" t="s">
        <v>4231</v>
      </c>
      <c r="I737" s="27" t="s">
        <v>4232</v>
      </c>
      <c r="J737" s="10" t="s">
        <v>1559</v>
      </c>
      <c r="K737" s="10" t="s">
        <v>1560</v>
      </c>
      <c r="L737" s="10" t="s">
        <v>1578</v>
      </c>
      <c r="M737" s="10" t="s">
        <v>6253</v>
      </c>
      <c r="N737" s="10">
        <v>40</v>
      </c>
      <c r="O737" s="11">
        <v>47</v>
      </c>
      <c r="P737" s="22">
        <v>4.7E-2</v>
      </c>
      <c r="Q737" s="10" t="s">
        <v>1608</v>
      </c>
      <c r="R737" s="10">
        <v>80</v>
      </c>
      <c r="S737" s="12">
        <v>20</v>
      </c>
      <c r="T737" s="23">
        <v>31228</v>
      </c>
      <c r="U737" s="24">
        <v>1467.7159999999999</v>
      </c>
      <c r="V737" s="10">
        <v>6.26</v>
      </c>
      <c r="W737" s="15">
        <v>195487.28</v>
      </c>
      <c r="X737" s="29">
        <f>VLOOKUP($F737,Agendamento!$B:$J,9,0)</f>
        <v>46049</v>
      </c>
      <c r="Y737" s="6">
        <f>COUNTIF(Analise!F:F,'Obras e Acervos'!H737)</f>
        <v>1</v>
      </c>
    </row>
    <row r="738" spans="1:25" ht="15" customHeight="1" x14ac:dyDescent="0.25">
      <c r="A738" s="10" t="str">
        <f>CONCATENATE(LEFT(C738,12),"-",RIGHT(C738,2),"_",TEXT(X738,"ddmmaaaa"),"_",COUNTIF($C$2:C738,C738))</f>
        <v>303088620001-47_23022026_2</v>
      </c>
      <c r="B738" s="10" t="str">
        <f>CONCATENATE(LEFT(C738,12),"-",RIGHT(C738,2),"_",COUNTIF($C$2:C738,C738))</f>
        <v>303088620001-47_2</v>
      </c>
      <c r="C738" s="10" t="s">
        <v>2004</v>
      </c>
      <c r="D738" s="10" t="s">
        <v>5953</v>
      </c>
      <c r="E738" s="10" t="s">
        <v>1574</v>
      </c>
      <c r="F738" s="10" t="s">
        <v>713</v>
      </c>
      <c r="G738" s="10" t="s">
        <v>4233</v>
      </c>
      <c r="H738" s="11" t="s">
        <v>4234</v>
      </c>
      <c r="I738" s="11" t="s">
        <v>4235</v>
      </c>
      <c r="J738" s="10" t="s">
        <v>1559</v>
      </c>
      <c r="K738" s="10" t="s">
        <v>1560</v>
      </c>
      <c r="L738" s="10" t="s">
        <v>1578</v>
      </c>
      <c r="M738" s="10" t="s">
        <v>713</v>
      </c>
      <c r="N738" s="10">
        <v>48</v>
      </c>
      <c r="O738" s="11">
        <v>143</v>
      </c>
      <c r="P738" s="11">
        <v>0.14299999999999999</v>
      </c>
      <c r="Q738" s="10" t="s">
        <v>1562</v>
      </c>
      <c r="R738" s="10">
        <v>80</v>
      </c>
      <c r="S738" s="12">
        <v>20</v>
      </c>
      <c r="T738" s="13">
        <v>26441</v>
      </c>
      <c r="U738" s="14">
        <v>3781.0629999999996</v>
      </c>
      <c r="V738" s="10">
        <v>8.33</v>
      </c>
      <c r="W738" s="15">
        <v>220253.53</v>
      </c>
      <c r="X738" s="29">
        <f>VLOOKUP($F738,Agendamento!$B:$J,9,0)</f>
        <v>46076</v>
      </c>
      <c r="Y738" s="6">
        <f>COUNTIF(Analise!F:F,'Obras e Acervos'!H738)</f>
        <v>1</v>
      </c>
    </row>
    <row r="739" spans="1:25" ht="15" customHeight="1" x14ac:dyDescent="0.25">
      <c r="A739" s="10" t="str">
        <f>CONCATENATE(LEFT(C739,12),"-",RIGHT(C739,2),"_",TEXT(X739,"ddmmaaaa"),"_",COUNTIF($C$2:C739,C739))</f>
        <v>502688380001-39_12022026_1</v>
      </c>
      <c r="B739" s="10" t="str">
        <f>CONCATENATE(LEFT(C739,12),"-",RIGHT(C739,2),"_",COUNTIF($C$2:C739,C739))</f>
        <v>502688380001-39_1</v>
      </c>
      <c r="C739" s="10" t="s">
        <v>4236</v>
      </c>
      <c r="D739" s="10" t="s">
        <v>340</v>
      </c>
      <c r="E739" s="10" t="s">
        <v>1574</v>
      </c>
      <c r="F739" s="10" t="s">
        <v>341</v>
      </c>
      <c r="G739" s="10" t="s">
        <v>4237</v>
      </c>
      <c r="H739" s="11" t="s">
        <v>4238</v>
      </c>
      <c r="I739" s="11" t="s">
        <v>4239</v>
      </c>
      <c r="J739" s="10" t="s">
        <v>1559</v>
      </c>
      <c r="K739" s="10" t="s">
        <v>1560</v>
      </c>
      <c r="L739" s="10" t="s">
        <v>1578</v>
      </c>
      <c r="M739" s="10" t="s">
        <v>341</v>
      </c>
      <c r="N739" s="10">
        <v>48</v>
      </c>
      <c r="O739" s="11">
        <v>138</v>
      </c>
      <c r="P739" s="11">
        <v>0.13800000000000001</v>
      </c>
      <c r="Q739" s="10" t="s">
        <v>1562</v>
      </c>
      <c r="R739" s="10">
        <v>80</v>
      </c>
      <c r="S739" s="12">
        <v>20</v>
      </c>
      <c r="T739" s="13">
        <v>39394</v>
      </c>
      <c r="U739" s="14">
        <v>5436.3720000000003</v>
      </c>
      <c r="V739" s="10">
        <v>7.13</v>
      </c>
      <c r="W739" s="15">
        <v>280879.21999999997</v>
      </c>
      <c r="X739" s="29">
        <f>VLOOKUP($F739,Agendamento!$B:$J,9,0)</f>
        <v>46065</v>
      </c>
      <c r="Y739" s="6">
        <f>COUNTIF(Analise!F:F,'Obras e Acervos'!H739)</f>
        <v>1</v>
      </c>
    </row>
    <row r="740" spans="1:25" ht="15" customHeight="1" x14ac:dyDescent="0.25">
      <c r="A740" s="10" t="str">
        <f>CONCATENATE(LEFT(C740,12),"-",RIGHT(C740,2),"_",TEXT(X740,"ddmmaaaa"),"_",COUNTIF($C$2:C740,C740))</f>
        <v>167807990001-16_27022026_2</v>
      </c>
      <c r="B740" s="10" t="str">
        <f>CONCATENATE(LEFT(C740,12),"-",RIGHT(C740,2),"_",COUNTIF($C$2:C740,C740))</f>
        <v>167807990001-16_2</v>
      </c>
      <c r="C740" s="10" t="s">
        <v>3130</v>
      </c>
      <c r="D740" s="10" t="s">
        <v>881</v>
      </c>
      <c r="E740" s="10" t="s">
        <v>1574</v>
      </c>
      <c r="F740" s="10" t="s">
        <v>981</v>
      </c>
      <c r="G740" s="10" t="s">
        <v>4240</v>
      </c>
      <c r="H740" s="11" t="s">
        <v>4241</v>
      </c>
      <c r="I740" s="11" t="s">
        <v>4242</v>
      </c>
      <c r="J740" s="10" t="s">
        <v>1559</v>
      </c>
      <c r="K740" s="10" t="s">
        <v>1560</v>
      </c>
      <c r="L740" s="10" t="s">
        <v>1578</v>
      </c>
      <c r="M740" s="10" t="s">
        <v>981</v>
      </c>
      <c r="N740" s="10">
        <v>64</v>
      </c>
      <c r="O740" s="11">
        <v>172</v>
      </c>
      <c r="P740" s="11">
        <v>0.17199999999999999</v>
      </c>
      <c r="Q740" s="10" t="s">
        <v>1562</v>
      </c>
      <c r="R740" s="10">
        <v>80</v>
      </c>
      <c r="S740" s="12">
        <v>20</v>
      </c>
      <c r="T740" s="13">
        <v>29031</v>
      </c>
      <c r="U740" s="14">
        <v>4993.3319999999994</v>
      </c>
      <c r="V740" s="10">
        <v>9.4499999999999993</v>
      </c>
      <c r="W740" s="15">
        <v>274342.94999999995</v>
      </c>
      <c r="X740" s="29">
        <f>VLOOKUP($F740,Agendamento!$B:$J,9,0)</f>
        <v>46080</v>
      </c>
      <c r="Y740" s="6">
        <f>COUNTIF(Analise!F:F,'Obras e Acervos'!H740)</f>
        <v>1</v>
      </c>
    </row>
    <row r="741" spans="1:25" ht="15" customHeight="1" x14ac:dyDescent="0.25">
      <c r="A741" s="10" t="str">
        <f>CONCATENATE(LEFT(C741,12),"-",RIGHT(C741,2),"_",TEXT(X741,"ddmmaaaa"),"_",COUNTIF($C$2:C741,C741))</f>
        <v>145463790001-44_04032026_2</v>
      </c>
      <c r="B741" s="10" t="str">
        <f>CONCATENATE(LEFT(C741,12),"-",RIGHT(C741,2),"_",COUNTIF($C$2:C741,C741))</f>
        <v>145463790001-44_2</v>
      </c>
      <c r="C741" s="10" t="s">
        <v>2510</v>
      </c>
      <c r="D741" s="10" t="s">
        <v>1211</v>
      </c>
      <c r="E741" s="10" t="s">
        <v>1574</v>
      </c>
      <c r="F741" s="10" t="s">
        <v>1213</v>
      </c>
      <c r="G741" s="10" t="s">
        <v>4243</v>
      </c>
      <c r="H741" s="11" t="s">
        <v>4244</v>
      </c>
      <c r="I741" s="11" t="s">
        <v>4245</v>
      </c>
      <c r="J741" s="10" t="s">
        <v>1559</v>
      </c>
      <c r="K741" s="10" t="s">
        <v>1560</v>
      </c>
      <c r="L741" s="10" t="s">
        <v>1578</v>
      </c>
      <c r="M741" s="10" t="s">
        <v>1213</v>
      </c>
      <c r="N741" s="10">
        <v>48</v>
      </c>
      <c r="O741" s="11">
        <v>140</v>
      </c>
      <c r="P741" s="11">
        <v>0.14000000000000001</v>
      </c>
      <c r="Q741" s="10" t="s">
        <v>1562</v>
      </c>
      <c r="R741" s="10">
        <v>80</v>
      </c>
      <c r="S741" s="12">
        <v>20</v>
      </c>
      <c r="T741" s="13">
        <v>27244</v>
      </c>
      <c r="U741" s="14">
        <v>3814.1600000000003</v>
      </c>
      <c r="V741" s="10">
        <v>8.2799999999999994</v>
      </c>
      <c r="W741" s="15">
        <v>225580.31999999998</v>
      </c>
      <c r="X741" s="29">
        <f>VLOOKUP($F741,Agendamento!$B:$J,9,0)</f>
        <v>46085</v>
      </c>
      <c r="Y741" s="6">
        <f>COUNTIF(Analise!F:F,'Obras e Acervos'!H741)</f>
        <v>1</v>
      </c>
    </row>
    <row r="742" spans="1:25" ht="15" customHeight="1" x14ac:dyDescent="0.25">
      <c r="A742" s="10" t="str">
        <f>CONCATENATE(LEFT(C742,12),"-",RIGHT(C742,2),"_",TEXT(X742,"ddmmaaaa"),"_",COUNTIF($C$2:C742,C742))</f>
        <v>584071070001-39_11022026_2</v>
      </c>
      <c r="B742" s="10" t="str">
        <f>CONCATENATE(LEFT(C742,12),"-",RIGHT(C742,2),"_",COUNTIF($C$2:C742,C742))</f>
        <v>584071070001-39_2</v>
      </c>
      <c r="C742" s="10" t="s">
        <v>2677</v>
      </c>
      <c r="D742" s="10" t="s">
        <v>6048</v>
      </c>
      <c r="E742" s="10" t="s">
        <v>1574</v>
      </c>
      <c r="F742" s="10" t="s">
        <v>425</v>
      </c>
      <c r="G742" s="10" t="s">
        <v>4246</v>
      </c>
      <c r="H742" s="11" t="s">
        <v>4247</v>
      </c>
      <c r="I742" s="11" t="s">
        <v>4248</v>
      </c>
      <c r="J742" s="10" t="s">
        <v>1559</v>
      </c>
      <c r="K742" s="10" t="s">
        <v>1560</v>
      </c>
      <c r="L742" s="10" t="s">
        <v>1578</v>
      </c>
      <c r="M742" s="10" t="s">
        <v>425</v>
      </c>
      <c r="N742" s="10">
        <v>32</v>
      </c>
      <c r="O742" s="11">
        <v>101</v>
      </c>
      <c r="P742" s="11">
        <v>0.10100000000000001</v>
      </c>
      <c r="Q742" s="10" t="s">
        <v>1562</v>
      </c>
      <c r="R742" s="10">
        <v>80</v>
      </c>
      <c r="S742" s="12">
        <v>21</v>
      </c>
      <c r="T742" s="13">
        <v>23874</v>
      </c>
      <c r="U742" s="14">
        <v>2411.2740000000003</v>
      </c>
      <c r="V742" s="10">
        <v>6.57</v>
      </c>
      <c r="W742" s="15">
        <v>156852.18</v>
      </c>
      <c r="X742" s="29">
        <f>VLOOKUP($F742,Agendamento!$B:$J,9,0)</f>
        <v>46064</v>
      </c>
      <c r="Y742" s="6">
        <f>COUNTIF(Analise!F:F,'Obras e Acervos'!H742)</f>
        <v>1</v>
      </c>
    </row>
    <row r="743" spans="1:25" ht="15" customHeight="1" x14ac:dyDescent="0.25">
      <c r="A743" s="10" t="str">
        <f>CONCATENATE(LEFT(C743,12),"-",RIGHT(C743,2),"_",TEXT(X743,"ddmmaaaa"),"_",COUNTIF($C$2:C743,C743))</f>
        <v>260424370001-81_27022026_2</v>
      </c>
      <c r="B743" s="10" t="str">
        <f>CONCATENATE(LEFT(C743,12),"-",RIGHT(C743,2),"_",COUNTIF($C$2:C743,C743))</f>
        <v>260424370001-81_2</v>
      </c>
      <c r="C743" s="10" t="s">
        <v>1734</v>
      </c>
      <c r="D743" s="10" t="s">
        <v>5917</v>
      </c>
      <c r="E743" s="10" t="s">
        <v>1574</v>
      </c>
      <c r="F743" s="10" t="s">
        <v>1002</v>
      </c>
      <c r="G743" s="10" t="s">
        <v>4249</v>
      </c>
      <c r="H743" s="11" t="s">
        <v>4250</v>
      </c>
      <c r="I743" s="11" t="s">
        <v>4251</v>
      </c>
      <c r="J743" s="10" t="s">
        <v>1559</v>
      </c>
      <c r="K743" s="10" t="s">
        <v>1560</v>
      </c>
      <c r="L743" s="10" t="s">
        <v>1578</v>
      </c>
      <c r="M743" s="10" t="s">
        <v>1002</v>
      </c>
      <c r="N743" s="10">
        <v>96</v>
      </c>
      <c r="O743" s="11">
        <v>120</v>
      </c>
      <c r="P743" s="11">
        <v>0.12</v>
      </c>
      <c r="Q743" s="10" t="s">
        <v>1608</v>
      </c>
      <c r="R743" s="10">
        <v>80</v>
      </c>
      <c r="S743" s="12">
        <v>21</v>
      </c>
      <c r="T743" s="13">
        <v>26526</v>
      </c>
      <c r="U743" s="14">
        <v>3183.12</v>
      </c>
      <c r="V743" s="10">
        <v>11.75</v>
      </c>
      <c r="W743" s="15">
        <v>311680.5</v>
      </c>
      <c r="X743" s="29">
        <f>VLOOKUP($F743,Agendamento!$B:$J,9,0)</f>
        <v>46080</v>
      </c>
      <c r="Y743" s="6">
        <f>COUNTIF(Analise!F:F,'Obras e Acervos'!H743)</f>
        <v>1</v>
      </c>
    </row>
    <row r="744" spans="1:25" ht="15" customHeight="1" x14ac:dyDescent="0.25">
      <c r="A744" s="10" t="str">
        <f>CONCATENATE(LEFT(C744,12),"-",RIGHT(C744,2),"_",TEXT(X744,"ddmmaaaa"),"_",COUNTIF($C$2:C744,C744))</f>
        <v>120282750001-12_23022026_2</v>
      </c>
      <c r="B744" s="10" t="str">
        <f>CONCATENATE(LEFT(C744,12),"-",RIGHT(C744,2),"_",COUNTIF($C$2:C744,C744))</f>
        <v>120282750001-12_2</v>
      </c>
      <c r="C744" s="10" t="s">
        <v>2848</v>
      </c>
      <c r="D744" s="10" t="s">
        <v>691</v>
      </c>
      <c r="E744" s="10" t="s">
        <v>1574</v>
      </c>
      <c r="F744" s="10" t="s">
        <v>751</v>
      </c>
      <c r="G744" s="10" t="s">
        <v>4252</v>
      </c>
      <c r="H744" s="11" t="s">
        <v>4253</v>
      </c>
      <c r="I744" s="11" t="s">
        <v>4254</v>
      </c>
      <c r="J744" s="10" t="s">
        <v>1559</v>
      </c>
      <c r="K744" s="10" t="s">
        <v>1560</v>
      </c>
      <c r="L744" s="10" t="s">
        <v>1578</v>
      </c>
      <c r="M744" s="10" t="s">
        <v>751</v>
      </c>
      <c r="N744" s="10">
        <v>32</v>
      </c>
      <c r="O744" s="11">
        <v>103</v>
      </c>
      <c r="P744" s="11">
        <v>0.10299999999999999</v>
      </c>
      <c r="Q744" s="10" t="s">
        <v>1562</v>
      </c>
      <c r="R744" s="10">
        <v>80</v>
      </c>
      <c r="S744" s="12">
        <v>21</v>
      </c>
      <c r="T744" s="13">
        <v>36828</v>
      </c>
      <c r="U744" s="14">
        <v>3793.2839999999997</v>
      </c>
      <c r="V744" s="10">
        <v>5.83</v>
      </c>
      <c r="W744" s="15">
        <v>214707.24</v>
      </c>
      <c r="X744" s="29">
        <f>VLOOKUP($F744,Agendamento!$B:$J,9,0)</f>
        <v>46076</v>
      </c>
      <c r="Y744" s="6">
        <f>COUNTIF(Analise!F:F,'Obras e Acervos'!H744)</f>
        <v>1</v>
      </c>
    </row>
    <row r="745" spans="1:25" ht="15" customHeight="1" x14ac:dyDescent="0.25">
      <c r="A745" s="10" t="str">
        <f>CONCATENATE(LEFT(C745,12),"-",RIGHT(C745,2),"_",TEXT(X745,"ddmmaaaa"),"_",COUNTIF($C$2:C745,C745))</f>
        <v>286948930001-31_23022026_1</v>
      </c>
      <c r="B745" s="10" t="str">
        <f>CONCATENATE(LEFT(C745,12),"-",RIGHT(C745,2),"_",COUNTIF($C$2:C745,C745))</f>
        <v>286948930001-31_1</v>
      </c>
      <c r="C745" s="10" t="s">
        <v>4255</v>
      </c>
      <c r="D745" s="10" t="s">
        <v>6158</v>
      </c>
      <c r="E745" s="10" t="s">
        <v>1574</v>
      </c>
      <c r="F745" s="10" t="s">
        <v>724</v>
      </c>
      <c r="G745" s="10" t="s">
        <v>4256</v>
      </c>
      <c r="H745" s="11" t="s">
        <v>4257</v>
      </c>
      <c r="I745" s="11" t="s">
        <v>4258</v>
      </c>
      <c r="J745" s="10" t="s">
        <v>1559</v>
      </c>
      <c r="K745" s="10" t="s">
        <v>1560</v>
      </c>
      <c r="L745" s="10" t="s">
        <v>1578</v>
      </c>
      <c r="M745" s="10" t="s">
        <v>724</v>
      </c>
      <c r="N745" s="10">
        <v>72</v>
      </c>
      <c r="O745" s="11">
        <v>179</v>
      </c>
      <c r="P745" s="11">
        <v>0.17899999999999999</v>
      </c>
      <c r="Q745" s="10" t="s">
        <v>1562</v>
      </c>
      <c r="R745" s="10">
        <v>80</v>
      </c>
      <c r="S745" s="12">
        <v>21</v>
      </c>
      <c r="T745" s="13">
        <v>71733</v>
      </c>
      <c r="U745" s="14">
        <v>12840.207</v>
      </c>
      <c r="V745" s="10">
        <v>7.67</v>
      </c>
      <c r="W745" s="15">
        <v>550192.11</v>
      </c>
      <c r="X745" s="29">
        <f>VLOOKUP($F745,Agendamento!$B:$J,9,0)</f>
        <v>46076</v>
      </c>
      <c r="Y745" s="6">
        <f>COUNTIF(Analise!F:F,'Obras e Acervos'!H745)</f>
        <v>1</v>
      </c>
    </row>
    <row r="746" spans="1:25" ht="15" customHeight="1" x14ac:dyDescent="0.25">
      <c r="A746" s="10" t="str">
        <f>CONCATENATE(LEFT(C746,12),"-",RIGHT(C746,2),"_",TEXT(X746,"ddmmaaaa"),"_",COUNTIF($C$2:C746,C746))</f>
        <v>225205380001-60_13022026_2</v>
      </c>
      <c r="B746" s="10" t="str">
        <f>CONCATENATE(LEFT(C746,12),"-",RIGHT(C746,2),"_",COUNTIF($C$2:C746,C746))</f>
        <v>225205380001-60_2</v>
      </c>
      <c r="C746" s="10" t="s">
        <v>2058</v>
      </c>
      <c r="D746" s="10" t="s">
        <v>5959</v>
      </c>
      <c r="E746" s="10" t="s">
        <v>1574</v>
      </c>
      <c r="F746" s="10" t="s">
        <v>456</v>
      </c>
      <c r="G746" s="10" t="s">
        <v>4259</v>
      </c>
      <c r="H746" s="11" t="s">
        <v>4260</v>
      </c>
      <c r="I746" s="11" t="s">
        <v>4261</v>
      </c>
      <c r="J746" s="10" t="s">
        <v>1559</v>
      </c>
      <c r="K746" s="10" t="s">
        <v>1560</v>
      </c>
      <c r="L746" s="10" t="s">
        <v>1578</v>
      </c>
      <c r="M746" s="10" t="s">
        <v>456</v>
      </c>
      <c r="N746" s="10">
        <v>48</v>
      </c>
      <c r="O746" s="11">
        <v>96</v>
      </c>
      <c r="P746" s="11">
        <v>9.6000000000000002E-2</v>
      </c>
      <c r="Q746" s="10" t="s">
        <v>1562</v>
      </c>
      <c r="R746" s="10">
        <v>75</v>
      </c>
      <c r="S746" s="12">
        <v>21</v>
      </c>
      <c r="T746" s="13">
        <v>23768</v>
      </c>
      <c r="U746" s="14">
        <v>2281.7280000000001</v>
      </c>
      <c r="V746" s="10">
        <v>8.34</v>
      </c>
      <c r="W746" s="15">
        <v>198225.12</v>
      </c>
      <c r="X746" s="29">
        <f>VLOOKUP($F746,Agendamento!$B:$J,9,0)</f>
        <v>46066</v>
      </c>
      <c r="Y746" s="6">
        <f>COUNTIF(Analise!F:F,'Obras e Acervos'!H746)</f>
        <v>1</v>
      </c>
    </row>
    <row r="747" spans="1:25" ht="15" customHeight="1" x14ac:dyDescent="0.25">
      <c r="A747" s="10" t="str">
        <f>CONCATENATE(LEFT(C747,12),"-",RIGHT(C747,2),"_",TEXT(X747,"ddmmaaaa"),"_",COUNTIF($C$2:C747,C747))</f>
        <v>215411180001-05_16032026_1</v>
      </c>
      <c r="B747" s="10" t="str">
        <f>CONCATENATE(LEFT(C747,12),"-",RIGHT(C747,2),"_",COUNTIF($C$2:C747,C747))</f>
        <v>215411180001-05_1</v>
      </c>
      <c r="C747" s="10" t="s">
        <v>4262</v>
      </c>
      <c r="D747" s="10" t="s">
        <v>6159</v>
      </c>
      <c r="E747" s="10" t="s">
        <v>1574</v>
      </c>
      <c r="F747" s="10" t="s">
        <v>1475</v>
      </c>
      <c r="G747" s="10" t="s">
        <v>4263</v>
      </c>
      <c r="H747" s="11" t="s">
        <v>4264</v>
      </c>
      <c r="I747" s="11" t="s">
        <v>4265</v>
      </c>
      <c r="J747" s="10" t="s">
        <v>1559</v>
      </c>
      <c r="K747" s="10" t="s">
        <v>1560</v>
      </c>
      <c r="L747" s="10" t="s">
        <v>1578</v>
      </c>
      <c r="M747" s="10" t="s">
        <v>1475</v>
      </c>
      <c r="N747" s="10">
        <v>84</v>
      </c>
      <c r="O747" s="11">
        <v>235</v>
      </c>
      <c r="P747" s="11">
        <v>0.23499999999999999</v>
      </c>
      <c r="Q747" s="10" t="s">
        <v>1608</v>
      </c>
      <c r="R747" s="10">
        <v>75</v>
      </c>
      <c r="S747" s="12">
        <v>21</v>
      </c>
      <c r="T747" s="13">
        <v>23753</v>
      </c>
      <c r="U747" s="14">
        <v>5581.9549999999999</v>
      </c>
      <c r="V747" s="10">
        <v>10.64</v>
      </c>
      <c r="W747" s="15">
        <v>252731.92</v>
      </c>
      <c r="X747" s="29">
        <f>VLOOKUP($F747,Agendamento!$B:$J,9,0)</f>
        <v>46097</v>
      </c>
      <c r="Y747" s="6">
        <f>COUNTIF(Analise!F:F,'Obras e Acervos'!H747)</f>
        <v>1</v>
      </c>
    </row>
    <row r="748" spans="1:25" ht="15" customHeight="1" x14ac:dyDescent="0.25">
      <c r="A748" s="10" t="str">
        <f>CONCATENATE(LEFT(C748,12),"-",RIGHT(C748,2),"_",TEXT(X748,"ddmmaaaa"),"_",COUNTIF($C$2:C748,C748))</f>
        <v>087310590001-61_23022026_2</v>
      </c>
      <c r="B748" s="10" t="str">
        <f>CONCATENATE(LEFT(C748,12),"-",RIGHT(C748,2),"_",COUNTIF($C$2:C748,C748))</f>
        <v>087310590001-61_2</v>
      </c>
      <c r="C748" s="10" t="s">
        <v>1600</v>
      </c>
      <c r="D748" s="10" t="s">
        <v>733</v>
      </c>
      <c r="E748" s="10" t="s">
        <v>1574</v>
      </c>
      <c r="F748" s="10" t="s">
        <v>734</v>
      </c>
      <c r="G748" s="10" t="s">
        <v>4266</v>
      </c>
      <c r="H748" s="11" t="s">
        <v>4267</v>
      </c>
      <c r="I748" s="11" t="s">
        <v>4268</v>
      </c>
      <c r="J748" s="10" t="s">
        <v>1559</v>
      </c>
      <c r="K748" s="10" t="s">
        <v>1560</v>
      </c>
      <c r="L748" s="10" t="s">
        <v>1578</v>
      </c>
      <c r="M748" s="10" t="s">
        <v>734</v>
      </c>
      <c r="N748" s="10">
        <v>40</v>
      </c>
      <c r="O748" s="11">
        <v>121</v>
      </c>
      <c r="P748" s="11">
        <v>0.121</v>
      </c>
      <c r="Q748" s="10" t="s">
        <v>1562</v>
      </c>
      <c r="R748" s="10">
        <v>80</v>
      </c>
      <c r="S748" s="12">
        <v>21</v>
      </c>
      <c r="T748" s="13">
        <v>23693</v>
      </c>
      <c r="U748" s="14">
        <v>2866.8530000000001</v>
      </c>
      <c r="V748" s="10">
        <v>7.52</v>
      </c>
      <c r="W748" s="15">
        <v>178171.36</v>
      </c>
      <c r="X748" s="29">
        <f>VLOOKUP($F748,Agendamento!$B:$J,9,0)</f>
        <v>46076</v>
      </c>
      <c r="Y748" s="6">
        <f>COUNTIF(Analise!F:F,'Obras e Acervos'!H748)</f>
        <v>1</v>
      </c>
    </row>
    <row r="749" spans="1:25" ht="15" customHeight="1" x14ac:dyDescent="0.25">
      <c r="A749" s="10" t="str">
        <f>CONCATENATE(LEFT(C749,12),"-",RIGHT(C749,2),"_",TEXT(X749,"ddmmaaaa"),"_",COUNTIF($C$2:C749,C749))</f>
        <v>041609200001-28_03022026_2</v>
      </c>
      <c r="B749" s="10" t="str">
        <f>CONCATENATE(LEFT(C749,12),"-",RIGHT(C749,2),"_",COUNTIF($C$2:C749,C749))</f>
        <v>041609200001-28_2</v>
      </c>
      <c r="C749" s="10" t="s">
        <v>2705</v>
      </c>
      <c r="D749" s="10" t="s">
        <v>123</v>
      </c>
      <c r="E749" s="10" t="s">
        <v>1574</v>
      </c>
      <c r="F749" s="10" t="s">
        <v>124</v>
      </c>
      <c r="G749" s="10" t="s">
        <v>4269</v>
      </c>
      <c r="H749" s="11" t="s">
        <v>4270</v>
      </c>
      <c r="I749" s="11" t="s">
        <v>4271</v>
      </c>
      <c r="J749" s="10" t="s">
        <v>1559</v>
      </c>
      <c r="K749" s="10" t="s">
        <v>1560</v>
      </c>
      <c r="L749" s="10" t="s">
        <v>1578</v>
      </c>
      <c r="M749" s="10" t="s">
        <v>124</v>
      </c>
      <c r="N749" s="10">
        <v>32</v>
      </c>
      <c r="O749" s="11">
        <v>47</v>
      </c>
      <c r="P749" s="11">
        <v>4.7E-2</v>
      </c>
      <c r="Q749" s="10" t="s">
        <v>1608</v>
      </c>
      <c r="R749" s="10">
        <v>75</v>
      </c>
      <c r="S749" s="12">
        <v>21</v>
      </c>
      <c r="T749" s="13">
        <v>23632</v>
      </c>
      <c r="U749" s="14">
        <v>1110.704</v>
      </c>
      <c r="V749" s="10">
        <v>5.72</v>
      </c>
      <c r="W749" s="15">
        <v>135175.04000000001</v>
      </c>
      <c r="X749" s="29">
        <f>VLOOKUP($F749,Agendamento!$B:$J,9,0)</f>
        <v>46056</v>
      </c>
      <c r="Y749" s="6">
        <f>COUNTIF(Analise!F:F,'Obras e Acervos'!H749)</f>
        <v>1</v>
      </c>
    </row>
    <row r="750" spans="1:25" ht="15" customHeight="1" x14ac:dyDescent="0.25">
      <c r="A750" s="10" t="str">
        <f>CONCATENATE(LEFT(C750,12),"-",RIGHT(C750,2),"_",TEXT(X750,"ddmmaaaa"),"_",COUNTIF($C$2:C750,C750))</f>
        <v>411502030001-41_10022026_2</v>
      </c>
      <c r="B750" s="10" t="str">
        <f>CONCATENATE(LEFT(C750,12),"-",RIGHT(C750,2),"_",COUNTIF($C$2:C750,C750))</f>
        <v>411502030001-41_2</v>
      </c>
      <c r="C750" s="10" t="s">
        <v>2074</v>
      </c>
      <c r="D750" s="10" t="s">
        <v>282</v>
      </c>
      <c r="E750" s="10" t="s">
        <v>1574</v>
      </c>
      <c r="F750" s="10" t="s">
        <v>288</v>
      </c>
      <c r="G750" s="10" t="s">
        <v>4272</v>
      </c>
      <c r="H750" s="11" t="s">
        <v>4273</v>
      </c>
      <c r="I750" s="11" t="s">
        <v>4274</v>
      </c>
      <c r="J750" s="10" t="s">
        <v>1559</v>
      </c>
      <c r="K750" s="10" t="s">
        <v>1560</v>
      </c>
      <c r="L750" s="10" t="s">
        <v>1578</v>
      </c>
      <c r="M750" s="10" t="s">
        <v>288</v>
      </c>
      <c r="N750" s="10">
        <v>48</v>
      </c>
      <c r="O750" s="11">
        <v>110</v>
      </c>
      <c r="P750" s="11">
        <v>0.11</v>
      </c>
      <c r="Q750" s="10" t="s">
        <v>1562</v>
      </c>
      <c r="R750" s="10">
        <v>80</v>
      </c>
      <c r="S750" s="12">
        <v>21</v>
      </c>
      <c r="T750" s="13">
        <v>30101</v>
      </c>
      <c r="U750" s="14">
        <v>3311.11</v>
      </c>
      <c r="V750" s="10">
        <v>8.32</v>
      </c>
      <c r="W750" s="15">
        <v>250440.32000000001</v>
      </c>
      <c r="X750" s="29">
        <f>VLOOKUP($F750,Agendamento!$B:$J,9,0)</f>
        <v>46063</v>
      </c>
      <c r="Y750" s="6">
        <f>COUNTIF(Analise!F:F,'Obras e Acervos'!H750)</f>
        <v>1</v>
      </c>
    </row>
    <row r="751" spans="1:25" ht="15" customHeight="1" x14ac:dyDescent="0.25">
      <c r="A751" s="10" t="str">
        <f>CONCATENATE(LEFT(C751,12),"-",RIGHT(C751,2),"_",TEXT(X751,"ddmmaaaa"),"_",COUNTIF($C$2:C751,C751))</f>
        <v>604440980001-06_27022026_2</v>
      </c>
      <c r="B751" s="10" t="str">
        <f>CONCATENATE(LEFT(C751,12),"-",RIGHT(C751,2),"_",COUNTIF($C$2:C751,C751))</f>
        <v>604440980001-06_2</v>
      </c>
      <c r="C751" s="10" t="s">
        <v>2082</v>
      </c>
      <c r="D751" s="10" t="s">
        <v>975</v>
      </c>
      <c r="E751" s="10" t="s">
        <v>1574</v>
      </c>
      <c r="F751" s="10" t="s">
        <v>976</v>
      </c>
      <c r="G751" s="10" t="s">
        <v>4275</v>
      </c>
      <c r="H751" s="11" t="s">
        <v>4276</v>
      </c>
      <c r="I751" s="11" t="s">
        <v>4277</v>
      </c>
      <c r="J751" s="10" t="s">
        <v>1559</v>
      </c>
      <c r="K751" s="10" t="s">
        <v>1560</v>
      </c>
      <c r="L751" s="10" t="s">
        <v>1578</v>
      </c>
      <c r="M751" s="10" t="s">
        <v>976</v>
      </c>
      <c r="N751" s="10">
        <v>40</v>
      </c>
      <c r="O751" s="11">
        <v>119</v>
      </c>
      <c r="P751" s="11">
        <v>0.11899999999999999</v>
      </c>
      <c r="Q751" s="10" t="s">
        <v>1562</v>
      </c>
      <c r="R751" s="10">
        <v>80</v>
      </c>
      <c r="S751" s="12">
        <v>21</v>
      </c>
      <c r="T751" s="13">
        <v>24920</v>
      </c>
      <c r="U751" s="14">
        <v>2965.48</v>
      </c>
      <c r="V751" s="10">
        <v>7.46</v>
      </c>
      <c r="W751" s="15">
        <v>185903.2</v>
      </c>
      <c r="X751" s="29">
        <f>VLOOKUP($F751,Agendamento!$B:$J,9,0)</f>
        <v>46080</v>
      </c>
      <c r="Y751" s="6">
        <f>COUNTIF(Analise!F:F,'Obras e Acervos'!H751)</f>
        <v>1</v>
      </c>
    </row>
    <row r="752" spans="1:25" ht="15" customHeight="1" x14ac:dyDescent="0.25">
      <c r="A752" s="10" t="str">
        <f>CONCATENATE(LEFT(C752,12),"-",RIGHT(C752,2),"_",TEXT(X752,"ddmmaaaa"),"_",COUNTIF($C$2:C752,C752))</f>
        <v>611864900001-57_12022026_2</v>
      </c>
      <c r="B752" s="10" t="str">
        <f>CONCATENATE(LEFT(C752,12),"-",RIGHT(C752,2),"_",COUNTIF($C$2:C752,C752))</f>
        <v>611864900001-57_2</v>
      </c>
      <c r="C752" s="10" t="s">
        <v>4067</v>
      </c>
      <c r="D752" s="10" t="s">
        <v>6150</v>
      </c>
      <c r="E752" s="10" t="s">
        <v>1574</v>
      </c>
      <c r="F752" s="10" t="s">
        <v>396</v>
      </c>
      <c r="G752" s="10" t="s">
        <v>4278</v>
      </c>
      <c r="H752" s="11" t="s">
        <v>4279</v>
      </c>
      <c r="I752" s="11" t="s">
        <v>4280</v>
      </c>
      <c r="J752" s="10" t="s">
        <v>1559</v>
      </c>
      <c r="K752" s="10" t="s">
        <v>1560</v>
      </c>
      <c r="L752" s="10" t="s">
        <v>1578</v>
      </c>
      <c r="M752" s="10" t="s">
        <v>396</v>
      </c>
      <c r="N752" s="10">
        <v>80</v>
      </c>
      <c r="O752" s="11">
        <v>196</v>
      </c>
      <c r="P752" s="11">
        <v>0.19600000000000001</v>
      </c>
      <c r="Q752" s="10" t="s">
        <v>1562</v>
      </c>
      <c r="R752" s="10">
        <v>75</v>
      </c>
      <c r="S752" s="12">
        <v>21</v>
      </c>
      <c r="T752" s="13">
        <v>23844</v>
      </c>
      <c r="U752" s="14">
        <v>4673.424</v>
      </c>
      <c r="V752" s="10">
        <v>12.02</v>
      </c>
      <c r="W752" s="15">
        <v>286604.88</v>
      </c>
      <c r="X752" s="29">
        <f>VLOOKUP($F752,Agendamento!$B:$J,9,0)</f>
        <v>46065</v>
      </c>
      <c r="Y752" s="6">
        <f>COUNTIF(Analise!F:F,'Obras e Acervos'!H752)</f>
        <v>1</v>
      </c>
    </row>
    <row r="753" spans="1:25" ht="15" customHeight="1" x14ac:dyDescent="0.25">
      <c r="A753" s="10" t="str">
        <f>CONCATENATE(LEFT(C753,12),"-",RIGHT(C753,2),"_",TEXT(X753,"ddmmaaaa"),"_",COUNTIF($C$2:C753,C753))</f>
        <v>434142770001-73_03032026_2</v>
      </c>
      <c r="B753" s="10" t="str">
        <f>CONCATENATE(LEFT(C753,12),"-",RIGHT(C753,2),"_",COUNTIF($C$2:C753,C753))</f>
        <v>434142770001-73_2</v>
      </c>
      <c r="C753" s="10" t="s">
        <v>2578</v>
      </c>
      <c r="D753" s="10" t="s">
        <v>1110</v>
      </c>
      <c r="E753" s="10" t="s">
        <v>1574</v>
      </c>
      <c r="F753" s="10" t="s">
        <v>1111</v>
      </c>
      <c r="G753" s="10" t="s">
        <v>4281</v>
      </c>
      <c r="H753" s="11" t="s">
        <v>4282</v>
      </c>
      <c r="I753" s="11" t="s">
        <v>4283</v>
      </c>
      <c r="J753" s="10" t="s">
        <v>1559</v>
      </c>
      <c r="K753" s="10" t="s">
        <v>1560</v>
      </c>
      <c r="L753" s="10" t="s">
        <v>1578</v>
      </c>
      <c r="M753" s="10" t="s">
        <v>1111</v>
      </c>
      <c r="N753" s="10">
        <v>32</v>
      </c>
      <c r="O753" s="11">
        <v>68</v>
      </c>
      <c r="P753" s="11">
        <v>6.8000000000000005E-2</v>
      </c>
      <c r="Q753" s="10" t="s">
        <v>1562</v>
      </c>
      <c r="R753" s="10">
        <v>80</v>
      </c>
      <c r="S753" s="12">
        <v>21</v>
      </c>
      <c r="T753" s="13">
        <v>30025</v>
      </c>
      <c r="U753" s="14">
        <v>2041.7</v>
      </c>
      <c r="V753" s="10">
        <v>6.44</v>
      </c>
      <c r="W753" s="15">
        <v>193361</v>
      </c>
      <c r="X753" s="29">
        <f>VLOOKUP($F753,Agendamento!$B:$J,9,0)</f>
        <v>46084</v>
      </c>
      <c r="Y753" s="6">
        <f>COUNTIF(Analise!F:F,'Obras e Acervos'!H753)</f>
        <v>1</v>
      </c>
    </row>
    <row r="754" spans="1:25" ht="15" customHeight="1" x14ac:dyDescent="0.25">
      <c r="A754" s="10" t="str">
        <f>CONCATENATE(LEFT(C754,12),"-",RIGHT(C754,2),"_",TEXT(X754,"ddmmaaaa"),"_",COUNTIF($C$2:C754,C754))</f>
        <v>016021770001-20_12022026_2</v>
      </c>
      <c r="B754" s="10" t="str">
        <f>CONCATENATE(LEFT(C754,12),"-",RIGHT(C754,2),"_",COUNTIF($C$2:C754,C754))</f>
        <v>016021770001-20_2</v>
      </c>
      <c r="C754" s="10" t="s">
        <v>2587</v>
      </c>
      <c r="D754" s="10" t="s">
        <v>6037</v>
      </c>
      <c r="E754" s="10" t="s">
        <v>1574</v>
      </c>
      <c r="F754" s="10" t="s">
        <v>1532</v>
      </c>
      <c r="G754" s="10" t="s">
        <v>4284</v>
      </c>
      <c r="H754" s="11" t="s">
        <v>4285</v>
      </c>
      <c r="I754" s="11" t="s">
        <v>4286</v>
      </c>
      <c r="J754" s="10" t="s">
        <v>1559</v>
      </c>
      <c r="K754" s="10" t="s">
        <v>1560</v>
      </c>
      <c r="L754" s="10" t="s">
        <v>1578</v>
      </c>
      <c r="M754" s="10" t="s">
        <v>1532</v>
      </c>
      <c r="N754" s="10">
        <v>48</v>
      </c>
      <c r="O754" s="11">
        <v>126</v>
      </c>
      <c r="P754" s="11">
        <v>0.126</v>
      </c>
      <c r="Q754" s="10" t="s">
        <v>1562</v>
      </c>
      <c r="R754" s="10">
        <v>75</v>
      </c>
      <c r="S754" s="12">
        <v>21</v>
      </c>
      <c r="T754" s="13">
        <v>23632</v>
      </c>
      <c r="U754" s="14">
        <v>2977.6320000000001</v>
      </c>
      <c r="V754" s="10">
        <v>8.34</v>
      </c>
      <c r="W754" s="15">
        <v>197090.88</v>
      </c>
      <c r="X754" s="29">
        <f>VLOOKUP($F754,Agendamento!$B:$J,9,0)</f>
        <v>46065</v>
      </c>
      <c r="Y754" s="6">
        <f>COUNTIF(Analise!F:F,'Obras e Acervos'!H754)</f>
        <v>1</v>
      </c>
    </row>
    <row r="755" spans="1:25" ht="15" customHeight="1" x14ac:dyDescent="0.25">
      <c r="A755" s="10" t="str">
        <f>CONCATENATE(LEFT(C755,12),"-",RIGHT(C755,2),"_",TEXT(X755,"ddmmaaaa"),"_",COUNTIF($C$2:C755,C755))</f>
        <v>199621010001-71_11022026_2</v>
      </c>
      <c r="B755" s="10" t="str">
        <f>CONCATENATE(LEFT(C755,12),"-",RIGHT(C755,2),"_",COUNTIF($C$2:C755,C755))</f>
        <v>199621010001-71_2</v>
      </c>
      <c r="C755" s="10" t="s">
        <v>2266</v>
      </c>
      <c r="D755" s="10" t="s">
        <v>315</v>
      </c>
      <c r="E755" s="10" t="s">
        <v>1574</v>
      </c>
      <c r="F755" s="10" t="s">
        <v>321</v>
      </c>
      <c r="G755" s="10" t="s">
        <v>4287</v>
      </c>
      <c r="H755" s="11" t="s">
        <v>4288</v>
      </c>
      <c r="I755" s="11" t="s">
        <v>4289</v>
      </c>
      <c r="J755" s="10" t="s">
        <v>1559</v>
      </c>
      <c r="K755" s="10" t="s">
        <v>1560</v>
      </c>
      <c r="L755" s="10" t="s">
        <v>1578</v>
      </c>
      <c r="M755" s="10" t="s">
        <v>321</v>
      </c>
      <c r="N755" s="10">
        <v>112</v>
      </c>
      <c r="O755" s="11">
        <v>265</v>
      </c>
      <c r="P755" s="11">
        <v>0.26500000000000001</v>
      </c>
      <c r="Q755" s="10" t="s">
        <v>1608</v>
      </c>
      <c r="R755" s="10">
        <v>80</v>
      </c>
      <c r="S755" s="12">
        <v>21</v>
      </c>
      <c r="T755" s="13">
        <v>33434</v>
      </c>
      <c r="U755" s="14">
        <v>8860.01</v>
      </c>
      <c r="V755" s="10">
        <v>12.13</v>
      </c>
      <c r="W755" s="15">
        <v>405554.42000000004</v>
      </c>
      <c r="X755" s="29">
        <f>VLOOKUP($F755,Agendamento!$B:$J,9,0)</f>
        <v>46064</v>
      </c>
      <c r="Y755" s="6">
        <f>COUNTIF(Analise!F:F,'Obras e Acervos'!H755)</f>
        <v>1</v>
      </c>
    </row>
    <row r="756" spans="1:25" ht="15" customHeight="1" x14ac:dyDescent="0.25">
      <c r="A756" s="10" t="str">
        <f>CONCATENATE(LEFT(C756,12),"-",RIGHT(C756,2),"_",TEXT(X756,"ddmmaaaa"),"_",COUNTIF($C$2:C756,C756))</f>
        <v>354142250001-79_27022026_2</v>
      </c>
      <c r="B756" s="10" t="str">
        <f>CONCATENATE(LEFT(C756,12),"-",RIGHT(C756,2),"_",COUNTIF($C$2:C756,C756))</f>
        <v>354142250001-79_2</v>
      </c>
      <c r="C756" s="10" t="s">
        <v>2904</v>
      </c>
      <c r="D756" s="10" t="s">
        <v>6086</v>
      </c>
      <c r="E756" s="10" t="s">
        <v>1574</v>
      </c>
      <c r="F756" s="10" t="s">
        <v>966</v>
      </c>
      <c r="G756" s="10" t="s">
        <v>4290</v>
      </c>
      <c r="H756" s="11" t="s">
        <v>4291</v>
      </c>
      <c r="I756" s="11" t="s">
        <v>4292</v>
      </c>
      <c r="J756" s="10" t="s">
        <v>1559</v>
      </c>
      <c r="K756" s="10" t="s">
        <v>1560</v>
      </c>
      <c r="L756" s="10" t="s">
        <v>1578</v>
      </c>
      <c r="M756" s="10" t="s">
        <v>966</v>
      </c>
      <c r="N756" s="10">
        <v>40</v>
      </c>
      <c r="O756" s="11">
        <v>121</v>
      </c>
      <c r="P756" s="11">
        <v>0.121</v>
      </c>
      <c r="Q756" s="10" t="s">
        <v>1562</v>
      </c>
      <c r="R756" s="10">
        <v>80</v>
      </c>
      <c r="S756" s="12">
        <v>21</v>
      </c>
      <c r="T756" s="13">
        <v>23935</v>
      </c>
      <c r="U756" s="14">
        <v>2896.1349999999998</v>
      </c>
      <c r="V756" s="10">
        <v>7.51</v>
      </c>
      <c r="W756" s="15">
        <v>179751.85</v>
      </c>
      <c r="X756" s="29">
        <f>VLOOKUP($F756,Agendamento!$B:$J,9,0)</f>
        <v>46080</v>
      </c>
      <c r="Y756" s="6">
        <f>COUNTIF(Analise!F:F,'Obras e Acervos'!H756)</f>
        <v>1</v>
      </c>
    </row>
    <row r="757" spans="1:25" ht="15" customHeight="1" x14ac:dyDescent="0.25">
      <c r="A757" s="10" t="str">
        <f>CONCATENATE(LEFT(C757,12),"-",RIGHT(C757,2),"_",TEXT(X757,"ddmmaaaa"),"_",COUNTIF($C$2:C757,C757))</f>
        <v>441273550001-11_11022026_1</v>
      </c>
      <c r="B757" s="10" t="str">
        <f>CONCATENATE(LEFT(C757,12),"-",RIGHT(C757,2),"_",COUNTIF($C$2:C757,C757))</f>
        <v>441273550001-11_1</v>
      </c>
      <c r="C757" s="10" t="s">
        <v>4293</v>
      </c>
      <c r="D757" s="10" t="s">
        <v>319</v>
      </c>
      <c r="E757" s="10" t="s">
        <v>1574</v>
      </c>
      <c r="F757" s="10" t="s">
        <v>320</v>
      </c>
      <c r="G757" s="10" t="s">
        <v>4294</v>
      </c>
      <c r="H757" s="11" t="s">
        <v>4295</v>
      </c>
      <c r="I757" s="11" t="s">
        <v>4296</v>
      </c>
      <c r="J757" s="10" t="s">
        <v>1559</v>
      </c>
      <c r="K757" s="10" t="s">
        <v>1560</v>
      </c>
      <c r="L757" s="10" t="s">
        <v>1578</v>
      </c>
      <c r="M757" s="10" t="s">
        <v>320</v>
      </c>
      <c r="N757" s="10">
        <v>48</v>
      </c>
      <c r="O757" s="11">
        <v>138</v>
      </c>
      <c r="P757" s="11">
        <v>0.13800000000000001</v>
      </c>
      <c r="Q757" s="10" t="s">
        <v>1562</v>
      </c>
      <c r="R757" s="10">
        <v>80</v>
      </c>
      <c r="S757" s="12">
        <v>21</v>
      </c>
      <c r="T757" s="13">
        <v>25314</v>
      </c>
      <c r="U757" s="14">
        <v>3493.3320000000003</v>
      </c>
      <c r="V757" s="10">
        <v>8.3800000000000008</v>
      </c>
      <c r="W757" s="15">
        <v>212131.32</v>
      </c>
      <c r="X757" s="29">
        <f>VLOOKUP($F757,Agendamento!$B:$J,9,0)</f>
        <v>46064</v>
      </c>
      <c r="Y757" s="6">
        <f>COUNTIF(Analise!F:F,'Obras e Acervos'!H757)</f>
        <v>1</v>
      </c>
    </row>
    <row r="758" spans="1:25" ht="15" customHeight="1" x14ac:dyDescent="0.25">
      <c r="A758" s="10" t="str">
        <f>CONCATENATE(LEFT(C758,12),"-",RIGHT(C758,2),"_",TEXT(X758,"ddmmaaaa"),"_",COUNTIF($C$2:C758,C758))</f>
        <v>181104490001-78_10022026_2</v>
      </c>
      <c r="B758" s="10" t="str">
        <f>CONCATENATE(LEFT(C758,12),"-",RIGHT(C758,2),"_",COUNTIF($C$2:C758,C758))</f>
        <v>181104490001-78_2</v>
      </c>
      <c r="C758" s="10" t="s">
        <v>2757</v>
      </c>
      <c r="D758" s="10" t="s">
        <v>6063</v>
      </c>
      <c r="E758" s="10" t="s">
        <v>1574</v>
      </c>
      <c r="F758" s="10" t="s">
        <v>240</v>
      </c>
      <c r="G758" s="10" t="s">
        <v>4297</v>
      </c>
      <c r="H758" s="11" t="s">
        <v>4298</v>
      </c>
      <c r="I758" s="11" t="s">
        <v>4299</v>
      </c>
      <c r="J758" s="10" t="s">
        <v>1559</v>
      </c>
      <c r="K758" s="10" t="s">
        <v>1560</v>
      </c>
      <c r="L758" s="10" t="s">
        <v>1578</v>
      </c>
      <c r="M758" s="10" t="s">
        <v>240</v>
      </c>
      <c r="N758" s="10">
        <v>80</v>
      </c>
      <c r="O758" s="11">
        <v>120</v>
      </c>
      <c r="P758" s="11">
        <v>0.12</v>
      </c>
      <c r="Q758" s="10" t="s">
        <v>1608</v>
      </c>
      <c r="R758" s="10">
        <v>80</v>
      </c>
      <c r="S758" s="12">
        <v>21</v>
      </c>
      <c r="T758" s="13">
        <v>23738</v>
      </c>
      <c r="U758" s="14">
        <v>2848.56</v>
      </c>
      <c r="V758" s="10">
        <v>10.36</v>
      </c>
      <c r="W758" s="15">
        <v>245925.68</v>
      </c>
      <c r="X758" s="29">
        <f>VLOOKUP($F758,Agendamento!$B:$J,9,0)</f>
        <v>46063</v>
      </c>
      <c r="Y758" s="6">
        <f>COUNTIF(Analise!F:F,'Obras e Acervos'!H758)</f>
        <v>1</v>
      </c>
    </row>
    <row r="759" spans="1:25" ht="15" customHeight="1" x14ac:dyDescent="0.25">
      <c r="A759" s="10" t="str">
        <f>CONCATENATE(LEFT(C759,12),"-",RIGHT(C759,2),"_",TEXT(X759,"ddmmaaaa"),"_",COUNTIF($C$2:C759,C759))</f>
        <v>172241710001-05_18022026_2</v>
      </c>
      <c r="B759" s="10" t="str">
        <f>CONCATENATE(LEFT(C759,12),"-",RIGHT(C759,2),"_",COUNTIF($C$2:C759,C759))</f>
        <v>172241710001-05_2</v>
      </c>
      <c r="C759" s="10" t="s">
        <v>1818</v>
      </c>
      <c r="D759" s="10" t="s">
        <v>568</v>
      </c>
      <c r="E759" s="10" t="s">
        <v>1574</v>
      </c>
      <c r="F759" s="10" t="s">
        <v>569</v>
      </c>
      <c r="G759" s="10" t="s">
        <v>4300</v>
      </c>
      <c r="H759" s="11" t="s">
        <v>4301</v>
      </c>
      <c r="I759" s="11" t="s">
        <v>4302</v>
      </c>
      <c r="J759" s="10" t="s">
        <v>1559</v>
      </c>
      <c r="K759" s="10" t="s">
        <v>1560</v>
      </c>
      <c r="L759" s="10" t="s">
        <v>1578</v>
      </c>
      <c r="M759" s="10" t="s">
        <v>569</v>
      </c>
      <c r="N759" s="10">
        <v>112</v>
      </c>
      <c r="O759" s="11">
        <v>138</v>
      </c>
      <c r="P759" s="11">
        <v>0.13800000000000001</v>
      </c>
      <c r="Q759" s="10" t="s">
        <v>1608</v>
      </c>
      <c r="R759" s="10">
        <v>80</v>
      </c>
      <c r="S759" s="12">
        <v>21</v>
      </c>
      <c r="T759" s="13">
        <v>25677</v>
      </c>
      <c r="U759" s="14">
        <v>3543.4260000000004</v>
      </c>
      <c r="V759" s="10">
        <v>13.32</v>
      </c>
      <c r="W759" s="15">
        <v>342017.64</v>
      </c>
      <c r="X759" s="29">
        <f>VLOOKUP($F759,Agendamento!$B:$J,9,0)</f>
        <v>46071</v>
      </c>
      <c r="Y759" s="6">
        <f>COUNTIF(Analise!F:F,'Obras e Acervos'!H759)</f>
        <v>1</v>
      </c>
    </row>
    <row r="760" spans="1:25" ht="15" customHeight="1" x14ac:dyDescent="0.25">
      <c r="A760" s="10" t="str">
        <f>CONCATENATE(LEFT(C760,12),"-",RIGHT(C760,2),"_",TEXT(X760,"ddmmaaaa"),"_",COUNTIF($C$2:C760,C760))</f>
        <v>135559940001-54_02032026_2</v>
      </c>
      <c r="B760" s="10" t="str">
        <f>CONCATENATE(LEFT(C760,12),"-",RIGHT(C760,2),"_",COUNTIF($C$2:C760,C760))</f>
        <v>135559940001-54_2</v>
      </c>
      <c r="C760" s="38" t="s">
        <v>5754</v>
      </c>
      <c r="D760" s="10" t="s">
        <v>6110</v>
      </c>
      <c r="E760" s="10" t="s">
        <v>1574</v>
      </c>
      <c r="F760" s="10" t="s">
        <v>1029</v>
      </c>
      <c r="G760" s="10" t="s">
        <v>4303</v>
      </c>
      <c r="H760" s="11" t="s">
        <v>4304</v>
      </c>
      <c r="I760" s="11" t="s">
        <v>4305</v>
      </c>
      <c r="J760" s="10" t="s">
        <v>1559</v>
      </c>
      <c r="K760" s="10" t="s">
        <v>1560</v>
      </c>
      <c r="L760" s="10" t="s">
        <v>1578</v>
      </c>
      <c r="M760" s="10" t="s">
        <v>6254</v>
      </c>
      <c r="N760" s="10">
        <v>32</v>
      </c>
      <c r="O760" s="11">
        <v>100</v>
      </c>
      <c r="P760" s="11">
        <v>0.1</v>
      </c>
      <c r="Q760" s="10" t="s">
        <v>1562</v>
      </c>
      <c r="R760" s="10">
        <v>80</v>
      </c>
      <c r="S760" s="12">
        <v>21</v>
      </c>
      <c r="T760" s="13">
        <v>23723</v>
      </c>
      <c r="U760" s="14">
        <v>2372.3000000000002</v>
      </c>
      <c r="V760" s="10">
        <v>6.59</v>
      </c>
      <c r="W760" s="15">
        <v>156334.57</v>
      </c>
      <c r="X760" s="29">
        <f>VLOOKUP($F760,Agendamento!$B:$J,9,0)</f>
        <v>46083</v>
      </c>
      <c r="Y760" s="6">
        <f>COUNTIF(Analise!F:F,'Obras e Acervos'!H760)</f>
        <v>1</v>
      </c>
    </row>
    <row r="761" spans="1:25" ht="15" customHeight="1" x14ac:dyDescent="0.25">
      <c r="A761" s="10" t="str">
        <f>CONCATENATE(LEFT(C761,12),"-",RIGHT(C761,2),"_",TEXT(X761,"ddmmaaaa"),"_",COUNTIF($C$2:C761,C761))</f>
        <v>141433880001-94_25022026_1</v>
      </c>
      <c r="B761" s="10" t="str">
        <f>CONCATENATE(LEFT(C761,12),"-",RIGHT(C761,2),"_",COUNTIF($C$2:C761,C761))</f>
        <v>141433880001-94_1</v>
      </c>
      <c r="C761" s="10" t="s">
        <v>4306</v>
      </c>
      <c r="D761" s="10" t="s">
        <v>6160</v>
      </c>
      <c r="E761" s="10" t="s">
        <v>1574</v>
      </c>
      <c r="F761" s="10" t="s">
        <v>895</v>
      </c>
      <c r="G761" s="10" t="s">
        <v>4307</v>
      </c>
      <c r="H761" s="11" t="s">
        <v>4308</v>
      </c>
      <c r="I761" s="11" t="s">
        <v>4309</v>
      </c>
      <c r="J761" s="10" t="s">
        <v>1559</v>
      </c>
      <c r="K761" s="10" t="s">
        <v>1560</v>
      </c>
      <c r="L761" s="10" t="s">
        <v>1578</v>
      </c>
      <c r="M761" s="10" t="s">
        <v>895</v>
      </c>
      <c r="N761" s="10">
        <v>48</v>
      </c>
      <c r="O761" s="11">
        <v>190</v>
      </c>
      <c r="P761" s="11">
        <v>0.19</v>
      </c>
      <c r="Q761" s="10" t="s">
        <v>1608</v>
      </c>
      <c r="R761" s="10">
        <v>80</v>
      </c>
      <c r="S761" s="12">
        <v>21</v>
      </c>
      <c r="T761" s="13">
        <v>23647</v>
      </c>
      <c r="U761" s="14">
        <v>4492.93</v>
      </c>
      <c r="V761" s="10">
        <v>7.3</v>
      </c>
      <c r="W761" s="15">
        <v>172623.1</v>
      </c>
      <c r="X761" s="29">
        <f>VLOOKUP($F761,Agendamento!$B:$J,9,0)</f>
        <v>46078</v>
      </c>
      <c r="Y761" s="6">
        <f>COUNTIF(Analise!F:F,'Obras e Acervos'!H761)</f>
        <v>1</v>
      </c>
    </row>
    <row r="762" spans="1:25" ht="15" customHeight="1" x14ac:dyDescent="0.25">
      <c r="A762" s="10" t="str">
        <f>CONCATENATE(LEFT(C762,12),"-",RIGHT(C762,2),"_",TEXT(X762,"ddmmaaaa"),"_",COUNTIF($C$2:C762,C762))</f>
        <v>175947330001-02_03032026_2</v>
      </c>
      <c r="B762" s="10" t="str">
        <f>CONCATENATE(LEFT(C762,12),"-",RIGHT(C762,2),"_",COUNTIF($C$2:C762,C762))</f>
        <v>175947330001-02_2</v>
      </c>
      <c r="C762" s="10" t="s">
        <v>3103</v>
      </c>
      <c r="D762" s="10" t="s">
        <v>1105</v>
      </c>
      <c r="E762" s="10" t="s">
        <v>1574</v>
      </c>
      <c r="F762" s="10" t="s">
        <v>1106</v>
      </c>
      <c r="G762" s="10" t="s">
        <v>4310</v>
      </c>
      <c r="H762" s="11" t="s">
        <v>4311</v>
      </c>
      <c r="I762" s="11" t="s">
        <v>4312</v>
      </c>
      <c r="J762" s="10" t="s">
        <v>1559</v>
      </c>
      <c r="K762" s="10" t="s">
        <v>1560</v>
      </c>
      <c r="L762" s="10" t="s">
        <v>1578</v>
      </c>
      <c r="M762" s="10" t="s">
        <v>1106</v>
      </c>
      <c r="N762" s="10">
        <v>48</v>
      </c>
      <c r="O762" s="11">
        <v>143</v>
      </c>
      <c r="P762" s="11">
        <v>0.14299999999999999</v>
      </c>
      <c r="Q762" s="10" t="s">
        <v>1562</v>
      </c>
      <c r="R762" s="10">
        <v>80</v>
      </c>
      <c r="S762" s="12">
        <v>21</v>
      </c>
      <c r="T762" s="13">
        <v>23874</v>
      </c>
      <c r="U762" s="14">
        <v>3413.9819999999995</v>
      </c>
      <c r="V762" s="10">
        <v>8.44</v>
      </c>
      <c r="W762" s="15">
        <v>201496.56</v>
      </c>
      <c r="X762" s="29">
        <f>VLOOKUP($F762,Agendamento!$B:$J,9,0)</f>
        <v>46084</v>
      </c>
      <c r="Y762" s="6">
        <f>COUNTIF(Analise!F:F,'Obras e Acervos'!H762)</f>
        <v>1</v>
      </c>
    </row>
    <row r="763" spans="1:25" ht="15" customHeight="1" x14ac:dyDescent="0.25">
      <c r="A763" s="10" t="str">
        <f>CONCATENATE(LEFT(C763,12),"-",RIGHT(C763,2),"_",TEXT(X763,"ddmmaaaa"),"_",COUNTIF($C$2:C763,C763))</f>
        <v>610974320001-57_05022026_2</v>
      </c>
      <c r="B763" s="10" t="str">
        <f>CONCATENATE(LEFT(C763,12),"-",RIGHT(C763,2),"_",COUNTIF($C$2:C763,C763))</f>
        <v>610974320001-57_2</v>
      </c>
      <c r="C763" s="10" t="s">
        <v>1658</v>
      </c>
      <c r="D763" s="10" t="s">
        <v>5906</v>
      </c>
      <c r="E763" s="10" t="s">
        <v>1574</v>
      </c>
      <c r="F763" s="10" t="s">
        <v>178</v>
      </c>
      <c r="G763" s="10" t="s">
        <v>4313</v>
      </c>
      <c r="H763" s="11" t="s">
        <v>4314</v>
      </c>
      <c r="I763" s="11" t="s">
        <v>4315</v>
      </c>
      <c r="J763" s="10" t="s">
        <v>1559</v>
      </c>
      <c r="K763" s="10" t="s">
        <v>1560</v>
      </c>
      <c r="L763" s="10" t="s">
        <v>1578</v>
      </c>
      <c r="M763" s="10" t="s">
        <v>4316</v>
      </c>
      <c r="N763" s="10">
        <v>96</v>
      </c>
      <c r="O763" s="11">
        <v>113</v>
      </c>
      <c r="P763" s="11">
        <v>0.113</v>
      </c>
      <c r="Q763" s="10" t="s">
        <v>2290</v>
      </c>
      <c r="R763" s="10">
        <v>80</v>
      </c>
      <c r="S763" s="12">
        <v>21</v>
      </c>
      <c r="T763" s="13">
        <v>23799</v>
      </c>
      <c r="U763" s="14">
        <v>2689.2870000000003</v>
      </c>
      <c r="V763" s="10">
        <v>11.91</v>
      </c>
      <c r="W763" s="15">
        <v>283446.09000000003</v>
      </c>
      <c r="X763" s="29">
        <f>VLOOKUP($F763,Agendamento!$B:$J,9,0)</f>
        <v>46058</v>
      </c>
      <c r="Y763" s="6">
        <f>COUNTIF(Analise!F:F,'Obras e Acervos'!H763)</f>
        <v>1</v>
      </c>
    </row>
    <row r="764" spans="1:25" ht="15" customHeight="1" x14ac:dyDescent="0.25">
      <c r="A764" s="10" t="str">
        <f>CONCATENATE(LEFT(C764,12),"-",RIGHT(C764,2),"_",TEXT(X764,"ddmmaaaa"),"_",COUNTIF($C$2:C764,C764))</f>
        <v>171921990001-08_02032026_2</v>
      </c>
      <c r="B764" s="10" t="str">
        <f>CONCATENATE(LEFT(C764,12),"-",RIGHT(C764,2),"_",COUNTIF($C$2:C764,C764))</f>
        <v>171921990001-08_2</v>
      </c>
      <c r="C764" s="10" t="s">
        <v>1666</v>
      </c>
      <c r="D764" s="10" t="s">
        <v>1040</v>
      </c>
      <c r="E764" s="10" t="s">
        <v>1574</v>
      </c>
      <c r="F764" s="10" t="s">
        <v>1042</v>
      </c>
      <c r="G764" s="10" t="s">
        <v>4317</v>
      </c>
      <c r="H764" s="11" t="s">
        <v>4318</v>
      </c>
      <c r="I764" s="11" t="s">
        <v>4319</v>
      </c>
      <c r="J764" s="10" t="s">
        <v>1559</v>
      </c>
      <c r="K764" s="10" t="s">
        <v>1560</v>
      </c>
      <c r="L764" s="10" t="s">
        <v>1578</v>
      </c>
      <c r="M764" s="10" t="s">
        <v>6255</v>
      </c>
      <c r="N764" s="10">
        <v>32</v>
      </c>
      <c r="O764" s="11">
        <v>100</v>
      </c>
      <c r="P764" s="11">
        <v>0.1</v>
      </c>
      <c r="Q764" s="10" t="s">
        <v>1562</v>
      </c>
      <c r="R764" s="10">
        <v>80</v>
      </c>
      <c r="S764" s="12">
        <v>21</v>
      </c>
      <c r="T764" s="13">
        <v>23799</v>
      </c>
      <c r="U764" s="14">
        <v>2379.9</v>
      </c>
      <c r="V764" s="10">
        <v>6.57</v>
      </c>
      <c r="W764" s="15">
        <v>156359.43</v>
      </c>
      <c r="X764" s="29">
        <f>VLOOKUP($F764,Agendamento!$B:$J,9,0)</f>
        <v>46083</v>
      </c>
      <c r="Y764" s="6">
        <f>COUNTIF(Analise!F:F,'Obras e Acervos'!H764)</f>
        <v>1</v>
      </c>
    </row>
    <row r="765" spans="1:25" ht="15" customHeight="1" x14ac:dyDescent="0.25">
      <c r="A765" s="10" t="str">
        <f>CONCATENATE(LEFT(C765,12),"-",RIGHT(C765,2),"_",TEXT(X765,"ddmmaaaa"),"_",COUNTIF($C$2:C765,C765))</f>
        <v>184929220001-29_19022026_1</v>
      </c>
      <c r="B765" s="10" t="str">
        <f>CONCATENATE(LEFT(C765,12),"-",RIGHT(C765,2),"_",COUNTIF($C$2:C765,C765))</f>
        <v>184929220001-29_1</v>
      </c>
      <c r="C765" s="10" t="s">
        <v>4320</v>
      </c>
      <c r="D765" s="10" t="s">
        <v>6161</v>
      </c>
      <c r="E765" s="10" t="s">
        <v>1574</v>
      </c>
      <c r="F765" s="10" t="s">
        <v>604</v>
      </c>
      <c r="G765" s="10" t="s">
        <v>4321</v>
      </c>
      <c r="H765" s="11" t="s">
        <v>4322</v>
      </c>
      <c r="I765" s="11" t="s">
        <v>4323</v>
      </c>
      <c r="J765" s="10" t="s">
        <v>1559</v>
      </c>
      <c r="K765" s="10" t="s">
        <v>1560</v>
      </c>
      <c r="L765" s="10" t="s">
        <v>1578</v>
      </c>
      <c r="M765" s="10" t="s">
        <v>604</v>
      </c>
      <c r="N765" s="10">
        <v>36</v>
      </c>
      <c r="O765" s="11">
        <v>75</v>
      </c>
      <c r="P765" s="11">
        <v>7.4999999999999997E-2</v>
      </c>
      <c r="Q765" s="10" t="s">
        <v>1562</v>
      </c>
      <c r="R765" s="10">
        <v>80</v>
      </c>
      <c r="S765" s="12">
        <v>21</v>
      </c>
      <c r="T765" s="13">
        <v>23723</v>
      </c>
      <c r="U765" s="14">
        <v>1779.2249999999999</v>
      </c>
      <c r="V765" s="10">
        <v>7.05</v>
      </c>
      <c r="W765" s="15">
        <v>167247.15</v>
      </c>
      <c r="X765" s="29">
        <f>VLOOKUP($F765,Agendamento!$B:$J,9,0)</f>
        <v>46072</v>
      </c>
      <c r="Y765" s="6">
        <f>COUNTIF(Analise!F:F,'Obras e Acervos'!H765)</f>
        <v>1</v>
      </c>
    </row>
    <row r="766" spans="1:25" ht="15" customHeight="1" x14ac:dyDescent="0.25">
      <c r="A766" s="10" t="str">
        <f>CONCATENATE(LEFT(C766,12),"-",RIGHT(C766,2),"_",TEXT(X766,"ddmmaaaa"),"_",COUNTIF($C$2:C766,C766))</f>
        <v>026161240001-21_18022026_2</v>
      </c>
      <c r="B766" s="10" t="str">
        <f>CONCATENATE(LEFT(C766,12),"-",RIGHT(C766,2),"_",COUNTIF($C$2:C766,C766))</f>
        <v>026161240001-21_2</v>
      </c>
      <c r="C766" s="10" t="s">
        <v>2789</v>
      </c>
      <c r="D766" s="10" t="s">
        <v>6070</v>
      </c>
      <c r="E766" s="10" t="s">
        <v>1574</v>
      </c>
      <c r="F766" s="10" t="s">
        <v>586</v>
      </c>
      <c r="G766" s="10" t="s">
        <v>4324</v>
      </c>
      <c r="H766" s="11" t="s">
        <v>4325</v>
      </c>
      <c r="I766" s="11" t="s">
        <v>4326</v>
      </c>
      <c r="J766" s="10" t="s">
        <v>1559</v>
      </c>
      <c r="K766" s="10" t="s">
        <v>1560</v>
      </c>
      <c r="L766" s="10" t="s">
        <v>1578</v>
      </c>
      <c r="M766" s="10" t="s">
        <v>586</v>
      </c>
      <c r="N766" s="10">
        <v>136</v>
      </c>
      <c r="O766" s="11">
        <v>155</v>
      </c>
      <c r="P766" s="11">
        <v>0.155</v>
      </c>
      <c r="Q766" s="10" t="s">
        <v>1608</v>
      </c>
      <c r="R766" s="10">
        <v>75</v>
      </c>
      <c r="S766" s="12">
        <v>21</v>
      </c>
      <c r="T766" s="13">
        <v>26753</v>
      </c>
      <c r="U766" s="14">
        <v>4146.7150000000001</v>
      </c>
      <c r="V766" s="10">
        <v>13.32</v>
      </c>
      <c r="W766" s="15">
        <v>356349.96</v>
      </c>
      <c r="X766" s="29">
        <f>VLOOKUP($F766,Agendamento!$B:$J,9,0)</f>
        <v>46071</v>
      </c>
      <c r="Y766" s="6">
        <f>COUNTIF(Analise!F:F,'Obras e Acervos'!H766)</f>
        <v>1</v>
      </c>
    </row>
    <row r="767" spans="1:25" ht="15" customHeight="1" x14ac:dyDescent="0.25">
      <c r="A767" s="10" t="str">
        <f>CONCATENATE(LEFT(C767,12),"-",RIGHT(C767,2),"_",TEXT(X767,"ddmmaaaa"),"_",COUNTIF($C$2:C767,C767))</f>
        <v>046438200001-52_03032026_1</v>
      </c>
      <c r="B767" s="10" t="str">
        <f>CONCATENATE(LEFT(C767,12),"-",RIGHT(C767,2),"_",COUNTIF($C$2:C767,C767))</f>
        <v>046438200001-52_1</v>
      </c>
      <c r="C767" s="10" t="s">
        <v>4327</v>
      </c>
      <c r="D767" s="10" t="s">
        <v>6162</v>
      </c>
      <c r="E767" s="10" t="s">
        <v>1574</v>
      </c>
      <c r="F767" s="10" t="s">
        <v>1116</v>
      </c>
      <c r="G767" s="10" t="s">
        <v>4328</v>
      </c>
      <c r="H767" s="11" t="s">
        <v>4329</v>
      </c>
      <c r="I767" s="11" t="s">
        <v>4330</v>
      </c>
      <c r="J767" s="10" t="s">
        <v>1559</v>
      </c>
      <c r="K767" s="10" t="s">
        <v>1560</v>
      </c>
      <c r="L767" s="10" t="s">
        <v>1578</v>
      </c>
      <c r="M767" s="10" t="s">
        <v>1116</v>
      </c>
      <c r="N767" s="10">
        <v>48</v>
      </c>
      <c r="O767" s="11">
        <v>185</v>
      </c>
      <c r="P767" s="11">
        <v>0.185</v>
      </c>
      <c r="Q767" s="10" t="s">
        <v>1562</v>
      </c>
      <c r="R767" s="10">
        <v>80</v>
      </c>
      <c r="S767" s="12">
        <v>21</v>
      </c>
      <c r="T767" s="13">
        <v>23662</v>
      </c>
      <c r="U767" s="14">
        <v>4377.47</v>
      </c>
      <c r="V767" s="10">
        <v>8.4700000000000006</v>
      </c>
      <c r="W767" s="15">
        <v>200417.14</v>
      </c>
      <c r="X767" s="29">
        <f>VLOOKUP($F767,Agendamento!$B:$J,9,0)</f>
        <v>46084</v>
      </c>
      <c r="Y767" s="6">
        <f>COUNTIF(Analise!F:F,'Obras e Acervos'!H767)</f>
        <v>1</v>
      </c>
    </row>
    <row r="768" spans="1:25" ht="15" customHeight="1" x14ac:dyDescent="0.25">
      <c r="A768" s="10" t="str">
        <f>CONCATENATE(LEFT(C768,12),"-",RIGHT(C768,2),"_",TEXT(X768,"ddmmaaaa"),"_",COUNTIF($C$2:C768,C768))</f>
        <v>290552870001-39_25022026_2</v>
      </c>
      <c r="B768" s="10" t="str">
        <f>CONCATENATE(LEFT(C768,12),"-",RIGHT(C768,2),"_",COUNTIF($C$2:C768,C768))</f>
        <v>290552870001-39_2</v>
      </c>
      <c r="C768" s="10" t="s">
        <v>1996</v>
      </c>
      <c r="D768" s="10" t="s">
        <v>5952</v>
      </c>
      <c r="E768" s="10" t="s">
        <v>1574</v>
      </c>
      <c r="F768" s="10" t="s">
        <v>839</v>
      </c>
      <c r="G768" s="10" t="s">
        <v>4331</v>
      </c>
      <c r="H768" s="11" t="s">
        <v>4332</v>
      </c>
      <c r="I768" s="11" t="s">
        <v>4333</v>
      </c>
      <c r="J768" s="10" t="s">
        <v>1559</v>
      </c>
      <c r="K768" s="10" t="s">
        <v>1560</v>
      </c>
      <c r="L768" s="10" t="s">
        <v>1578</v>
      </c>
      <c r="M768" s="10" t="s">
        <v>839</v>
      </c>
      <c r="N768" s="10">
        <v>96</v>
      </c>
      <c r="O768" s="11">
        <v>257</v>
      </c>
      <c r="P768" s="11">
        <v>0.25700000000000001</v>
      </c>
      <c r="Q768" s="10" t="s">
        <v>1562</v>
      </c>
      <c r="R768" s="10">
        <v>80</v>
      </c>
      <c r="S768" s="12">
        <v>21</v>
      </c>
      <c r="T768" s="13">
        <v>45903</v>
      </c>
      <c r="U768" s="14">
        <v>11797.071</v>
      </c>
      <c r="V768" s="10">
        <v>11.33</v>
      </c>
      <c r="W768" s="15">
        <v>520080.99</v>
      </c>
      <c r="X768" s="29">
        <f>VLOOKUP($F768,Agendamento!$B:$J,9,0)</f>
        <v>46078</v>
      </c>
      <c r="Y768" s="6">
        <f>COUNTIF(Analise!F:F,'Obras e Acervos'!H768)</f>
        <v>1</v>
      </c>
    </row>
    <row r="769" spans="1:25" ht="15" customHeight="1" x14ac:dyDescent="0.25">
      <c r="A769" s="10" t="str">
        <f>CONCATENATE(LEFT(C769,12),"-",RIGHT(C769,2),"_",TEXT(X769,"ddmmaaaa"),"_",COUNTIF($C$2:C769,C769))</f>
        <v>166754490001-90_16032026_2</v>
      </c>
      <c r="B769" s="10" t="str">
        <f>CONCATENATE(LEFT(C769,12),"-",RIGHT(C769,2),"_",COUNTIF($C$2:C769,C769))</f>
        <v>166754490001-90_2</v>
      </c>
      <c r="C769" s="10" t="s">
        <v>2175</v>
      </c>
      <c r="D769" s="10" t="s">
        <v>1435</v>
      </c>
      <c r="E769" s="10" t="s">
        <v>1574</v>
      </c>
      <c r="F769" s="10" t="s">
        <v>1477</v>
      </c>
      <c r="G769" s="10" t="s">
        <v>4334</v>
      </c>
      <c r="H769" s="11" t="s">
        <v>4335</v>
      </c>
      <c r="I769" s="11" t="s">
        <v>4336</v>
      </c>
      <c r="J769" s="10" t="s">
        <v>1559</v>
      </c>
      <c r="K769" s="10" t="s">
        <v>1560</v>
      </c>
      <c r="L769" s="10" t="s">
        <v>1578</v>
      </c>
      <c r="M769" s="10" t="s">
        <v>1477</v>
      </c>
      <c r="N769" s="10">
        <v>112</v>
      </c>
      <c r="O769" s="11">
        <v>292</v>
      </c>
      <c r="P769" s="11">
        <v>0.29199999999999998</v>
      </c>
      <c r="Q769" s="10" t="s">
        <v>1562</v>
      </c>
      <c r="R769" s="10">
        <v>80</v>
      </c>
      <c r="S769" s="12">
        <v>21</v>
      </c>
      <c r="T769" s="13">
        <v>23768</v>
      </c>
      <c r="U769" s="14">
        <v>6940.2559999999994</v>
      </c>
      <c r="V769" s="10">
        <v>16.03</v>
      </c>
      <c r="W769" s="15">
        <v>381001.04000000004</v>
      </c>
      <c r="X769" s="29">
        <f>VLOOKUP($F769,Agendamento!$B:$J,9,0)</f>
        <v>46097</v>
      </c>
      <c r="Y769" s="6">
        <f>COUNTIF(Analise!F:F,'Obras e Acervos'!H769)</f>
        <v>1</v>
      </c>
    </row>
    <row r="770" spans="1:25" ht="15" customHeight="1" x14ac:dyDescent="0.25">
      <c r="A770" s="10" t="str">
        <f>CONCATENATE(LEFT(C770,12),"-",RIGHT(C770,2),"_",TEXT(X770,"ddmmaaaa"),"_",COUNTIF($C$2:C770,C770))</f>
        <v>417706190001-62_11022026_2</v>
      </c>
      <c r="B770" s="10" t="str">
        <f>CONCATENATE(LEFT(C770,12),"-",RIGHT(C770,2),"_",COUNTIF($C$2:C770,C770))</f>
        <v>417706190001-62_2</v>
      </c>
      <c r="C770" s="10" t="s">
        <v>1694</v>
      </c>
      <c r="D770" s="10" t="s">
        <v>5912</v>
      </c>
      <c r="E770" s="10" t="s">
        <v>1574</v>
      </c>
      <c r="F770" s="10" t="s">
        <v>326</v>
      </c>
      <c r="G770" s="10" t="s">
        <v>4337</v>
      </c>
      <c r="H770" s="11" t="s">
        <v>4338</v>
      </c>
      <c r="I770" s="11" t="s">
        <v>4339</v>
      </c>
      <c r="J770" s="10" t="s">
        <v>1559</v>
      </c>
      <c r="K770" s="10" t="s">
        <v>1560</v>
      </c>
      <c r="L770" s="10" t="s">
        <v>1578</v>
      </c>
      <c r="M770" s="10" t="s">
        <v>326</v>
      </c>
      <c r="N770" s="10">
        <v>24</v>
      </c>
      <c r="O770" s="11">
        <v>85</v>
      </c>
      <c r="P770" s="11">
        <v>8.5000000000000006E-2</v>
      </c>
      <c r="Q770" s="10" t="s">
        <v>1599</v>
      </c>
      <c r="R770" s="10">
        <v>80</v>
      </c>
      <c r="S770" s="12">
        <v>21</v>
      </c>
      <c r="T770" s="13">
        <v>25753</v>
      </c>
      <c r="U770" s="14">
        <v>2189.0050000000001</v>
      </c>
      <c r="V770" s="10">
        <v>5.52</v>
      </c>
      <c r="W770" s="15">
        <v>142156.56</v>
      </c>
      <c r="X770" s="29">
        <f>VLOOKUP($F770,Agendamento!$B:$J,9,0)</f>
        <v>46064</v>
      </c>
      <c r="Y770" s="6">
        <f>COUNTIF(Analise!F:F,'Obras e Acervos'!H770)</f>
        <v>1</v>
      </c>
    </row>
    <row r="771" spans="1:25" ht="15" customHeight="1" x14ac:dyDescent="0.25">
      <c r="A771" s="10" t="str">
        <f>CONCATENATE(LEFT(C771,12),"-",RIGHT(C771,2),"_",TEXT(X771,"ddmmaaaa"),"_",COUNTIF($C$2:C771,C771))</f>
        <v>401056020001-28_23022026_1</v>
      </c>
      <c r="B771" s="10" t="str">
        <f>CONCATENATE(LEFT(C771,12),"-",RIGHT(C771,2),"_",COUNTIF($C$2:C771,C771))</f>
        <v>401056020001-28_1</v>
      </c>
      <c r="C771" s="10" t="s">
        <v>4340</v>
      </c>
      <c r="D771" s="10" t="s">
        <v>699</v>
      </c>
      <c r="E771" s="10" t="s">
        <v>1574</v>
      </c>
      <c r="F771" s="10" t="s">
        <v>700</v>
      </c>
      <c r="G771" s="10" t="s">
        <v>4341</v>
      </c>
      <c r="H771" s="11" t="s">
        <v>4342</v>
      </c>
      <c r="I771" s="11" t="s">
        <v>4343</v>
      </c>
      <c r="J771" s="10" t="s">
        <v>1559</v>
      </c>
      <c r="K771" s="10" t="s">
        <v>1560</v>
      </c>
      <c r="L771" s="10" t="s">
        <v>1578</v>
      </c>
      <c r="M771" s="10" t="s">
        <v>700</v>
      </c>
      <c r="N771" s="10">
        <v>64</v>
      </c>
      <c r="O771" s="11">
        <v>174</v>
      </c>
      <c r="P771" s="11">
        <v>0.17399999999999999</v>
      </c>
      <c r="Q771" s="10" t="s">
        <v>1562</v>
      </c>
      <c r="R771" s="10">
        <v>80</v>
      </c>
      <c r="S771" s="12">
        <v>21</v>
      </c>
      <c r="T771" s="13">
        <v>32464</v>
      </c>
      <c r="U771" s="14">
        <v>5648.7359999999999</v>
      </c>
      <c r="V771" s="10">
        <v>10.130000000000001</v>
      </c>
      <c r="W771" s="15">
        <v>328860.32</v>
      </c>
      <c r="X771" s="29">
        <f>VLOOKUP($F771,Agendamento!$B:$J,9,0)</f>
        <v>46076</v>
      </c>
      <c r="Y771" s="6">
        <f>COUNTIF(Analise!F:F,'Obras e Acervos'!H771)</f>
        <v>1</v>
      </c>
    </row>
    <row r="772" spans="1:25" ht="15" customHeight="1" x14ac:dyDescent="0.25">
      <c r="A772" s="10" t="str">
        <f>CONCATENATE(LEFT(C772,12),"-",RIGHT(C772,2),"_",TEXT(X772,"ddmmaaaa"),"_",COUNTIF($C$2:C772,C772))</f>
        <v>445512800001-00_04032026_2</v>
      </c>
      <c r="B772" s="10" t="str">
        <f>CONCATENATE(LEFT(C772,12),"-",RIGHT(C772,2),"_",COUNTIF($C$2:C772,C772))</f>
        <v>445512800001-00_2</v>
      </c>
      <c r="C772" s="10" t="s">
        <v>1874</v>
      </c>
      <c r="D772" s="10" t="s">
        <v>1218</v>
      </c>
      <c r="E772" s="10" t="s">
        <v>1574</v>
      </c>
      <c r="F772" s="10" t="s">
        <v>1219</v>
      </c>
      <c r="G772" s="10" t="s">
        <v>4344</v>
      </c>
      <c r="H772" s="11" t="s">
        <v>4345</v>
      </c>
      <c r="I772" s="11" t="s">
        <v>4346</v>
      </c>
      <c r="J772" s="10" t="s">
        <v>1559</v>
      </c>
      <c r="K772" s="10" t="s">
        <v>1560</v>
      </c>
      <c r="L772" s="10" t="s">
        <v>1578</v>
      </c>
      <c r="M772" s="10" t="s">
        <v>1219</v>
      </c>
      <c r="N772" s="10">
        <v>56</v>
      </c>
      <c r="O772" s="11">
        <v>158</v>
      </c>
      <c r="P772" s="11">
        <v>0.158</v>
      </c>
      <c r="Q772" s="10" t="s">
        <v>1562</v>
      </c>
      <c r="R772" s="10">
        <v>80</v>
      </c>
      <c r="S772" s="12">
        <v>21</v>
      </c>
      <c r="T772" s="13">
        <v>26389</v>
      </c>
      <c r="U772" s="14">
        <v>4169.4620000000004</v>
      </c>
      <c r="V772" s="10">
        <v>9.27</v>
      </c>
      <c r="W772" s="15">
        <v>244626.03</v>
      </c>
      <c r="X772" s="29">
        <f>VLOOKUP($F772,Agendamento!$B:$J,9,0)</f>
        <v>46085</v>
      </c>
      <c r="Y772" s="6">
        <f>COUNTIF(Analise!F:F,'Obras e Acervos'!H772)</f>
        <v>1</v>
      </c>
    </row>
    <row r="773" spans="1:25" ht="15" customHeight="1" x14ac:dyDescent="0.25">
      <c r="A773" s="10" t="str">
        <f>CONCATENATE(LEFT(C773,12),"-",RIGHT(C773,2),"_",TEXT(X773,"ddmmaaaa"),"_",COUNTIF($C$2:C773,C773))</f>
        <v>739376820001-37_28012026_2</v>
      </c>
      <c r="B773" s="10" t="str">
        <f>CONCATENATE(LEFT(C773,12),"-",RIGHT(C773,2),"_",COUNTIF($C$2:C773,C773))</f>
        <v>739376820001-37_2</v>
      </c>
      <c r="C773" s="10" t="s">
        <v>4021</v>
      </c>
      <c r="D773" s="10" t="s">
        <v>6147</v>
      </c>
      <c r="E773" s="10" t="s">
        <v>1574</v>
      </c>
      <c r="F773" s="10" t="s">
        <v>93</v>
      </c>
      <c r="G773" s="10" t="s">
        <v>4347</v>
      </c>
      <c r="H773" s="11" t="s">
        <v>4348</v>
      </c>
      <c r="I773" s="11" t="s">
        <v>4349</v>
      </c>
      <c r="J773" s="10" t="s">
        <v>1559</v>
      </c>
      <c r="K773" s="10" t="s">
        <v>1560</v>
      </c>
      <c r="L773" s="10" t="s">
        <v>1578</v>
      </c>
      <c r="M773" s="10" t="s">
        <v>93</v>
      </c>
      <c r="N773" s="10">
        <v>80</v>
      </c>
      <c r="O773" s="11">
        <v>180</v>
      </c>
      <c r="P773" s="11">
        <v>0.18</v>
      </c>
      <c r="Q773" s="10" t="s">
        <v>1608</v>
      </c>
      <c r="R773" s="10">
        <v>75</v>
      </c>
      <c r="S773" s="12">
        <v>12</v>
      </c>
      <c r="T773" s="13">
        <v>35736</v>
      </c>
      <c r="U773" s="14">
        <v>6432.48</v>
      </c>
      <c r="V773" s="10">
        <v>5.75</v>
      </c>
      <c r="W773" s="15">
        <v>214808.5</v>
      </c>
      <c r="X773" s="29">
        <f>VLOOKUP($F773,Agendamento!$B:$J,9,0)</f>
        <v>46050</v>
      </c>
      <c r="Y773" s="6">
        <f>COUNTIF(Analise!F:F,'Obras e Acervos'!H773)</f>
        <v>1</v>
      </c>
    </row>
    <row r="774" spans="1:25" ht="15" customHeight="1" x14ac:dyDescent="0.25">
      <c r="A774" s="10" t="str">
        <f>CONCATENATE(LEFT(C774,12),"-",RIGHT(C774,2),"_",TEXT(X774,"ddmmaaaa"),"_",COUNTIF($C$2:C774,C774))</f>
        <v>074586770001-17_03032026_2</v>
      </c>
      <c r="B774" s="10" t="str">
        <f>CONCATENATE(LEFT(C774,12),"-",RIGHT(C774,2),"_",COUNTIF($C$2:C774,C774))</f>
        <v>074586770001-17_2</v>
      </c>
      <c r="C774" s="10" t="s">
        <v>2202</v>
      </c>
      <c r="D774" s="10" t="s">
        <v>5979</v>
      </c>
      <c r="E774" s="10" t="s">
        <v>1574</v>
      </c>
      <c r="F774" s="10" t="s">
        <v>1133</v>
      </c>
      <c r="G774" s="10" t="s">
        <v>4350</v>
      </c>
      <c r="H774" s="11" t="s">
        <v>4351</v>
      </c>
      <c r="I774" s="11" t="s">
        <v>4352</v>
      </c>
      <c r="J774" s="10" t="s">
        <v>1559</v>
      </c>
      <c r="K774" s="10" t="s">
        <v>1560</v>
      </c>
      <c r="L774" s="10" t="s">
        <v>1578</v>
      </c>
      <c r="M774" s="10" t="s">
        <v>1133</v>
      </c>
      <c r="N774" s="10">
        <v>84</v>
      </c>
      <c r="O774" s="11">
        <v>200</v>
      </c>
      <c r="P774" s="11">
        <v>0.2</v>
      </c>
      <c r="Q774" s="10" t="s">
        <v>1608</v>
      </c>
      <c r="R774" s="10">
        <v>80</v>
      </c>
      <c r="S774" s="12">
        <v>22</v>
      </c>
      <c r="T774" s="13">
        <v>31539</v>
      </c>
      <c r="U774" s="14">
        <v>6307.8</v>
      </c>
      <c r="V774" s="10">
        <v>10.45</v>
      </c>
      <c r="W774" s="15">
        <v>329582.55</v>
      </c>
      <c r="X774" s="29">
        <f>VLOOKUP($F774,Agendamento!$B:$J,9,0)</f>
        <v>46084</v>
      </c>
      <c r="Y774" s="6">
        <f>COUNTIF(Analise!F:F,'Obras e Acervos'!H774)</f>
        <v>1</v>
      </c>
    </row>
    <row r="775" spans="1:25" ht="15" customHeight="1" x14ac:dyDescent="0.25">
      <c r="A775" s="10" t="str">
        <f>CONCATENATE(LEFT(C775,12),"-",RIGHT(C775,2),"_",TEXT(X775,"ddmmaaaa"),"_",COUNTIF($C$2:C775,C775))</f>
        <v>116905880001-79_13022026_1</v>
      </c>
      <c r="B775" s="10" t="str">
        <f>CONCATENATE(LEFT(C775,12),"-",RIGHT(C775,2),"_",COUNTIF($C$2:C775,C775))</f>
        <v>116905880001-79_1</v>
      </c>
      <c r="C775" s="10" t="s">
        <v>4353</v>
      </c>
      <c r="D775" s="10" t="s">
        <v>6163</v>
      </c>
      <c r="E775" s="10" t="s">
        <v>1574</v>
      </c>
      <c r="F775" s="10" t="s">
        <v>468</v>
      </c>
      <c r="G775" s="10" t="s">
        <v>4354</v>
      </c>
      <c r="H775" s="11" t="s">
        <v>4355</v>
      </c>
      <c r="I775" s="11" t="s">
        <v>4356</v>
      </c>
      <c r="J775" s="10" t="s">
        <v>1559</v>
      </c>
      <c r="K775" s="10" t="s">
        <v>1560</v>
      </c>
      <c r="L775" s="10" t="s">
        <v>1578</v>
      </c>
      <c r="M775" s="10" t="s">
        <v>468</v>
      </c>
      <c r="N775" s="10">
        <v>32</v>
      </c>
      <c r="O775" s="11">
        <v>100</v>
      </c>
      <c r="P775" s="11">
        <v>0.1</v>
      </c>
      <c r="Q775" s="10" t="s">
        <v>1599</v>
      </c>
      <c r="R775" s="10">
        <v>80</v>
      </c>
      <c r="S775" s="12">
        <v>22</v>
      </c>
      <c r="T775" s="13">
        <v>23767</v>
      </c>
      <c r="U775" s="14">
        <v>2376.7000000000003</v>
      </c>
      <c r="V775" s="10">
        <v>6.59</v>
      </c>
      <c r="W775" s="15">
        <v>156624.53</v>
      </c>
      <c r="X775" s="29">
        <f>VLOOKUP($F775,Agendamento!$B:$J,9,0)</f>
        <v>46066</v>
      </c>
      <c r="Y775" s="6">
        <f>COUNTIF(Analise!F:F,'Obras e Acervos'!H775)</f>
        <v>1</v>
      </c>
    </row>
    <row r="776" spans="1:25" ht="15" customHeight="1" x14ac:dyDescent="0.25">
      <c r="A776" s="10" t="str">
        <f>CONCATENATE(LEFT(C776,12),"-",RIGHT(C776,2),"_",TEXT(X776,"ddmmaaaa"),"_",COUNTIF($C$2:C776,C776))</f>
        <v>133919870001-64_04032026_2</v>
      </c>
      <c r="B776" s="10" t="str">
        <f>CONCATENATE(LEFT(C776,12),"-",RIGHT(C776,2),"_",COUNTIF($C$2:C776,C776))</f>
        <v>133919870001-64_2</v>
      </c>
      <c r="C776" s="10" t="s">
        <v>2367</v>
      </c>
      <c r="D776" s="10" t="s">
        <v>6005</v>
      </c>
      <c r="E776" s="10" t="s">
        <v>1574</v>
      </c>
      <c r="F776" s="10" t="s">
        <v>1232</v>
      </c>
      <c r="G776" s="10" t="s">
        <v>4357</v>
      </c>
      <c r="H776" s="11" t="s">
        <v>4358</v>
      </c>
      <c r="I776" s="11" t="s">
        <v>4359</v>
      </c>
      <c r="J776" s="10" t="s">
        <v>1559</v>
      </c>
      <c r="K776" s="10" t="s">
        <v>1560</v>
      </c>
      <c r="L776" s="10" t="s">
        <v>1578</v>
      </c>
      <c r="M776" s="10" t="s">
        <v>1232</v>
      </c>
      <c r="N776" s="10">
        <v>80</v>
      </c>
      <c r="O776" s="11">
        <v>233</v>
      </c>
      <c r="P776" s="11">
        <v>0.23300000000000001</v>
      </c>
      <c r="Q776" s="10" t="s">
        <v>1562</v>
      </c>
      <c r="R776" s="10">
        <v>80</v>
      </c>
      <c r="S776" s="12">
        <v>22</v>
      </c>
      <c r="T776" s="13">
        <v>23904</v>
      </c>
      <c r="U776" s="14">
        <v>5569.6320000000005</v>
      </c>
      <c r="V776" s="10">
        <v>12.23</v>
      </c>
      <c r="W776" s="15">
        <v>292345.92</v>
      </c>
      <c r="X776" s="29">
        <f>VLOOKUP($F776,Agendamento!$B:$J,9,0)</f>
        <v>46085</v>
      </c>
      <c r="Y776" s="6">
        <f>COUNTIF(Analise!F:F,'Obras e Acervos'!H776)</f>
        <v>1</v>
      </c>
    </row>
    <row r="777" spans="1:25" ht="15" customHeight="1" x14ac:dyDescent="0.25">
      <c r="A777" s="10" t="str">
        <f>CONCATENATE(LEFT(C777,12),"-",RIGHT(C777,2),"_",TEXT(X777,"ddmmaaaa"),"_",COUNTIF($C$2:C777,C777))</f>
        <v>361807660001-42_26022026_1</v>
      </c>
      <c r="B777" s="10" t="str">
        <f>CONCATENATE(LEFT(C777,12),"-",RIGHT(C777,2),"_",COUNTIF($C$2:C777,C777))</f>
        <v>361807660001-42_1</v>
      </c>
      <c r="C777" s="10" t="s">
        <v>4360</v>
      </c>
      <c r="D777" s="10" t="s">
        <v>919</v>
      </c>
      <c r="E777" s="10" t="s">
        <v>1574</v>
      </c>
      <c r="F777" s="10" t="s">
        <v>920</v>
      </c>
      <c r="G777" s="10" t="s">
        <v>4361</v>
      </c>
      <c r="H777" s="11" t="s">
        <v>4362</v>
      </c>
      <c r="I777" s="11" t="s">
        <v>4363</v>
      </c>
      <c r="J777" s="10" t="s">
        <v>1559</v>
      </c>
      <c r="K777" s="10" t="s">
        <v>1560</v>
      </c>
      <c r="L777" s="10" t="s">
        <v>1578</v>
      </c>
      <c r="M777" s="10" t="s">
        <v>920</v>
      </c>
      <c r="N777" s="10">
        <v>40</v>
      </c>
      <c r="O777" s="11">
        <v>124</v>
      </c>
      <c r="P777" s="11">
        <v>0.124</v>
      </c>
      <c r="Q777" s="10" t="s">
        <v>1562</v>
      </c>
      <c r="R777" s="10">
        <v>80</v>
      </c>
      <c r="S777" s="12">
        <v>22</v>
      </c>
      <c r="T777" s="13">
        <v>23995</v>
      </c>
      <c r="U777" s="14">
        <v>2975.38</v>
      </c>
      <c r="V777" s="10">
        <v>7.51</v>
      </c>
      <c r="W777" s="15">
        <v>180202.44999999998</v>
      </c>
      <c r="X777" s="29">
        <f>VLOOKUP($F777,Agendamento!$B:$J,9,0)</f>
        <v>46079</v>
      </c>
      <c r="Y777" s="6">
        <f>COUNTIF(Analise!F:F,'Obras e Acervos'!H777)</f>
        <v>1</v>
      </c>
    </row>
    <row r="778" spans="1:25" ht="15" customHeight="1" x14ac:dyDescent="0.25">
      <c r="A778" s="10" t="str">
        <f>CONCATENATE(LEFT(C778,12),"-",RIGHT(C778,2),"_",TEXT(X778,"ddmmaaaa"),"_",COUNTIF($C$2:C778,C778))</f>
        <v>334617510001-64_06022026_2</v>
      </c>
      <c r="B778" s="10" t="str">
        <f>CONCATENATE(LEFT(C778,12),"-",RIGHT(C778,2),"_",COUNTIF($C$2:C778,C778))</f>
        <v>334617510001-64_2</v>
      </c>
      <c r="C778" s="10" t="s">
        <v>2701</v>
      </c>
      <c r="D778" s="10" t="s">
        <v>6054</v>
      </c>
      <c r="E778" s="10" t="s">
        <v>1574</v>
      </c>
      <c r="F778" s="10" t="s">
        <v>190</v>
      </c>
      <c r="G778" s="10" t="s">
        <v>4364</v>
      </c>
      <c r="H778" s="11" t="s">
        <v>4365</v>
      </c>
      <c r="I778" s="11" t="s">
        <v>4366</v>
      </c>
      <c r="J778" s="10" t="s">
        <v>1559</v>
      </c>
      <c r="K778" s="10" t="s">
        <v>1560</v>
      </c>
      <c r="L778" s="10" t="s">
        <v>1578</v>
      </c>
      <c r="M778" s="10" t="s">
        <v>190</v>
      </c>
      <c r="N778" s="10">
        <v>32</v>
      </c>
      <c r="O778" s="11">
        <v>100</v>
      </c>
      <c r="P778" s="11">
        <v>0.1</v>
      </c>
      <c r="Q778" s="10" t="s">
        <v>1562</v>
      </c>
      <c r="R778" s="10">
        <v>80</v>
      </c>
      <c r="S778" s="12">
        <v>22</v>
      </c>
      <c r="T778" s="13">
        <v>26828</v>
      </c>
      <c r="U778" s="14">
        <v>2682.8</v>
      </c>
      <c r="V778" s="10">
        <v>6.41</v>
      </c>
      <c r="W778" s="15">
        <v>171967.48</v>
      </c>
      <c r="X778" s="29">
        <f>VLOOKUP($F778,Agendamento!$B:$J,9,0)</f>
        <v>46059</v>
      </c>
      <c r="Y778" s="6">
        <f>COUNTIF(Analise!F:F,'Obras e Acervos'!H778)</f>
        <v>1</v>
      </c>
    </row>
    <row r="779" spans="1:25" ht="15" customHeight="1" x14ac:dyDescent="0.25">
      <c r="A779" s="10" t="str">
        <f>CONCATENATE(LEFT(C779,12),"-",RIGHT(C779,2),"_",TEXT(X779,"ddmmaaaa"),"_",COUNTIF($C$2:C779,C779))</f>
        <v>159170970001-79_27022026_2</v>
      </c>
      <c r="B779" s="10" t="str">
        <f>CONCATENATE(LEFT(C779,12),"-",RIGHT(C779,2),"_",COUNTIF($C$2:C779,C779))</f>
        <v>159170970001-79_2</v>
      </c>
      <c r="C779" s="10" t="s">
        <v>2062</v>
      </c>
      <c r="D779" s="10" t="s">
        <v>5960</v>
      </c>
      <c r="E779" s="10" t="s">
        <v>1574</v>
      </c>
      <c r="F779" s="10" t="s">
        <v>1021</v>
      </c>
      <c r="G779" s="10" t="s">
        <v>4367</v>
      </c>
      <c r="H779" s="11" t="s">
        <v>4368</v>
      </c>
      <c r="I779" s="11" t="s">
        <v>4369</v>
      </c>
      <c r="J779" s="10" t="s">
        <v>1559</v>
      </c>
      <c r="K779" s="10" t="s">
        <v>1560</v>
      </c>
      <c r="L779" s="10" t="s">
        <v>1578</v>
      </c>
      <c r="M779" s="10" t="s">
        <v>1021</v>
      </c>
      <c r="N779" s="10">
        <v>36</v>
      </c>
      <c r="O779" s="11">
        <v>115</v>
      </c>
      <c r="P779" s="11">
        <v>0.115</v>
      </c>
      <c r="Q779" s="10" t="s">
        <v>1562</v>
      </c>
      <c r="R779" s="10">
        <v>80</v>
      </c>
      <c r="S779" s="12">
        <v>22</v>
      </c>
      <c r="T779" s="13">
        <v>23707</v>
      </c>
      <c r="U779" s="14">
        <v>2726.3050000000003</v>
      </c>
      <c r="V779" s="10">
        <v>7.05</v>
      </c>
      <c r="W779" s="15">
        <v>167134.35</v>
      </c>
      <c r="X779" s="29">
        <f>VLOOKUP($F779,Agendamento!$B:$J,9,0)</f>
        <v>46080</v>
      </c>
      <c r="Y779" s="6">
        <f>COUNTIF(Analise!F:F,'Obras e Acervos'!H779)</f>
        <v>1</v>
      </c>
    </row>
    <row r="780" spans="1:25" ht="15" customHeight="1" x14ac:dyDescent="0.25">
      <c r="A780" s="10" t="str">
        <f>CONCATENATE(LEFT(C780,12),"-",RIGHT(C780,2),"_",TEXT(X780,"ddmmaaaa"),"_",COUNTIF($C$2:C780,C780))</f>
        <v>146078900001-09_04032026_2</v>
      </c>
      <c r="B780" s="10" t="str">
        <f>CONCATENATE(LEFT(C780,12),"-",RIGHT(C780,2),"_",COUNTIF($C$2:C780,C780))</f>
        <v>146078900001-09_2</v>
      </c>
      <c r="C780" s="10" t="s">
        <v>1758</v>
      </c>
      <c r="D780" s="10" t="s">
        <v>1208</v>
      </c>
      <c r="E780" s="10" t="s">
        <v>1574</v>
      </c>
      <c r="F780" s="10" t="s">
        <v>1214</v>
      </c>
      <c r="G780" s="10" t="s">
        <v>4370</v>
      </c>
      <c r="H780" s="11" t="s">
        <v>4371</v>
      </c>
      <c r="I780" s="11" t="s">
        <v>4372</v>
      </c>
      <c r="J780" s="10" t="s">
        <v>1559</v>
      </c>
      <c r="K780" s="10" t="s">
        <v>1560</v>
      </c>
      <c r="L780" s="10" t="s">
        <v>1578</v>
      </c>
      <c r="M780" s="10" t="s">
        <v>1214</v>
      </c>
      <c r="N780" s="10">
        <v>48</v>
      </c>
      <c r="O780" s="11">
        <v>140</v>
      </c>
      <c r="P780" s="11">
        <v>0.14000000000000001</v>
      </c>
      <c r="Q780" s="10" t="s">
        <v>1562</v>
      </c>
      <c r="R780" s="10">
        <v>80</v>
      </c>
      <c r="S780" s="12">
        <v>22</v>
      </c>
      <c r="T780" s="13">
        <v>23858</v>
      </c>
      <c r="U780" s="14">
        <v>3340.1200000000003</v>
      </c>
      <c r="V780" s="10">
        <v>8.44</v>
      </c>
      <c r="W780" s="15">
        <v>201361.52</v>
      </c>
      <c r="X780" s="29">
        <f>VLOOKUP($F780,Agendamento!$B:$J,9,0)</f>
        <v>46085</v>
      </c>
      <c r="Y780" s="6">
        <f>COUNTIF(Analise!F:F,'Obras e Acervos'!H780)</f>
        <v>1</v>
      </c>
    </row>
    <row r="781" spans="1:25" ht="15" customHeight="1" x14ac:dyDescent="0.25">
      <c r="A781" s="10" t="str">
        <f>CONCATENATE(LEFT(C781,12),"-",RIGHT(C781,2),"_",TEXT(X781,"ddmmaaaa"),"_",COUNTIF($C$2:C781,C781))</f>
        <v>011836140001-19_03022026_2</v>
      </c>
      <c r="B781" s="10" t="str">
        <f>CONCATENATE(LEFT(C781,12),"-",RIGHT(C781,2),"_",COUNTIF($C$2:C781,C781))</f>
        <v>011836140001-19_2</v>
      </c>
      <c r="C781" s="10" t="s">
        <v>3028</v>
      </c>
      <c r="D781" s="10" t="s">
        <v>6102</v>
      </c>
      <c r="E781" s="10" t="s">
        <v>1574</v>
      </c>
      <c r="F781" s="10" t="s">
        <v>125</v>
      </c>
      <c r="G781" s="10" t="s">
        <v>4373</v>
      </c>
      <c r="H781" s="11" t="s">
        <v>4374</v>
      </c>
      <c r="I781" s="11" t="s">
        <v>4375</v>
      </c>
      <c r="J781" s="10" t="s">
        <v>1559</v>
      </c>
      <c r="K781" s="10" t="s">
        <v>1560</v>
      </c>
      <c r="L781" s="10" t="s">
        <v>1578</v>
      </c>
      <c r="M781" s="10" t="s">
        <v>6256</v>
      </c>
      <c r="N781" s="10">
        <v>80</v>
      </c>
      <c r="O781" s="11">
        <v>197</v>
      </c>
      <c r="P781" s="11">
        <v>0.19700000000000001</v>
      </c>
      <c r="Q781" s="10" t="s">
        <v>1562</v>
      </c>
      <c r="R781" s="10">
        <v>75</v>
      </c>
      <c r="S781" s="12">
        <v>22</v>
      </c>
      <c r="T781" s="13">
        <v>23707</v>
      </c>
      <c r="U781" s="14">
        <v>4670.2790000000005</v>
      </c>
      <c r="V781" s="10">
        <v>12.02</v>
      </c>
      <c r="W781" s="15">
        <v>284958.14</v>
      </c>
      <c r="X781" s="29">
        <f>VLOOKUP($F781,Agendamento!$B:$J,9,0)</f>
        <v>46056</v>
      </c>
      <c r="Y781" s="6">
        <f>COUNTIF(Analise!F:F,'Obras e Acervos'!H781)</f>
        <v>1</v>
      </c>
    </row>
    <row r="782" spans="1:25" ht="15" customHeight="1" x14ac:dyDescent="0.25">
      <c r="A782" s="10" t="str">
        <f>CONCATENATE(LEFT(C782,12),"-",RIGHT(C782,2),"_",TEXT(X782,"ddmmaaaa"),"_",COUNTIF($C$2:C782,C782))</f>
        <v>220572610001-80_18022026_2</v>
      </c>
      <c r="B782" s="10" t="str">
        <f>CONCATENATE(LEFT(C782,12),"-",RIGHT(C782,2),"_",COUNTIF($C$2:C782,C782))</f>
        <v>220572610001-80_2</v>
      </c>
      <c r="C782" s="10" t="s">
        <v>2234</v>
      </c>
      <c r="D782" s="10" t="s">
        <v>564</v>
      </c>
      <c r="E782" s="10" t="s">
        <v>1574</v>
      </c>
      <c r="F782" s="10" t="s">
        <v>565</v>
      </c>
      <c r="G782" s="10" t="s">
        <v>4376</v>
      </c>
      <c r="H782" s="11" t="s">
        <v>4377</v>
      </c>
      <c r="I782" s="11" t="s">
        <v>4378</v>
      </c>
      <c r="J782" s="10" t="s">
        <v>1559</v>
      </c>
      <c r="K782" s="10" t="s">
        <v>1560</v>
      </c>
      <c r="L782" s="10" t="s">
        <v>1578</v>
      </c>
      <c r="M782" s="10" t="s">
        <v>565</v>
      </c>
      <c r="N782" s="10">
        <v>56</v>
      </c>
      <c r="O782" s="11">
        <v>155</v>
      </c>
      <c r="P782" s="11">
        <v>0.155</v>
      </c>
      <c r="Q782" s="10" t="s">
        <v>1562</v>
      </c>
      <c r="R782" s="10">
        <v>80</v>
      </c>
      <c r="S782" s="12">
        <v>22</v>
      </c>
      <c r="T782" s="13">
        <v>23889</v>
      </c>
      <c r="U782" s="14">
        <v>3702.7950000000001</v>
      </c>
      <c r="V782" s="10">
        <v>9.4</v>
      </c>
      <c r="W782" s="15">
        <v>224556.6</v>
      </c>
      <c r="X782" s="29">
        <f>VLOOKUP($F782,Agendamento!$B:$J,9,0)</f>
        <v>46071</v>
      </c>
      <c r="Y782" s="6">
        <f>COUNTIF(Analise!F:F,'Obras e Acervos'!H782)</f>
        <v>1</v>
      </c>
    </row>
    <row r="783" spans="1:25" ht="15" customHeight="1" x14ac:dyDescent="0.25">
      <c r="A783" s="10" t="str">
        <f>CONCATENATE(LEFT(C783,12),"-",RIGHT(C783,2),"_",TEXT(X783,"ddmmaaaa"),"_",COUNTIF($C$2:C783,C783))</f>
        <v>210444580001-12_26022026_1</v>
      </c>
      <c r="B783" s="10" t="str">
        <f>CONCATENATE(LEFT(C783,12),"-",RIGHT(C783,2),"_",COUNTIF($C$2:C783,C783))</f>
        <v>210444580001-12_1</v>
      </c>
      <c r="C783" s="10" t="s">
        <v>4379</v>
      </c>
      <c r="D783" s="10" t="s">
        <v>6164</v>
      </c>
      <c r="E783" s="10" t="s">
        <v>1574</v>
      </c>
      <c r="F783" s="10" t="s">
        <v>901</v>
      </c>
      <c r="G783" s="10" t="s">
        <v>4380</v>
      </c>
      <c r="H783" s="11" t="s">
        <v>4381</v>
      </c>
      <c r="I783" s="11" t="s">
        <v>4382</v>
      </c>
      <c r="J783" s="10" t="s">
        <v>1559</v>
      </c>
      <c r="K783" s="10" t="s">
        <v>1560</v>
      </c>
      <c r="L783" s="10" t="s">
        <v>1578</v>
      </c>
      <c r="M783" s="10" t="s">
        <v>901</v>
      </c>
      <c r="N783" s="10">
        <v>40</v>
      </c>
      <c r="O783" s="11">
        <v>124</v>
      </c>
      <c r="P783" s="11">
        <v>0.124</v>
      </c>
      <c r="Q783" s="10" t="s">
        <v>1599</v>
      </c>
      <c r="R783" s="10">
        <v>80</v>
      </c>
      <c r="S783" s="12">
        <v>22</v>
      </c>
      <c r="T783" s="13">
        <v>24722</v>
      </c>
      <c r="U783" s="14">
        <v>3065.5279999999998</v>
      </c>
      <c r="V783" s="10">
        <v>7.46</v>
      </c>
      <c r="W783" s="15">
        <v>184426.12</v>
      </c>
      <c r="X783" s="29">
        <f>VLOOKUP($F783,Agendamento!$B:$J,9,0)</f>
        <v>46079</v>
      </c>
      <c r="Y783" s="6">
        <f>COUNTIF(Analise!F:F,'Obras e Acervos'!H783)</f>
        <v>1</v>
      </c>
    </row>
    <row r="784" spans="1:25" ht="15" customHeight="1" x14ac:dyDescent="0.25">
      <c r="A784" s="10" t="str">
        <f>CONCATENATE(LEFT(C784,12),"-",RIGHT(C784,2),"_",TEXT(X784,"ddmmaaaa"),"_",COUNTIF($C$2:C784,C784))</f>
        <v>200001830001-52_11022026_2</v>
      </c>
      <c r="B784" s="10" t="str">
        <f>CONCATENATE(LEFT(C784,12),"-",RIGHT(C784,2),"_",COUNTIF($C$2:C784,C784))</f>
        <v>200001830001-52_2</v>
      </c>
      <c r="C784" s="10" t="s">
        <v>2582</v>
      </c>
      <c r="D784" s="10" t="s">
        <v>305</v>
      </c>
      <c r="E784" s="10" t="s">
        <v>1574</v>
      </c>
      <c r="F784" s="10" t="s">
        <v>306</v>
      </c>
      <c r="G784" s="10" t="s">
        <v>4383</v>
      </c>
      <c r="H784" s="11" t="s">
        <v>4384</v>
      </c>
      <c r="I784" s="11" t="s">
        <v>4385</v>
      </c>
      <c r="J784" s="10" t="s">
        <v>1559</v>
      </c>
      <c r="K784" s="10" t="s">
        <v>1560</v>
      </c>
      <c r="L784" s="10" t="s">
        <v>1578</v>
      </c>
      <c r="M784" s="10" t="s">
        <v>306</v>
      </c>
      <c r="N784" s="10">
        <v>128</v>
      </c>
      <c r="O784" s="11">
        <v>303</v>
      </c>
      <c r="P784" s="11">
        <v>0.30299999999999999</v>
      </c>
      <c r="Q784" s="10" t="s">
        <v>1562</v>
      </c>
      <c r="R784" s="10">
        <v>80</v>
      </c>
      <c r="S784" s="12">
        <v>22</v>
      </c>
      <c r="T784" s="13">
        <v>23676</v>
      </c>
      <c r="U784" s="14">
        <v>7173.8279999999995</v>
      </c>
      <c r="V784" s="10">
        <v>17.88</v>
      </c>
      <c r="W784" s="15">
        <v>423326.88</v>
      </c>
      <c r="X784" s="29">
        <f>VLOOKUP($F784,Agendamento!$B:$J,9,0)</f>
        <v>46064</v>
      </c>
      <c r="Y784" s="6">
        <f>COUNTIF(Analise!F:F,'Obras e Acervos'!H784)</f>
        <v>1</v>
      </c>
    </row>
    <row r="785" spans="1:25" ht="15" customHeight="1" x14ac:dyDescent="0.25">
      <c r="A785" s="10" t="str">
        <f>CONCATENATE(LEFT(C785,12),"-",RIGHT(C785,2),"_",TEXT(X785,"ddmmaaaa"),"_",COUNTIF($C$2:C785,C785))</f>
        <v>434112740001-86_04032026_2</v>
      </c>
      <c r="B785" s="10" t="str">
        <f>CONCATENATE(LEFT(C785,12),"-",RIGHT(C785,2),"_",COUNTIF($C$2:C785,C785))</f>
        <v>434112740001-86_2</v>
      </c>
      <c r="C785" s="10" t="s">
        <v>2725</v>
      </c>
      <c r="D785" s="10" t="s">
        <v>1194</v>
      </c>
      <c r="E785" s="10" t="s">
        <v>1574</v>
      </c>
      <c r="F785" s="10" t="s">
        <v>1195</v>
      </c>
      <c r="G785" s="10" t="s">
        <v>4386</v>
      </c>
      <c r="H785" s="11" t="s">
        <v>4387</v>
      </c>
      <c r="I785" s="11" t="s">
        <v>4388</v>
      </c>
      <c r="J785" s="10" t="s">
        <v>1559</v>
      </c>
      <c r="K785" s="10" t="s">
        <v>1560</v>
      </c>
      <c r="L785" s="10" t="s">
        <v>1578</v>
      </c>
      <c r="M785" s="10" t="s">
        <v>1195</v>
      </c>
      <c r="N785" s="10">
        <v>32</v>
      </c>
      <c r="O785" s="11">
        <v>68</v>
      </c>
      <c r="P785" s="11">
        <v>6.8000000000000005E-2</v>
      </c>
      <c r="Q785" s="10" t="s">
        <v>1562</v>
      </c>
      <c r="R785" s="10">
        <v>80</v>
      </c>
      <c r="S785" s="12">
        <v>22</v>
      </c>
      <c r="T785" s="13">
        <v>26313</v>
      </c>
      <c r="U785" s="14">
        <v>1789.2840000000001</v>
      </c>
      <c r="V785" s="10">
        <v>6.45</v>
      </c>
      <c r="W785" s="15">
        <v>169718.85</v>
      </c>
      <c r="X785" s="29">
        <f>VLOOKUP($F785,Agendamento!$B:$J,9,0)</f>
        <v>46085</v>
      </c>
      <c r="Y785" s="6">
        <f>COUNTIF(Analise!F:F,'Obras e Acervos'!H785)</f>
        <v>1</v>
      </c>
    </row>
    <row r="786" spans="1:25" ht="15" customHeight="1" x14ac:dyDescent="0.25">
      <c r="A786" s="10" t="str">
        <f>CONCATENATE(LEFT(C786,12),"-",RIGHT(C786,2),"_",TEXT(X786,"ddmmaaaa"),"_",COUNTIF($C$2:C786,C786))</f>
        <v>037967580001-76_23022026_2</v>
      </c>
      <c r="B786" s="10" t="str">
        <f>CONCATENATE(LEFT(C786,12),"-",RIGHT(C786,2),"_",COUNTIF($C$2:C786,C786))</f>
        <v>037967580001-76_2</v>
      </c>
      <c r="C786" s="10" t="s">
        <v>2414</v>
      </c>
      <c r="D786" s="10" t="s">
        <v>735</v>
      </c>
      <c r="E786" s="10" t="s">
        <v>1574</v>
      </c>
      <c r="F786" s="10" t="s">
        <v>736</v>
      </c>
      <c r="G786" s="10" t="s">
        <v>4389</v>
      </c>
      <c r="H786" s="11" t="s">
        <v>4390</v>
      </c>
      <c r="I786" s="11" t="s">
        <v>4391</v>
      </c>
      <c r="J786" s="10" t="s">
        <v>1559</v>
      </c>
      <c r="K786" s="10" t="s">
        <v>1560</v>
      </c>
      <c r="L786" s="10" t="s">
        <v>1578</v>
      </c>
      <c r="M786" s="10" t="s">
        <v>736</v>
      </c>
      <c r="N786" s="10">
        <v>48</v>
      </c>
      <c r="O786" s="11">
        <v>230</v>
      </c>
      <c r="P786" s="11">
        <v>0.23</v>
      </c>
      <c r="Q786" s="10" t="s">
        <v>1562</v>
      </c>
      <c r="R786" s="10">
        <v>80</v>
      </c>
      <c r="S786" s="12">
        <v>22</v>
      </c>
      <c r="T786" s="13">
        <v>37130</v>
      </c>
      <c r="U786" s="14">
        <v>8539.9</v>
      </c>
      <c r="V786" s="10">
        <v>7.63</v>
      </c>
      <c r="W786" s="15">
        <v>283301.90000000002</v>
      </c>
      <c r="X786" s="29">
        <f>VLOOKUP($F786,Agendamento!$B:$J,9,0)</f>
        <v>46076</v>
      </c>
      <c r="Y786" s="6">
        <f>COUNTIF(Analise!F:F,'Obras e Acervos'!H786)</f>
        <v>1</v>
      </c>
    </row>
    <row r="787" spans="1:25" ht="15" customHeight="1" x14ac:dyDescent="0.25">
      <c r="A787" s="10" t="str">
        <f>CONCATENATE(LEFT(C787,12),"-",RIGHT(C787,2),"_",TEXT(X787,"ddmmaaaa"),"_",COUNTIF($C$2:C787,C787))</f>
        <v>049468200001-21_13022026_1</v>
      </c>
      <c r="B787" s="10" t="str">
        <f>CONCATENATE(LEFT(C787,12),"-",RIGHT(C787,2),"_",COUNTIF($C$2:C787,C787))</f>
        <v>049468200001-21_1</v>
      </c>
      <c r="C787" s="10" t="s">
        <v>4392</v>
      </c>
      <c r="D787" s="10" t="s">
        <v>6165</v>
      </c>
      <c r="E787" s="10" t="s">
        <v>1574</v>
      </c>
      <c r="F787" s="10" t="s">
        <v>486</v>
      </c>
      <c r="G787" s="10" t="s">
        <v>4393</v>
      </c>
      <c r="H787" s="11" t="s">
        <v>4394</v>
      </c>
      <c r="I787" s="11" t="s">
        <v>4395</v>
      </c>
      <c r="J787" s="10" t="s">
        <v>1559</v>
      </c>
      <c r="K787" s="10" t="s">
        <v>1560</v>
      </c>
      <c r="L787" s="10" t="s">
        <v>1578</v>
      </c>
      <c r="M787" s="10" t="s">
        <v>486</v>
      </c>
      <c r="N787" s="10">
        <v>104</v>
      </c>
      <c r="O787" s="11">
        <v>330</v>
      </c>
      <c r="P787" s="11">
        <v>0.33</v>
      </c>
      <c r="Q787" s="10" t="s">
        <v>1562</v>
      </c>
      <c r="R787" s="10">
        <v>80</v>
      </c>
      <c r="S787" s="12">
        <v>22</v>
      </c>
      <c r="T787" s="13">
        <v>23676</v>
      </c>
      <c r="U787" s="14">
        <v>7813.08</v>
      </c>
      <c r="V787" s="10">
        <v>15.05</v>
      </c>
      <c r="W787" s="15">
        <v>356323.8</v>
      </c>
      <c r="X787" s="29">
        <f>VLOOKUP($F787,Agendamento!$B:$J,9,0)</f>
        <v>46066</v>
      </c>
      <c r="Y787" s="6">
        <f>COUNTIF(Analise!F:F,'Obras e Acervos'!H787)</f>
        <v>1</v>
      </c>
    </row>
    <row r="788" spans="1:25" ht="15" customHeight="1" x14ac:dyDescent="0.25">
      <c r="A788" s="10" t="str">
        <f>CONCATENATE(LEFT(C788,12),"-",RIGHT(C788,2),"_",TEXT(X788,"ddmmaaaa"),"_",COUNTIF($C$2:C788,C788))</f>
        <v>439541750001-40_03032026_2</v>
      </c>
      <c r="B788" s="10" t="str">
        <f>CONCATENATE(LEFT(C788,12),"-",RIGHT(C788,2),"_",COUNTIF($C$2:C788,C788))</f>
        <v>439541750001-40_2</v>
      </c>
      <c r="C788" s="10" t="s">
        <v>2422</v>
      </c>
      <c r="D788" s="10" t="s">
        <v>6014</v>
      </c>
      <c r="E788" s="10" t="s">
        <v>1574</v>
      </c>
      <c r="F788" s="10" t="s">
        <v>1274</v>
      </c>
      <c r="G788" s="10" t="s">
        <v>4396</v>
      </c>
      <c r="H788" s="11" t="s">
        <v>4397</v>
      </c>
      <c r="I788" s="11" t="s">
        <v>4398</v>
      </c>
      <c r="J788" s="10" t="s">
        <v>1559</v>
      </c>
      <c r="K788" s="10" t="s">
        <v>1560</v>
      </c>
      <c r="L788" s="10" t="s">
        <v>1578</v>
      </c>
      <c r="M788" s="10" t="s">
        <v>1274</v>
      </c>
      <c r="N788" s="10">
        <v>0</v>
      </c>
      <c r="O788" s="11">
        <v>61</v>
      </c>
      <c r="P788" s="11">
        <v>6.0999999999999999E-2</v>
      </c>
      <c r="Q788" s="10" t="s">
        <v>1608</v>
      </c>
      <c r="R788" s="10">
        <v>80</v>
      </c>
      <c r="S788" s="12">
        <v>22</v>
      </c>
      <c r="T788" s="13">
        <v>23676</v>
      </c>
      <c r="U788" s="14">
        <v>1444.2359999999999</v>
      </c>
      <c r="V788" s="10">
        <v>7.3</v>
      </c>
      <c r="W788" s="15">
        <v>172834.8</v>
      </c>
      <c r="X788" s="29">
        <f>VLOOKUP($F788,Agendamento!$B:$J,9,0)</f>
        <v>46084</v>
      </c>
      <c r="Y788" s="6">
        <f>COUNTIF(Analise!F:F,'Obras e Acervos'!H788)</f>
        <v>1</v>
      </c>
    </row>
    <row r="789" spans="1:25" ht="15" customHeight="1" x14ac:dyDescent="0.25">
      <c r="A789" s="10" t="str">
        <f>CONCATENATE(LEFT(C789,12),"-",RIGHT(C789,2),"_",TEXT(X789,"ddmmaaaa"),"_",COUNTIF($C$2:C789,C789))</f>
        <v>137508740001-08_27022026_2</v>
      </c>
      <c r="B789" s="10" t="str">
        <f>CONCATENATE(LEFT(C789,12),"-",RIGHT(C789,2),"_",COUNTIF($C$2:C789,C789))</f>
        <v>137508740001-08_2</v>
      </c>
      <c r="C789" s="10" t="s">
        <v>3072</v>
      </c>
      <c r="D789" s="10" t="s">
        <v>6107</v>
      </c>
      <c r="E789" s="10" t="s">
        <v>1574</v>
      </c>
      <c r="F789" s="10" t="s">
        <v>1010</v>
      </c>
      <c r="G789" s="10" t="s">
        <v>4399</v>
      </c>
      <c r="H789" s="11" t="s">
        <v>4400</v>
      </c>
      <c r="I789" s="11" t="s">
        <v>4401</v>
      </c>
      <c r="J789" s="10" t="s">
        <v>1559</v>
      </c>
      <c r="K789" s="10" t="s">
        <v>1560</v>
      </c>
      <c r="L789" s="10" t="s">
        <v>1578</v>
      </c>
      <c r="M789" s="10" t="s">
        <v>1010</v>
      </c>
      <c r="N789" s="10">
        <v>36</v>
      </c>
      <c r="O789" s="11">
        <v>110</v>
      </c>
      <c r="P789" s="11">
        <v>0.11</v>
      </c>
      <c r="Q789" s="10" t="s">
        <v>1562</v>
      </c>
      <c r="R789" s="10">
        <v>80</v>
      </c>
      <c r="S789" s="12">
        <v>22</v>
      </c>
      <c r="T789" s="13">
        <v>23646</v>
      </c>
      <c r="U789" s="14">
        <v>2601.06</v>
      </c>
      <c r="V789" s="10">
        <v>7.05</v>
      </c>
      <c r="W789" s="15">
        <v>166704.29999999999</v>
      </c>
      <c r="X789" s="29">
        <f>VLOOKUP($F789,Agendamento!$B:$J,9,0)</f>
        <v>46080</v>
      </c>
      <c r="Y789" s="6">
        <f>COUNTIF(Analise!F:F,'Obras e Acervos'!H789)</f>
        <v>1</v>
      </c>
    </row>
    <row r="790" spans="1:25" ht="15" customHeight="1" x14ac:dyDescent="0.25">
      <c r="A790" s="10" t="str">
        <f>CONCATENATE(LEFT(C790,12),"-",RIGHT(C790,2),"_",TEXT(X790,"ddmmaaaa"),"_",COUNTIF($C$2:C790,C790))</f>
        <v>279069880001-09_13022026_1</v>
      </c>
      <c r="B790" s="10" t="str">
        <f>CONCATENATE(LEFT(C790,12),"-",RIGHT(C790,2),"_",COUNTIF($C$2:C790,C790))</f>
        <v>279069880001-09_1</v>
      </c>
      <c r="C790" s="10" t="s">
        <v>4402</v>
      </c>
      <c r="D790" s="10" t="s">
        <v>6166</v>
      </c>
      <c r="E790" s="10" t="s">
        <v>1574</v>
      </c>
      <c r="F790" s="10" t="s">
        <v>462</v>
      </c>
      <c r="G790" s="10" t="s">
        <v>4403</v>
      </c>
      <c r="H790" s="11" t="s">
        <v>4404</v>
      </c>
      <c r="I790" s="11" t="s">
        <v>4405</v>
      </c>
      <c r="J790" s="10" t="s">
        <v>1559</v>
      </c>
      <c r="K790" s="10" t="s">
        <v>1560</v>
      </c>
      <c r="L790" s="10" t="s">
        <v>1578</v>
      </c>
      <c r="M790" s="10" t="s">
        <v>462</v>
      </c>
      <c r="N790" s="10">
        <v>56</v>
      </c>
      <c r="O790" s="11">
        <v>188</v>
      </c>
      <c r="P790" s="11">
        <v>0.188</v>
      </c>
      <c r="Q790" s="10" t="s">
        <v>1562</v>
      </c>
      <c r="R790" s="10">
        <v>80</v>
      </c>
      <c r="S790" s="12">
        <v>22</v>
      </c>
      <c r="T790" s="13">
        <v>46811</v>
      </c>
      <c r="U790" s="14">
        <v>8800.4680000000008</v>
      </c>
      <c r="V790" s="10">
        <v>7.38</v>
      </c>
      <c r="W790" s="15">
        <v>345465.18</v>
      </c>
      <c r="X790" s="29">
        <f>VLOOKUP($F790,Agendamento!$B:$J,9,0)</f>
        <v>46066</v>
      </c>
      <c r="Y790" s="6">
        <f>COUNTIF(Analise!F:F,'Obras e Acervos'!H790)</f>
        <v>1</v>
      </c>
    </row>
    <row r="791" spans="1:25" ht="15" customHeight="1" x14ac:dyDescent="0.25">
      <c r="A791" s="10" t="str">
        <f>CONCATENATE(LEFT(C791,12),"-",RIGHT(C791,2),"_",TEXT(X791,"ddmmaaaa"),"_",COUNTIF($C$2:C791,C791))</f>
        <v>436816100001-00_06032026_2</v>
      </c>
      <c r="B791" s="10" t="str">
        <f>CONCATENATE(LEFT(C791,12),"-",RIGHT(C791,2),"_",COUNTIF($C$2:C791,C791))</f>
        <v>436816100001-00_2</v>
      </c>
      <c r="C791" s="10" t="s">
        <v>2430</v>
      </c>
      <c r="D791" s="10" t="s">
        <v>6016</v>
      </c>
      <c r="E791" s="10" t="s">
        <v>1574</v>
      </c>
      <c r="F791" s="10" t="s">
        <v>1296</v>
      </c>
      <c r="G791" s="10" t="s">
        <v>4406</v>
      </c>
      <c r="H791" s="11" t="s">
        <v>4407</v>
      </c>
      <c r="I791" s="11" t="s">
        <v>4408</v>
      </c>
      <c r="J791" s="10" t="s">
        <v>1559</v>
      </c>
      <c r="K791" s="10" t="s">
        <v>1560</v>
      </c>
      <c r="L791" s="10" t="s">
        <v>1578</v>
      </c>
      <c r="M791" s="10" t="s">
        <v>1296</v>
      </c>
      <c r="N791" s="10">
        <v>160</v>
      </c>
      <c r="O791" s="11">
        <v>408</v>
      </c>
      <c r="P791" s="11">
        <v>0.40799999999999997</v>
      </c>
      <c r="Q791" s="10" t="s">
        <v>1562</v>
      </c>
      <c r="R791" s="10">
        <v>80</v>
      </c>
      <c r="S791" s="12">
        <v>22</v>
      </c>
      <c r="T791" s="13">
        <v>26525</v>
      </c>
      <c r="U791" s="14">
        <v>10822.199999999999</v>
      </c>
      <c r="V791" s="10">
        <v>21.49</v>
      </c>
      <c r="W791" s="15">
        <v>570022.25</v>
      </c>
      <c r="X791" s="29">
        <f>VLOOKUP($F791,Agendamento!$B:$J,9,0)</f>
        <v>46087</v>
      </c>
      <c r="Y791" s="6">
        <f>COUNTIF(Analise!F:F,'Obras e Acervos'!H791)</f>
        <v>1</v>
      </c>
    </row>
    <row r="792" spans="1:25" ht="15" customHeight="1" x14ac:dyDescent="0.25">
      <c r="A792" s="10" t="str">
        <f>CONCATENATE(LEFT(C792,12),"-",RIGHT(C792,2),"_",TEXT(X792,"ddmmaaaa"),"_",COUNTIF($C$2:C792,C792))</f>
        <v>421506520001-52_30012026_2</v>
      </c>
      <c r="B792" s="10" t="str">
        <f>CONCATENATE(LEFT(C792,12),"-",RIGHT(C792,2),"_",COUNTIF($C$2:C792,C792))</f>
        <v>421506520001-52_2</v>
      </c>
      <c r="C792" s="10" t="s">
        <v>2912</v>
      </c>
      <c r="D792" s="10" t="s">
        <v>6088</v>
      </c>
      <c r="E792" s="10" t="s">
        <v>1574</v>
      </c>
      <c r="F792" s="10" t="s">
        <v>120</v>
      </c>
      <c r="G792" s="10" t="s">
        <v>4409</v>
      </c>
      <c r="H792" s="11" t="s">
        <v>4410</v>
      </c>
      <c r="I792" s="11" t="s">
        <v>4411</v>
      </c>
      <c r="J792" s="10" t="s">
        <v>1559</v>
      </c>
      <c r="K792" s="10" t="s">
        <v>1560</v>
      </c>
      <c r="L792" s="10" t="s">
        <v>1578</v>
      </c>
      <c r="M792" s="10" t="s">
        <v>120</v>
      </c>
      <c r="N792" s="10">
        <v>32</v>
      </c>
      <c r="O792" s="11">
        <v>96</v>
      </c>
      <c r="P792" s="11">
        <v>9.6000000000000002E-2</v>
      </c>
      <c r="Q792" s="10" t="s">
        <v>1562</v>
      </c>
      <c r="R792" s="10">
        <v>75</v>
      </c>
      <c r="S792" s="12">
        <v>22</v>
      </c>
      <c r="T792" s="13">
        <v>23676</v>
      </c>
      <c r="U792" s="14">
        <v>2272.8960000000002</v>
      </c>
      <c r="V792" s="10">
        <v>6.5</v>
      </c>
      <c r="W792" s="15">
        <v>153894</v>
      </c>
      <c r="X792" s="29">
        <f>VLOOKUP($F792,Agendamento!$B:$J,9,0)</f>
        <v>46052</v>
      </c>
      <c r="Y792" s="6">
        <f>COUNTIF(Analise!F:F,'Obras e Acervos'!H792)</f>
        <v>1</v>
      </c>
    </row>
    <row r="793" spans="1:25" ht="15" customHeight="1" x14ac:dyDescent="0.25">
      <c r="A793" s="10" t="str">
        <f>CONCATENATE(LEFT(C793,12),"-",RIGHT(C793,2),"_",TEXT(X793,"ddmmaaaa"),"_",COUNTIF($C$2:C793,C793))</f>
        <v>084628850001-52_09032026_1</v>
      </c>
      <c r="B793" s="10" t="str">
        <f>CONCATENATE(LEFT(C793,12),"-",RIGHT(C793,2),"_",COUNTIF($C$2:C793,C793))</f>
        <v>084628850001-52_1</v>
      </c>
      <c r="C793" s="10" t="s">
        <v>4412</v>
      </c>
      <c r="D793" s="10" t="s">
        <v>6167</v>
      </c>
      <c r="E793" s="10" t="s">
        <v>1574</v>
      </c>
      <c r="F793" s="10" t="s">
        <v>1326</v>
      </c>
      <c r="G793" s="10" t="s">
        <v>4413</v>
      </c>
      <c r="H793" s="11" t="s">
        <v>4414</v>
      </c>
      <c r="I793" s="11" t="s">
        <v>4415</v>
      </c>
      <c r="J793" s="10" t="s">
        <v>1559</v>
      </c>
      <c r="K793" s="10" t="s">
        <v>1560</v>
      </c>
      <c r="L793" s="10" t="s">
        <v>1578</v>
      </c>
      <c r="M793" s="10" t="s">
        <v>1326</v>
      </c>
      <c r="N793" s="10">
        <v>44</v>
      </c>
      <c r="O793" s="11">
        <v>125</v>
      </c>
      <c r="P793" s="11">
        <v>0.125</v>
      </c>
      <c r="Q793" s="10" t="s">
        <v>1562</v>
      </c>
      <c r="R793" s="10">
        <v>80</v>
      </c>
      <c r="S793" s="12">
        <v>22</v>
      </c>
      <c r="T793" s="13">
        <v>23798</v>
      </c>
      <c r="U793" s="14">
        <v>2974.75</v>
      </c>
      <c r="V793" s="10">
        <v>7.99</v>
      </c>
      <c r="W793" s="15">
        <v>190146.02000000002</v>
      </c>
      <c r="X793" s="29">
        <f>VLOOKUP($F793,Agendamento!$B:$J,9,0)</f>
        <v>46090</v>
      </c>
      <c r="Y793" s="6">
        <f>COUNTIF(Analise!F:F,'Obras e Acervos'!H793)</f>
        <v>1</v>
      </c>
    </row>
    <row r="794" spans="1:25" ht="15" customHeight="1" x14ac:dyDescent="0.25">
      <c r="A794" s="10" t="str">
        <f>CONCATENATE(LEFT(C794,12),"-",RIGHT(C794,2),"_",TEXT(X794,"ddmmaaaa"),"_",COUNTIF($C$2:C794,C794))</f>
        <v>297790710001-16_23022026_2</v>
      </c>
      <c r="B794" s="10" t="str">
        <f>CONCATENATE(LEFT(C794,12),"-",RIGHT(C794,2),"_",COUNTIF($C$2:C794,C794))</f>
        <v>297790710001-16_2</v>
      </c>
      <c r="C794" s="10" t="s">
        <v>2123</v>
      </c>
      <c r="D794" s="10" t="s">
        <v>5969</v>
      </c>
      <c r="E794" s="10" t="s">
        <v>1574</v>
      </c>
      <c r="F794" s="10" t="s">
        <v>722</v>
      </c>
      <c r="G794" s="10" t="s">
        <v>4416</v>
      </c>
      <c r="H794" s="11" t="s">
        <v>4417</v>
      </c>
      <c r="I794" s="11" t="s">
        <v>4418</v>
      </c>
      <c r="J794" s="10" t="s">
        <v>1559</v>
      </c>
      <c r="K794" s="10" t="s">
        <v>1560</v>
      </c>
      <c r="L794" s="10" t="s">
        <v>1578</v>
      </c>
      <c r="M794" s="10" t="s">
        <v>722</v>
      </c>
      <c r="N794" s="10">
        <v>48</v>
      </c>
      <c r="O794" s="11">
        <v>143</v>
      </c>
      <c r="P794" s="11">
        <v>0.14299999999999999</v>
      </c>
      <c r="Q794" s="10" t="s">
        <v>1562</v>
      </c>
      <c r="R794" s="10">
        <v>80</v>
      </c>
      <c r="S794" s="12">
        <v>22</v>
      </c>
      <c r="T794" s="13">
        <v>23616</v>
      </c>
      <c r="U794" s="14">
        <v>3377.0879999999997</v>
      </c>
      <c r="V794" s="10">
        <v>8.4700000000000006</v>
      </c>
      <c r="W794" s="15">
        <v>200027.52000000002</v>
      </c>
      <c r="X794" s="29">
        <f>VLOOKUP($F794,Agendamento!$B:$J,9,0)</f>
        <v>46076</v>
      </c>
      <c r="Y794" s="6">
        <f>COUNTIF(Analise!F:F,'Obras e Acervos'!H794)</f>
        <v>1</v>
      </c>
    </row>
    <row r="795" spans="1:25" ht="15" customHeight="1" x14ac:dyDescent="0.25">
      <c r="A795" s="10" t="str">
        <f>CONCATENATE(LEFT(C795,12),"-",RIGHT(C795,2),"_",TEXT(X795,"ddmmaaaa"),"_",COUNTIF($C$2:C795,C795))</f>
        <v>339677750001-90_05022026_2</v>
      </c>
      <c r="B795" s="10" t="str">
        <f>CONCATENATE(LEFT(C795,12),"-",RIGHT(C795,2),"_",COUNTIF($C$2:C795,C795))</f>
        <v>339677750001-90_2</v>
      </c>
      <c r="C795" s="10" t="s">
        <v>2299</v>
      </c>
      <c r="D795" s="10" t="s">
        <v>5993</v>
      </c>
      <c r="E795" s="10" t="s">
        <v>1574</v>
      </c>
      <c r="F795" s="10" t="s">
        <v>165</v>
      </c>
      <c r="G795" s="10" t="s">
        <v>4419</v>
      </c>
      <c r="H795" s="11" t="s">
        <v>4420</v>
      </c>
      <c r="I795" s="11" t="s">
        <v>4421</v>
      </c>
      <c r="J795" s="10" t="s">
        <v>1559</v>
      </c>
      <c r="K795" s="10" t="s">
        <v>1560</v>
      </c>
      <c r="L795" s="10" t="s">
        <v>1578</v>
      </c>
      <c r="M795" s="10" t="s">
        <v>165</v>
      </c>
      <c r="N795" s="10">
        <v>32</v>
      </c>
      <c r="O795" s="11">
        <v>105</v>
      </c>
      <c r="P795" s="11">
        <v>0.105</v>
      </c>
      <c r="Q795" s="10" t="s">
        <v>1562</v>
      </c>
      <c r="R795" s="10">
        <v>80</v>
      </c>
      <c r="S795" s="12">
        <v>22</v>
      </c>
      <c r="T795" s="13">
        <v>24025</v>
      </c>
      <c r="U795" s="14">
        <v>2522.625</v>
      </c>
      <c r="V795" s="10">
        <v>6.57</v>
      </c>
      <c r="W795" s="15">
        <v>157844.25</v>
      </c>
      <c r="X795" s="29">
        <f>VLOOKUP($F795,Agendamento!$B:$J,9,0)</f>
        <v>46058</v>
      </c>
      <c r="Y795" s="6">
        <f>COUNTIF(Analise!F:F,'Obras e Acervos'!H795)</f>
        <v>1</v>
      </c>
    </row>
    <row r="796" spans="1:25" ht="15" customHeight="1" x14ac:dyDescent="0.25">
      <c r="A796" s="10" t="str">
        <f>CONCATENATE(LEFT(C796,12),"-",RIGHT(C796,2),"_",TEXT(X796,"ddmmaaaa"),"_",COUNTIF($C$2:C796,C796))</f>
        <v>020228400001-80_16022026_2</v>
      </c>
      <c r="B796" s="10" t="str">
        <f>CONCATENATE(LEFT(C796,12),"-",RIGHT(C796,2),"_",COUNTIF($C$2:C796,C796))</f>
        <v>020228400001-80_2</v>
      </c>
      <c r="C796" s="10" t="s">
        <v>2773</v>
      </c>
      <c r="D796" s="10" t="s">
        <v>6067</v>
      </c>
      <c r="E796" s="10" t="s">
        <v>1574</v>
      </c>
      <c r="F796" s="10" t="s">
        <v>524</v>
      </c>
      <c r="G796" s="10" t="s">
        <v>4422</v>
      </c>
      <c r="H796" s="11" t="s">
        <v>4423</v>
      </c>
      <c r="I796" s="11" t="s">
        <v>4424</v>
      </c>
      <c r="J796" s="10" t="s">
        <v>1559</v>
      </c>
      <c r="K796" s="10" t="s">
        <v>1560</v>
      </c>
      <c r="L796" s="10" t="s">
        <v>1578</v>
      </c>
      <c r="M796" s="10" t="s">
        <v>524</v>
      </c>
      <c r="N796" s="10">
        <v>36</v>
      </c>
      <c r="O796" s="11">
        <v>100</v>
      </c>
      <c r="P796" s="11">
        <v>0.1</v>
      </c>
      <c r="Q796" s="10" t="s">
        <v>1599</v>
      </c>
      <c r="R796" s="10">
        <v>80</v>
      </c>
      <c r="S796" s="12">
        <v>22</v>
      </c>
      <c r="T796" s="13">
        <v>23813</v>
      </c>
      <c r="U796" s="14">
        <v>2381.3000000000002</v>
      </c>
      <c r="V796" s="10">
        <v>7.04</v>
      </c>
      <c r="W796" s="15">
        <v>167643.51999999999</v>
      </c>
      <c r="X796" s="29">
        <f>VLOOKUP($F796,Agendamento!$B:$J,9,0)</f>
        <v>46069</v>
      </c>
      <c r="Y796" s="6">
        <f>COUNTIF(Analise!F:F,'Obras e Acervos'!H796)</f>
        <v>1</v>
      </c>
    </row>
    <row r="797" spans="1:25" ht="15" customHeight="1" x14ac:dyDescent="0.25">
      <c r="A797" s="10" t="str">
        <f>CONCATENATE(LEFT(C797,12),"-",RIGHT(C797,2),"_",TEXT(X797,"ddmmaaaa"),"_",COUNTIF($C$2:C797,C797))</f>
        <v>084891540001-09_10032026_1</v>
      </c>
      <c r="B797" s="10" t="str">
        <f>CONCATENATE(LEFT(C797,12),"-",RIGHT(C797,2),"_",COUNTIF($C$2:C797,C797))</f>
        <v>084891540001-09_1</v>
      </c>
      <c r="C797" s="10" t="s">
        <v>4425</v>
      </c>
      <c r="D797" s="10" t="s">
        <v>1340</v>
      </c>
      <c r="E797" s="10" t="s">
        <v>1574</v>
      </c>
      <c r="F797" s="10" t="s">
        <v>1341</v>
      </c>
      <c r="G797" s="10" t="s">
        <v>4426</v>
      </c>
      <c r="H797" s="11" t="s">
        <v>4427</v>
      </c>
      <c r="I797" s="11" t="s">
        <v>4428</v>
      </c>
      <c r="J797" s="10" t="s">
        <v>1559</v>
      </c>
      <c r="K797" s="10" t="s">
        <v>1560</v>
      </c>
      <c r="L797" s="10" t="s">
        <v>1578</v>
      </c>
      <c r="M797" s="10" t="s">
        <v>1341</v>
      </c>
      <c r="N797" s="10">
        <v>40</v>
      </c>
      <c r="O797" s="11">
        <v>130</v>
      </c>
      <c r="P797" s="11">
        <v>0.13</v>
      </c>
      <c r="Q797" s="10" t="s">
        <v>1562</v>
      </c>
      <c r="R797" s="10">
        <v>80</v>
      </c>
      <c r="S797" s="12">
        <v>22</v>
      </c>
      <c r="T797" s="13">
        <v>23889</v>
      </c>
      <c r="U797" s="14">
        <v>3105.57</v>
      </c>
      <c r="V797" s="10">
        <v>7.52</v>
      </c>
      <c r="W797" s="15">
        <v>179645.28</v>
      </c>
      <c r="X797" s="29">
        <f>VLOOKUP($F797,Agendamento!$B:$J,9,0)</f>
        <v>46091</v>
      </c>
      <c r="Y797" s="6">
        <f>COUNTIF(Analise!F:F,'Obras e Acervos'!H797)</f>
        <v>1</v>
      </c>
    </row>
    <row r="798" spans="1:25" ht="15" customHeight="1" x14ac:dyDescent="0.25">
      <c r="A798" s="10" t="str">
        <f>CONCATENATE(LEFT(C798,12),"-",RIGHT(C798,2),"_",TEXT(X798,"ddmmaaaa"),"_",COUNTIF($C$2:C798,C798))</f>
        <v>050299360001-69_16022026_2</v>
      </c>
      <c r="B798" s="10" t="str">
        <f>CONCATENATE(LEFT(C798,12),"-",RIGHT(C798,2),"_",COUNTIF($C$2:C798,C798))</f>
        <v>050299360001-69_2</v>
      </c>
      <c r="C798" s="10" t="s">
        <v>1992</v>
      </c>
      <c r="D798" s="10" t="s">
        <v>531</v>
      </c>
      <c r="E798" s="10" t="s">
        <v>1574</v>
      </c>
      <c r="F798" s="10" t="s">
        <v>533</v>
      </c>
      <c r="G798" s="10" t="s">
        <v>4429</v>
      </c>
      <c r="H798" s="11" t="s">
        <v>4430</v>
      </c>
      <c r="I798" s="11" t="s">
        <v>4431</v>
      </c>
      <c r="J798" s="10" t="s">
        <v>1559</v>
      </c>
      <c r="K798" s="10" t="s">
        <v>1560</v>
      </c>
      <c r="L798" s="10" t="s">
        <v>1578</v>
      </c>
      <c r="M798" s="10" t="s">
        <v>533</v>
      </c>
      <c r="N798" s="10">
        <v>96</v>
      </c>
      <c r="O798" s="11">
        <v>245</v>
      </c>
      <c r="P798" s="11">
        <v>0.245</v>
      </c>
      <c r="Q798" s="10" t="s">
        <v>1562</v>
      </c>
      <c r="R798" s="10">
        <v>80</v>
      </c>
      <c r="S798" s="12">
        <v>22</v>
      </c>
      <c r="T798" s="13">
        <v>24267</v>
      </c>
      <c r="U798" s="14">
        <v>5945.415</v>
      </c>
      <c r="V798" s="10">
        <v>14.07</v>
      </c>
      <c r="W798" s="15">
        <v>341436.69</v>
      </c>
      <c r="X798" s="29">
        <f>VLOOKUP($F798,Agendamento!$B:$J,9,0)</f>
        <v>46069</v>
      </c>
      <c r="Y798" s="6">
        <f>COUNTIF(Analise!F:F,'Obras e Acervos'!H798)</f>
        <v>1</v>
      </c>
    </row>
    <row r="799" spans="1:25" ht="15" customHeight="1" x14ac:dyDescent="0.25">
      <c r="A799" s="10" t="str">
        <f>CONCATENATE(LEFT(C799,12),"-",RIGHT(C799,2),"_",TEXT(X799,"ddmmaaaa"),"_",COUNTIF($C$2:C799,C799))</f>
        <v>442288110001-10_09022026_2</v>
      </c>
      <c r="B799" s="10" t="str">
        <f>CONCATENATE(LEFT(C799,12),"-",RIGHT(C799,2),"_",COUNTIF($C$2:C799,C799))</f>
        <v>442288110001-10_2</v>
      </c>
      <c r="C799" s="10" t="s">
        <v>2163</v>
      </c>
      <c r="D799" s="10" t="s">
        <v>5973</v>
      </c>
      <c r="E799" s="10" t="s">
        <v>1574</v>
      </c>
      <c r="F799" s="10" t="s">
        <v>222</v>
      </c>
      <c r="G799" s="10" t="s">
        <v>4432</v>
      </c>
      <c r="H799" s="11" t="s">
        <v>4433</v>
      </c>
      <c r="I799" s="11" t="s">
        <v>4434</v>
      </c>
      <c r="J799" s="10" t="s">
        <v>1559</v>
      </c>
      <c r="K799" s="10" t="s">
        <v>1560</v>
      </c>
      <c r="L799" s="10" t="s">
        <v>1578</v>
      </c>
      <c r="M799" s="10" t="s">
        <v>222</v>
      </c>
      <c r="N799" s="10">
        <v>32</v>
      </c>
      <c r="O799" s="11">
        <v>77</v>
      </c>
      <c r="P799" s="11">
        <v>7.6999999999999999E-2</v>
      </c>
      <c r="Q799" s="10" t="s">
        <v>1562</v>
      </c>
      <c r="R799" s="10">
        <v>80</v>
      </c>
      <c r="S799" s="12">
        <v>22</v>
      </c>
      <c r="T799" s="13">
        <v>23843</v>
      </c>
      <c r="U799" s="14">
        <v>1835.9110000000001</v>
      </c>
      <c r="V799" s="10">
        <v>6.57</v>
      </c>
      <c r="W799" s="15">
        <v>156648.51</v>
      </c>
      <c r="X799" s="29">
        <f>VLOOKUP($F799,Agendamento!$B:$J,9,0)</f>
        <v>46062</v>
      </c>
      <c r="Y799" s="6">
        <f>COUNTIF(Analise!F:F,'Obras e Acervos'!H799)</f>
        <v>1</v>
      </c>
    </row>
    <row r="800" spans="1:25" ht="15" customHeight="1" x14ac:dyDescent="0.25">
      <c r="A800" s="10" t="str">
        <f>CONCATENATE(LEFT(C800,12),"-",RIGHT(C800,2),"_",TEXT(X800,"ddmmaaaa"),"_",COUNTIF($C$2:C800,C800))</f>
        <v>442999360001-30_26022026_2</v>
      </c>
      <c r="B800" s="10" t="str">
        <f>CONCATENATE(LEFT(C800,12),"-",RIGHT(C800,2),"_",COUNTIF($C$2:C800,C800))</f>
        <v>442999360001-30_2</v>
      </c>
      <c r="C800" s="10" t="s">
        <v>2167</v>
      </c>
      <c r="D800" s="10" t="s">
        <v>430</v>
      </c>
      <c r="E800" s="10" t="s">
        <v>1574</v>
      </c>
      <c r="F800" s="10" t="s">
        <v>943</v>
      </c>
      <c r="G800" s="10" t="s">
        <v>4435</v>
      </c>
      <c r="H800" s="11" t="s">
        <v>4436</v>
      </c>
      <c r="I800" s="11" t="s">
        <v>4437</v>
      </c>
      <c r="J800" s="10" t="s">
        <v>1559</v>
      </c>
      <c r="K800" s="10" t="s">
        <v>1560</v>
      </c>
      <c r="L800" s="10" t="s">
        <v>1578</v>
      </c>
      <c r="M800" s="10" t="s">
        <v>943</v>
      </c>
      <c r="N800" s="10">
        <v>36</v>
      </c>
      <c r="O800" s="11">
        <v>102</v>
      </c>
      <c r="P800" s="11">
        <v>0.10199999999999999</v>
      </c>
      <c r="Q800" s="10" t="s">
        <v>1562</v>
      </c>
      <c r="R800" s="10">
        <v>80</v>
      </c>
      <c r="S800" s="12">
        <v>22</v>
      </c>
      <c r="T800" s="13">
        <v>23964</v>
      </c>
      <c r="U800" s="14">
        <v>2444.328</v>
      </c>
      <c r="V800" s="10">
        <v>7.04</v>
      </c>
      <c r="W800" s="15">
        <v>168706.56</v>
      </c>
      <c r="X800" s="29">
        <f>VLOOKUP($F800,Agendamento!$B:$J,9,0)</f>
        <v>46079</v>
      </c>
      <c r="Y800" s="6">
        <f>COUNTIF(Analise!F:F,'Obras e Acervos'!H800)</f>
        <v>1</v>
      </c>
    </row>
    <row r="801" spans="1:25" ht="15" customHeight="1" x14ac:dyDescent="0.25">
      <c r="A801" s="10" t="str">
        <f>CONCATENATE(LEFT(C801,12),"-",RIGHT(C801,2),"_",TEXT(X801,"ddmmaaaa"),"_",COUNTIF($C$2:C801,C801))</f>
        <v>401507370001-05_26012026_1</v>
      </c>
      <c r="B801" s="10" t="str">
        <f>CONCATENATE(LEFT(C801,12),"-",RIGHT(C801,2),"_",COUNTIF($C$2:C801,C801))</f>
        <v>401507370001-05_1</v>
      </c>
      <c r="C801" s="16" t="s">
        <v>4438</v>
      </c>
      <c r="D801" s="16" t="s">
        <v>6168</v>
      </c>
      <c r="E801" s="16" t="s">
        <v>1555</v>
      </c>
      <c r="F801" s="16" t="s">
        <v>40</v>
      </c>
      <c r="G801" s="16" t="s">
        <v>4439</v>
      </c>
      <c r="H801" s="16" t="s">
        <v>4440</v>
      </c>
      <c r="I801" s="16" t="s">
        <v>4441</v>
      </c>
      <c r="J801" s="16" t="s">
        <v>1559</v>
      </c>
      <c r="K801" s="16" t="s">
        <v>1560</v>
      </c>
      <c r="L801" s="16" t="s">
        <v>1561</v>
      </c>
      <c r="M801" s="10" t="s">
        <v>40</v>
      </c>
      <c r="N801" s="16">
        <v>32</v>
      </c>
      <c r="O801" s="16">
        <v>96</v>
      </c>
      <c r="P801" s="16">
        <v>9.6000000000000002E-2</v>
      </c>
      <c r="Q801" s="16" t="s">
        <v>1562</v>
      </c>
      <c r="R801" s="16">
        <v>75</v>
      </c>
      <c r="S801" s="17">
        <v>4</v>
      </c>
      <c r="T801" s="18">
        <v>38581</v>
      </c>
      <c r="U801" s="19">
        <v>3703.7760000000003</v>
      </c>
      <c r="V801" s="16">
        <v>10.17</v>
      </c>
      <c r="W801" s="20">
        <v>241252.74</v>
      </c>
      <c r="X801" s="29">
        <f>VLOOKUP($F801,Agendamento!$B:$J,9,0)</f>
        <v>46048</v>
      </c>
      <c r="Y801" s="6">
        <f>COUNTIF(Analise!F:F,'Obras e Acervos'!H801)</f>
        <v>1</v>
      </c>
    </row>
    <row r="802" spans="1:25" ht="15" customHeight="1" x14ac:dyDescent="0.25">
      <c r="A802" s="10" t="str">
        <f>CONCATENATE(LEFT(C802,12),"-",RIGHT(C802,2),"_",TEXT(X802,"ddmmaaaa"),"_",COUNTIF($C$2:C802,C802))</f>
        <v>140147770001-10_16022026_1</v>
      </c>
      <c r="B802" s="10" t="str">
        <f>CONCATENATE(LEFT(C802,12),"-",RIGHT(C802,2),"_",COUNTIF($C$2:C802,C802))</f>
        <v>140147770001-10_1</v>
      </c>
      <c r="C802" s="10" t="s">
        <v>4442</v>
      </c>
      <c r="D802" s="10" t="s">
        <v>6169</v>
      </c>
      <c r="E802" s="10" t="s">
        <v>1574</v>
      </c>
      <c r="F802" s="10" t="s">
        <v>507</v>
      </c>
      <c r="G802" s="10" t="s">
        <v>4443</v>
      </c>
      <c r="H802" s="11" t="s">
        <v>4444</v>
      </c>
      <c r="I802" s="11" t="s">
        <v>4445</v>
      </c>
      <c r="J802" s="10" t="s">
        <v>1559</v>
      </c>
      <c r="K802" s="10" t="s">
        <v>1560</v>
      </c>
      <c r="L802" s="10" t="s">
        <v>1578</v>
      </c>
      <c r="M802" s="10" t="s">
        <v>507</v>
      </c>
      <c r="N802" s="10">
        <v>44</v>
      </c>
      <c r="O802" s="11">
        <v>141</v>
      </c>
      <c r="P802" s="11">
        <v>0.14099999999999999</v>
      </c>
      <c r="Q802" s="10" t="s">
        <v>1562</v>
      </c>
      <c r="R802" s="10">
        <v>80</v>
      </c>
      <c r="S802" s="12">
        <v>22</v>
      </c>
      <c r="T802" s="13">
        <v>23934</v>
      </c>
      <c r="U802" s="14">
        <v>3374.6939999999995</v>
      </c>
      <c r="V802" s="10">
        <v>7.98</v>
      </c>
      <c r="W802" s="15">
        <v>190993.32</v>
      </c>
      <c r="X802" s="29">
        <f>VLOOKUP($F802,Agendamento!$B:$J,9,0)</f>
        <v>46069</v>
      </c>
      <c r="Y802" s="6">
        <f>COUNTIF(Analise!F:F,'Obras e Acervos'!H802)</f>
        <v>1</v>
      </c>
    </row>
    <row r="803" spans="1:25" ht="15" customHeight="1" x14ac:dyDescent="0.25">
      <c r="A803" s="10" t="str">
        <f>CONCATENATE(LEFT(C803,12),"-",RIGHT(C803,2),"_",TEXT(X803,"ddmmaaaa"),"_",COUNTIF($C$2:C803,C803))</f>
        <v>434017740001-37_04032026_1</v>
      </c>
      <c r="B803" s="10" t="str">
        <f>CONCATENATE(LEFT(C803,12),"-",RIGHT(C803,2),"_",COUNTIF($C$2:C803,C803))</f>
        <v>434017740001-37_1</v>
      </c>
      <c r="C803" s="10" t="s">
        <v>4446</v>
      </c>
      <c r="D803" s="10" t="s">
        <v>1197</v>
      </c>
      <c r="E803" s="10" t="s">
        <v>1574</v>
      </c>
      <c r="F803" s="10" t="s">
        <v>1198</v>
      </c>
      <c r="G803" s="10" t="s">
        <v>4447</v>
      </c>
      <c r="H803" s="11" t="s">
        <v>4448</v>
      </c>
      <c r="I803" s="11" t="s">
        <v>4449</v>
      </c>
      <c r="J803" s="10" t="s">
        <v>1559</v>
      </c>
      <c r="K803" s="10" t="s">
        <v>1560</v>
      </c>
      <c r="L803" s="10" t="s">
        <v>1578</v>
      </c>
      <c r="M803" s="10" t="s">
        <v>1198</v>
      </c>
      <c r="N803" s="10">
        <v>32</v>
      </c>
      <c r="O803" s="11">
        <v>60</v>
      </c>
      <c r="P803" s="11">
        <v>0.06</v>
      </c>
      <c r="Q803" s="10" t="s">
        <v>1608</v>
      </c>
      <c r="R803" s="10">
        <v>80</v>
      </c>
      <c r="S803" s="12">
        <v>22</v>
      </c>
      <c r="T803" s="13">
        <v>30161</v>
      </c>
      <c r="U803" s="14">
        <v>1809.6599999999999</v>
      </c>
      <c r="V803" s="10">
        <v>5.54</v>
      </c>
      <c r="W803" s="15">
        <v>167091.94</v>
      </c>
      <c r="X803" s="29">
        <f>VLOOKUP($F803,Agendamento!$B:$J,9,0)</f>
        <v>46085</v>
      </c>
      <c r="Y803" s="6">
        <f>COUNTIF(Analise!F:F,'Obras e Acervos'!H803)</f>
        <v>1</v>
      </c>
    </row>
    <row r="804" spans="1:25" ht="15" customHeight="1" x14ac:dyDescent="0.25">
      <c r="A804" s="10" t="str">
        <f>CONCATENATE(LEFT(C804,12),"-",RIGHT(C804,2),"_",TEXT(X804,"ddmmaaaa"),"_",COUNTIF($C$2:C804,C804))</f>
        <v>401507370001-05_26012026_2</v>
      </c>
      <c r="B804" s="10" t="str">
        <f>CONCATENATE(LEFT(C804,12),"-",RIGHT(C804,2),"_",COUNTIF($C$2:C804,C804))</f>
        <v>401507370001-05_2</v>
      </c>
      <c r="C804" s="16" t="s">
        <v>4438</v>
      </c>
      <c r="D804" s="16" t="s">
        <v>6168</v>
      </c>
      <c r="E804" s="16" t="s">
        <v>1574</v>
      </c>
      <c r="F804" s="16" t="s">
        <v>41</v>
      </c>
      <c r="G804" s="16" t="s">
        <v>4450</v>
      </c>
      <c r="H804" s="16" t="s">
        <v>4451</v>
      </c>
      <c r="I804" s="16" t="s">
        <v>4452</v>
      </c>
      <c r="J804" s="16" t="s">
        <v>1559</v>
      </c>
      <c r="K804" s="16" t="s">
        <v>1560</v>
      </c>
      <c r="L804" s="16" t="s">
        <v>1578</v>
      </c>
      <c r="M804" s="10" t="s">
        <v>41</v>
      </c>
      <c r="N804" s="16">
        <v>32</v>
      </c>
      <c r="O804" s="16">
        <v>96</v>
      </c>
      <c r="P804" s="16">
        <v>9.6000000000000002E-2</v>
      </c>
      <c r="Q804" s="16" t="s">
        <v>1562</v>
      </c>
      <c r="R804" s="16">
        <v>75</v>
      </c>
      <c r="S804" s="17">
        <v>22</v>
      </c>
      <c r="T804" s="18">
        <v>23707</v>
      </c>
      <c r="U804" s="19">
        <v>2275.8719999999998</v>
      </c>
      <c r="V804" s="16">
        <v>6.5</v>
      </c>
      <c r="W804" s="20">
        <v>154095.5</v>
      </c>
      <c r="X804" s="29">
        <f>VLOOKUP($F804,Agendamento!$B:$J,9,0)</f>
        <v>46048</v>
      </c>
      <c r="Y804" s="6">
        <f>COUNTIF(Analise!F:F,'Obras e Acervos'!H804)</f>
        <v>1</v>
      </c>
    </row>
    <row r="805" spans="1:25" ht="15" customHeight="1" x14ac:dyDescent="0.25">
      <c r="A805" s="10" t="str">
        <f>CONCATENATE(LEFT(C805,12),"-",RIGHT(C805,2),"_",TEXT(X805,"ddmmaaaa"),"_",COUNTIF($C$2:C805,C805))</f>
        <v>239672560001-78_16032026_2</v>
      </c>
      <c r="B805" s="10" t="str">
        <f>CONCATENATE(LEFT(C805,12),"-",RIGHT(C805,2),"_",COUNTIF($C$2:C805,C805))</f>
        <v>239672560001-78_2</v>
      </c>
      <c r="C805" s="10" t="s">
        <v>2015</v>
      </c>
      <c r="D805" s="10" t="s">
        <v>1447</v>
      </c>
      <c r="E805" s="10" t="s">
        <v>1574</v>
      </c>
      <c r="F805" s="10" t="s">
        <v>1488</v>
      </c>
      <c r="G805" s="10" t="s">
        <v>4453</v>
      </c>
      <c r="H805" s="11" t="s">
        <v>4454</v>
      </c>
      <c r="I805" s="11" t="s">
        <v>4455</v>
      </c>
      <c r="J805" s="10" t="s">
        <v>1559</v>
      </c>
      <c r="K805" s="10" t="s">
        <v>1560</v>
      </c>
      <c r="L805" s="10" t="s">
        <v>1578</v>
      </c>
      <c r="M805" s="10" t="s">
        <v>1488</v>
      </c>
      <c r="N805" s="10">
        <v>48</v>
      </c>
      <c r="O805" s="11">
        <v>200</v>
      </c>
      <c r="P805" s="11">
        <v>0.2</v>
      </c>
      <c r="Q805" s="10" t="s">
        <v>1562</v>
      </c>
      <c r="R805" s="10">
        <v>80</v>
      </c>
      <c r="S805" s="12">
        <v>22</v>
      </c>
      <c r="T805" s="13">
        <v>138771</v>
      </c>
      <c r="U805" s="14">
        <v>27754.2</v>
      </c>
      <c r="V805" s="10">
        <v>4.75</v>
      </c>
      <c r="W805" s="15">
        <v>659162.25</v>
      </c>
      <c r="X805" s="29">
        <f>VLOOKUP($F805,Agendamento!$B:$J,9,0)</f>
        <v>46097</v>
      </c>
      <c r="Y805" s="6">
        <f>COUNTIF(Analise!F:F,'Obras e Acervos'!H805)</f>
        <v>1</v>
      </c>
    </row>
    <row r="806" spans="1:25" ht="15" customHeight="1" x14ac:dyDescent="0.25">
      <c r="A806" s="10" t="str">
        <f>CONCATENATE(LEFT(C806,12),"-",RIGHT(C806,2),"_",TEXT(X806,"ddmmaaaa"),"_",COUNTIF($C$2:C806,C806))</f>
        <v>171726860001-09_06022026_2</v>
      </c>
      <c r="B806" s="10" t="str">
        <f>CONCATENATE(LEFT(C806,12),"-",RIGHT(C806,2),"_",COUNTIF($C$2:C806,C806))</f>
        <v>171726860001-09_2</v>
      </c>
      <c r="C806" s="10" t="s">
        <v>2351</v>
      </c>
      <c r="D806" s="10" t="s">
        <v>199</v>
      </c>
      <c r="E806" s="10" t="s">
        <v>1574</v>
      </c>
      <c r="F806" s="10" t="s">
        <v>200</v>
      </c>
      <c r="G806" s="10" t="s">
        <v>4456</v>
      </c>
      <c r="H806" s="11" t="s">
        <v>4457</v>
      </c>
      <c r="I806" s="11" t="s">
        <v>4458</v>
      </c>
      <c r="J806" s="10" t="s">
        <v>1559</v>
      </c>
      <c r="K806" s="10" t="s">
        <v>1560</v>
      </c>
      <c r="L806" s="10" t="s">
        <v>1578</v>
      </c>
      <c r="M806" s="10" t="s">
        <v>200</v>
      </c>
      <c r="N806" s="10">
        <v>52</v>
      </c>
      <c r="O806" s="11">
        <v>153</v>
      </c>
      <c r="P806" s="11">
        <v>0.153</v>
      </c>
      <c r="Q806" s="10" t="s">
        <v>1562</v>
      </c>
      <c r="R806" s="10">
        <v>80</v>
      </c>
      <c r="S806" s="12">
        <v>22</v>
      </c>
      <c r="T806" s="13">
        <v>23919</v>
      </c>
      <c r="U806" s="14">
        <v>3659.607</v>
      </c>
      <c r="V806" s="10">
        <v>8.92</v>
      </c>
      <c r="W806" s="15">
        <v>213357.48</v>
      </c>
      <c r="X806" s="29">
        <f>VLOOKUP($F806,Agendamento!$B:$J,9,0)</f>
        <v>46059</v>
      </c>
      <c r="Y806" s="6">
        <f>COUNTIF(Analise!F:F,'Obras e Acervos'!H806)</f>
        <v>1</v>
      </c>
    </row>
    <row r="807" spans="1:25" x14ac:dyDescent="0.25">
      <c r="A807" s="6"/>
      <c r="B807" s="6"/>
      <c r="C807" s="39"/>
    </row>
  </sheetData>
  <pageMargins left="0.7" right="0.7" top="0.75" bottom="0.75" header="0.3" footer="0.3"/>
  <pageSetup paperSize="9" orientation="portrait" r:id="rId1"/>
  <headerFooter>
    <oddFooter>&amp;C_x000D_&amp;1#&amp;"Aptos"&amp;12&amp;K000000 Documento é 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14"/>
  <sheetViews>
    <sheetView tabSelected="1" topLeftCell="M1" zoomScale="115" zoomScaleNormal="115" workbookViewId="0">
      <selection activeCell="V1" sqref="V1"/>
    </sheetView>
  </sheetViews>
  <sheetFormatPr defaultRowHeight="15" x14ac:dyDescent="0.25"/>
  <cols>
    <col min="1" max="1" width="28.140625" customWidth="1"/>
    <col min="2" max="2" width="18.5703125" customWidth="1"/>
    <col min="3" max="3" width="7.7109375" style="34" customWidth="1"/>
    <col min="4" max="4" width="16.42578125" bestFit="1" customWidth="1"/>
    <col min="5" max="5" width="73.7109375" customWidth="1"/>
    <col min="6" max="6" width="16.42578125" bestFit="1" customWidth="1"/>
    <col min="7" max="7" width="30.42578125" customWidth="1"/>
    <col min="8" max="8" width="19" style="3" customWidth="1"/>
    <col min="9" max="9" width="8.42578125" style="31" customWidth="1"/>
    <col min="10" max="10" width="13.42578125" style="31" customWidth="1"/>
    <col min="11" max="12" width="14.7109375" customWidth="1"/>
    <col min="13" max="13" width="14.5703125" customWidth="1"/>
    <col min="14" max="14" width="11.85546875" bestFit="1" customWidth="1"/>
    <col min="15" max="15" width="20.140625" customWidth="1"/>
    <col min="16" max="16" width="13.140625" style="49" customWidth="1"/>
    <col min="17" max="17" width="21.140625" style="34" customWidth="1"/>
    <col min="18" max="18" width="17.7109375" customWidth="1"/>
    <col min="19" max="19" width="22.5703125" style="44" customWidth="1"/>
    <col min="20" max="20" width="17.85546875" style="34" customWidth="1"/>
    <col min="21" max="22" width="25.42578125" customWidth="1"/>
    <col min="23" max="23" width="29.85546875" customWidth="1"/>
    <col min="24" max="24" width="21.42578125" bestFit="1" customWidth="1"/>
    <col min="25" max="25" width="6.5703125" bestFit="1" customWidth="1"/>
    <col min="26" max="26" width="7.85546875" bestFit="1" customWidth="1"/>
    <col min="28" max="28" width="25.28515625" bestFit="1" customWidth="1"/>
    <col min="30" max="30" width="22.42578125" customWidth="1"/>
  </cols>
  <sheetData>
    <row r="1" spans="1:30" ht="73.5" customHeight="1" x14ac:dyDescent="0.25">
      <c r="A1" t="s">
        <v>4487</v>
      </c>
      <c r="B1" t="s">
        <v>4487</v>
      </c>
      <c r="C1" s="34" t="s">
        <v>5589</v>
      </c>
      <c r="D1" s="33" t="s">
        <v>1534</v>
      </c>
      <c r="E1" t="s">
        <v>4459</v>
      </c>
      <c r="F1" t="s">
        <v>4484</v>
      </c>
      <c r="G1" t="s">
        <v>4461</v>
      </c>
      <c r="H1" s="3" t="s">
        <v>2</v>
      </c>
      <c r="I1" s="31" t="s">
        <v>5797</v>
      </c>
      <c r="J1" s="31" t="s">
        <v>5798</v>
      </c>
      <c r="K1" t="s">
        <v>5888</v>
      </c>
      <c r="L1" t="s">
        <v>4462</v>
      </c>
      <c r="M1" s="33" t="s">
        <v>4460</v>
      </c>
      <c r="N1" t="s">
        <v>4488</v>
      </c>
      <c r="O1" t="s">
        <v>4489</v>
      </c>
      <c r="P1" s="49" t="s">
        <v>4490</v>
      </c>
      <c r="Q1" s="41" t="s">
        <v>5889</v>
      </c>
      <c r="R1" s="41" t="s">
        <v>5891</v>
      </c>
      <c r="S1" s="44" t="s">
        <v>4491</v>
      </c>
      <c r="T1" s="34" t="s">
        <v>4492</v>
      </c>
      <c r="U1" s="33" t="s">
        <v>4463</v>
      </c>
      <c r="V1" s="33" t="s">
        <v>5586</v>
      </c>
      <c r="W1" t="s">
        <v>5890</v>
      </c>
      <c r="X1" t="s">
        <v>5590</v>
      </c>
      <c r="Y1" s="34" t="s">
        <v>5588</v>
      </c>
      <c r="Z1" s="34" t="s">
        <v>5587</v>
      </c>
      <c r="AB1" t="s">
        <v>5887</v>
      </c>
      <c r="AD1" s="46" t="str">
        <f>CONCATENATE("Total
(Paletes até 1000 livros)
Até ",TEXT($AB$2,"dd/mm/aaaa"))</f>
        <v>Total
(Paletes até 1000 livros)
Até 10/10/2026</v>
      </c>
    </row>
    <row r="2" spans="1:30" x14ac:dyDescent="0.25">
      <c r="A2" t="str">
        <f>CONCATENATE(D2,"_",TEXT(M2,"ddmmaaaa"),"_",COUNTIF($D$2:D2,D2))</f>
        <v>056623970001-09_03022026_1</v>
      </c>
      <c r="B2" t="str">
        <f>CONCATENATE(Analise!D2,"_",COUNTIF(Analise!$D$2:D2,Analise!D2))</f>
        <v>056623970001-09_1</v>
      </c>
      <c r="C2" s="34">
        <f>COUNTIF('Obras e Acervos'!$C:$C,CONCATENATE(LEFT(D2,12),RIGHT(D2,2)))</f>
        <v>2</v>
      </c>
      <c r="D2" t="s">
        <v>4474</v>
      </c>
      <c r="E2" t="str">
        <f>VLOOKUP($B2,'Obras e Acervos'!$B:$X,3,0)</f>
        <v>ENTREPALAVRAS PRODUÇÃO DE TEXTO -ENTREPALAVRAS</v>
      </c>
      <c r="F2" t="str">
        <f>VLOOKUP($B2,'Obras e Acervos'!$B:$X,7,0)</f>
        <v>1092L23000030LE</v>
      </c>
      <c r="G2" t="str">
        <f>VLOOKUP($B2,'Obras e Acervos'!$B:$X,5,0)</f>
        <v>HEIDI</v>
      </c>
      <c r="H2">
        <f>VLOOKUP($B2,'Obras e Acervos'!$B:$X,18,0)</f>
        <v>2</v>
      </c>
      <c r="I2">
        <f>VLOOKUP($B2,'Obras e Acervos'!$B:$X,19,0)</f>
        <v>47300</v>
      </c>
      <c r="J2" s="42">
        <f>VLOOKUP($B2,'Obras e Acervos'!$B:$X,20,0)</f>
        <v>4162.3999999999996</v>
      </c>
      <c r="K2" s="31">
        <f>VLOOKUP($B2,'Obras e Acervos'!$B:$X,21,0)</f>
        <v>5.0199999999999996</v>
      </c>
      <c r="L2" s="31">
        <f>K2*I2</f>
        <v>237445.99999999997</v>
      </c>
      <c r="M2" s="1">
        <v>46056</v>
      </c>
      <c r="N2" s="1">
        <f t="shared" ref="N2:N65" si="0">$AB$2</f>
        <v>46305</v>
      </c>
      <c r="O2">
        <f>IF(M2="",0,(N2-M2)+1)</f>
        <v>250</v>
      </c>
      <c r="P2" s="49">
        <f t="shared" ref="P2:P33" si="1">O2/30</f>
        <v>8.3333333333333339</v>
      </c>
      <c r="Q2" s="34">
        <f>VLOOKUP($G2,Agendamento!$B:$F,5,0)</f>
        <v>3</v>
      </c>
      <c r="R2" s="36">
        <f>IF(U2="",0,ROUNDUP($I2/1000,0))</f>
        <v>48</v>
      </c>
      <c r="S2" s="44">
        <v>2.5499999999999998</v>
      </c>
      <c r="T2" s="44">
        <f>O2*R2*S2</f>
        <v>30599.999999999996</v>
      </c>
      <c r="U2" t="s">
        <v>4464</v>
      </c>
      <c r="V2" t="str">
        <f>CONCATENATE("NF/",U2)</f>
        <v>NF/64237227_20260203_nf_01.pdf</v>
      </c>
      <c r="W2" s="32" t="str">
        <f t="shared" ref="W2:W33" si="2">HYPERLINK(CONCATENATE("saida/",U2),CONCATENATE("NF - ",G2))</f>
        <v>NF - HEIDI</v>
      </c>
      <c r="X2" t="s">
        <v>5591</v>
      </c>
      <c r="Y2" s="34">
        <f>COUNTA(W:W)-1</f>
        <v>809</v>
      </c>
      <c r="Z2" s="34">
        <f>COUNTA(U:U)-1</f>
        <v>805</v>
      </c>
      <c r="AB2" s="1">
        <v>46305</v>
      </c>
      <c r="AD2" s="45">
        <f>SUM(T:T)</f>
        <v>18552083.849999987</v>
      </c>
    </row>
    <row r="3" spans="1:30" x14ac:dyDescent="0.25">
      <c r="A3" t="str">
        <f>CONCATENATE(D3,"_",TEXT(M3,"ddmmaaaa"),"_",COUNTIF($D$2:D3,D3))</f>
        <v>056623970001-09_03022026_2</v>
      </c>
      <c r="B3" t="str">
        <f>CONCATENATE(Analise!D3,"_",COUNTIF(Analise!$D$2:D3,Analise!D3))</f>
        <v>056623970001-09_2</v>
      </c>
      <c r="C3" s="34">
        <f>COUNTIF('Obras e Acervos'!$C:$C,CONCATENATE(LEFT(D3,12),RIGHT(D3,2)))</f>
        <v>2</v>
      </c>
      <c r="D3" t="s">
        <v>4474</v>
      </c>
      <c r="E3" t="str">
        <f>VLOOKUP($B3,'Obras e Acervos'!$B:$X,3,0)</f>
        <v>ENTREPALAVRAS PRODUÇÃO DE TEXTO -ENTREPALAVRAS</v>
      </c>
      <c r="F3" t="str">
        <f>VLOOKUP($B3,'Obras e Acervos'!$B:$X,7,0)</f>
        <v>1093L23000020LE</v>
      </c>
      <c r="G3" t="str">
        <f>VLOOKUP($B3,'Obras e Acervos'!$B:$X,5,0)</f>
        <v>SOFIA DESASTRADA</v>
      </c>
      <c r="H3">
        <f>VLOOKUP($B3,'Obras e Acervos'!$B:$X,18,0)</f>
        <v>13</v>
      </c>
      <c r="I3">
        <f>VLOOKUP($B3,'Obras e Acervos'!$B:$X,19,0)</f>
        <v>33938</v>
      </c>
      <c r="J3" s="42">
        <f>VLOOKUP($B3,'Obras e Acervos'!$B:$X,20,0)</f>
        <v>2986.5439999999999</v>
      </c>
      <c r="K3" s="31">
        <f>VLOOKUP($B3,'Obras e Acervos'!$B:$X,21,0)</f>
        <v>5.93</v>
      </c>
      <c r="L3" s="31">
        <f t="shared" ref="L3:L66" si="3">K3*I3</f>
        <v>201252.34</v>
      </c>
      <c r="M3" s="1">
        <v>46056</v>
      </c>
      <c r="N3" s="1">
        <f t="shared" si="0"/>
        <v>46305</v>
      </c>
      <c r="O3">
        <f t="shared" ref="O3:O66" si="4">IF(M3="",0,(N3-M3)+1)</f>
        <v>250</v>
      </c>
      <c r="P3" s="49">
        <f t="shared" si="1"/>
        <v>8.3333333333333339</v>
      </c>
      <c r="Q3" s="34">
        <f>VLOOKUP($G3,Agendamento!$B:$F,5,0)</f>
        <v>4</v>
      </c>
      <c r="R3" s="36">
        <f t="shared" ref="R3:R66" si="5">IF(U3="",0,ROUNDUP($I3/1000,0))</f>
        <v>34</v>
      </c>
      <c r="S3" s="44">
        <v>2.5499999999999998</v>
      </c>
      <c r="T3" s="44">
        <f t="shared" ref="T3:T66" si="6">O3*R3*S3</f>
        <v>21675</v>
      </c>
      <c r="U3" t="s">
        <v>4464</v>
      </c>
      <c r="V3" t="str">
        <f t="shared" ref="V3:V66" si="7">CONCATENATE("NF/",U3)</f>
        <v>NF/64237227_20260203_nf_01.pdf</v>
      </c>
      <c r="W3" s="32" t="str">
        <f t="shared" si="2"/>
        <v>NF - SOFIA DESASTRADA</v>
      </c>
      <c r="X3" t="s">
        <v>5591</v>
      </c>
    </row>
    <row r="4" spans="1:30" x14ac:dyDescent="0.25">
      <c r="A4" t="str">
        <f>CONCATENATE(D4,"_",TEXT(M4,"ddmmaaaa"),"_",COUNTIF($D$2:D4,D4))</f>
        <v>110481170001-61_03022026_1</v>
      </c>
      <c r="B4" t="str">
        <f>CONCATENATE(Analise!D4,"_",COUNTIF(Analise!$D$2:D4,Analise!D4))</f>
        <v>110481170001-61_1</v>
      </c>
      <c r="C4" s="34">
        <f>COUNTIF('Obras e Acervos'!$C:$C,CONCATENATE(LEFT(D4,12),RIGHT(D4,2)))</f>
        <v>1</v>
      </c>
      <c r="D4" t="s">
        <v>4475</v>
      </c>
      <c r="E4" t="str">
        <f>VLOOKUP($B4,'Obras e Acervos'!$B:$X,3,0)</f>
        <v>PIPOCA DOCE CASA EDITORIAL LTDA-PIPOCA DOCE</v>
      </c>
      <c r="F4" t="str">
        <f>VLOOKUP($B4,'Obras e Acervos'!$B:$X,7,0)</f>
        <v>1100L23000030LE</v>
      </c>
      <c r="G4" t="str">
        <f>VLOOKUP($B4,'Obras e Acervos'!$B:$X,5,0)</f>
        <v>SENHOR MOSQUITO E SENHOR ORELHA</v>
      </c>
      <c r="H4">
        <f>VLOOKUP($B4,'Obras e Acervos'!$B:$X,18,0)</f>
        <v>8</v>
      </c>
      <c r="I4">
        <f>VLOOKUP($B4,'Obras e Acervos'!$B:$X,19,0)</f>
        <v>33270</v>
      </c>
      <c r="J4" s="42">
        <f>VLOOKUP($B4,'Obras e Acervos'!$B:$X,20,0)</f>
        <v>3327</v>
      </c>
      <c r="K4" s="31">
        <f>VLOOKUP($B4,'Obras e Acervos'!$B:$X,21,0)</f>
        <v>5.94</v>
      </c>
      <c r="L4" s="31">
        <f t="shared" si="3"/>
        <v>197623.80000000002</v>
      </c>
      <c r="M4" s="1">
        <v>46056</v>
      </c>
      <c r="N4" s="1">
        <f t="shared" si="0"/>
        <v>46305</v>
      </c>
      <c r="O4">
        <f t="shared" si="4"/>
        <v>250</v>
      </c>
      <c r="P4" s="49">
        <f t="shared" si="1"/>
        <v>8.3333333333333339</v>
      </c>
      <c r="Q4" s="34">
        <f>VLOOKUP($G4,Agendamento!$B:$F,5,0)</f>
        <v>4</v>
      </c>
      <c r="R4" s="36">
        <f t="shared" si="5"/>
        <v>34</v>
      </c>
      <c r="S4" s="44">
        <v>2.5499999999999998</v>
      </c>
      <c r="T4" s="44">
        <f t="shared" si="6"/>
        <v>21675</v>
      </c>
      <c r="U4" t="s">
        <v>4465</v>
      </c>
      <c r="V4" t="str">
        <f t="shared" si="7"/>
        <v>NF/64237227_20260203_nf_02.pdf</v>
      </c>
      <c r="W4" s="32" t="str">
        <f t="shared" si="2"/>
        <v>NF - SENHOR MOSQUITO E SENHOR ORELHA</v>
      </c>
      <c r="X4" t="s">
        <v>5591</v>
      </c>
    </row>
    <row r="5" spans="1:30" x14ac:dyDescent="0.25">
      <c r="A5" t="str">
        <f>CONCATENATE(D5,"_",TEXT(M5,"ddmmaaaa"),"_",COUNTIF($D$2:D5,D5))</f>
        <v>436787690001-76_03022026_1</v>
      </c>
      <c r="B5" t="str">
        <f>CONCATENATE(Analise!D5,"_",COUNTIF(Analise!$D$2:D5,Analise!D5))</f>
        <v>436787690001-76_1</v>
      </c>
      <c r="C5" s="34">
        <f>COUNTIF('Obras e Acervos'!$C:$C,CONCATENATE(LEFT(D5,12),RIGHT(D5,2)))</f>
        <v>1</v>
      </c>
      <c r="D5" t="s">
        <v>4476</v>
      </c>
      <c r="E5" t="str">
        <f>VLOOKUP($B5,'Obras e Acervos'!$B:$X,3,0)</f>
        <v>MARCO ZERO EDITORA LTDA-MARCO ZERO EDITORA</v>
      </c>
      <c r="F5" t="str">
        <f>VLOOKUP($B5,'Obras e Acervos'!$B:$X,7,0)</f>
        <v>0591L23000030LE</v>
      </c>
      <c r="G5" t="str">
        <f>VLOOKUP($B5,'Obras e Acervos'!$B:$X,5,0)</f>
        <v>O AMOR TEM COR?</v>
      </c>
      <c r="H5">
        <f>VLOOKUP($B5,'Obras e Acervos'!$B:$X,18,0)</f>
        <v>6</v>
      </c>
      <c r="I5">
        <f>VLOOKUP($B5,'Obras e Acervos'!$B:$X,19,0)</f>
        <v>63081</v>
      </c>
      <c r="J5" s="42">
        <f>VLOOKUP($B5,'Obras e Acervos'!$B:$X,20,0)</f>
        <v>6623.5050000000001</v>
      </c>
      <c r="K5" s="31">
        <f>VLOOKUP($B5,'Obras e Acervos'!$B:$X,21,0)</f>
        <v>4.2699999999999996</v>
      </c>
      <c r="L5" s="31">
        <f t="shared" si="3"/>
        <v>269355.87</v>
      </c>
      <c r="M5" s="1">
        <v>46056</v>
      </c>
      <c r="N5" s="1">
        <f t="shared" si="0"/>
        <v>46305</v>
      </c>
      <c r="O5">
        <f t="shared" si="4"/>
        <v>250</v>
      </c>
      <c r="P5" s="49">
        <f t="shared" si="1"/>
        <v>8.3333333333333339</v>
      </c>
      <c r="Q5" s="34">
        <f>VLOOKUP($G5,Agendamento!$B:$F,5,0)</f>
        <v>7</v>
      </c>
      <c r="R5" s="36">
        <f t="shared" si="5"/>
        <v>64</v>
      </c>
      <c r="S5" s="44">
        <v>2.5499999999999998</v>
      </c>
      <c r="T5" s="44">
        <f t="shared" si="6"/>
        <v>40800</v>
      </c>
      <c r="U5" t="s">
        <v>4466</v>
      </c>
      <c r="V5" t="str">
        <f t="shared" si="7"/>
        <v>NF/64237227_20260203_nf_03.pdf</v>
      </c>
      <c r="W5" s="32" t="str">
        <f t="shared" si="2"/>
        <v>NF - O AMOR TEM COR?</v>
      </c>
      <c r="X5" t="s">
        <v>5591</v>
      </c>
    </row>
    <row r="6" spans="1:30" x14ac:dyDescent="0.25">
      <c r="A6" t="str">
        <f>CONCATENATE(D6,"_",TEXT(M6,"ddmmaaaa"),"_",COUNTIF($D$2:D6,D6))</f>
        <v>442226150001-38_03022026_1</v>
      </c>
      <c r="B6" t="str">
        <f>CONCATENATE(Analise!D6,"_",COUNTIF(Analise!$D$2:D6,Analise!D6))</f>
        <v>442226150001-38_1</v>
      </c>
      <c r="C6" s="34">
        <f>COUNTIF('Obras e Acervos'!$C:$C,CONCATENATE(LEFT(D6,12),RIGHT(D6,2)))</f>
        <v>2</v>
      </c>
      <c r="D6" t="s">
        <v>4477</v>
      </c>
      <c r="E6" t="str">
        <f>VLOOKUP($B6,'Obras e Acervos'!$B:$X,3,0)</f>
        <v>CHUVINHA EDITORA LTDA.-CHUVINHA</v>
      </c>
      <c r="F6" t="str">
        <f>VLOOKUP($B6,'Obras e Acervos'!$B:$X,7,0)</f>
        <v>1240L23000030LE</v>
      </c>
      <c r="G6" t="str">
        <f>VLOOKUP($B6,'Obras e Acervos'!$B:$X,5,0)</f>
        <v>ZIGGY E O SHOW AO LUAR</v>
      </c>
      <c r="H6">
        <f>VLOOKUP($B6,'Obras e Acervos'!$B:$X,18,0)</f>
        <v>8</v>
      </c>
      <c r="I6">
        <f>VLOOKUP($B6,'Obras e Acervos'!$B:$X,19,0)</f>
        <v>33180</v>
      </c>
      <c r="J6" s="42">
        <f>VLOOKUP($B6,'Obras e Acervos'!$B:$X,20,0)</f>
        <v>2554.86</v>
      </c>
      <c r="K6" s="31">
        <f>VLOOKUP($B6,'Obras e Acervos'!$B:$X,21,0)</f>
        <v>5.96</v>
      </c>
      <c r="L6" s="31">
        <f t="shared" si="3"/>
        <v>197752.8</v>
      </c>
      <c r="M6" s="1">
        <v>46056</v>
      </c>
      <c r="N6" s="1">
        <f t="shared" si="0"/>
        <v>46305</v>
      </c>
      <c r="O6">
        <f t="shared" si="4"/>
        <v>250</v>
      </c>
      <c r="P6" s="49">
        <f t="shared" si="1"/>
        <v>8.3333333333333339</v>
      </c>
      <c r="Q6" s="34">
        <f>VLOOKUP($G6,Agendamento!$B:$F,5,0)</f>
        <v>4</v>
      </c>
      <c r="R6" s="36">
        <f t="shared" si="5"/>
        <v>34</v>
      </c>
      <c r="S6" s="44">
        <v>2.5499999999999998</v>
      </c>
      <c r="T6" s="44">
        <f t="shared" si="6"/>
        <v>21675</v>
      </c>
      <c r="U6" t="s">
        <v>4467</v>
      </c>
      <c r="V6" t="str">
        <f t="shared" si="7"/>
        <v>NF/64237227_20260203_nf_04.pdf</v>
      </c>
      <c r="W6" s="32" t="str">
        <f t="shared" si="2"/>
        <v>NF - ZIGGY E O SHOW AO LUAR</v>
      </c>
      <c r="X6" t="s">
        <v>5591</v>
      </c>
    </row>
    <row r="7" spans="1:30" x14ac:dyDescent="0.25">
      <c r="A7" t="str">
        <f>CONCATENATE(D7,"_",TEXT(M7,"ddmmaaaa"),"_",COUNTIF($D$2:D7,D7))</f>
        <v>442226150001-38_03022026_2</v>
      </c>
      <c r="B7" t="str">
        <f>CONCATENATE(Analise!D7,"_",COUNTIF(Analise!$D$2:D7,Analise!D7))</f>
        <v>442226150001-38_2</v>
      </c>
      <c r="C7" s="34">
        <f>COUNTIF('Obras e Acervos'!$C:$C,CONCATENATE(LEFT(D7,12),RIGHT(D7,2)))</f>
        <v>2</v>
      </c>
      <c r="D7" t="s">
        <v>4477</v>
      </c>
      <c r="E7" t="str">
        <f>VLOOKUP($B7,'Obras e Acervos'!$B:$X,3,0)</f>
        <v>CHUVINHA EDITORA LTDA.-CHUVINHA</v>
      </c>
      <c r="F7" t="str">
        <f>VLOOKUP($B7,'Obras e Acervos'!$B:$X,7,0)</f>
        <v>1241L23000020LE</v>
      </c>
      <c r="G7" t="str">
        <f>VLOOKUP($B7,'Obras e Acervos'!$B:$X,5,0)</f>
        <v>O SECADOR DE LIVROS</v>
      </c>
      <c r="H7">
        <f>VLOOKUP($B7,'Obras e Acervos'!$B:$X,18,0)</f>
        <v>12</v>
      </c>
      <c r="I7">
        <f>VLOOKUP($B7,'Obras e Acervos'!$B:$X,19,0)</f>
        <v>32236</v>
      </c>
      <c r="J7" s="42">
        <f>VLOOKUP($B7,'Obras e Acervos'!$B:$X,20,0)</f>
        <v>2482.172</v>
      </c>
      <c r="K7" s="31">
        <f>VLOOKUP($B7,'Obras e Acervos'!$B:$X,21,0)</f>
        <v>6.34</v>
      </c>
      <c r="L7" s="31">
        <f t="shared" si="3"/>
        <v>204376.24</v>
      </c>
      <c r="M7" s="1">
        <v>46056</v>
      </c>
      <c r="N7" s="1">
        <f t="shared" si="0"/>
        <v>46305</v>
      </c>
      <c r="O7">
        <f t="shared" si="4"/>
        <v>250</v>
      </c>
      <c r="P7" s="49">
        <f t="shared" si="1"/>
        <v>8.3333333333333339</v>
      </c>
      <c r="Q7" s="34">
        <f>VLOOKUP($G7,Agendamento!$B:$F,5,0)</f>
        <v>4</v>
      </c>
      <c r="R7" s="36">
        <f t="shared" si="5"/>
        <v>33</v>
      </c>
      <c r="S7" s="44">
        <v>2.5499999999999998</v>
      </c>
      <c r="T7" s="44">
        <f t="shared" si="6"/>
        <v>21037.5</v>
      </c>
      <c r="U7" t="s">
        <v>4467</v>
      </c>
      <c r="V7" t="str">
        <f t="shared" si="7"/>
        <v>NF/64237227_20260203_nf_04.pdf</v>
      </c>
      <c r="W7" s="32" t="str">
        <f t="shared" si="2"/>
        <v>NF - O SECADOR DE LIVROS</v>
      </c>
      <c r="X7" t="s">
        <v>5591</v>
      </c>
    </row>
    <row r="8" spans="1:30" x14ac:dyDescent="0.25">
      <c r="A8" t="str">
        <f>CONCATENATE(D8,"_",TEXT(M8,"ddmmaaaa"),"_",COUNTIF($D$2:D8,D8))</f>
        <v>442721010001-97_03022026_1</v>
      </c>
      <c r="B8" t="str">
        <f>CONCATENATE(Analise!D8,"_",COUNTIF(Analise!$D$2:D8,Analise!D8))</f>
        <v>442721010001-97_1</v>
      </c>
      <c r="C8" s="34">
        <f>COUNTIF('Obras e Acervos'!$C:$C,CONCATENATE(LEFT(D8,12),RIGHT(D8,2)))</f>
        <v>1</v>
      </c>
      <c r="D8" t="s">
        <v>4478</v>
      </c>
      <c r="E8" t="str">
        <f>VLOOKUP($B8,'Obras e Acervos'!$B:$X,3,0)</f>
        <v>BOTO ROSA EDITORA LTDA.-BOTO ROSA</v>
      </c>
      <c r="F8" t="str">
        <f>VLOOKUP($B8,'Obras e Acervos'!$B:$X,7,0)</f>
        <v>1238L23000030LE</v>
      </c>
      <c r="G8" t="str">
        <f>VLOOKUP($B8,'Obras e Acervos'!$B:$X,5,0)</f>
        <v>FRED, O PAPA-FORMIGA</v>
      </c>
      <c r="H8">
        <f>VLOOKUP($B8,'Obras e Acervos'!$B:$X,18,0)</f>
        <v>8</v>
      </c>
      <c r="I8">
        <f>VLOOKUP($B8,'Obras e Acervos'!$B:$X,19,0)</f>
        <v>33437</v>
      </c>
      <c r="J8" s="42">
        <f>VLOOKUP($B8,'Obras e Acervos'!$B:$X,20,0)</f>
        <v>2574.6489999999999</v>
      </c>
      <c r="K8" s="31">
        <f>VLOOKUP($B8,'Obras e Acervos'!$B:$X,21,0)</f>
        <v>5.94</v>
      </c>
      <c r="L8" s="31">
        <f t="shared" si="3"/>
        <v>198615.78</v>
      </c>
      <c r="M8" s="1">
        <v>46056</v>
      </c>
      <c r="N8" s="1">
        <f t="shared" si="0"/>
        <v>46305</v>
      </c>
      <c r="O8">
        <f t="shared" si="4"/>
        <v>250</v>
      </c>
      <c r="P8" s="49">
        <f t="shared" si="1"/>
        <v>8.3333333333333339</v>
      </c>
      <c r="Q8" s="34">
        <f>VLOOKUP($G8,Agendamento!$B:$F,5,0)</f>
        <v>4</v>
      </c>
      <c r="R8" s="36">
        <f t="shared" si="5"/>
        <v>34</v>
      </c>
      <c r="S8" s="44">
        <v>2.5499999999999998</v>
      </c>
      <c r="T8" s="44">
        <f t="shared" si="6"/>
        <v>21675</v>
      </c>
      <c r="U8" t="s">
        <v>4468</v>
      </c>
      <c r="V8" t="str">
        <f t="shared" si="7"/>
        <v>NF/64237227_20260203_nf_06.pdf</v>
      </c>
      <c r="W8" s="32" t="str">
        <f t="shared" si="2"/>
        <v>NF - FRED, O PAPA-FORMIGA</v>
      </c>
      <c r="X8" t="s">
        <v>5591</v>
      </c>
    </row>
    <row r="9" spans="1:30" x14ac:dyDescent="0.25">
      <c r="A9" t="str">
        <f>CONCATENATE(D9,"_",TEXT(M9,"ddmmaaaa"),"_",COUNTIF($D$2:D9,D9))</f>
        <v>438867580001-81_03022026_1</v>
      </c>
      <c r="B9" t="str">
        <f>CONCATENATE(Analise!D9,"_",COUNTIF(Analise!$D$2:D9,Analise!D9))</f>
        <v>438867580001-81_1</v>
      </c>
      <c r="C9" s="34">
        <f>COUNTIF('Obras e Acervos'!$C:$C,CONCATENATE(LEFT(D9,12),RIGHT(D9,2)))</f>
        <v>1</v>
      </c>
      <c r="D9" t="s">
        <v>4479</v>
      </c>
      <c r="E9" t="str">
        <f>VLOOKUP($B9,'Obras e Acervos'!$B:$X,3,0)</f>
        <v>EDITORA CORALINDA LTDA-CORALINDA</v>
      </c>
      <c r="F9" t="str">
        <f>VLOOKUP($B9,'Obras e Acervos'!$B:$X,7,0)</f>
        <v>1050L23000030LE</v>
      </c>
      <c r="G9" t="str">
        <f>VLOOKUP($B9,'Obras e Acervos'!$B:$X,5,0)</f>
        <v>NUMA TERRA ESTRANHA</v>
      </c>
      <c r="H9">
        <f>VLOOKUP($B9,'Obras e Acervos'!$B:$X,18,0)</f>
        <v>2</v>
      </c>
      <c r="I9">
        <f>VLOOKUP($B9,'Obras e Acervos'!$B:$X,19,0)</f>
        <v>43437</v>
      </c>
      <c r="J9" s="42">
        <f>VLOOKUP($B9,'Obras e Acervos'!$B:$X,20,0)</f>
        <v>4995.2550000000001</v>
      </c>
      <c r="K9" s="31">
        <f>VLOOKUP($B9,'Obras e Acervos'!$B:$X,21,0)</f>
        <v>5.48</v>
      </c>
      <c r="L9" s="31">
        <f t="shared" si="3"/>
        <v>238034.76</v>
      </c>
      <c r="M9" s="1">
        <v>46056</v>
      </c>
      <c r="N9" s="1">
        <f t="shared" si="0"/>
        <v>46305</v>
      </c>
      <c r="O9">
        <f t="shared" si="4"/>
        <v>250</v>
      </c>
      <c r="P9" s="49">
        <f t="shared" si="1"/>
        <v>8.3333333333333339</v>
      </c>
      <c r="Q9" s="34">
        <f>VLOOKUP($G9,Agendamento!$B:$F,5,0)</f>
        <v>5</v>
      </c>
      <c r="R9" s="36">
        <f t="shared" si="5"/>
        <v>44</v>
      </c>
      <c r="S9" s="44">
        <v>2.5499999999999998</v>
      </c>
      <c r="T9" s="44">
        <f t="shared" si="6"/>
        <v>28049.999999999996</v>
      </c>
      <c r="U9" t="s">
        <v>4469</v>
      </c>
      <c r="V9" t="str">
        <f t="shared" si="7"/>
        <v>NF/64237227_20260203_nf_08.pdf</v>
      </c>
      <c r="W9" s="32" t="str">
        <f t="shared" si="2"/>
        <v>NF - NUMA TERRA ESTRANHA</v>
      </c>
      <c r="X9" t="s">
        <v>5591</v>
      </c>
    </row>
    <row r="10" spans="1:30" x14ac:dyDescent="0.25">
      <c r="A10" t="str">
        <f>CONCATENATE(D10,"_",TEXT(M10,"ddmmaaaa"),"_",COUNTIF($D$2:D10,D10))</f>
        <v>011836130001-74_03022026_1</v>
      </c>
      <c r="B10" t="str">
        <f>CONCATENATE(Analise!D10,"_",COUNTIF(Analise!$D$2:D10,Analise!D10))</f>
        <v>011836130001-74_1</v>
      </c>
      <c r="C10" s="34">
        <f>COUNTIF('Obras e Acervos'!$C:$C,CONCATENATE(LEFT(D10,12),RIGHT(D10,2)))</f>
        <v>2</v>
      </c>
      <c r="D10" t="s">
        <v>4480</v>
      </c>
      <c r="E10" t="str">
        <f>VLOOKUP($B10,'Obras e Acervos'!$B:$X,3,0)</f>
        <v>EDIOURO PUBLICACOES DE PASSATEMPOS E MULTIMIDIA LTDA-EDIPASS</v>
      </c>
      <c r="F10" t="str">
        <f>VLOOKUP($B10,'Obras e Acervos'!$B:$X,7,0)</f>
        <v>0361L23000030LE</v>
      </c>
      <c r="G10" t="str">
        <f>VLOOKUP($B10,'Obras e Acervos'!$B:$X,5,0)</f>
        <v>EM BOCA FECHADA NÃO ENTRA ESTRELA</v>
      </c>
      <c r="H10">
        <f>VLOOKUP($B10,'Obras e Acervos'!$B:$X,18,0)</f>
        <v>9</v>
      </c>
      <c r="I10">
        <f>VLOOKUP($B10,'Obras e Acervos'!$B:$X,19,0)</f>
        <v>33219</v>
      </c>
      <c r="J10" s="42">
        <f>VLOOKUP($B10,'Obras e Acervos'!$B:$X,20,0)</f>
        <v>2624.3009999999999</v>
      </c>
      <c r="K10" s="31">
        <f>VLOOKUP($B10,'Obras e Acervos'!$B:$X,21,0)</f>
        <v>5</v>
      </c>
      <c r="L10" s="31">
        <f t="shared" si="3"/>
        <v>166095</v>
      </c>
      <c r="M10" s="1">
        <v>46056</v>
      </c>
      <c r="N10" s="1">
        <f t="shared" si="0"/>
        <v>46305</v>
      </c>
      <c r="O10">
        <f t="shared" si="4"/>
        <v>250</v>
      </c>
      <c r="P10" s="49">
        <f t="shared" si="1"/>
        <v>8.3333333333333339</v>
      </c>
      <c r="Q10" s="34">
        <f>VLOOKUP($G10,Agendamento!$B:$F,5,0)</f>
        <v>2</v>
      </c>
      <c r="R10" s="36">
        <f t="shared" si="5"/>
        <v>34</v>
      </c>
      <c r="S10" s="44">
        <v>2.5499999999999998</v>
      </c>
      <c r="T10" s="44">
        <f t="shared" si="6"/>
        <v>21675</v>
      </c>
      <c r="U10" t="s">
        <v>4470</v>
      </c>
      <c r="V10" t="str">
        <f t="shared" si="7"/>
        <v>NF/64237227_20260203_nf_09.pdf</v>
      </c>
      <c r="W10" s="32" t="str">
        <f t="shared" si="2"/>
        <v>NF - EM BOCA FECHADA NÃO ENTRA ESTRELA</v>
      </c>
      <c r="X10" t="s">
        <v>5591</v>
      </c>
    </row>
    <row r="11" spans="1:30" x14ac:dyDescent="0.25">
      <c r="A11" t="str">
        <f>CONCATENATE(D11,"_",TEXT(M11,"ddmmaaaa"),"_",COUNTIF($D$2:D11,D11))</f>
        <v>011836130001-74_03022026_2</v>
      </c>
      <c r="B11" t="str">
        <f>CONCATENATE(Analise!D11,"_",COUNTIF(Analise!$D$2:D11,Analise!D11))</f>
        <v>011836130001-74_2</v>
      </c>
      <c r="C11" s="34">
        <f>COUNTIF('Obras e Acervos'!$C:$C,CONCATENATE(LEFT(D11,12),RIGHT(D11,2)))</f>
        <v>2</v>
      </c>
      <c r="D11" t="s">
        <v>4480</v>
      </c>
      <c r="E11" t="str">
        <f>VLOOKUP($B11,'Obras e Acervos'!$B:$X,3,0)</f>
        <v>EDIOURO PUBLICACOES DE PASSATEMPOS E MULTIMIDIA LTDA-EDIPASS</v>
      </c>
      <c r="F11" t="str">
        <f>VLOOKUP($B11,'Obras e Acervos'!$B:$X,7,0)</f>
        <v>0362L23000020LE</v>
      </c>
      <c r="G11" t="str">
        <f>VLOOKUP($B11,'Obras e Acervos'!$B:$X,5,0)</f>
        <v>AMOR PLENILUNAR: NO JARDIM DO SONHO E DO ESQUECIMENTO</v>
      </c>
      <c r="H11">
        <f>VLOOKUP($B11,'Obras e Acervos'!$B:$X,18,0)</f>
        <v>11</v>
      </c>
      <c r="I11">
        <f>VLOOKUP($B11,'Obras e Acervos'!$B:$X,19,0)</f>
        <v>32589</v>
      </c>
      <c r="J11" s="42">
        <f>VLOOKUP($B11,'Obras e Acervos'!$B:$X,20,0)</f>
        <v>3128.5439999999999</v>
      </c>
      <c r="K11" s="31">
        <f>VLOOKUP($B11,'Obras e Acervos'!$B:$X,21,0)</f>
        <v>5.89</v>
      </c>
      <c r="L11" s="31">
        <f t="shared" si="3"/>
        <v>191949.21</v>
      </c>
      <c r="M11" s="1">
        <v>46056</v>
      </c>
      <c r="N11" s="1">
        <f t="shared" si="0"/>
        <v>46305</v>
      </c>
      <c r="O11">
        <f t="shared" si="4"/>
        <v>250</v>
      </c>
      <c r="P11" s="49">
        <f t="shared" si="1"/>
        <v>8.3333333333333339</v>
      </c>
      <c r="Q11" s="34">
        <f>VLOOKUP($G11,Agendamento!$B:$F,5,0)</f>
        <v>6</v>
      </c>
      <c r="R11" s="36">
        <f t="shared" si="5"/>
        <v>33</v>
      </c>
      <c r="S11" s="44">
        <v>2.5499999999999998</v>
      </c>
      <c r="T11" s="44">
        <f t="shared" si="6"/>
        <v>21037.5</v>
      </c>
      <c r="U11" t="s">
        <v>4470</v>
      </c>
      <c r="V11" t="str">
        <f t="shared" si="7"/>
        <v>NF/64237227_20260203_nf_09.pdf</v>
      </c>
      <c r="W11" s="32" t="str">
        <f t="shared" si="2"/>
        <v>NF - AMOR PLENILUNAR: NO JARDIM DO SONHO E DO ESQUECIMENTO</v>
      </c>
      <c r="X11" t="s">
        <v>5591</v>
      </c>
    </row>
    <row r="12" spans="1:30" x14ac:dyDescent="0.25">
      <c r="A12" t="str">
        <f>CONCATENATE(D12,"_",TEXT(M12,"ddmmaaaa"),"_",COUNTIF($D$2:D12,D12))</f>
        <v>011836140001-19_03022026_1</v>
      </c>
      <c r="B12" t="str">
        <f>CONCATENATE(Analise!D12,"_",COUNTIF(Analise!$D$2:D12,Analise!D12))</f>
        <v>011836140001-19_1</v>
      </c>
      <c r="C12" s="34">
        <f>COUNTIF('Obras e Acervos'!$C:$C,CONCATENATE(LEFT(D12,12),RIGHT(D12,2)))</f>
        <v>2</v>
      </c>
      <c r="D12" t="s">
        <v>4481</v>
      </c>
      <c r="E12" t="str">
        <f>VLOOKUP($B12,'Obras e Acervos'!$B:$X,3,0)</f>
        <v>EDIOURO PUBLICACOES DE LAZER E CULTURA LTDA-NÃO HÁ</v>
      </c>
      <c r="F12" t="str">
        <f>VLOOKUP($B12,'Obras e Acervos'!$B:$X,7,0)</f>
        <v>0376L23000030LE</v>
      </c>
      <c r="G12" t="str">
        <f>VLOOKUP($B12,'Obras e Acervos'!$B:$X,5,0)</f>
        <v>TRAVATROVAS</v>
      </c>
      <c r="H12">
        <f>VLOOKUP($B12,'Obras e Acervos'!$B:$X,18,0)</f>
        <v>10</v>
      </c>
      <c r="I12">
        <f>VLOOKUP($B12,'Obras e Acervos'!$B:$X,19,0)</f>
        <v>33010</v>
      </c>
      <c r="J12" s="42">
        <f>VLOOKUP($B12,'Obras e Acervos'!$B:$X,20,0)</f>
        <v>1551.47</v>
      </c>
      <c r="K12" s="31">
        <f>VLOOKUP($B12,'Obras e Acervos'!$B:$X,21,0)</f>
        <v>5.03</v>
      </c>
      <c r="L12" s="31">
        <f t="shared" si="3"/>
        <v>166040.30000000002</v>
      </c>
      <c r="M12" s="1">
        <v>46056</v>
      </c>
      <c r="N12" s="1">
        <f t="shared" si="0"/>
        <v>46305</v>
      </c>
      <c r="O12">
        <f t="shared" si="4"/>
        <v>250</v>
      </c>
      <c r="P12" s="49">
        <f t="shared" si="1"/>
        <v>8.3333333333333339</v>
      </c>
      <c r="Q12" s="34">
        <f>VLOOKUP($G12,Agendamento!$B:$F,5,0)</f>
        <v>3</v>
      </c>
      <c r="R12" s="36">
        <f t="shared" si="5"/>
        <v>34</v>
      </c>
      <c r="S12" s="44">
        <v>2.5499999999999998</v>
      </c>
      <c r="T12" s="44">
        <f t="shared" si="6"/>
        <v>21675</v>
      </c>
      <c r="U12" t="s">
        <v>4471</v>
      </c>
      <c r="V12" t="str">
        <f t="shared" si="7"/>
        <v>NF/64237227_20260203_nf_10.pdf</v>
      </c>
      <c r="W12" s="32" t="str">
        <f t="shared" si="2"/>
        <v>NF - TRAVATROVAS</v>
      </c>
      <c r="X12" t="s">
        <v>5591</v>
      </c>
    </row>
    <row r="13" spans="1:30" x14ac:dyDescent="0.25">
      <c r="A13" t="str">
        <f>CONCATENATE(D13,"_",TEXT(M13,"ddmmaaaa"),"_",COUNTIF($D$2:D13,D13))</f>
        <v>011836140001-19_03022026_2</v>
      </c>
      <c r="B13" t="str">
        <f>CONCATENATE(Analise!D13,"_",COUNTIF(Analise!$D$2:D13,Analise!D13))</f>
        <v>011836140001-19_2</v>
      </c>
      <c r="C13" s="34">
        <f>COUNTIF('Obras e Acervos'!$C:$C,CONCATENATE(LEFT(D13,12),RIGHT(D13,2)))</f>
        <v>2</v>
      </c>
      <c r="D13" t="s">
        <v>4481</v>
      </c>
      <c r="E13" t="str">
        <f>VLOOKUP($B13,'Obras e Acervos'!$B:$X,3,0)</f>
        <v>EDIOURO PUBLICACOES DE LAZER E CULTURA LTDA-NÃO HÁ</v>
      </c>
      <c r="F13" t="str">
        <f>VLOOKUP($B13,'Obras e Acervos'!$B:$X,7,0)</f>
        <v>0377L23000020LE</v>
      </c>
      <c r="G13" t="str">
        <f>VLOOKUP($B13,'Obras e Acervos'!$B:$X,5,0)</f>
        <v>O REI DAS PALAVRAS</v>
      </c>
      <c r="H13">
        <f>VLOOKUP($B13,'Obras e Acervos'!$B:$X,18,0)</f>
        <v>22</v>
      </c>
      <c r="I13">
        <f>VLOOKUP($B13,'Obras e Acervos'!$B:$X,19,0)</f>
        <v>23707</v>
      </c>
      <c r="J13" s="42">
        <f>VLOOKUP($B13,'Obras e Acervos'!$B:$X,20,0)</f>
        <v>4670.2790000000005</v>
      </c>
      <c r="K13" s="31">
        <f>VLOOKUP($B13,'Obras e Acervos'!$B:$X,21,0)</f>
        <v>12.02</v>
      </c>
      <c r="L13" s="31">
        <f t="shared" si="3"/>
        <v>284958.14</v>
      </c>
      <c r="M13" s="1">
        <v>46056</v>
      </c>
      <c r="N13" s="1">
        <f t="shared" si="0"/>
        <v>46305</v>
      </c>
      <c r="O13">
        <f t="shared" si="4"/>
        <v>250</v>
      </c>
      <c r="P13" s="49">
        <f t="shared" si="1"/>
        <v>8.3333333333333339</v>
      </c>
      <c r="Q13" s="34">
        <f>VLOOKUP($G13,Agendamento!$B:$F,5,0)</f>
        <v>6</v>
      </c>
      <c r="R13" s="36">
        <f t="shared" si="5"/>
        <v>24</v>
      </c>
      <c r="S13" s="44">
        <v>2.5499999999999998</v>
      </c>
      <c r="T13" s="44">
        <f t="shared" si="6"/>
        <v>15299.999999999998</v>
      </c>
      <c r="U13" t="s">
        <v>4471</v>
      </c>
      <c r="V13" t="str">
        <f t="shared" si="7"/>
        <v>NF/64237227_20260203_nf_10.pdf</v>
      </c>
      <c r="W13" s="32" t="str">
        <f t="shared" si="2"/>
        <v>NF - O REI DAS PALAVRAS</v>
      </c>
      <c r="X13" t="s">
        <v>5591</v>
      </c>
    </row>
    <row r="14" spans="1:30" x14ac:dyDescent="0.25">
      <c r="A14" t="str">
        <f>CONCATENATE(D14,"_",TEXT(M14,"ddmmaaaa"),"_",COUNTIF($D$2:D14,D14))</f>
        <v>041609200001-28_03022026_1</v>
      </c>
      <c r="B14" t="str">
        <f>CONCATENATE(Analise!D14,"_",COUNTIF(Analise!$D$2:D14,Analise!D14))</f>
        <v>041609200001-28_1</v>
      </c>
      <c r="C14" s="34">
        <f>COUNTIF('Obras e Acervos'!$C:$C,CONCATENATE(LEFT(D14,12),RIGHT(D14,2)))</f>
        <v>2</v>
      </c>
      <c r="D14" t="s">
        <v>4482</v>
      </c>
      <c r="E14" t="str">
        <f>VLOOKUP($B14,'Obras e Acervos'!$B:$X,3,0)</f>
        <v>EDIOURO GRAFICA E EDITORA PARTICIPACOES S.A -EDIPAR</v>
      </c>
      <c r="F14" t="str">
        <f>VLOOKUP($B14,'Obras e Acervos'!$B:$X,7,0)</f>
        <v>0369L23000030LE</v>
      </c>
      <c r="G14" t="str">
        <f>VLOOKUP($B14,'Obras e Acervos'!$B:$X,5,0)</f>
        <v>A TURMA DO ABC</v>
      </c>
      <c r="H14">
        <f>VLOOKUP($B14,'Obras e Acervos'!$B:$X,18,0)</f>
        <v>8</v>
      </c>
      <c r="I14">
        <f>VLOOKUP($B14,'Obras e Acervos'!$B:$X,19,0)</f>
        <v>41754</v>
      </c>
      <c r="J14" s="42">
        <f>VLOOKUP($B14,'Obras e Acervos'!$B:$X,20,0)</f>
        <v>4008.384</v>
      </c>
      <c r="K14" s="31">
        <f>VLOOKUP($B14,'Obras e Acervos'!$B:$X,21,0)</f>
        <v>5.31</v>
      </c>
      <c r="L14" s="31">
        <f t="shared" si="3"/>
        <v>221713.74</v>
      </c>
      <c r="M14" s="1">
        <v>46056</v>
      </c>
      <c r="N14" s="1">
        <f t="shared" si="0"/>
        <v>46305</v>
      </c>
      <c r="O14">
        <f t="shared" si="4"/>
        <v>250</v>
      </c>
      <c r="P14" s="49">
        <f t="shared" si="1"/>
        <v>8.3333333333333339</v>
      </c>
      <c r="Q14" s="34">
        <f>VLOOKUP($G14,Agendamento!$B:$F,5,0)</f>
        <v>4</v>
      </c>
      <c r="R14" s="36">
        <f t="shared" si="5"/>
        <v>42</v>
      </c>
      <c r="S14" s="44">
        <v>2.5499999999999998</v>
      </c>
      <c r="T14" s="44">
        <f t="shared" si="6"/>
        <v>26774.999999999996</v>
      </c>
      <c r="U14" t="s">
        <v>4472</v>
      </c>
      <c r="V14" t="str">
        <f t="shared" si="7"/>
        <v>NF/64237227_20260203_nf_11.pdf</v>
      </c>
      <c r="W14" s="32" t="str">
        <f t="shared" si="2"/>
        <v>NF - A TURMA DO ABC</v>
      </c>
      <c r="X14" t="s">
        <v>5591</v>
      </c>
    </row>
    <row r="15" spans="1:30" x14ac:dyDescent="0.25">
      <c r="A15" t="str">
        <f>CONCATENATE(D15,"_",TEXT(M15,"ddmmaaaa"),"_",COUNTIF($D$2:D15,D15))</f>
        <v>041609200001-28_03022026_2</v>
      </c>
      <c r="B15" t="str">
        <f>CONCATENATE(Analise!D15,"_",COUNTIF(Analise!$D$2:D15,Analise!D15))</f>
        <v>041609200001-28_2</v>
      </c>
      <c r="C15" s="34">
        <f>COUNTIF('Obras e Acervos'!$C:$C,CONCATENATE(LEFT(D15,12),RIGHT(D15,2)))</f>
        <v>2</v>
      </c>
      <c r="D15" t="s">
        <v>4482</v>
      </c>
      <c r="E15" t="str">
        <f>VLOOKUP($B15,'Obras e Acervos'!$B:$X,3,0)</f>
        <v>EDIOURO GRAFICA E EDITORA PARTICIPACOES S.A -EDIPAR</v>
      </c>
      <c r="F15" t="str">
        <f>VLOOKUP($B15,'Obras e Acervos'!$B:$X,7,0)</f>
        <v>0370L23000020LE</v>
      </c>
      <c r="G15" t="str">
        <f>VLOOKUP($B15,'Obras e Acervos'!$B:$X,5,0)</f>
        <v>POR UMA QUESTÃO DE SAUDADE.</v>
      </c>
      <c r="H15">
        <f>VLOOKUP($B15,'Obras e Acervos'!$B:$X,18,0)</f>
        <v>21</v>
      </c>
      <c r="I15">
        <f>VLOOKUP($B15,'Obras e Acervos'!$B:$X,19,0)</f>
        <v>23632</v>
      </c>
      <c r="J15" s="42">
        <f>VLOOKUP($B15,'Obras e Acervos'!$B:$X,20,0)</f>
        <v>1110.704</v>
      </c>
      <c r="K15" s="31">
        <f>VLOOKUP($B15,'Obras e Acervos'!$B:$X,21,0)</f>
        <v>5.72</v>
      </c>
      <c r="L15" s="31">
        <f t="shared" si="3"/>
        <v>135175.04000000001</v>
      </c>
      <c r="M15" s="1">
        <v>46056</v>
      </c>
      <c r="N15" s="1">
        <f t="shared" si="0"/>
        <v>46305</v>
      </c>
      <c r="O15">
        <f t="shared" si="4"/>
        <v>250</v>
      </c>
      <c r="P15" s="49">
        <f t="shared" si="1"/>
        <v>8.3333333333333339</v>
      </c>
      <c r="Q15" s="34">
        <f>VLOOKUP($G15,Agendamento!$B:$F,5,0)</f>
        <v>4</v>
      </c>
      <c r="R15" s="36">
        <f t="shared" si="5"/>
        <v>24</v>
      </c>
      <c r="S15" s="44">
        <v>2.5499999999999998</v>
      </c>
      <c r="T15" s="44">
        <f t="shared" si="6"/>
        <v>15299.999999999998</v>
      </c>
      <c r="U15" t="s">
        <v>4472</v>
      </c>
      <c r="V15" t="str">
        <f t="shared" si="7"/>
        <v>NF/64237227_20260203_nf_11.pdf</v>
      </c>
      <c r="W15" s="32" t="str">
        <f t="shared" si="2"/>
        <v>NF - POR UMA QUESTÃO DE SAUDADE.</v>
      </c>
      <c r="X15" t="s">
        <v>5591</v>
      </c>
    </row>
    <row r="16" spans="1:30" x14ac:dyDescent="0.25">
      <c r="A16" t="str">
        <f>CONCATENATE(D16,"_",TEXT(M16,"ddmmaaaa"),"_",COUNTIF($D$2:D16,D16))</f>
        <v>188354790001-41_03022026_1</v>
      </c>
      <c r="B16" t="str">
        <f>CONCATENATE(Analise!D16,"_",COUNTIF(Analise!$D$2:D16,Analise!D16))</f>
        <v>188354790001-41_1</v>
      </c>
      <c r="C16" s="34">
        <f>COUNTIF('Obras e Acervos'!$C:$C,CONCATENATE(LEFT(D16,12),RIGHT(D16,2)))</f>
        <v>2</v>
      </c>
      <c r="D16" t="s">
        <v>4483</v>
      </c>
      <c r="E16" t="str">
        <f>VLOOKUP($B16,'Obras e Acervos'!$B:$X,3,0)</f>
        <v>CAIXOTE EDITORA, COMÉRCIO DE LIVROS E DES. DE SOFT. EIRELI-EDITORA CAIXOTE</v>
      </c>
      <c r="F16" t="str">
        <f>VLOOKUP($B16,'Obras e Acervos'!$B:$X,7,0)</f>
        <v>1105L23000030LE</v>
      </c>
      <c r="G16" t="str">
        <f>VLOOKUP($B16,'Obras e Acervos'!$B:$X,5,0)</f>
        <v>O TIO + OITO</v>
      </c>
      <c r="H16">
        <f>VLOOKUP($B16,'Obras e Acervos'!$B:$X,18,0)</f>
        <v>10</v>
      </c>
      <c r="I16">
        <f>VLOOKUP($B16,'Obras e Acervos'!$B:$X,19,0)</f>
        <v>35540</v>
      </c>
      <c r="J16" s="42">
        <f>VLOOKUP($B16,'Obras e Acervos'!$B:$X,20,0)</f>
        <v>4051.56</v>
      </c>
      <c r="K16" s="31">
        <f>VLOOKUP($B16,'Obras e Acervos'!$B:$X,21,0)</f>
        <v>7.68</v>
      </c>
      <c r="L16" s="31">
        <f t="shared" si="3"/>
        <v>272947.20000000001</v>
      </c>
      <c r="M16" s="1">
        <v>46056</v>
      </c>
      <c r="N16" s="1">
        <f t="shared" si="0"/>
        <v>46305</v>
      </c>
      <c r="O16">
        <f t="shared" si="4"/>
        <v>250</v>
      </c>
      <c r="P16" s="49">
        <f t="shared" si="1"/>
        <v>8.3333333333333339</v>
      </c>
      <c r="Q16" s="34">
        <f>VLOOKUP($G16,Agendamento!$B:$F,5,0)</f>
        <v>6</v>
      </c>
      <c r="R16" s="36">
        <f t="shared" si="5"/>
        <v>36</v>
      </c>
      <c r="S16" s="44">
        <v>2.5499999999999998</v>
      </c>
      <c r="T16" s="44">
        <f t="shared" si="6"/>
        <v>22950</v>
      </c>
      <c r="U16" t="s">
        <v>4473</v>
      </c>
      <c r="V16" t="str">
        <f t="shared" si="7"/>
        <v>NF/64237227_20260203_nf_12.pdf</v>
      </c>
      <c r="W16" s="32" t="str">
        <f t="shared" si="2"/>
        <v>NF - O TIO + OITO</v>
      </c>
      <c r="X16" t="s">
        <v>5591</v>
      </c>
    </row>
    <row r="17" spans="1:24" x14ac:dyDescent="0.25">
      <c r="A17" t="str">
        <f>CONCATENATE(D17,"_",TEXT(M17,"ddmmaaaa"),"_",COUNTIF($D$2:D17,D17))</f>
        <v>436814000001-12_05022026_1</v>
      </c>
      <c r="B17" t="str">
        <f>CONCATENATE(Analise!D17,"_",COUNTIF(Analise!$D$2:D17,Analise!D17))</f>
        <v>436814000001-12_1</v>
      </c>
      <c r="C17" s="34">
        <f>COUNTIF('Obras e Acervos'!$C:$C,CONCATENATE(LEFT(D17,12),RIGHT(D17,2)))</f>
        <v>1</v>
      </c>
      <c r="D17" t="s">
        <v>4498</v>
      </c>
      <c r="E17" t="str">
        <f>VLOOKUP($B17,'Obras e Acervos'!$B:$X,3,0)</f>
        <v>TACACÁ EDITORIAL LTDA-TACACA EDITORIAL</v>
      </c>
      <c r="F17" t="str">
        <f>VLOOKUP($B17,'Obras e Acervos'!$B:$X,7,0)</f>
        <v>1275L23000030LE</v>
      </c>
      <c r="G17" t="str">
        <f>VLOOKUP($B17,'Obras e Acervos'!$B:$X,5,0)</f>
        <v>AMOR EXPLICADINHO</v>
      </c>
      <c r="H17">
        <f>VLOOKUP($B17,'Obras e Acervos'!$B:$X,18,0)</f>
        <v>8</v>
      </c>
      <c r="I17">
        <f>VLOOKUP($B17,'Obras e Acervos'!$B:$X,19,0)</f>
        <v>33225</v>
      </c>
      <c r="J17" s="42">
        <f>VLOOKUP($B17,'Obras e Acervos'!$B:$X,20,0)</f>
        <v>3488.625</v>
      </c>
      <c r="K17" s="31">
        <f>VLOOKUP($B17,'Obras e Acervos'!$B:$X,21,0)</f>
        <v>5.94</v>
      </c>
      <c r="L17" s="31">
        <f t="shared" si="3"/>
        <v>197356.5</v>
      </c>
      <c r="M17" s="1">
        <v>46058</v>
      </c>
      <c r="N17" s="1">
        <f t="shared" si="0"/>
        <v>46305</v>
      </c>
      <c r="O17">
        <f t="shared" si="4"/>
        <v>248</v>
      </c>
      <c r="P17" s="49">
        <f t="shared" si="1"/>
        <v>8.2666666666666675</v>
      </c>
      <c r="Q17" s="34">
        <f>VLOOKUP($G17,Agendamento!$B:$F,5,0)</f>
        <v>4</v>
      </c>
      <c r="R17" s="36">
        <f t="shared" si="5"/>
        <v>34</v>
      </c>
      <c r="S17" s="44">
        <v>2.5499999999999998</v>
      </c>
      <c r="T17" s="44">
        <f t="shared" si="6"/>
        <v>21501.599999999999</v>
      </c>
      <c r="U17" t="s">
        <v>4918</v>
      </c>
      <c r="V17" t="str">
        <f t="shared" si="7"/>
        <v>NF/64237227_20260205_nf_01.pdf</v>
      </c>
      <c r="W17" s="32" t="str">
        <f t="shared" si="2"/>
        <v>NF - AMOR EXPLICADINHO</v>
      </c>
      <c r="X17" t="s">
        <v>5591</v>
      </c>
    </row>
    <row r="18" spans="1:24" x14ac:dyDescent="0.25">
      <c r="A18" t="str">
        <f>CONCATENATE(D18,"_",TEXT(M18,"ddmmaaaa"),"_",COUNTIF($D$2:D18,D18))</f>
        <v>610974320001-57_05022026_1</v>
      </c>
      <c r="B18" t="str">
        <f>CONCATENATE(Analise!D18,"_",2)</f>
        <v>610974320001-57_2</v>
      </c>
      <c r="C18" s="34">
        <f>COUNTIF('Obras e Acervos'!$C:$C,CONCATENATE(LEFT(D18,12),RIGHT(D18,2)))</f>
        <v>2</v>
      </c>
      <c r="D18" t="s">
        <v>4499</v>
      </c>
      <c r="E18" t="str">
        <f>VLOOKUP($B18,'Obras e Acervos'!$B:$X,3,0)</f>
        <v>KITS EDITORA COMÉRCIO E INDÚSTRIA LTDA-KIT´S EDITORA</v>
      </c>
      <c r="F18" t="str">
        <f>VLOOKUP($B18,'Obras e Acervos'!$B:$X,7,0)</f>
        <v>0788L23000020LE</v>
      </c>
      <c r="G18" t="str">
        <f>VLOOKUP($B18,'Obras e Acervos'!$B:$X,5,0)</f>
        <v>COMIDAS ESTRANHUDAS</v>
      </c>
      <c r="H18">
        <f>VLOOKUP($B18,'Obras e Acervos'!$B:$X,18,0)</f>
        <v>21</v>
      </c>
      <c r="I18">
        <f>VLOOKUP($B18,'Obras e Acervos'!$B:$X,19,0)</f>
        <v>23799</v>
      </c>
      <c r="J18" s="42">
        <f>VLOOKUP($B18,'Obras e Acervos'!$B:$X,20,0)</f>
        <v>2689.2870000000003</v>
      </c>
      <c r="K18" s="31">
        <f>VLOOKUP($B18,'Obras e Acervos'!$B:$X,21,0)</f>
        <v>11.91</v>
      </c>
      <c r="L18" s="31">
        <f t="shared" si="3"/>
        <v>283446.09000000003</v>
      </c>
      <c r="M18" s="1">
        <v>46058</v>
      </c>
      <c r="N18" s="1">
        <f t="shared" si="0"/>
        <v>46305</v>
      </c>
      <c r="O18">
        <f t="shared" si="4"/>
        <v>248</v>
      </c>
      <c r="P18" s="49">
        <f t="shared" si="1"/>
        <v>8.2666666666666675</v>
      </c>
      <c r="Q18" s="34">
        <f>VLOOKUP($G18,Agendamento!$B:$F,5,0)</f>
        <v>4</v>
      </c>
      <c r="R18" s="36">
        <f t="shared" si="5"/>
        <v>24</v>
      </c>
      <c r="S18" s="44">
        <v>2.5499999999999998</v>
      </c>
      <c r="T18" s="44">
        <f t="shared" si="6"/>
        <v>15177.599999999999</v>
      </c>
      <c r="U18" t="s">
        <v>4919</v>
      </c>
      <c r="V18" t="str">
        <f t="shared" si="7"/>
        <v>NF/64237227_20260205_nf_02.pdf</v>
      </c>
      <c r="W18" s="32" t="str">
        <f t="shared" si="2"/>
        <v>NF - COMIDAS ESTRANHUDAS</v>
      </c>
      <c r="X18" t="s">
        <v>5746</v>
      </c>
    </row>
    <row r="19" spans="1:24" x14ac:dyDescent="0.25">
      <c r="A19" t="str">
        <f>CONCATENATE(D19,"_",TEXT(M19,"ddmmaaaa"),"_",COUNTIF($D$2:D19,D19))</f>
        <v>048643160001-82_05022026_1</v>
      </c>
      <c r="B19" t="str">
        <f>CONCATENATE(Analise!D19,"_",COUNTIF(Analise!$D$2:D19,Analise!D19)+1)</f>
        <v>048643160001-82_2</v>
      </c>
      <c r="C19" s="34">
        <f>COUNTIF('Obras e Acervos'!$C:$C,CONCATENATE(LEFT(D19,12),RIGHT(D19,2)))</f>
        <v>2</v>
      </c>
      <c r="D19" t="s">
        <v>4496</v>
      </c>
      <c r="E19" t="str">
        <f>VLOOKUP($B19,'Obras e Acervos'!$B:$X,3,0)</f>
        <v>EDITORA E GRAFICA INDICO LTDA-EDITORA INDICO</v>
      </c>
      <c r="F19" t="str">
        <f>VLOOKUP($B19,'Obras e Acervos'!$B:$X,7,0)</f>
        <v>0456L23000020LE</v>
      </c>
      <c r="G19" t="str">
        <f>VLOOKUP($B19,'Obras e Acervos'!$B:$X,5,0)</f>
        <v>O BREJO DAS TABOAS</v>
      </c>
      <c r="H19">
        <f>VLOOKUP($B19,'Obras e Acervos'!$B:$X,18,0)</f>
        <v>11</v>
      </c>
      <c r="I19">
        <f>VLOOKUP($B19,'Obras e Acervos'!$B:$X,19,0)</f>
        <v>32483</v>
      </c>
      <c r="J19" s="42">
        <f>VLOOKUP($B19,'Obras e Acervos'!$B:$X,20,0)</f>
        <v>3345.7489999999998</v>
      </c>
      <c r="K19" s="31">
        <f>VLOOKUP($B19,'Obras e Acervos'!$B:$X,21,0)</f>
        <v>6.34</v>
      </c>
      <c r="L19" s="31">
        <f t="shared" si="3"/>
        <v>205942.22</v>
      </c>
      <c r="M19" s="1">
        <v>46058</v>
      </c>
      <c r="N19" s="1">
        <f t="shared" si="0"/>
        <v>46305</v>
      </c>
      <c r="O19">
        <f t="shared" si="4"/>
        <v>248</v>
      </c>
      <c r="P19" s="49">
        <f t="shared" si="1"/>
        <v>8.2666666666666675</v>
      </c>
      <c r="Q19" s="34">
        <f>VLOOKUP($G19,Agendamento!$B:$F,5,0)</f>
        <v>4</v>
      </c>
      <c r="R19" s="36">
        <f t="shared" si="5"/>
        <v>33</v>
      </c>
      <c r="S19" s="44">
        <v>2.5499999999999998</v>
      </c>
      <c r="T19" s="44">
        <f t="shared" si="6"/>
        <v>20869.199999999997</v>
      </c>
      <c r="U19" t="s">
        <v>4916</v>
      </c>
      <c r="V19" t="str">
        <f t="shared" si="7"/>
        <v>NF/64237227_20260205_nf_03.pdf</v>
      </c>
      <c r="W19" s="32" t="str">
        <f t="shared" si="2"/>
        <v>NF - O BREJO DAS TABOAS</v>
      </c>
      <c r="X19" t="s">
        <v>5746</v>
      </c>
    </row>
    <row r="20" spans="1:24" x14ac:dyDescent="0.25">
      <c r="A20" t="str">
        <f>CONCATENATE(D20,"_",TEXT(M20,"ddmmaaaa"),"_",COUNTIF($D$2:D20,D20))</f>
        <v>170777540001-42_05022026_1</v>
      </c>
      <c r="B20" t="str">
        <f>CONCATENATE(Analise!D20,"_",COUNTIF(Analise!$D$2:D20,Analise!D20)+1)</f>
        <v>170777540001-42_2</v>
      </c>
      <c r="C20" s="34">
        <f>COUNTIF('Obras e Acervos'!$C:$C,CONCATENATE(LEFT(D20,12),RIGHT(D20,2)))</f>
        <v>2</v>
      </c>
      <c r="D20" t="s">
        <v>4493</v>
      </c>
      <c r="E20" t="str">
        <f>VLOOKUP($B20,'Obras e Acervos'!$B:$X,3,0)</f>
        <v>SG-AMARANTE EDITORIAL LTDA-SG-AMARANTE</v>
      </c>
      <c r="F20" t="str">
        <f>VLOOKUP($B20,'Obras e Acervos'!$B:$X,7,0)</f>
        <v>0957L23000020LE</v>
      </c>
      <c r="G20" t="str">
        <f>VLOOKUP($B20,'Obras e Acervos'!$B:$X,5,0)</f>
        <v>É TUDO VERDADE! (OU SERÁ MENTIRA?)</v>
      </c>
      <c r="H20">
        <f>VLOOKUP($B20,'Obras e Acervos'!$B:$X,18,0)</f>
        <v>11</v>
      </c>
      <c r="I20">
        <f>VLOOKUP($B20,'Obras e Acervos'!$B:$X,19,0)</f>
        <v>39724</v>
      </c>
      <c r="J20" s="42">
        <f>VLOOKUP($B20,'Obras e Acervos'!$B:$X,20,0)</f>
        <v>4171.0199999999995</v>
      </c>
      <c r="K20" s="31">
        <f>VLOOKUP($B20,'Obras e Acervos'!$B:$X,21,0)</f>
        <v>5.44</v>
      </c>
      <c r="L20" s="31">
        <f t="shared" si="3"/>
        <v>216098.56000000003</v>
      </c>
      <c r="M20" s="1">
        <v>46058</v>
      </c>
      <c r="N20" s="1">
        <f t="shared" si="0"/>
        <v>46305</v>
      </c>
      <c r="O20">
        <f t="shared" si="4"/>
        <v>248</v>
      </c>
      <c r="P20" s="49">
        <f t="shared" si="1"/>
        <v>8.2666666666666675</v>
      </c>
      <c r="Q20" s="34">
        <f>VLOOKUP($G20,Agendamento!$B:$F,5,0)</f>
        <v>5</v>
      </c>
      <c r="R20" s="36">
        <f t="shared" si="5"/>
        <v>40</v>
      </c>
      <c r="S20" s="44">
        <v>2.5499999999999998</v>
      </c>
      <c r="T20" s="44">
        <f t="shared" si="6"/>
        <v>25296</v>
      </c>
      <c r="U20" t="s">
        <v>4913</v>
      </c>
      <c r="V20" t="str">
        <f t="shared" si="7"/>
        <v>NF/64237227_20260205_nf_04.pdf</v>
      </c>
      <c r="W20" s="32" t="str">
        <f t="shared" si="2"/>
        <v>NF - É TUDO VERDADE! (OU SERÁ MENTIRA?)</v>
      </c>
      <c r="X20" t="s">
        <v>5746</v>
      </c>
    </row>
    <row r="21" spans="1:24" x14ac:dyDescent="0.25">
      <c r="A21" t="str">
        <f>CONCATENATE(D21,"_",TEXT(M21,"ddmmaaaa"),"_",COUNTIF($D$2:D21,D21))</f>
        <v>339677750001-90_05022026_1</v>
      </c>
      <c r="B21" t="str">
        <f>CONCATENATE(Analise!D21,"_",COUNTIF(Analise!$D$2:D21,Analise!D21)+1)</f>
        <v>339677750001-90_2</v>
      </c>
      <c r="C21" s="34">
        <f>COUNTIF('Obras e Acervos'!$C:$C,CONCATENATE(LEFT(D21,12),RIGHT(D21,2)))</f>
        <v>2</v>
      </c>
      <c r="D21" t="s">
        <v>4494</v>
      </c>
      <c r="E21" t="str">
        <f>VLOOKUP($B21,'Obras e Acervos'!$B:$X,3,0)</f>
        <v>GUTENBERG DISTRIBUIDORA DE LIVROS LTDA.-YELLOWFANTE</v>
      </c>
      <c r="F21" t="str">
        <f>VLOOKUP($B21,'Obras e Acervos'!$B:$X,7,0)</f>
        <v>0987L23000020LE</v>
      </c>
      <c r="G21" t="str">
        <f>VLOOKUP($B21,'Obras e Acervos'!$B:$X,5,0)</f>
        <v>O MAR DE MANU</v>
      </c>
      <c r="H21">
        <f>VLOOKUP($B21,'Obras e Acervos'!$B:$X,18,0)</f>
        <v>22</v>
      </c>
      <c r="I21">
        <f>VLOOKUP($B21,'Obras e Acervos'!$B:$X,19,0)</f>
        <v>24025</v>
      </c>
      <c r="J21" s="42">
        <f>VLOOKUP($B21,'Obras e Acervos'!$B:$X,20,0)</f>
        <v>2522.625</v>
      </c>
      <c r="K21" s="31">
        <f>VLOOKUP($B21,'Obras e Acervos'!$B:$X,21,0)</f>
        <v>6.57</v>
      </c>
      <c r="L21" s="31">
        <f t="shared" si="3"/>
        <v>157844.25</v>
      </c>
      <c r="M21" s="1">
        <v>46058</v>
      </c>
      <c r="N21" s="1">
        <f t="shared" si="0"/>
        <v>46305</v>
      </c>
      <c r="O21">
        <f t="shared" si="4"/>
        <v>248</v>
      </c>
      <c r="P21" s="49">
        <f t="shared" si="1"/>
        <v>8.2666666666666675</v>
      </c>
      <c r="Q21" s="34">
        <f>VLOOKUP($G21,Agendamento!$B:$F,5,0)</f>
        <v>3</v>
      </c>
      <c r="R21" s="36">
        <f t="shared" si="5"/>
        <v>25</v>
      </c>
      <c r="S21" s="44">
        <v>2.5499999999999998</v>
      </c>
      <c r="T21" s="44">
        <f t="shared" si="6"/>
        <v>15809.999999999998</v>
      </c>
      <c r="U21" t="s">
        <v>4914</v>
      </c>
      <c r="V21" t="str">
        <f t="shared" si="7"/>
        <v>NF/64237227_20260205_nf_05.pdf</v>
      </c>
      <c r="W21" s="32" t="str">
        <f t="shared" si="2"/>
        <v>NF - O MAR DE MANU</v>
      </c>
      <c r="X21" t="s">
        <v>5746</v>
      </c>
    </row>
    <row r="22" spans="1:24" x14ac:dyDescent="0.25">
      <c r="A22" t="str">
        <f>CONCATENATE(D22,"_",TEXT(M22,"ddmmaaaa"),"_",COUNTIF($D$2:D22,D22))</f>
        <v>387460380001-80_05022026_1</v>
      </c>
      <c r="B22" t="str">
        <f>CONCATENATE(Analise!D22,"_",COUNTIF(Analise!$D$2:D22,Analise!D22))</f>
        <v>387460380001-80_1</v>
      </c>
      <c r="C22" s="34">
        <f>COUNTIF('Obras e Acervos'!$C:$C,CONCATENATE(LEFT(D22,12),RIGHT(D22,2)))</f>
        <v>2</v>
      </c>
      <c r="D22" t="s">
        <v>4495</v>
      </c>
      <c r="E22" t="str">
        <f>VLOOKUP($B22,'Obras e Acervos'!$B:$X,3,0)</f>
        <v>EDITORA GUTENBERG LTDA.-GUTENBERG</v>
      </c>
      <c r="F22" t="str">
        <f>VLOOKUP($B22,'Obras e Acervos'!$B:$X,7,0)</f>
        <v>0720L23000030LE</v>
      </c>
      <c r="G22" t="str">
        <f>VLOOKUP($B22,'Obras e Acervos'!$B:$X,5,0)</f>
        <v>A CASA QUE ASSOVIAVA</v>
      </c>
      <c r="H22">
        <f>VLOOKUP($B22,'Obras e Acervos'!$B:$X,18,0)</f>
        <v>4</v>
      </c>
      <c r="I22">
        <f>VLOOKUP($B22,'Obras e Acervos'!$B:$X,19,0)</f>
        <v>48444</v>
      </c>
      <c r="J22" s="42">
        <f>VLOOKUP($B22,'Obras e Acervos'!$B:$X,20,0)</f>
        <v>5086.62</v>
      </c>
      <c r="K22" s="31">
        <f>VLOOKUP($B22,'Obras e Acervos'!$B:$X,21,0)</f>
        <v>4.75</v>
      </c>
      <c r="L22" s="31">
        <f t="shared" si="3"/>
        <v>230109</v>
      </c>
      <c r="M22" s="1">
        <v>46058</v>
      </c>
      <c r="N22" s="1">
        <f t="shared" si="0"/>
        <v>46305</v>
      </c>
      <c r="O22">
        <f t="shared" si="4"/>
        <v>248</v>
      </c>
      <c r="P22" s="49">
        <f t="shared" si="1"/>
        <v>8.2666666666666675</v>
      </c>
      <c r="Q22" s="34">
        <f>VLOOKUP($G22,Agendamento!$B:$F,5,0)</f>
        <v>6</v>
      </c>
      <c r="R22" s="36">
        <f t="shared" si="5"/>
        <v>49</v>
      </c>
      <c r="S22" s="44">
        <v>2.5499999999999998</v>
      </c>
      <c r="T22" s="44">
        <f t="shared" si="6"/>
        <v>30987.599999999999</v>
      </c>
      <c r="U22" t="s">
        <v>4915</v>
      </c>
      <c r="V22" t="str">
        <f t="shared" si="7"/>
        <v>NF/64237227_20260205_nf_06.pdf</v>
      </c>
      <c r="W22" s="32" t="str">
        <f t="shared" si="2"/>
        <v>NF - A CASA QUE ASSOVIAVA</v>
      </c>
      <c r="X22" t="s">
        <v>5591</v>
      </c>
    </row>
    <row r="23" spans="1:24" x14ac:dyDescent="0.25">
      <c r="A23" t="str">
        <f>CONCATENATE(D23,"_",TEXT(M23,"ddmmaaaa"),"_",COUNTIF($D$2:D23,D23))</f>
        <v>227694490001-51_05022026_1</v>
      </c>
      <c r="B23" t="str">
        <f>CONCATENATE(Analise!D23,"_",COUNTIF(Analise!$D$2:D23,Analise!D23)+1)</f>
        <v>227694490001-51_2</v>
      </c>
      <c r="C23" s="34">
        <f>COUNTIF('Obras e Acervos'!$C:$C,CONCATENATE(LEFT(D23,12),RIGHT(D23,2)))</f>
        <v>2</v>
      </c>
      <c r="D23" t="s">
        <v>4497</v>
      </c>
      <c r="E23" t="str">
        <f>VLOOKUP($B23,'Obras e Acervos'!$B:$X,3,0)</f>
        <v>EDITORA MADREPEROLA LTDA-EDITORA MADREPÉROLA</v>
      </c>
      <c r="F23" t="str">
        <f>VLOOKUP($B23,'Obras e Acervos'!$B:$X,7,0)</f>
        <v>1249L23000020LE</v>
      </c>
      <c r="G23" t="str">
        <f>VLOOKUP($B23,'Obras e Acervos'!$B:$X,5,0)</f>
        <v>INÁCIO! LARGA ESSE CELULAR</v>
      </c>
      <c r="H23">
        <f>VLOOKUP($B23,'Obras e Acervos'!$B:$X,18,0)</f>
        <v>19</v>
      </c>
      <c r="I23">
        <f>VLOOKUP($B23,'Obras e Acervos'!$B:$X,19,0)</f>
        <v>36587</v>
      </c>
      <c r="J23" s="42">
        <f>VLOOKUP($B23,'Obras e Acervos'!$B:$X,20,0)</f>
        <v>3658.7000000000003</v>
      </c>
      <c r="K23" s="31">
        <f>VLOOKUP($B23,'Obras e Acervos'!$B:$X,21,0)</f>
        <v>5.85</v>
      </c>
      <c r="L23" s="31">
        <f t="shared" si="3"/>
        <v>214033.94999999998</v>
      </c>
      <c r="M23" s="1">
        <v>46058</v>
      </c>
      <c r="N23" s="1">
        <f t="shared" si="0"/>
        <v>46305</v>
      </c>
      <c r="O23">
        <f t="shared" si="4"/>
        <v>248</v>
      </c>
      <c r="P23" s="49">
        <f t="shared" si="1"/>
        <v>8.2666666666666675</v>
      </c>
      <c r="Q23" s="34">
        <f>VLOOKUP($G23,Agendamento!$B:$F,5,0)</f>
        <v>5</v>
      </c>
      <c r="R23" s="36">
        <f t="shared" si="5"/>
        <v>37</v>
      </c>
      <c r="S23" s="44">
        <v>2.5499999999999998</v>
      </c>
      <c r="T23" s="44">
        <f t="shared" si="6"/>
        <v>23398.799999999999</v>
      </c>
      <c r="U23" t="s">
        <v>4917</v>
      </c>
      <c r="V23" t="str">
        <f t="shared" si="7"/>
        <v>NF/64237227_20260205_nf_07.pdf</v>
      </c>
      <c r="W23" s="32" t="str">
        <f t="shared" si="2"/>
        <v>NF - INÁCIO! LARGA ESSE CELULAR</v>
      </c>
      <c r="X23" t="s">
        <v>5746</v>
      </c>
    </row>
    <row r="24" spans="1:24" x14ac:dyDescent="0.25">
      <c r="A24" t="str">
        <f>CONCATENATE(D24,"_",TEXT(M24,"ddmmaaaa"),"_",COUNTIF($D$2:D24,D24))</f>
        <v>720440500001-81_06022026_1</v>
      </c>
      <c r="B24" t="str">
        <f>CONCATENATE(Analise!D24,"_",COUNTIF(Analise!$D$2:D24,Analise!D24))</f>
        <v>720440500001-81_1</v>
      </c>
      <c r="C24" s="34">
        <f>COUNTIF('Obras e Acervos'!$C:$C,CONCATENATE(LEFT(D24,12),RIGHT(D24,2)))</f>
        <v>1</v>
      </c>
      <c r="D24" t="s">
        <v>4505</v>
      </c>
      <c r="E24" t="str">
        <f>VLOOKUP($B24,'Obras e Acervos'!$B:$X,3,0)</f>
        <v>IMO S GRAFICA E EDITORA LTDA-</v>
      </c>
      <c r="F24" t="str">
        <f>VLOOKUP($B24,'Obras e Acervos'!$B:$X,7,0)</f>
        <v>1129L23000030LE</v>
      </c>
      <c r="G24" t="str">
        <f>VLOOKUP($B24,'Obras e Acervos'!$B:$X,5,0)</f>
        <v>DORA, UMA MENINA NORDESTINA</v>
      </c>
      <c r="H24">
        <f>VLOOKUP($B24,'Obras e Acervos'!$B:$X,18,0)</f>
        <v>9</v>
      </c>
      <c r="I24">
        <f>VLOOKUP($B24,'Obras e Acervos'!$B:$X,19,0)</f>
        <v>37900</v>
      </c>
      <c r="J24" s="42">
        <f>VLOOKUP($B24,'Obras e Acervos'!$B:$X,20,0)</f>
        <v>3979.5</v>
      </c>
      <c r="K24" s="31">
        <f>VLOOKUP($B24,'Obras e Acervos'!$B:$X,21,0)</f>
        <v>5.49</v>
      </c>
      <c r="L24" s="31">
        <f t="shared" si="3"/>
        <v>208071</v>
      </c>
      <c r="M24" s="1">
        <v>46059</v>
      </c>
      <c r="N24" s="1">
        <f t="shared" si="0"/>
        <v>46305</v>
      </c>
      <c r="O24">
        <f t="shared" si="4"/>
        <v>247</v>
      </c>
      <c r="P24" s="49">
        <f t="shared" si="1"/>
        <v>8.2333333333333325</v>
      </c>
      <c r="Q24" s="34">
        <f>VLOOKUP($G24,Agendamento!$B:$F,5,0)</f>
        <v>5</v>
      </c>
      <c r="R24" s="36">
        <f t="shared" si="5"/>
        <v>38</v>
      </c>
      <c r="S24" s="44">
        <v>2.5499999999999998</v>
      </c>
      <c r="T24" s="44">
        <f t="shared" si="6"/>
        <v>23934.3</v>
      </c>
      <c r="U24" t="s">
        <v>4925</v>
      </c>
      <c r="V24" t="str">
        <f t="shared" si="7"/>
        <v>NF/64237413_20260206_nf_01.pdf</v>
      </c>
      <c r="W24" s="32" t="str">
        <f t="shared" si="2"/>
        <v>NF - DORA, UMA MENINA NORDESTINA</v>
      </c>
      <c r="X24" t="s">
        <v>5591</v>
      </c>
    </row>
    <row r="25" spans="1:24" x14ac:dyDescent="0.25">
      <c r="A25" t="str">
        <f>CONCATENATE(D25,"_",TEXT(M25,"ddmmaaaa"),"_",COUNTIF($D$2:D25,D25))</f>
        <v>171726860001-09_06022026_1</v>
      </c>
      <c r="B25" t="str">
        <f>CONCATENATE(Analise!D25,"_",COUNTIF(Analise!$D$2:D25,Analise!D25))</f>
        <v>171726860001-09_1</v>
      </c>
      <c r="C25" s="34">
        <f>COUNTIF('Obras e Acervos'!$C:$C,CONCATENATE(LEFT(D25,12),RIGHT(D25,2)))</f>
        <v>2</v>
      </c>
      <c r="D25" t="s">
        <v>4507</v>
      </c>
      <c r="E25" t="str">
        <f>VLOOKUP($B25,'Obras e Acervos'!$B:$X,3,0)</f>
        <v>VMP REPRESENTACOES E COMERCIO LTDA-VMP REPRESENTACOES E COMERCIO</v>
      </c>
      <c r="F25" t="str">
        <f>VLOOKUP($B25,'Obras e Acervos'!$B:$X,7,0)</f>
        <v>0664L23000030LE</v>
      </c>
      <c r="G25" t="str">
        <f>VLOOKUP($B25,'Obras e Acervos'!$B:$X,5,0)</f>
        <v>MARIA FLOR</v>
      </c>
      <c r="H25">
        <f>VLOOKUP($B25,'Obras e Acervos'!$B:$X,18,0)</f>
        <v>5</v>
      </c>
      <c r="I25">
        <f>VLOOKUP($B25,'Obras e Acervos'!$B:$X,19,0)</f>
        <v>37726</v>
      </c>
      <c r="J25" s="42">
        <f>VLOOKUP($B25,'Obras e Acervos'!$B:$X,20,0)</f>
        <v>4338.49</v>
      </c>
      <c r="K25" s="31">
        <f>VLOOKUP($B25,'Obras e Acervos'!$B:$X,21,0)</f>
        <v>5.91</v>
      </c>
      <c r="L25" s="31">
        <f t="shared" si="3"/>
        <v>222960.66</v>
      </c>
      <c r="M25" s="1">
        <v>46059</v>
      </c>
      <c r="N25" s="1">
        <f t="shared" si="0"/>
        <v>46305</v>
      </c>
      <c r="O25">
        <f t="shared" si="4"/>
        <v>247</v>
      </c>
      <c r="P25" s="49">
        <f t="shared" si="1"/>
        <v>8.2333333333333325</v>
      </c>
      <c r="Q25" s="34">
        <f>VLOOKUP($G25,Agendamento!$B:$F,5,0)</f>
        <v>5</v>
      </c>
      <c r="R25" s="36">
        <f t="shared" si="5"/>
        <v>38</v>
      </c>
      <c r="S25" s="44">
        <v>2.5499999999999998</v>
      </c>
      <c r="T25" s="44">
        <f t="shared" si="6"/>
        <v>23934.3</v>
      </c>
      <c r="U25" t="s">
        <v>4927</v>
      </c>
      <c r="V25" t="str">
        <f t="shared" si="7"/>
        <v>NF/64237413_20260206_nf_02.pdf</v>
      </c>
      <c r="W25" s="32" t="str">
        <f t="shared" si="2"/>
        <v>NF - MARIA FLOR</v>
      </c>
      <c r="X25" t="s">
        <v>5591</v>
      </c>
    </row>
    <row r="26" spans="1:24" x14ac:dyDescent="0.25">
      <c r="A26" t="str">
        <f>CONCATENATE(D26,"_",TEXT(M26,"ddmmaaaa"),"_",COUNTIF($D$2:D26,D26))</f>
        <v>171726860001-09_06022026_2</v>
      </c>
      <c r="B26" t="str">
        <f>CONCATENATE(Analise!D26,"_",COUNTIF(Analise!$D$2:D26,Analise!D26))</f>
        <v>171726860001-09_2</v>
      </c>
      <c r="C26" s="34">
        <f>COUNTIF('Obras e Acervos'!$C:$C,CONCATENATE(LEFT(D26,12),RIGHT(D26,2)))</f>
        <v>2</v>
      </c>
      <c r="D26" t="s">
        <v>4507</v>
      </c>
      <c r="E26" t="str">
        <f>VLOOKUP($B26,'Obras e Acervos'!$B:$X,3,0)</f>
        <v>VMP REPRESENTACOES E COMERCIO LTDA-VMP REPRESENTACOES E COMERCIO</v>
      </c>
      <c r="F26" t="str">
        <f>VLOOKUP($B26,'Obras e Acervos'!$B:$X,7,0)</f>
        <v>0667L23000020LE</v>
      </c>
      <c r="G26" t="str">
        <f>VLOOKUP($B26,'Obras e Acervos'!$B:$X,5,0)</f>
        <v>O OLHO DA RUA</v>
      </c>
      <c r="H26">
        <f>VLOOKUP($B26,'Obras e Acervos'!$B:$X,18,0)</f>
        <v>22</v>
      </c>
      <c r="I26">
        <f>VLOOKUP($B26,'Obras e Acervos'!$B:$X,19,0)</f>
        <v>23919</v>
      </c>
      <c r="J26" s="42">
        <f>VLOOKUP($B26,'Obras e Acervos'!$B:$X,20,0)</f>
        <v>3659.607</v>
      </c>
      <c r="K26" s="31">
        <f>VLOOKUP($B26,'Obras e Acervos'!$B:$X,21,0)</f>
        <v>8.92</v>
      </c>
      <c r="L26" s="31">
        <f t="shared" si="3"/>
        <v>213357.48</v>
      </c>
      <c r="M26" s="1">
        <v>46059</v>
      </c>
      <c r="N26" s="1">
        <f t="shared" si="0"/>
        <v>46305</v>
      </c>
      <c r="O26">
        <f t="shared" si="4"/>
        <v>247</v>
      </c>
      <c r="P26" s="49">
        <f t="shared" si="1"/>
        <v>8.2333333333333325</v>
      </c>
      <c r="Q26" s="34">
        <f>VLOOKUP($G26,Agendamento!$B:$F,5,0)</f>
        <v>4</v>
      </c>
      <c r="R26" s="36">
        <f t="shared" si="5"/>
        <v>24</v>
      </c>
      <c r="S26" s="44">
        <v>2.5499999999999998</v>
      </c>
      <c r="T26" s="44">
        <f t="shared" si="6"/>
        <v>15116.4</v>
      </c>
      <c r="U26" t="s">
        <v>4927</v>
      </c>
      <c r="V26" t="str">
        <f t="shared" si="7"/>
        <v>NF/64237413_20260206_nf_02.pdf</v>
      </c>
      <c r="W26" s="32" t="str">
        <f t="shared" si="2"/>
        <v>NF - O OLHO DA RUA</v>
      </c>
      <c r="X26" t="s">
        <v>5591</v>
      </c>
    </row>
    <row r="27" spans="1:24" x14ac:dyDescent="0.25">
      <c r="A27" t="str">
        <f>CONCATENATE(D27,"_",TEXT(M27,"ddmmaaaa"),"_",COUNTIF($D$2:D27,D27))</f>
        <v>407961540001-56_06022026_1</v>
      </c>
      <c r="B27" t="str">
        <f>CONCATENATE(Analise!D27,"_",COUNTIF(Analise!$D$2:D27,Analise!D27))</f>
        <v>407961540001-56_1</v>
      </c>
      <c r="C27" s="34">
        <f>COUNTIF('Obras e Acervos'!$C:$C,CONCATENATE(LEFT(D27,12),RIGHT(D27,2)))</f>
        <v>1</v>
      </c>
      <c r="D27" t="s">
        <v>4508</v>
      </c>
      <c r="E27" t="str">
        <f>VLOOKUP($B27,'Obras e Acervos'!$B:$X,3,0)</f>
        <v>ARTHUR SILVEIRA EDITORA LTDA-CURIOSAMENTE EDITORA</v>
      </c>
      <c r="F27" t="str">
        <f>VLOOKUP($B27,'Obras e Acervos'!$B:$X,7,0)</f>
        <v>0585L23000020LE</v>
      </c>
      <c r="G27" t="str">
        <f>VLOOKUP($B27,'Obras e Acervos'!$B:$X,5,0)</f>
        <v>DO MAR</v>
      </c>
      <c r="H27">
        <f>VLOOKUP($B27,'Obras e Acervos'!$B:$X,18,0)</f>
        <v>19</v>
      </c>
      <c r="I27">
        <f>VLOOKUP($B27,'Obras e Acervos'!$B:$X,19,0)</f>
        <v>26467</v>
      </c>
      <c r="J27" s="42">
        <f>VLOOKUP($B27,'Obras e Acervos'!$B:$X,20,0)</f>
        <v>4287.6540000000005</v>
      </c>
      <c r="K27" s="31">
        <f>VLOOKUP($B27,'Obras e Acervos'!$B:$X,21,0)</f>
        <v>9.26</v>
      </c>
      <c r="L27" s="31">
        <f t="shared" si="3"/>
        <v>245084.41999999998</v>
      </c>
      <c r="M27" s="1">
        <v>46059</v>
      </c>
      <c r="N27" s="1">
        <f t="shared" si="0"/>
        <v>46305</v>
      </c>
      <c r="O27">
        <f t="shared" si="4"/>
        <v>247</v>
      </c>
      <c r="P27" s="49">
        <f t="shared" si="1"/>
        <v>8.2333333333333325</v>
      </c>
      <c r="Q27" s="34">
        <f>VLOOKUP($G27,Agendamento!$B:$F,5,0)</f>
        <v>5</v>
      </c>
      <c r="R27" s="36">
        <f t="shared" si="5"/>
        <v>27</v>
      </c>
      <c r="S27" s="44">
        <v>2.5499999999999998</v>
      </c>
      <c r="T27" s="44">
        <f t="shared" si="6"/>
        <v>17005.949999999997</v>
      </c>
      <c r="U27" t="s">
        <v>4928</v>
      </c>
      <c r="V27" t="str">
        <f t="shared" si="7"/>
        <v>NF/64237413_20260206_nf_03.pdf</v>
      </c>
      <c r="W27" s="32" t="str">
        <f t="shared" si="2"/>
        <v>NF - DO MAR</v>
      </c>
      <c r="X27" t="s">
        <v>5591</v>
      </c>
    </row>
    <row r="28" spans="1:24" x14ac:dyDescent="0.25">
      <c r="A28" t="str">
        <f>CONCATENATE(D28,"_",TEXT(M28,"ddmmaaaa"),"_",COUNTIF($D$2:D28,D28))</f>
        <v>249805720001-42_06022026_1</v>
      </c>
      <c r="B28" t="str">
        <f>CONCATENATE(Analise!D28,"_",COUNTIF(Analise!$D$2:D28,Analise!D28))</f>
        <v>249805720001-42_1</v>
      </c>
      <c r="C28" s="34">
        <f>COUNTIF('Obras e Acervos'!$C:$C,CONCATENATE(LEFT(D28,12),RIGHT(D28,2)))</f>
        <v>1</v>
      </c>
      <c r="D28" t="s">
        <v>4511</v>
      </c>
      <c r="E28" t="str">
        <f>VLOOKUP($B28,'Obras e Acervos'!$B:$X,3,0)</f>
        <v>A A MENEGHETTI SOLUCOES EM ENGENHARIA-MENEGHETTI SOLUCOES EM ENGENHARIA</v>
      </c>
      <c r="F28" t="str">
        <f>VLOOKUP($B28,'Obras e Acervos'!$B:$X,7,0)</f>
        <v>0598L23000030LE</v>
      </c>
      <c r="G28" t="str">
        <f>VLOOKUP($B28,'Obras e Acervos'!$B:$X,5,0)</f>
        <v>MEU ZÉ LELÉ DE ESTIMAÇÃO</v>
      </c>
      <c r="H28">
        <f>VLOOKUP($B28,'Obras e Acervos'!$B:$X,18,0)</f>
        <v>2</v>
      </c>
      <c r="I28">
        <f>VLOOKUP($B28,'Obras e Acervos'!$B:$X,19,0)</f>
        <v>43589</v>
      </c>
      <c r="J28" s="42">
        <f>VLOOKUP($B28,'Obras e Acervos'!$B:$X,20,0)</f>
        <v>5405.0360000000001</v>
      </c>
      <c r="K28" s="31">
        <f>VLOOKUP($B28,'Obras e Acervos'!$B:$X,21,0)</f>
        <v>5.87</v>
      </c>
      <c r="L28" s="31">
        <f t="shared" si="3"/>
        <v>255867.43</v>
      </c>
      <c r="M28" s="1">
        <v>46059</v>
      </c>
      <c r="N28" s="1">
        <f t="shared" si="0"/>
        <v>46305</v>
      </c>
      <c r="O28">
        <f t="shared" si="4"/>
        <v>247</v>
      </c>
      <c r="P28" s="49">
        <f t="shared" si="1"/>
        <v>8.2333333333333325</v>
      </c>
      <c r="Q28" s="34">
        <f>VLOOKUP($G28,Agendamento!$B:$F,5,0)</f>
        <v>6</v>
      </c>
      <c r="R28" s="36">
        <f t="shared" si="5"/>
        <v>44</v>
      </c>
      <c r="S28" s="44">
        <v>2.5499999999999998</v>
      </c>
      <c r="T28" s="44">
        <f t="shared" si="6"/>
        <v>27713.399999999998</v>
      </c>
      <c r="U28" t="s">
        <v>4931</v>
      </c>
      <c r="V28" t="str">
        <f t="shared" si="7"/>
        <v>NF/64237413_20260206_nf_04.pdf</v>
      </c>
      <c r="W28" s="32" t="str">
        <f t="shared" si="2"/>
        <v>NF - MEU ZÉ LELÉ DE ESTIMAÇÃO</v>
      </c>
      <c r="X28" t="s">
        <v>5591</v>
      </c>
    </row>
    <row r="29" spans="1:24" x14ac:dyDescent="0.25">
      <c r="A29" t="str">
        <f>CONCATENATE(D29,"_",TEXT(M29,"ddmmaaaa"),"_",COUNTIF($D$2:D29,D29))</f>
        <v>070529780001-46_06022026_1</v>
      </c>
      <c r="B29" t="str">
        <f>CONCATENATE(Analise!D29,"_",COUNTIF(Analise!$D$2:D29,Analise!D29))</f>
        <v>070529780001-46_1</v>
      </c>
      <c r="C29" s="34">
        <f>COUNTIF('Obras e Acervos'!$C:$C,CONCATENATE(LEFT(D29,12),RIGHT(D29,2)))</f>
        <v>2</v>
      </c>
      <c r="D29" t="s">
        <v>4503</v>
      </c>
      <c r="E29" t="str">
        <f>VLOOKUP($B29,'Obras e Acervos'!$B:$X,3,0)</f>
        <v>ELEMENTAR PUBLICAÇÕES E EDITORA LTDA-ELEMENTAR PUBLICAÇÕES</v>
      </c>
      <c r="F29" t="str">
        <f>VLOOKUP($B29,'Obras e Acervos'!$B:$X,7,0)</f>
        <v>0844L23000030LE</v>
      </c>
      <c r="G29" t="str">
        <f>VLOOKUP($B29,'Obras e Acervos'!$B:$X,5,0)</f>
        <v>VOVÓ CRISÁLIDA E O MISTÉRIO DA CAIXA DE FOTOGRAFIAS</v>
      </c>
      <c r="H29">
        <f>VLOOKUP($B29,'Obras e Acervos'!$B:$X,18,0)</f>
        <v>9</v>
      </c>
      <c r="I29">
        <f>VLOOKUP($B29,'Obras e Acervos'!$B:$X,19,0)</f>
        <v>34249</v>
      </c>
      <c r="J29" s="42">
        <f>VLOOKUP($B29,'Obras e Acervos'!$B:$X,20,0)</f>
        <v>3596.145</v>
      </c>
      <c r="K29" s="31">
        <f>VLOOKUP($B29,'Obras e Acervos'!$B:$X,21,0)</f>
        <v>5.91</v>
      </c>
      <c r="L29" s="31">
        <f t="shared" si="3"/>
        <v>202411.59</v>
      </c>
      <c r="M29" s="1">
        <v>46059</v>
      </c>
      <c r="N29" s="1">
        <f t="shared" si="0"/>
        <v>46305</v>
      </c>
      <c r="O29">
        <f t="shared" si="4"/>
        <v>247</v>
      </c>
      <c r="P29" s="49">
        <f t="shared" si="1"/>
        <v>8.2333333333333325</v>
      </c>
      <c r="Q29" s="34">
        <f>VLOOKUP($G29,Agendamento!$B:$F,5,0)</f>
        <v>4</v>
      </c>
      <c r="R29" s="36">
        <f t="shared" si="5"/>
        <v>35</v>
      </c>
      <c r="S29" s="44">
        <v>2.5499999999999998</v>
      </c>
      <c r="T29" s="44">
        <f t="shared" si="6"/>
        <v>22044.75</v>
      </c>
      <c r="U29" t="s">
        <v>4923</v>
      </c>
      <c r="V29" t="str">
        <f t="shared" si="7"/>
        <v>NF/64237413_20260206_nf_05.pdf</v>
      </c>
      <c r="W29" s="32" t="str">
        <f t="shared" si="2"/>
        <v>NF - VOVÓ CRISÁLIDA E O MISTÉRIO DA CAIXA DE FOTOGRAFIAS</v>
      </c>
      <c r="X29" t="s">
        <v>5591</v>
      </c>
    </row>
    <row r="30" spans="1:24" x14ac:dyDescent="0.25">
      <c r="A30" t="str">
        <f>CONCATENATE(D30,"_",TEXT(M30,"ddmmaaaa"),"_",COUNTIF($D$2:D30,D30))</f>
        <v>444618360001-69_06022026_1</v>
      </c>
      <c r="B30" t="str">
        <f>CONCATENATE(Analise!D30,"_",COUNTIF(Analise!$D$2:D30,Analise!D30)+1)</f>
        <v>444618360001-69_2</v>
      </c>
      <c r="C30" s="34">
        <f>COUNTIF('Obras e Acervos'!$C:$C,CONCATENATE(LEFT(D30,12),RIGHT(D30,2)))</f>
        <v>2</v>
      </c>
      <c r="D30" t="s">
        <v>4500</v>
      </c>
      <c r="E30" t="str">
        <f>VLOOKUP($B30,'Obras e Acervos'!$B:$X,3,0)</f>
        <v>EDITORA YELLOWFANTE LTDA-INVENTADEIRA</v>
      </c>
      <c r="F30" t="str">
        <f>VLOOKUP($B30,'Obras e Acervos'!$B:$X,7,0)</f>
        <v>0725L23000020LE</v>
      </c>
      <c r="G30" t="str">
        <f>VLOOKUP($B30,'Obras e Acervos'!$B:$X,5,0)</f>
        <v>PARAÓ E PEBA</v>
      </c>
      <c r="H30">
        <f>VLOOKUP($B30,'Obras e Acervos'!$B:$X,18,0)</f>
        <v>18</v>
      </c>
      <c r="I30">
        <f>VLOOKUP($B30,'Obras e Acervos'!$B:$X,19,0)</f>
        <v>23988</v>
      </c>
      <c r="J30" s="42">
        <f>VLOOKUP($B30,'Obras e Acervos'!$B:$X,20,0)</f>
        <v>2518.7399999999998</v>
      </c>
      <c r="K30" s="31">
        <f>VLOOKUP($B30,'Obras e Acervos'!$B:$X,21,0)</f>
        <v>6.57</v>
      </c>
      <c r="L30" s="31">
        <f t="shared" si="3"/>
        <v>157601.16</v>
      </c>
      <c r="M30" s="1">
        <v>46059</v>
      </c>
      <c r="N30" s="1">
        <f t="shared" si="0"/>
        <v>46305</v>
      </c>
      <c r="O30">
        <f t="shared" si="4"/>
        <v>247</v>
      </c>
      <c r="P30" s="49">
        <f t="shared" si="1"/>
        <v>8.2333333333333325</v>
      </c>
      <c r="Q30" s="34">
        <f>VLOOKUP($G30,Agendamento!$B:$F,5,0)</f>
        <v>3</v>
      </c>
      <c r="R30" s="36">
        <f t="shared" si="5"/>
        <v>24</v>
      </c>
      <c r="S30" s="44">
        <v>2.5499999999999998</v>
      </c>
      <c r="T30" s="44">
        <f t="shared" si="6"/>
        <v>15116.4</v>
      </c>
      <c r="U30" t="s">
        <v>4920</v>
      </c>
      <c r="V30" t="str">
        <f t="shared" si="7"/>
        <v>NF/64237413_20260206_nf_06.pdf</v>
      </c>
      <c r="W30" s="32" t="str">
        <f t="shared" si="2"/>
        <v>NF - PARAÓ E PEBA</v>
      </c>
      <c r="X30" t="s">
        <v>5591</v>
      </c>
    </row>
    <row r="31" spans="1:24" x14ac:dyDescent="0.25">
      <c r="A31" t="str">
        <f>CONCATENATE(D31,"_",TEXT(M31,"ddmmaaaa"),"_",COUNTIF($D$2:D31,D31))</f>
        <v>433990010001-63_06022026_1</v>
      </c>
      <c r="B31" t="str">
        <f>CONCATENATE(Analise!D31,"_",COUNTIF(Analise!$D$2:D31,Analise!D31)+1)</f>
        <v>433990010001-63_2</v>
      </c>
      <c r="C31" s="34">
        <f>COUNTIF('Obras e Acervos'!$C:$C,CONCATENATE(LEFT(D31,12),RIGHT(D31,2)))</f>
        <v>2</v>
      </c>
      <c r="D31" t="s">
        <v>4509</v>
      </c>
      <c r="E31" t="str">
        <f>VLOOKUP($B31,'Obras e Acervos'!$B:$X,3,0)</f>
        <v>MARTHA EDITORA LTDA-MARTHA EDITORA</v>
      </c>
      <c r="F31" t="str">
        <f>VLOOKUP($B31,'Obras e Acervos'!$B:$X,7,0)</f>
        <v>0482L23000020LE</v>
      </c>
      <c r="G31" t="str">
        <f>VLOOKUP($B31,'Obras e Acervos'!$B:$X,5,0)</f>
        <v>O PASTOR E A BORDADEIRA</v>
      </c>
      <c r="H31">
        <f>VLOOKUP($B31,'Obras e Acervos'!$B:$X,18,0)</f>
        <v>18</v>
      </c>
      <c r="I31">
        <f>VLOOKUP($B31,'Obras e Acervos'!$B:$X,19,0)</f>
        <v>23533</v>
      </c>
      <c r="J31" s="42">
        <f>VLOOKUP($B31,'Obras e Acervos'!$B:$X,20,0)</f>
        <v>2470.9649999999997</v>
      </c>
      <c r="K31" s="31">
        <f>VLOOKUP($B31,'Obras e Acervos'!$B:$X,21,0)</f>
        <v>6.6</v>
      </c>
      <c r="L31" s="31">
        <f t="shared" si="3"/>
        <v>155317.79999999999</v>
      </c>
      <c r="M31" s="1">
        <v>46059</v>
      </c>
      <c r="N31" s="1">
        <f t="shared" si="0"/>
        <v>46305</v>
      </c>
      <c r="O31">
        <f t="shared" si="4"/>
        <v>247</v>
      </c>
      <c r="P31" s="49">
        <f t="shared" si="1"/>
        <v>8.2333333333333325</v>
      </c>
      <c r="Q31" s="34">
        <f>VLOOKUP($G31,Agendamento!$B:$F,5,0)</f>
        <v>3</v>
      </c>
      <c r="R31" s="36">
        <f t="shared" si="5"/>
        <v>24</v>
      </c>
      <c r="S31" s="44">
        <v>2.5499999999999998</v>
      </c>
      <c r="T31" s="44">
        <f t="shared" si="6"/>
        <v>15116.4</v>
      </c>
      <c r="U31" t="s">
        <v>4929</v>
      </c>
      <c r="V31" t="str">
        <f t="shared" si="7"/>
        <v>NF/64237413_20260206_nf_07.pdf</v>
      </c>
      <c r="W31" s="32" t="str">
        <f t="shared" si="2"/>
        <v>NF - O PASTOR E A BORDADEIRA</v>
      </c>
      <c r="X31" t="s">
        <v>5591</v>
      </c>
    </row>
    <row r="32" spans="1:24" x14ac:dyDescent="0.25">
      <c r="A32" t="str">
        <f>CONCATENATE(D32,"_",TEXT(M32,"ddmmaaaa"),"_",COUNTIF($D$2:D32,D32))</f>
        <v>334617510001-64_06022026_1</v>
      </c>
      <c r="B32" t="str">
        <f>CONCATENATE(Analise!D32,"_",COUNTIF(Analise!$D$2:D32,Analise!D32)+1)</f>
        <v>334617510001-64_2</v>
      </c>
      <c r="C32" s="34">
        <f>COUNTIF('Obras e Acervos'!$C:$C,CONCATENATE(LEFT(D32,12),RIGHT(D32,2)))</f>
        <v>2</v>
      </c>
      <c r="D32" t="s">
        <v>4504</v>
      </c>
      <c r="E32" t="str">
        <f>VLOOKUP($B32,'Obras e Acervos'!$B:$X,3,0)</f>
        <v>D. PADILHA ESTÚDIO EDITORIAL-LITERATURA DE COLO EDITORA</v>
      </c>
      <c r="F32" t="str">
        <f>VLOOKUP($B32,'Obras e Acervos'!$B:$X,7,0)</f>
        <v>0581L23000020LE</v>
      </c>
      <c r="G32" t="str">
        <f>VLOOKUP($B32,'Obras e Acervos'!$B:$X,5,0)</f>
        <v>O PÁSSARO ENCANTADO</v>
      </c>
      <c r="H32">
        <f>VLOOKUP($B32,'Obras e Acervos'!$B:$X,18,0)</f>
        <v>22</v>
      </c>
      <c r="I32">
        <f>VLOOKUP($B32,'Obras e Acervos'!$B:$X,19,0)</f>
        <v>26828</v>
      </c>
      <c r="J32" s="42">
        <f>VLOOKUP($B32,'Obras e Acervos'!$B:$X,20,0)</f>
        <v>2682.8</v>
      </c>
      <c r="K32" s="31">
        <f>VLOOKUP($B32,'Obras e Acervos'!$B:$X,21,0)</f>
        <v>6.41</v>
      </c>
      <c r="L32" s="31">
        <f t="shared" si="3"/>
        <v>171967.48</v>
      </c>
      <c r="M32" s="1">
        <v>46059</v>
      </c>
      <c r="N32" s="1">
        <f t="shared" si="0"/>
        <v>46305</v>
      </c>
      <c r="O32">
        <f t="shared" si="4"/>
        <v>247</v>
      </c>
      <c r="P32" s="49">
        <f t="shared" si="1"/>
        <v>8.2333333333333325</v>
      </c>
      <c r="Q32" s="34">
        <f>VLOOKUP($G32,Agendamento!$B:$F,5,0)</f>
        <v>3</v>
      </c>
      <c r="R32" s="36">
        <f t="shared" si="5"/>
        <v>27</v>
      </c>
      <c r="S32" s="44">
        <v>2.5499999999999998</v>
      </c>
      <c r="T32" s="44">
        <f t="shared" si="6"/>
        <v>17005.949999999997</v>
      </c>
      <c r="U32" t="s">
        <v>4924</v>
      </c>
      <c r="V32" t="str">
        <f t="shared" si="7"/>
        <v>NF/64237413_20260206_nf_08.pdf</v>
      </c>
      <c r="W32" s="32" t="str">
        <f t="shared" si="2"/>
        <v>NF - O PÁSSARO ENCANTADO</v>
      </c>
      <c r="X32" t="s">
        <v>5591</v>
      </c>
    </row>
    <row r="33" spans="1:24" x14ac:dyDescent="0.25">
      <c r="A33" t="str">
        <f>CONCATENATE(D33,"_",TEXT(M33,"ddmmaaaa"),"_",COUNTIF($D$2:D33,D33))</f>
        <v>236229070001-98_06022026_1</v>
      </c>
      <c r="B33" t="str">
        <f>CONCATENATE(Analise!D33,"_",COUNTIF(Analise!$D$2:D33,Analise!D33))</f>
        <v>236229070001-98_1</v>
      </c>
      <c r="C33" s="34">
        <f>COUNTIF('Obras e Acervos'!$C:$C,CONCATENATE(LEFT(D33,12),RIGHT(D33,2)))</f>
        <v>2</v>
      </c>
      <c r="D33" t="s">
        <v>4501</v>
      </c>
      <c r="E33" t="str">
        <f>VLOOKUP($B33,'Obras e Acervos'!$B:$X,3,0)</f>
        <v>CAPITU EDITORA LTDA.-CAPITU</v>
      </c>
      <c r="F33" t="str">
        <f>VLOOKUP($B33,'Obras e Acervos'!$B:$X,7,0)</f>
        <v>1234L23000030LE</v>
      </c>
      <c r="G33" t="str">
        <f>VLOOKUP($B33,'Obras e Acervos'!$B:$X,5,0)</f>
        <v>CECI: UMA HISTÓRIA PARA OUVIR</v>
      </c>
      <c r="H33">
        <f>VLOOKUP($B33,'Obras e Acervos'!$B:$X,18,0)</f>
        <v>4</v>
      </c>
      <c r="I33">
        <f>VLOOKUP($B33,'Obras e Acervos'!$B:$X,19,0)</f>
        <v>39096</v>
      </c>
      <c r="J33" s="42">
        <f>VLOOKUP($B33,'Obras e Acervos'!$B:$X,20,0)</f>
        <v>3010.3919999999998</v>
      </c>
      <c r="K33" s="31">
        <f>VLOOKUP($B33,'Obras e Acervos'!$B:$X,21,0)</f>
        <v>5.46</v>
      </c>
      <c r="L33" s="31">
        <f t="shared" si="3"/>
        <v>213464.16</v>
      </c>
      <c r="M33" s="1">
        <v>46059</v>
      </c>
      <c r="N33" s="1">
        <f t="shared" si="0"/>
        <v>46305</v>
      </c>
      <c r="O33">
        <f t="shared" si="4"/>
        <v>247</v>
      </c>
      <c r="P33" s="49">
        <f t="shared" si="1"/>
        <v>8.2333333333333325</v>
      </c>
      <c r="Q33" s="34">
        <f>VLOOKUP($G33,Agendamento!$B:$F,5,0)</f>
        <v>5</v>
      </c>
      <c r="R33" s="36">
        <f t="shared" si="5"/>
        <v>40</v>
      </c>
      <c r="S33" s="44">
        <v>2.5499999999999998</v>
      </c>
      <c r="T33" s="44">
        <f t="shared" si="6"/>
        <v>25194</v>
      </c>
      <c r="U33" t="s">
        <v>4921</v>
      </c>
      <c r="V33" t="str">
        <f t="shared" si="7"/>
        <v>NF/64237413_20260206_nf_09.pdf</v>
      </c>
      <c r="W33" s="32" t="str">
        <f t="shared" si="2"/>
        <v>NF - CECI: UMA HISTÓRIA PARA OUVIR</v>
      </c>
      <c r="X33" t="s">
        <v>5591</v>
      </c>
    </row>
    <row r="34" spans="1:24" x14ac:dyDescent="0.25">
      <c r="A34" t="str">
        <f>CONCATENATE(D34,"_",TEXT(M34,"ddmmaaaa"),"_",COUNTIF($D$2:D34,D34))</f>
        <v>438866840001-83_06022026_1</v>
      </c>
      <c r="B34" t="str">
        <f>CONCATENATE(Analise!D34,"_",COUNTIF(Analise!$D$2:D34,Analise!D34))</f>
        <v>438866840001-83_1</v>
      </c>
      <c r="C34" s="34">
        <f>COUNTIF('Obras e Acervos'!$C:$C,CONCATENATE(LEFT(D34,12),RIGHT(D34,2)))</f>
        <v>2</v>
      </c>
      <c r="D34" t="s">
        <v>4512</v>
      </c>
      <c r="E34" t="str">
        <f>VLOOKUP($B34,'Obras e Acervos'!$B:$X,3,0)</f>
        <v>EDITORA LULELE LTDA-EDITORA PENSAMENTO LTDA</v>
      </c>
      <c r="F34" t="str">
        <f>VLOOKUP($B34,'Obras e Acervos'!$B:$X,7,0)</f>
        <v>1071L23000030LE</v>
      </c>
      <c r="G34" t="str">
        <f>VLOOKUP($B34,'Obras e Acervos'!$B:$X,5,0)</f>
        <v>UMA IDEIA NO BOLSO</v>
      </c>
      <c r="H34">
        <f>VLOOKUP($B34,'Obras e Acervos'!$B:$X,18,0)</f>
        <v>3</v>
      </c>
      <c r="I34">
        <f>VLOOKUP($B34,'Obras e Acervos'!$B:$X,19,0)</f>
        <v>46412</v>
      </c>
      <c r="J34" s="42">
        <f>VLOOKUP($B34,'Obras e Acervos'!$B:$X,20,0)</f>
        <v>5755.0879999999997</v>
      </c>
      <c r="K34" s="31">
        <f>VLOOKUP($B34,'Obras e Acervos'!$B:$X,21,0)</f>
        <v>5.83</v>
      </c>
      <c r="L34" s="31">
        <f t="shared" si="3"/>
        <v>270581.96000000002</v>
      </c>
      <c r="M34" s="1">
        <v>46059</v>
      </c>
      <c r="N34" s="1">
        <f t="shared" si="0"/>
        <v>46305</v>
      </c>
      <c r="O34">
        <f t="shared" si="4"/>
        <v>247</v>
      </c>
      <c r="P34" s="49">
        <f t="shared" ref="P34:P65" si="8">O34/30</f>
        <v>8.2333333333333325</v>
      </c>
      <c r="Q34" s="34">
        <f>VLOOKUP($G34,Agendamento!$B:$F,5,0)</f>
        <v>5</v>
      </c>
      <c r="R34" s="36">
        <f t="shared" si="5"/>
        <v>47</v>
      </c>
      <c r="S34" s="44">
        <v>2.5499999999999998</v>
      </c>
      <c r="T34" s="44">
        <f t="shared" si="6"/>
        <v>29602.949999999997</v>
      </c>
      <c r="U34" t="s">
        <v>4932</v>
      </c>
      <c r="V34" t="str">
        <f t="shared" si="7"/>
        <v>NF/64237413_20260206_nf_10.pdf</v>
      </c>
      <c r="W34" s="32" t="str">
        <f t="shared" ref="W34:W65" si="9">HYPERLINK(CONCATENATE("saida/",U34),CONCATENATE("NF - ",G34))</f>
        <v>NF - UMA IDEIA NO BOLSO</v>
      </c>
      <c r="X34" t="s">
        <v>5591</v>
      </c>
    </row>
    <row r="35" spans="1:24" x14ac:dyDescent="0.25">
      <c r="A35" t="str">
        <f>CONCATENATE(D35,"_",TEXT(M35,"ddmmaaaa"),"_",COUNTIF($D$2:D35,D35))</f>
        <v>073006320001-10_06022026_1</v>
      </c>
      <c r="B35" t="str">
        <f>CONCATENATE(Analise!D35,"_",COUNTIF(Analise!$D$2:D35,Analise!D35))</f>
        <v>073006320001-10_1</v>
      </c>
      <c r="C35" s="34">
        <f>COUNTIF('Obras e Acervos'!$C:$C,CONCATENATE(LEFT(D35,12),RIGHT(D35,2)))</f>
        <v>2</v>
      </c>
      <c r="D35" t="s">
        <v>4502</v>
      </c>
      <c r="E35" t="str">
        <f>VLOOKUP($B35,'Obras e Acervos'!$B:$X,3,0)</f>
        <v>ROVELLE EDIÇÃO E COMERCIO DE LIVOS LTDA-EDITORA ROVELLE</v>
      </c>
      <c r="F35" t="str">
        <f>VLOOKUP($B35,'Obras e Acervos'!$B:$X,7,0)</f>
        <v>0859L23000030LE</v>
      </c>
      <c r="G35" t="str">
        <f>VLOOKUP($B35,'Obras e Acervos'!$B:$X,5,0)</f>
        <v>A ÁRVORE DAS LEMBRANÇAS</v>
      </c>
      <c r="H35">
        <f>VLOOKUP($B35,'Obras e Acervos'!$B:$X,18,0)</f>
        <v>6</v>
      </c>
      <c r="I35">
        <f>VLOOKUP($B35,'Obras e Acervos'!$B:$X,19,0)</f>
        <v>46022</v>
      </c>
      <c r="J35" s="42">
        <f>VLOOKUP($B35,'Obras e Acervos'!$B:$X,20,0)</f>
        <v>4832.3099999999995</v>
      </c>
      <c r="K35" s="31">
        <f>VLOOKUP($B35,'Obras e Acervos'!$B:$X,21,0)</f>
        <v>5.03</v>
      </c>
      <c r="L35" s="31">
        <f t="shared" si="3"/>
        <v>231490.66</v>
      </c>
      <c r="M35" s="1">
        <v>46059</v>
      </c>
      <c r="N35" s="1">
        <f t="shared" si="0"/>
        <v>46305</v>
      </c>
      <c r="O35">
        <f t="shared" si="4"/>
        <v>247</v>
      </c>
      <c r="P35" s="49">
        <f t="shared" si="8"/>
        <v>8.2333333333333325</v>
      </c>
      <c r="Q35" s="34">
        <f>VLOOKUP($G35,Agendamento!$B:$F,5,0)</f>
        <v>5</v>
      </c>
      <c r="R35" s="36">
        <f t="shared" si="5"/>
        <v>47</v>
      </c>
      <c r="S35" s="44">
        <v>2.5499999999999998</v>
      </c>
      <c r="T35" s="44">
        <f t="shared" si="6"/>
        <v>29602.949999999997</v>
      </c>
      <c r="U35" t="s">
        <v>4922</v>
      </c>
      <c r="V35" t="str">
        <f t="shared" si="7"/>
        <v>NF/64237413_20260206_nf_11.pdf</v>
      </c>
      <c r="W35" s="32" t="str">
        <f t="shared" si="9"/>
        <v>NF - A ÁRVORE DAS LEMBRANÇAS</v>
      </c>
      <c r="X35" t="s">
        <v>5591</v>
      </c>
    </row>
    <row r="36" spans="1:24" x14ac:dyDescent="0.25">
      <c r="A36" t="str">
        <f>CONCATENATE(D36,"_",TEXT(M36,"ddmmaaaa"),"_",COUNTIF($D$2:D36,D36))</f>
        <v>044692800001-32_06022026_1</v>
      </c>
      <c r="B36" t="str">
        <f>CONCATENATE(Analise!D36,"_",COUNTIF(Analise!$D$2:D36,Analise!D36))</f>
        <v>044692800001-32_1</v>
      </c>
      <c r="C36" s="34">
        <f>COUNTIF('Obras e Acervos'!$C:$C,CONCATENATE(LEFT(D36,12),RIGHT(D36,2)))</f>
        <v>2</v>
      </c>
      <c r="D36" t="s">
        <v>4506</v>
      </c>
      <c r="E36" t="str">
        <f>VLOOKUP($B36,'Obras e Acervos'!$B:$X,3,0)</f>
        <v>J.G. EDITORA -J.G. EDITORA</v>
      </c>
      <c r="F36" t="str">
        <f>VLOOKUP($B36,'Obras e Acervos'!$B:$X,7,0)</f>
        <v>0782L23000030LE</v>
      </c>
      <c r="G36" t="str">
        <f>VLOOKUP($B36,'Obras e Acervos'!$B:$X,5,0)</f>
        <v>O OVO DA VAVÁ</v>
      </c>
      <c r="H36">
        <f>VLOOKUP($B36,'Obras e Acervos'!$B:$X,18,0)</f>
        <v>2</v>
      </c>
      <c r="I36">
        <f>VLOOKUP($B36,'Obras e Acervos'!$B:$X,19,0)</f>
        <v>43377</v>
      </c>
      <c r="J36" s="42">
        <f>VLOOKUP($B36,'Obras e Acervos'!$B:$X,20,0)</f>
        <v>3556.9140000000002</v>
      </c>
      <c r="K36" s="31">
        <f>VLOOKUP($B36,'Obras e Acervos'!$B:$X,21,0)</f>
        <v>4.3499999999999996</v>
      </c>
      <c r="L36" s="31">
        <f t="shared" si="3"/>
        <v>188689.94999999998</v>
      </c>
      <c r="M36" s="1">
        <v>46059</v>
      </c>
      <c r="N36" s="1">
        <f t="shared" si="0"/>
        <v>46305</v>
      </c>
      <c r="O36">
        <f t="shared" si="4"/>
        <v>247</v>
      </c>
      <c r="P36" s="49">
        <f t="shared" si="8"/>
        <v>8.2333333333333325</v>
      </c>
      <c r="Q36" s="34">
        <f>VLOOKUP($G36,Agendamento!$B:$F,5,0)</f>
        <v>9</v>
      </c>
      <c r="R36" s="36">
        <f t="shared" si="5"/>
        <v>44</v>
      </c>
      <c r="S36" s="44">
        <v>2.5499999999999998</v>
      </c>
      <c r="T36" s="44">
        <f t="shared" si="6"/>
        <v>27713.399999999998</v>
      </c>
      <c r="U36" t="s">
        <v>4926</v>
      </c>
      <c r="V36" t="str">
        <f t="shared" si="7"/>
        <v>NF/64237413_20260206_nf_13.pdf</v>
      </c>
      <c r="W36" s="32" t="str">
        <f t="shared" si="9"/>
        <v>NF - O OVO DA VAVÁ</v>
      </c>
      <c r="X36" t="s">
        <v>5591</v>
      </c>
    </row>
    <row r="37" spans="1:24" x14ac:dyDescent="0.25">
      <c r="A37" t="str">
        <f>CONCATENATE(D37,"_",TEXT(M37,"ddmmaaaa"),"_",COUNTIF($D$2:D37,D37))</f>
        <v>044692800001-32_06022026_2</v>
      </c>
      <c r="B37" t="str">
        <f>CONCATENATE(Analise!D37,"_",COUNTIF(Analise!$D$2:D37,Analise!D37))</f>
        <v>044692800001-32_2</v>
      </c>
      <c r="C37" s="34">
        <f>COUNTIF('Obras e Acervos'!$C:$C,CONCATENATE(LEFT(D37,12),RIGHT(D37,2)))</f>
        <v>2</v>
      </c>
      <c r="D37" t="s">
        <v>4506</v>
      </c>
      <c r="E37" t="str">
        <f>VLOOKUP($B37,'Obras e Acervos'!$B:$X,3,0)</f>
        <v>J.G. EDITORA -J.G. EDITORA</v>
      </c>
      <c r="F37" t="str">
        <f>VLOOKUP($B37,'Obras e Acervos'!$B:$X,7,0)</f>
        <v>0783L23000020LE</v>
      </c>
      <c r="G37" t="str">
        <f>VLOOKUP($B37,'Obras e Acervos'!$B:$X,5,0)</f>
        <v>EU E A TURMA DA ESCOLA: ENFRENTANDO DESAFIOS</v>
      </c>
      <c r="H37">
        <f>VLOOKUP($B37,'Obras e Acervos'!$B:$X,18,0)</f>
        <v>16</v>
      </c>
      <c r="I37">
        <f>VLOOKUP($B37,'Obras e Acervos'!$B:$X,19,0)</f>
        <v>40605</v>
      </c>
      <c r="J37" s="42">
        <f>VLOOKUP($B37,'Obras e Acervos'!$B:$X,20,0)</f>
        <v>4263.5249999999996</v>
      </c>
      <c r="K37" s="31">
        <f>VLOOKUP($B37,'Obras e Acervos'!$B:$X,21,0)</f>
        <v>9.0299999999999994</v>
      </c>
      <c r="L37" s="31">
        <f t="shared" si="3"/>
        <v>366663.14999999997</v>
      </c>
      <c r="M37" s="1">
        <v>46059</v>
      </c>
      <c r="N37" s="1">
        <f t="shared" si="0"/>
        <v>46305</v>
      </c>
      <c r="O37">
        <f t="shared" si="4"/>
        <v>247</v>
      </c>
      <c r="P37" s="49">
        <f t="shared" si="8"/>
        <v>8.2333333333333325</v>
      </c>
      <c r="Q37" s="34">
        <f>VLOOKUP($G37,Agendamento!$B:$F,5,0)</f>
        <v>9</v>
      </c>
      <c r="R37" s="36">
        <f t="shared" si="5"/>
        <v>41</v>
      </c>
      <c r="S37" s="44">
        <v>2.5499999999999998</v>
      </c>
      <c r="T37" s="44">
        <f t="shared" si="6"/>
        <v>25823.85</v>
      </c>
      <c r="U37" t="s">
        <v>4926</v>
      </c>
      <c r="V37" t="str">
        <f t="shared" si="7"/>
        <v>NF/64237413_20260206_nf_13.pdf</v>
      </c>
      <c r="W37" s="32" t="str">
        <f t="shared" si="9"/>
        <v>NF - EU E A TURMA DA ESCOLA: ENFRENTANDO DESAFIOS</v>
      </c>
      <c r="X37" t="s">
        <v>5591</v>
      </c>
    </row>
    <row r="38" spans="1:24" x14ac:dyDescent="0.25">
      <c r="A38" t="str">
        <f>CONCATENATE(D38,"_",TEXT(M38,"ddmmaaaa"),"_",COUNTIF($D$2:D38,D38))</f>
        <v>089785020001-01_06022026_1</v>
      </c>
      <c r="B38" t="str">
        <f>CONCATENATE(Analise!D38,"_",COUNTIF(Analise!$D$2:D38,Analise!D38))</f>
        <v>089785020001-01_1</v>
      </c>
      <c r="C38" s="34">
        <f>COUNTIF('Obras e Acervos'!$C:$C,CONCATENATE(LEFT(D38,12),RIGHT(D38,2)))</f>
        <v>1</v>
      </c>
      <c r="D38" t="s">
        <v>4510</v>
      </c>
      <c r="E38" t="str">
        <f>VLOOKUP($B38,'Obras e Acervos'!$B:$X,3,0)</f>
        <v>EDITORA OCTAVO LTDA.-OCTAVO</v>
      </c>
      <c r="F38" t="str">
        <f>VLOOKUP($B38,'Obras e Acervos'!$B:$X,7,0)</f>
        <v>0464L23000020LE</v>
      </c>
      <c r="G38" t="str">
        <f>VLOOKUP($B38,'Obras e Acervos'!$B:$X,5,0)</f>
        <v>LISA, A CAMALEOA MONOCROMÁTICA</v>
      </c>
      <c r="H38">
        <f>VLOOKUP($B38,'Obras e Acervos'!$B:$X,18,0)</f>
        <v>19</v>
      </c>
      <c r="I38">
        <f>VLOOKUP($B38,'Obras e Acervos'!$B:$X,19,0)</f>
        <v>24513</v>
      </c>
      <c r="J38" s="42">
        <f>VLOOKUP($B38,'Obras e Acervos'!$B:$X,20,0)</f>
        <v>1961.04</v>
      </c>
      <c r="K38" s="31">
        <f>VLOOKUP($B38,'Obras e Acervos'!$B:$X,21,0)</f>
        <v>6.54</v>
      </c>
      <c r="L38" s="31">
        <f t="shared" si="3"/>
        <v>160315.01999999999</v>
      </c>
      <c r="M38" s="1">
        <v>46059</v>
      </c>
      <c r="N38" s="1">
        <f t="shared" si="0"/>
        <v>46305</v>
      </c>
      <c r="O38">
        <f t="shared" si="4"/>
        <v>247</v>
      </c>
      <c r="P38" s="49">
        <f t="shared" si="8"/>
        <v>8.2333333333333325</v>
      </c>
      <c r="Q38" s="34">
        <f>VLOOKUP($G38,Agendamento!$B:$F,5,0)</f>
        <v>3</v>
      </c>
      <c r="R38" s="36">
        <f t="shared" si="5"/>
        <v>25</v>
      </c>
      <c r="S38" s="44">
        <v>2.5499999999999998</v>
      </c>
      <c r="T38" s="44">
        <f t="shared" si="6"/>
        <v>15746.249999999998</v>
      </c>
      <c r="U38" t="s">
        <v>4930</v>
      </c>
      <c r="V38" t="str">
        <f t="shared" si="7"/>
        <v>NF/64237413_20260206_nf_14.pdf</v>
      </c>
      <c r="W38" s="32" t="str">
        <f t="shared" si="9"/>
        <v>NF - LISA, A CAMALEOA MONOCROMÁTICA</v>
      </c>
      <c r="X38" t="s">
        <v>5591</v>
      </c>
    </row>
    <row r="39" spans="1:24" x14ac:dyDescent="0.25">
      <c r="A39" t="str">
        <f>CONCATENATE(D39,"_",TEXT(M39,"ddmmaaaa"),"_",COUNTIF($D$2:D39,D39))</f>
        <v>086526680001-25_09022026_1</v>
      </c>
      <c r="B39" t="str">
        <f>CONCATENATE(Analise!D39,"_",COUNTIF(Analise!$D$2:D39,Analise!D39))</f>
        <v>086526680001-25_1</v>
      </c>
      <c r="C39" s="34">
        <f>COUNTIF('Obras e Acervos'!$C:$C,CONCATENATE(LEFT(D39,12),RIGHT(D39,2)))</f>
        <v>2</v>
      </c>
      <c r="D39" t="s">
        <v>4520</v>
      </c>
      <c r="E39" t="str">
        <f>VLOOKUP($B39,'Obras e Acervos'!$B:$X,3,0)</f>
        <v>EDELBRA EDITORA LTDA-EDELBRA</v>
      </c>
      <c r="F39" t="str">
        <f>VLOOKUP($B39,'Obras e Acervos'!$B:$X,7,0)</f>
        <v>0488L23000030LE</v>
      </c>
      <c r="G39" t="str">
        <f>VLOOKUP($B39,'Obras e Acervos'!$B:$X,5,0)</f>
        <v>BICHOS DAQUI, DE LÁ E DE ALÉM</v>
      </c>
      <c r="H39">
        <f>VLOOKUP($B39,'Obras e Acervos'!$B:$X,18,0)</f>
        <v>5</v>
      </c>
      <c r="I39">
        <f>VLOOKUP($B39,'Obras e Acervos'!$B:$X,19,0)</f>
        <v>38271</v>
      </c>
      <c r="J39" s="42">
        <f>VLOOKUP($B39,'Obras e Acervos'!$B:$X,20,0)</f>
        <v>5128.3140000000003</v>
      </c>
      <c r="K39" s="31">
        <f>VLOOKUP($B39,'Obras e Acervos'!$B:$X,21,0)</f>
        <v>7.15</v>
      </c>
      <c r="L39" s="31">
        <f t="shared" si="3"/>
        <v>273637.65000000002</v>
      </c>
      <c r="M39" s="1">
        <v>46062</v>
      </c>
      <c r="N39" s="1">
        <f t="shared" si="0"/>
        <v>46305</v>
      </c>
      <c r="O39">
        <f t="shared" si="4"/>
        <v>244</v>
      </c>
      <c r="P39" s="49">
        <f t="shared" si="8"/>
        <v>8.1333333333333329</v>
      </c>
      <c r="Q39" s="34">
        <f>VLOOKUP($G39,Agendamento!$B:$F,5,0)</f>
        <v>7</v>
      </c>
      <c r="R39" s="36">
        <f t="shared" si="5"/>
        <v>39</v>
      </c>
      <c r="S39" s="44">
        <v>2.5499999999999998</v>
      </c>
      <c r="T39" s="44">
        <f t="shared" si="6"/>
        <v>24265.8</v>
      </c>
      <c r="U39" t="s">
        <v>4941</v>
      </c>
      <c r="V39" t="str">
        <f t="shared" si="7"/>
        <v>NF/64237413_20260209_nf_01.pdf</v>
      </c>
      <c r="W39" s="32" t="str">
        <f t="shared" si="9"/>
        <v>NF - BICHOS DAQUI, DE LÁ E DE ALÉM</v>
      </c>
      <c r="X39" t="s">
        <v>5591</v>
      </c>
    </row>
    <row r="40" spans="1:24" x14ac:dyDescent="0.25">
      <c r="A40" t="str">
        <f>CONCATENATE(D40,"_",TEXT(M40,"ddmmaaaa"),"_",COUNTIF($D$2:D40,D40))</f>
        <v>086526680001-25_09022026_2</v>
      </c>
      <c r="B40" t="str">
        <f>CONCATENATE(Analise!D40,"_",COUNTIF(Analise!$D$2:D40,Analise!D40))</f>
        <v>086526680001-25_2</v>
      </c>
      <c r="C40" s="34">
        <f>COUNTIF('Obras e Acervos'!$C:$C,CONCATENATE(LEFT(D40,12),RIGHT(D40,2)))</f>
        <v>2</v>
      </c>
      <c r="D40" t="s">
        <v>4520</v>
      </c>
      <c r="E40" t="str">
        <f>VLOOKUP($B40,'Obras e Acervos'!$B:$X,3,0)</f>
        <v>EDELBRA EDITORA LTDA-EDELBRA</v>
      </c>
      <c r="F40" t="str">
        <f>VLOOKUP($B40,'Obras e Acervos'!$B:$X,7,0)</f>
        <v>0489L23000020LE</v>
      </c>
      <c r="G40" t="str">
        <f>VLOOKUP($B40,'Obras e Acervos'!$B:$X,5,0)</f>
        <v>O MENINO QUE NÃO QUERIA SER PRÍNCIPE E OUTRAS HISTÓRIAS ENCANTADAS</v>
      </c>
      <c r="H40">
        <f>VLOOKUP($B40,'Obras e Acervos'!$B:$X,18,0)</f>
        <v>15</v>
      </c>
      <c r="I40">
        <f>VLOOKUP($B40,'Obras e Acervos'!$B:$X,19,0)</f>
        <v>34761</v>
      </c>
      <c r="J40" s="42">
        <f>VLOOKUP($B40,'Obras e Acervos'!$B:$X,20,0)</f>
        <v>3232.7730000000001</v>
      </c>
      <c r="K40" s="31">
        <f>VLOOKUP($B40,'Obras e Acervos'!$B:$X,21,0)</f>
        <v>8.57</v>
      </c>
      <c r="L40" s="31">
        <f t="shared" si="3"/>
        <v>297901.77</v>
      </c>
      <c r="M40" s="1">
        <v>46062</v>
      </c>
      <c r="N40" s="1">
        <f t="shared" si="0"/>
        <v>46305</v>
      </c>
      <c r="O40">
        <f t="shared" si="4"/>
        <v>244</v>
      </c>
      <c r="P40" s="49">
        <f t="shared" si="8"/>
        <v>8.1333333333333329</v>
      </c>
      <c r="Q40" s="34">
        <f>VLOOKUP($G40,Agendamento!$B:$F,5,0)</f>
        <v>4</v>
      </c>
      <c r="R40" s="36">
        <f t="shared" si="5"/>
        <v>35</v>
      </c>
      <c r="S40" s="44">
        <v>2.5499999999999998</v>
      </c>
      <c r="T40" s="44">
        <f t="shared" si="6"/>
        <v>21777</v>
      </c>
      <c r="U40" t="s">
        <v>4941</v>
      </c>
      <c r="V40" t="str">
        <f t="shared" si="7"/>
        <v>NF/64237413_20260209_nf_01.pdf</v>
      </c>
      <c r="W40" s="32" t="str">
        <f t="shared" si="9"/>
        <v>NF - O MENINO QUE NÃO QUERIA SER PRÍNCIPE E OUTRAS HISTÓRIAS ENCANTADAS</v>
      </c>
      <c r="X40" t="s">
        <v>5591</v>
      </c>
    </row>
    <row r="41" spans="1:24" x14ac:dyDescent="0.25">
      <c r="A41" t="str">
        <f>CONCATENATE(D41,"_",TEXT(M41,"ddmmaaaa"),"_",COUNTIF($D$2:D41,D41))</f>
        <v>876397610001-76_09022026_1</v>
      </c>
      <c r="B41" t="str">
        <f>CONCATENATE(Analise!D41,"_",COUNTIF(Analise!$D$2:D41,Analise!D41))</f>
        <v>876397610001-76_1</v>
      </c>
      <c r="C41" s="34">
        <f>COUNTIF('Obras e Acervos'!$C:$C,CONCATENATE(LEFT(D41,12),RIGHT(D41,2)))</f>
        <v>2</v>
      </c>
      <c r="D41" t="s">
        <v>4513</v>
      </c>
      <c r="E41" t="str">
        <f>VLOOKUP($B41,'Obras e Acervos'!$B:$X,3,0)</f>
        <v>EDELBRA GRÁFICA LTDA-EDELBRA</v>
      </c>
      <c r="F41" t="str">
        <f>VLOOKUP($B41,'Obras e Acervos'!$B:$X,7,0)</f>
        <v>0501L23000030LE</v>
      </c>
      <c r="G41" t="str">
        <f>VLOOKUP($B41,'Obras e Acervos'!$B:$X,5,0)</f>
        <v>MOMOTARO</v>
      </c>
      <c r="H41">
        <f>VLOOKUP($B41,'Obras e Acervos'!$B:$X,18,0)</f>
        <v>4</v>
      </c>
      <c r="I41">
        <f>VLOOKUP($B41,'Obras e Acervos'!$B:$X,19,0)</f>
        <v>38217</v>
      </c>
      <c r="J41" s="42">
        <f>VLOOKUP($B41,'Obras e Acervos'!$B:$X,20,0)</f>
        <v>4089.2190000000001</v>
      </c>
      <c r="K41" s="31">
        <f>VLOOKUP($B41,'Obras e Acervos'!$B:$X,21,0)</f>
        <v>5.9</v>
      </c>
      <c r="L41" s="31">
        <f t="shared" si="3"/>
        <v>225480.30000000002</v>
      </c>
      <c r="M41" s="1">
        <v>46062</v>
      </c>
      <c r="N41" s="1">
        <f t="shared" si="0"/>
        <v>46305</v>
      </c>
      <c r="O41">
        <f t="shared" si="4"/>
        <v>244</v>
      </c>
      <c r="P41" s="49">
        <f t="shared" si="8"/>
        <v>8.1333333333333329</v>
      </c>
      <c r="Q41" s="34">
        <f>VLOOKUP($G41,Agendamento!$B:$F,5,0)</f>
        <v>9</v>
      </c>
      <c r="R41" s="36">
        <f t="shared" si="5"/>
        <v>39</v>
      </c>
      <c r="S41" s="44">
        <v>2.5499999999999998</v>
      </c>
      <c r="T41" s="44">
        <f t="shared" si="6"/>
        <v>24265.8</v>
      </c>
      <c r="U41" t="s">
        <v>4933</v>
      </c>
      <c r="V41" t="str">
        <f t="shared" si="7"/>
        <v>NF/64237413_20260209_nf_03.pdf</v>
      </c>
      <c r="W41" s="32" t="str">
        <f t="shared" si="9"/>
        <v>NF - MOMOTARO</v>
      </c>
      <c r="X41" t="s">
        <v>5591</v>
      </c>
    </row>
    <row r="42" spans="1:24" x14ac:dyDescent="0.25">
      <c r="A42" t="str">
        <f>CONCATENATE(D42,"_",TEXT(M42,"ddmmaaaa"),"_",COUNTIF($D$2:D42,D42))</f>
        <v>876397610001-76_09022026_2</v>
      </c>
      <c r="B42" t="str">
        <f>CONCATENATE(Analise!D42,"_",COUNTIF(Analise!$D$2:D42,Analise!D42))</f>
        <v>876397610001-76_2</v>
      </c>
      <c r="C42" s="34">
        <f>COUNTIF('Obras e Acervos'!$C:$C,CONCATENATE(LEFT(D42,12),RIGHT(D42,2)))</f>
        <v>2</v>
      </c>
      <c r="D42" t="s">
        <v>4513</v>
      </c>
      <c r="E42" t="str">
        <f>VLOOKUP($B42,'Obras e Acervos'!$B:$X,3,0)</f>
        <v>EDELBRA GRÁFICA LTDA-EDELBRA</v>
      </c>
      <c r="F42" t="str">
        <f>VLOOKUP($B42,'Obras e Acervos'!$B:$X,7,0)</f>
        <v>0502L23000020LE</v>
      </c>
      <c r="G42" t="str">
        <f>VLOOKUP($B42,'Obras e Acervos'!$B:$X,5,0)</f>
        <v>UMA AVENTURA NO SONHO</v>
      </c>
      <c r="H42">
        <f>VLOOKUP($B42,'Obras e Acervos'!$B:$X,18,0)</f>
        <v>16</v>
      </c>
      <c r="I42">
        <f>VLOOKUP($B42,'Obras e Acervos'!$B:$X,19,0)</f>
        <v>30227</v>
      </c>
      <c r="J42" s="42">
        <f>VLOOKUP($B42,'Obras e Acervos'!$B:$X,20,0)</f>
        <v>1722.9390000000001</v>
      </c>
      <c r="K42" s="31">
        <f>VLOOKUP($B42,'Obras e Acervos'!$B:$X,21,0)</f>
        <v>6.3</v>
      </c>
      <c r="L42" s="31">
        <f t="shared" si="3"/>
        <v>190430.1</v>
      </c>
      <c r="M42" s="1">
        <v>46062</v>
      </c>
      <c r="N42" s="1">
        <f t="shared" si="0"/>
        <v>46305</v>
      </c>
      <c r="O42">
        <f t="shared" si="4"/>
        <v>244</v>
      </c>
      <c r="P42" s="49">
        <f t="shared" si="8"/>
        <v>8.1333333333333329</v>
      </c>
      <c r="Q42" s="34">
        <f>VLOOKUP($G42,Agendamento!$B:$F,5,0)</f>
        <v>2</v>
      </c>
      <c r="R42" s="36">
        <f t="shared" si="5"/>
        <v>31</v>
      </c>
      <c r="S42" s="44">
        <v>2.5499999999999998</v>
      </c>
      <c r="T42" s="44">
        <f t="shared" si="6"/>
        <v>19288.199999999997</v>
      </c>
      <c r="U42" t="s">
        <v>4933</v>
      </c>
      <c r="V42" t="str">
        <f t="shared" si="7"/>
        <v>NF/64237413_20260209_nf_03.pdf</v>
      </c>
      <c r="W42" s="32" t="str">
        <f t="shared" si="9"/>
        <v>NF - UMA AVENTURA NO SONHO</v>
      </c>
      <c r="X42" t="s">
        <v>5591</v>
      </c>
    </row>
    <row r="43" spans="1:24" x14ac:dyDescent="0.25">
      <c r="A43" t="str">
        <f>CONCATENATE(D43,"_",TEXT(M43,"ddmmaaaa"),"_",COUNTIF($D$2:D43,D43))</f>
        <v>101711020001-23_09022026_1</v>
      </c>
      <c r="B43" t="str">
        <f>CONCATENATE(Analise!D43,"_",COUNTIF(Analise!$D$2:D43,Analise!D43))</f>
        <v>101711020001-23_1</v>
      </c>
      <c r="C43" s="34">
        <f>COUNTIF('Obras e Acervos'!$C:$C,CONCATENATE(LEFT(D43,12),RIGHT(D43,2)))</f>
        <v>1</v>
      </c>
      <c r="D43" t="s">
        <v>4514</v>
      </c>
      <c r="E43" t="str">
        <f>VLOOKUP($B43,'Obras e Acervos'!$B:$X,3,0)</f>
        <v>EMEDIATO EDITORES LTDA-JARDIM DOS LIVROS</v>
      </c>
      <c r="F43" t="str">
        <f>VLOOKUP($B43,'Obras e Acervos'!$B:$X,7,0)</f>
        <v>0516L23000020LE</v>
      </c>
      <c r="G43" t="str">
        <f>VLOOKUP($B43,'Obras e Acervos'!$B:$X,5,0)</f>
        <v>UMA VIAGEM INESQUECÍVEL</v>
      </c>
      <c r="H43">
        <f>VLOOKUP($B43,'Obras e Acervos'!$B:$X,18,0)</f>
        <v>15</v>
      </c>
      <c r="I43">
        <f>VLOOKUP($B43,'Obras e Acervos'!$B:$X,19,0)</f>
        <v>35610</v>
      </c>
      <c r="J43" s="42">
        <f>VLOOKUP($B43,'Obras e Acervos'!$B:$X,20,0)</f>
        <v>2848.8</v>
      </c>
      <c r="K43" s="31">
        <f>VLOOKUP($B43,'Obras e Acervos'!$B:$X,21,0)</f>
        <v>5.89</v>
      </c>
      <c r="L43" s="31">
        <f t="shared" si="3"/>
        <v>209742.9</v>
      </c>
      <c r="M43" s="1">
        <v>46062</v>
      </c>
      <c r="N43" s="1">
        <f t="shared" si="0"/>
        <v>46305</v>
      </c>
      <c r="O43">
        <f t="shared" si="4"/>
        <v>244</v>
      </c>
      <c r="P43" s="49">
        <f t="shared" si="8"/>
        <v>8.1333333333333329</v>
      </c>
      <c r="Q43" s="34">
        <f>VLOOKUP($G43,Agendamento!$B:$F,5,0)</f>
        <v>4</v>
      </c>
      <c r="R43" s="36">
        <f t="shared" si="5"/>
        <v>36</v>
      </c>
      <c r="S43" s="44">
        <v>2.5499999999999998</v>
      </c>
      <c r="T43" s="44">
        <f t="shared" si="6"/>
        <v>22399.199999999997</v>
      </c>
      <c r="U43" t="s">
        <v>4934</v>
      </c>
      <c r="V43" t="str">
        <f t="shared" si="7"/>
        <v>NF/64237413_20260209_nf_05.pdf</v>
      </c>
      <c r="W43" s="32" t="str">
        <f t="shared" si="9"/>
        <v>NF - UMA VIAGEM INESQUECÍVEL</v>
      </c>
      <c r="X43" t="s">
        <v>5591</v>
      </c>
    </row>
    <row r="44" spans="1:24" x14ac:dyDescent="0.25">
      <c r="A44" t="str">
        <f>CONCATENATE(D44,"_",TEXT(M44,"ddmmaaaa"),"_",COUNTIF($D$2:D44,D44))</f>
        <v>398843010001-60_09022026_1</v>
      </c>
      <c r="B44" t="str">
        <f>CONCATENATE(Analise!D44,"_",COUNTIF(Analise!$D$2:D44,Analise!D44))</f>
        <v>398843010001-60_1</v>
      </c>
      <c r="C44" s="34">
        <f>COUNTIF('Obras e Acervos'!$C:$C,CONCATENATE(LEFT(D44,12),RIGHT(D44,2)))</f>
        <v>2</v>
      </c>
      <c r="D44" t="s">
        <v>4515</v>
      </c>
      <c r="E44" t="str">
        <f>VLOOKUP($B44,'Obras e Acervos'!$B:$X,3,0)</f>
        <v>VERSOS COMERCIO E EDITORA LTDA-EDITORA VERSOS</v>
      </c>
      <c r="F44" t="str">
        <f>VLOOKUP($B44,'Obras e Acervos'!$B:$X,7,0)</f>
        <v>1007L23000030LE</v>
      </c>
      <c r="G44" t="str">
        <f>VLOOKUP($B44,'Obras e Acervos'!$B:$X,5,0)</f>
        <v>MINHAS PRIMEIRAS CANTIGAS</v>
      </c>
      <c r="H44">
        <f>VLOOKUP($B44,'Obras e Acervos'!$B:$X,18,0)</f>
        <v>10</v>
      </c>
      <c r="I44">
        <f>VLOOKUP($B44,'Obras e Acervos'!$B:$X,19,0)</f>
        <v>40645</v>
      </c>
      <c r="J44" s="42">
        <f>VLOOKUP($B44,'Obras e Acervos'!$B:$X,20,0)</f>
        <v>4267.7249999999995</v>
      </c>
      <c r="K44" s="31">
        <f>VLOOKUP($B44,'Obras e Acervos'!$B:$X,21,0)</f>
        <v>5.43</v>
      </c>
      <c r="L44" s="31">
        <f t="shared" si="3"/>
        <v>220702.34999999998</v>
      </c>
      <c r="M44" s="1">
        <v>46062</v>
      </c>
      <c r="N44" s="1">
        <f t="shared" si="0"/>
        <v>46305</v>
      </c>
      <c r="O44">
        <f t="shared" si="4"/>
        <v>244</v>
      </c>
      <c r="P44" s="49">
        <f t="shared" si="8"/>
        <v>8.1333333333333329</v>
      </c>
      <c r="Q44" s="34">
        <f>VLOOKUP($G44,Agendamento!$B:$F,5,0)</f>
        <v>5</v>
      </c>
      <c r="R44" s="36">
        <f t="shared" si="5"/>
        <v>41</v>
      </c>
      <c r="S44" s="44">
        <v>2.5499999999999998</v>
      </c>
      <c r="T44" s="44">
        <f t="shared" si="6"/>
        <v>25510.199999999997</v>
      </c>
      <c r="U44" t="s">
        <v>4935</v>
      </c>
      <c r="V44" t="str">
        <f t="shared" si="7"/>
        <v>NF/64237413_20260209_nf_06.pdf</v>
      </c>
      <c r="W44" s="32" t="str">
        <f t="shared" si="9"/>
        <v>NF - MINHAS PRIMEIRAS CANTIGAS</v>
      </c>
      <c r="X44" t="s">
        <v>5591</v>
      </c>
    </row>
    <row r="45" spans="1:24" x14ac:dyDescent="0.25">
      <c r="A45" t="str">
        <f>CONCATENATE(D45,"_",TEXT(M45,"ddmmaaaa"),"_",COUNTIF($D$2:D45,D45))</f>
        <v>434143670001-64_09022026_1</v>
      </c>
      <c r="B45" t="str">
        <f>CONCATENATE(Analise!D45,"_",COUNTIF(Analise!$D$2:D45,Analise!D45))</f>
        <v>434143670001-64_1</v>
      </c>
      <c r="C45" s="34">
        <f>COUNTIF('Obras e Acervos'!$C:$C,CONCATENATE(LEFT(D45,12),RIGHT(D45,2)))</f>
        <v>2</v>
      </c>
      <c r="D45" t="s">
        <v>4519</v>
      </c>
      <c r="E45" t="str">
        <f>VLOOKUP($B45,'Obras e Acervos'!$B:$X,3,0)</f>
        <v>EDITORA MILENA LTDA-MILENA</v>
      </c>
      <c r="F45" t="str">
        <f>VLOOKUP($B45,'Obras e Acervos'!$B:$X,7,0)</f>
        <v>0523L23000030LE</v>
      </c>
      <c r="G45" t="str">
        <f>VLOOKUP($B45,'Obras e Acervos'!$B:$X,5,0)</f>
        <v>CHÁ DE SUMIÇO: E OUTROS POEMAS ASSOMBRADOS</v>
      </c>
      <c r="H45">
        <f>VLOOKUP($B45,'Obras e Acervos'!$B:$X,18,0)</f>
        <v>9</v>
      </c>
      <c r="I45">
        <f>VLOOKUP($B45,'Obras e Acervos'!$B:$X,19,0)</f>
        <v>33173</v>
      </c>
      <c r="J45" s="42">
        <f>VLOOKUP($B45,'Obras e Acervos'!$B:$X,20,0)</f>
        <v>3416.819</v>
      </c>
      <c r="K45" s="31">
        <f>VLOOKUP($B45,'Obras e Acervos'!$B:$X,21,0)</f>
        <v>5.96</v>
      </c>
      <c r="L45" s="31">
        <f t="shared" si="3"/>
        <v>197711.08</v>
      </c>
      <c r="M45" s="1">
        <v>46062</v>
      </c>
      <c r="N45" s="1">
        <f t="shared" si="0"/>
        <v>46305</v>
      </c>
      <c r="O45">
        <f t="shared" si="4"/>
        <v>244</v>
      </c>
      <c r="P45" s="49">
        <f t="shared" si="8"/>
        <v>8.1333333333333329</v>
      </c>
      <c r="Q45" s="34">
        <f>VLOOKUP($G45,Agendamento!$B:$F,5,0)</f>
        <v>4</v>
      </c>
      <c r="R45" s="36">
        <f t="shared" si="5"/>
        <v>34</v>
      </c>
      <c r="S45" s="44">
        <v>2.5499999999999998</v>
      </c>
      <c r="T45" s="44">
        <f t="shared" si="6"/>
        <v>21154.799999999999</v>
      </c>
      <c r="U45" t="s">
        <v>4940</v>
      </c>
      <c r="V45" t="str">
        <f t="shared" si="7"/>
        <v>NF/64237413_20260209_nf_07.pdf</v>
      </c>
      <c r="W45" s="32" t="str">
        <f t="shared" si="9"/>
        <v>NF - CHÁ DE SUMIÇO: E OUTROS POEMAS ASSOMBRADOS</v>
      </c>
      <c r="X45" t="s">
        <v>5591</v>
      </c>
    </row>
    <row r="46" spans="1:24" x14ac:dyDescent="0.25">
      <c r="A46" t="str">
        <f>CONCATENATE(D46,"_",TEXT(M46,"ddmmaaaa"),"_",COUNTIF($D$2:D46,D46))</f>
        <v>442288110001-10_09022026_1</v>
      </c>
      <c r="B46" t="str">
        <f>CONCATENATE(Analise!D46,"_",COUNTIF(Analise!$D$2:D46,Analise!D46)+1)</f>
        <v>442288110001-10_2</v>
      </c>
      <c r="C46" s="34">
        <f>COUNTIF('Obras e Acervos'!$C:$C,CONCATENATE(LEFT(D46,12),RIGHT(D46,2)))</f>
        <v>2</v>
      </c>
      <c r="D46" t="s">
        <v>4516</v>
      </c>
      <c r="E46" t="str">
        <f>VLOOKUP($B46,'Obras e Acervos'!$B:$X,3,0)</f>
        <v>O GATO CHINÊS EDITORA LTDA.-O GATO CHINÊS</v>
      </c>
      <c r="F46" t="str">
        <f>VLOOKUP($B46,'Obras e Acervos'!$B:$X,7,0)</f>
        <v>1245L23000020LE</v>
      </c>
      <c r="G46" t="str">
        <f>VLOOKUP($B46,'Obras e Acervos'!$B:$X,5,0)</f>
        <v>CORAÇÕES AOS MILHÕES</v>
      </c>
      <c r="H46">
        <f>VLOOKUP($B46,'Obras e Acervos'!$B:$X,18,0)</f>
        <v>22</v>
      </c>
      <c r="I46">
        <f>VLOOKUP($B46,'Obras e Acervos'!$B:$X,19,0)</f>
        <v>23843</v>
      </c>
      <c r="J46" s="42">
        <f>VLOOKUP($B46,'Obras e Acervos'!$B:$X,20,0)</f>
        <v>1835.9110000000001</v>
      </c>
      <c r="K46" s="31">
        <f>VLOOKUP($B46,'Obras e Acervos'!$B:$X,21,0)</f>
        <v>6.57</v>
      </c>
      <c r="L46" s="31">
        <f t="shared" si="3"/>
        <v>156648.51</v>
      </c>
      <c r="M46" s="1">
        <v>46062</v>
      </c>
      <c r="N46" s="1">
        <f t="shared" si="0"/>
        <v>46305</v>
      </c>
      <c r="O46">
        <f t="shared" si="4"/>
        <v>244</v>
      </c>
      <c r="P46" s="49">
        <f t="shared" si="8"/>
        <v>8.1333333333333329</v>
      </c>
      <c r="Q46" s="34">
        <f>VLOOKUP($G46,Agendamento!$B:$F,5,0)</f>
        <v>3</v>
      </c>
      <c r="R46" s="36">
        <f t="shared" si="5"/>
        <v>24</v>
      </c>
      <c r="S46" s="44">
        <v>2.5499999999999998</v>
      </c>
      <c r="T46" s="44">
        <f t="shared" si="6"/>
        <v>14932.8</v>
      </c>
      <c r="U46" t="s">
        <v>4936</v>
      </c>
      <c r="V46" t="str">
        <f t="shared" si="7"/>
        <v>NF/64237413_20260209_nf_08.pdf</v>
      </c>
      <c r="W46" s="32" t="str">
        <f t="shared" si="9"/>
        <v>NF - CORAÇÕES AOS MILHÕES</v>
      </c>
      <c r="X46" t="s">
        <v>5591</v>
      </c>
    </row>
    <row r="47" spans="1:24" x14ac:dyDescent="0.25">
      <c r="A47" t="str">
        <f>CONCATENATE(D47,"_",TEXT(M47,"ddmmaaaa"),"_",COUNTIF($D$2:D47,D47))</f>
        <v>439673590001-45_09022026_1</v>
      </c>
      <c r="B47" t="str">
        <f>CONCATENATE(Analise!D47,"_",COUNTIF(Analise!$D$2:D47,Analise!D47))</f>
        <v>439673590001-45_1</v>
      </c>
      <c r="C47" s="34">
        <f>COUNTIF('Obras e Acervos'!$C:$C,CONCATENATE(LEFT(D47,12),RIGHT(D47,2)))</f>
        <v>1</v>
      </c>
      <c r="D47" t="s">
        <v>4517</v>
      </c>
      <c r="E47" t="str">
        <f>VLOOKUP($B47,'Obras e Acervos'!$B:$X,3,0)</f>
        <v>AUTENTICA EDUCACAO LTDA-AUTEDUC</v>
      </c>
      <c r="F47" t="str">
        <f>VLOOKUP($B47,'Obras e Acervos'!$B:$X,7,0)</f>
        <v>0722L23000030LE</v>
      </c>
      <c r="G47" t="str">
        <f>VLOOKUP($B47,'Obras e Acervos'!$B:$X,5,0)</f>
        <v>O TAMANHO DA GENTE</v>
      </c>
      <c r="H47">
        <f>VLOOKUP($B47,'Obras e Acervos'!$B:$X,18,0)</f>
        <v>3</v>
      </c>
      <c r="I47">
        <f>VLOOKUP($B47,'Obras e Acervos'!$B:$X,19,0)</f>
        <v>48275</v>
      </c>
      <c r="J47" s="42">
        <f>VLOOKUP($B47,'Obras e Acervos'!$B:$X,20,0)</f>
        <v>5068.875</v>
      </c>
      <c r="K47" s="31">
        <f>VLOOKUP($B47,'Obras e Acervos'!$B:$X,21,0)</f>
        <v>4.75</v>
      </c>
      <c r="L47" s="31">
        <f t="shared" si="3"/>
        <v>229306.25</v>
      </c>
      <c r="M47" s="1">
        <v>46062</v>
      </c>
      <c r="N47" s="1">
        <f t="shared" si="0"/>
        <v>46305</v>
      </c>
      <c r="O47">
        <f t="shared" si="4"/>
        <v>244</v>
      </c>
      <c r="P47" s="49">
        <f t="shared" si="8"/>
        <v>8.1333333333333329</v>
      </c>
      <c r="Q47" s="34">
        <f>VLOOKUP($G47,Agendamento!$B:$F,5,0)</f>
        <v>6</v>
      </c>
      <c r="R47" s="36">
        <f t="shared" si="5"/>
        <v>49</v>
      </c>
      <c r="S47" s="44">
        <v>2.5499999999999998</v>
      </c>
      <c r="T47" s="44">
        <f t="shared" si="6"/>
        <v>30487.8</v>
      </c>
      <c r="U47" t="s">
        <v>4937</v>
      </c>
      <c r="V47" t="str">
        <f t="shared" si="7"/>
        <v>NF/64237413_20260209_nf_09.pdf</v>
      </c>
      <c r="W47" s="32" t="str">
        <f t="shared" si="9"/>
        <v>NF - O TAMANHO DA GENTE</v>
      </c>
      <c r="X47" t="s">
        <v>5591</v>
      </c>
    </row>
    <row r="48" spans="1:24" x14ac:dyDescent="0.25">
      <c r="A48" t="str">
        <f>CONCATENATE(D48,"_",TEXT(M48,"ddmmaaaa"),"_",COUNTIF($D$2:D48,D48))</f>
        <v>442288110001-10_09022026_2</v>
      </c>
      <c r="B48" t="str">
        <f>CONCATENATE(Analise!D48,"_",COUNTIF(Analise!$D$2:D48,Analise!D48)-1)</f>
        <v>442288110001-10_1</v>
      </c>
      <c r="C48" s="34">
        <f>COUNTIF('Obras e Acervos'!$C:$C,CONCATENATE(LEFT(D48,12),RIGHT(D48,2)))</f>
        <v>2</v>
      </c>
      <c r="D48" t="s">
        <v>4516</v>
      </c>
      <c r="E48" t="str">
        <f>VLOOKUP($B48,'Obras e Acervos'!$B:$X,3,0)</f>
        <v>O GATO CHINÊS EDITORA LTDA.-O GATO CHINÊS</v>
      </c>
      <c r="F48" t="str">
        <f>VLOOKUP($B48,'Obras e Acervos'!$B:$X,7,0)</f>
        <v>1244L23000030LE</v>
      </c>
      <c r="G48" t="str">
        <f>VLOOKUP($B48,'Obras e Acervos'!$B:$X,5,0)</f>
        <v>JUCA MIL-PERGUNTAS</v>
      </c>
      <c r="H48">
        <f>VLOOKUP($B48,'Obras e Acervos'!$B:$X,18,0)</f>
        <v>4</v>
      </c>
      <c r="I48">
        <f>VLOOKUP($B48,'Obras e Acervos'!$B:$X,19,0)</f>
        <v>38960</v>
      </c>
      <c r="J48" s="42">
        <f>VLOOKUP($B48,'Obras e Acervos'!$B:$X,20,0)</f>
        <v>2999.92</v>
      </c>
      <c r="K48" s="31">
        <f>VLOOKUP($B48,'Obras e Acervos'!$B:$X,21,0)</f>
        <v>5.46</v>
      </c>
      <c r="L48" s="31">
        <f t="shared" si="3"/>
        <v>212721.6</v>
      </c>
      <c r="M48" s="1">
        <v>46062</v>
      </c>
      <c r="N48" s="1">
        <f t="shared" si="0"/>
        <v>46305</v>
      </c>
      <c r="O48">
        <f t="shared" si="4"/>
        <v>244</v>
      </c>
      <c r="P48" s="49">
        <f t="shared" si="8"/>
        <v>8.1333333333333329</v>
      </c>
      <c r="Q48" s="34">
        <f>VLOOKUP($G48,Agendamento!$B:$F,5,0)</f>
        <v>5</v>
      </c>
      <c r="R48" s="36">
        <f t="shared" si="5"/>
        <v>39</v>
      </c>
      <c r="S48" s="44">
        <v>2.5499999999999998</v>
      </c>
      <c r="T48" s="44">
        <f t="shared" si="6"/>
        <v>24265.8</v>
      </c>
      <c r="U48" t="s">
        <v>4938</v>
      </c>
      <c r="V48" t="str">
        <f t="shared" si="7"/>
        <v>NF/64237413_20260209_nf_10.pdf</v>
      </c>
      <c r="W48" s="32" t="str">
        <f t="shared" si="9"/>
        <v>NF - JUCA MIL-PERGUNTAS</v>
      </c>
      <c r="X48" t="s">
        <v>5591</v>
      </c>
    </row>
    <row r="49" spans="1:24" x14ac:dyDescent="0.25">
      <c r="A49" t="str">
        <f>CONCATENATE(D49,"_",TEXT(M49,"ddmmaaaa"),"_",COUNTIF($D$2:D49,D49))</f>
        <v>036384630001-71_09022026_1</v>
      </c>
      <c r="B49" t="str">
        <f>CONCATENATE(Analise!D49,"_",COUNTIF(Analise!$D$2:D49,Analise!D49))</f>
        <v>036384630001-71_1</v>
      </c>
      <c r="C49" s="34">
        <f>COUNTIF('Obras e Acervos'!$C:$C,CONCATENATE(LEFT(D49,12),RIGHT(D49,2)))</f>
        <v>1</v>
      </c>
      <c r="D49" t="s">
        <v>4518</v>
      </c>
      <c r="E49" t="str">
        <f>VLOOKUP($B49,'Obras e Acervos'!$B:$X,3,0)</f>
        <v>ESCALA EMPRESA DE COMUNICAÇÃO INTEGRADA LTDA -ESCALA INTEGRADA</v>
      </c>
      <c r="F49" t="str">
        <f>VLOOKUP($B49,'Obras e Acervos'!$B:$X,7,0)</f>
        <v>0839L23000020LE</v>
      </c>
      <c r="G49" t="str">
        <f>VLOOKUP($B49,'Obras e Acervos'!$B:$X,5,0)</f>
        <v>A SERPENTE BRANCA</v>
      </c>
      <c r="H49">
        <f>VLOOKUP($B49,'Obras e Acervos'!$B:$X,18,0)</f>
        <v>14</v>
      </c>
      <c r="I49">
        <f>VLOOKUP($B49,'Obras e Acervos'!$B:$X,19,0)</f>
        <v>24152</v>
      </c>
      <c r="J49" s="42">
        <f>VLOOKUP($B49,'Obras e Acervos'!$B:$X,20,0)</f>
        <v>2922.3919999999998</v>
      </c>
      <c r="K49" s="31">
        <f>VLOOKUP($B49,'Obras e Acervos'!$B:$X,21,0)</f>
        <v>7.51</v>
      </c>
      <c r="L49" s="31">
        <f t="shared" si="3"/>
        <v>181381.52</v>
      </c>
      <c r="M49" s="1">
        <v>46062</v>
      </c>
      <c r="N49" s="1">
        <f t="shared" si="0"/>
        <v>46305</v>
      </c>
      <c r="O49">
        <f t="shared" si="4"/>
        <v>244</v>
      </c>
      <c r="P49" s="49">
        <f t="shared" si="8"/>
        <v>8.1333333333333329</v>
      </c>
      <c r="Q49" s="34">
        <f>VLOOKUP($G49,Agendamento!$B:$F,5,0)</f>
        <v>3</v>
      </c>
      <c r="R49" s="36">
        <f t="shared" si="5"/>
        <v>25</v>
      </c>
      <c r="S49" s="44">
        <v>2.5499999999999998</v>
      </c>
      <c r="T49" s="44">
        <f t="shared" si="6"/>
        <v>15554.999999999998</v>
      </c>
      <c r="U49" t="s">
        <v>4939</v>
      </c>
      <c r="V49" t="str">
        <f t="shared" si="7"/>
        <v>NF/64237413_20260209_nf_11.pdf</v>
      </c>
      <c r="W49" s="32" t="str">
        <f t="shared" si="9"/>
        <v>NF - A SERPENTE BRANCA</v>
      </c>
      <c r="X49" t="s">
        <v>5591</v>
      </c>
    </row>
    <row r="50" spans="1:24" x14ac:dyDescent="0.25">
      <c r="A50" t="str">
        <f>CONCATENATE(D50,"_",TEXT(M50,"ddmmaaaa"),"_",COUNTIF($D$2:D50,D50))</f>
        <v>062853700001-07_09022026_1</v>
      </c>
      <c r="B50" t="str">
        <f>CONCATENATE(Analise!D50,"_",COUNTIF(Analise!$D$2:D50,Analise!D50))</f>
        <v>062853700001-07_1</v>
      </c>
      <c r="C50" s="34">
        <f>COUNTIF('Obras e Acervos'!$C:$C,CONCATENATE(LEFT(D50,12),RIGHT(D50,2)))</f>
        <v>2</v>
      </c>
      <c r="D50" t="s">
        <v>4521</v>
      </c>
      <c r="E50" t="str">
        <f>VLOOKUP($B50,'Obras e Acervos'!$B:$X,3,0)</f>
        <v>OCEANO EDIÇÕES E IMPRESSÃO GRÁFICA LTDA -GRÁFICA OCEANO</v>
      </c>
      <c r="F50" t="str">
        <f>VLOOKUP($B50,'Obras e Acervos'!$B:$X,7,0)</f>
        <v>0837L23000030LE</v>
      </c>
      <c r="G50" t="str">
        <f>VLOOKUP($B50,'Obras e Acervos'!$B:$X,5,0)</f>
        <v>NA ROÇA DO VOVÔ</v>
      </c>
      <c r="H50">
        <f>VLOOKUP($B50,'Obras e Acervos'!$B:$X,18,0)</f>
        <v>6</v>
      </c>
      <c r="I50">
        <f>VLOOKUP($B50,'Obras e Acervos'!$B:$X,19,0)</f>
        <v>38522</v>
      </c>
      <c r="J50" s="42">
        <f>VLOOKUP($B50,'Obras e Acervos'!$B:$X,20,0)</f>
        <v>3967.7659999999996</v>
      </c>
      <c r="K50" s="31">
        <f>VLOOKUP($B50,'Obras e Acervos'!$B:$X,21,0)</f>
        <v>5.48</v>
      </c>
      <c r="L50" s="31">
        <f t="shared" si="3"/>
        <v>211100.56000000003</v>
      </c>
      <c r="M50" s="1">
        <v>46062</v>
      </c>
      <c r="N50" s="1">
        <f t="shared" si="0"/>
        <v>46305</v>
      </c>
      <c r="O50">
        <f t="shared" si="4"/>
        <v>244</v>
      </c>
      <c r="P50" s="49">
        <f t="shared" si="8"/>
        <v>8.1333333333333329</v>
      </c>
      <c r="Q50" s="34">
        <f>VLOOKUP($G50,Agendamento!$B:$F,5,0)</f>
        <v>5</v>
      </c>
      <c r="R50" s="36">
        <f t="shared" si="5"/>
        <v>39</v>
      </c>
      <c r="S50" s="44">
        <v>2.5499999999999998</v>
      </c>
      <c r="T50" s="44">
        <f t="shared" si="6"/>
        <v>24265.8</v>
      </c>
      <c r="U50" t="s">
        <v>4942</v>
      </c>
      <c r="V50" t="str">
        <f t="shared" si="7"/>
        <v>NF/64237413_20260209_nf_12.pdf</v>
      </c>
      <c r="W50" s="32" t="str">
        <f t="shared" si="9"/>
        <v>NF - NA ROÇA DO VOVÔ</v>
      </c>
      <c r="X50" t="s">
        <v>5591</v>
      </c>
    </row>
    <row r="51" spans="1:24" x14ac:dyDescent="0.25">
      <c r="A51" t="str">
        <f>CONCATENATE(D51,"_",TEXT(M51,"ddmmaaaa"),"_",COUNTIF($D$2:D51,D51))</f>
        <v>062853700001-07_09022026_2</v>
      </c>
      <c r="B51" t="str">
        <f>CONCATENATE(Analise!D51,"_",COUNTIF(Analise!$D$2:D51,Analise!D51))</f>
        <v>062853700001-07_2</v>
      </c>
      <c r="C51" s="34">
        <f>COUNTIF('Obras e Acervos'!$C:$C,CONCATENATE(LEFT(D51,12),RIGHT(D51,2)))</f>
        <v>2</v>
      </c>
      <c r="D51" t="s">
        <v>4521</v>
      </c>
      <c r="E51" t="str">
        <f>VLOOKUP($B51,'Obras e Acervos'!$B:$X,3,0)</f>
        <v>OCEANO EDIÇÕES E IMPRESSÃO GRÁFICA LTDA -GRÁFICA OCEANO</v>
      </c>
      <c r="F51" t="str">
        <f>VLOOKUP($B51,'Obras e Acervos'!$B:$X,7,0)</f>
        <v>0838L23000020LE</v>
      </c>
      <c r="G51" t="str">
        <f>VLOOKUP($B51,'Obras e Acervos'!$B:$X,5,0)</f>
        <v>AS NOVAS ROUPAS DO IMPERADOR</v>
      </c>
      <c r="H51">
        <f>VLOOKUP($B51,'Obras e Acervos'!$B:$X,18,0)</f>
        <v>12</v>
      </c>
      <c r="I51">
        <f>VLOOKUP($B51,'Obras e Acervos'!$B:$X,19,0)</f>
        <v>36251</v>
      </c>
      <c r="J51" s="42">
        <f>VLOOKUP($B51,'Obras e Acervos'!$B:$X,20,0)</f>
        <v>3733.8529999999996</v>
      </c>
      <c r="K51" s="31">
        <f>VLOOKUP($B51,'Obras e Acervos'!$B:$X,21,0)</f>
        <v>5.87</v>
      </c>
      <c r="L51" s="31">
        <f t="shared" si="3"/>
        <v>212793.37</v>
      </c>
      <c r="M51" s="1">
        <v>46062</v>
      </c>
      <c r="N51" s="1">
        <f t="shared" si="0"/>
        <v>46305</v>
      </c>
      <c r="O51">
        <f t="shared" si="4"/>
        <v>244</v>
      </c>
      <c r="P51" s="49">
        <f t="shared" si="8"/>
        <v>8.1333333333333329</v>
      </c>
      <c r="Q51" s="34">
        <f>VLOOKUP($G51,Agendamento!$B:$F,5,0)</f>
        <v>4</v>
      </c>
      <c r="R51" s="36">
        <f t="shared" si="5"/>
        <v>37</v>
      </c>
      <c r="S51" s="44">
        <v>2.5499999999999998</v>
      </c>
      <c r="T51" s="44">
        <f t="shared" si="6"/>
        <v>23021.399999999998</v>
      </c>
      <c r="U51" t="s">
        <v>4942</v>
      </c>
      <c r="V51" t="str">
        <f t="shared" si="7"/>
        <v>NF/64237413_20260209_nf_12.pdf</v>
      </c>
      <c r="W51" s="32" t="str">
        <f t="shared" si="9"/>
        <v>NF - AS NOVAS ROUPAS DO IMPERADOR</v>
      </c>
      <c r="X51" t="s">
        <v>5591</v>
      </c>
    </row>
    <row r="52" spans="1:24" x14ac:dyDescent="0.25">
      <c r="A52" t="str">
        <f>CONCATENATE(D52,"_",TEXT(M52,"ddmmaaaa"),"_",COUNTIF($D$2:D52,D52))</f>
        <v>443071100001-76_10022026_1</v>
      </c>
      <c r="B52" t="str">
        <f>CONCATENATE(Analise!D52,"_",COUNTIF(Analise!$D$2:D52,Analise!D52)+1)</f>
        <v>443071100001-76_2</v>
      </c>
      <c r="C52" s="34">
        <f>COUNTIF('Obras e Acervos'!$C:$C,CONCATENATE(LEFT(D52,12),RIGHT(D52,2)))</f>
        <v>2</v>
      </c>
      <c r="D52" t="s">
        <v>4529</v>
      </c>
      <c r="E52" t="str">
        <f>VLOOKUP($B52,'Obras e Acervos'!$B:$X,3,0)</f>
        <v>VERNE EDITORA LTDA-EDITORA VERNE</v>
      </c>
      <c r="F52" t="str">
        <f>VLOOKUP($B52,'Obras e Acervos'!$B:$X,7,0)</f>
        <v>1321L23000020LE</v>
      </c>
      <c r="G52" t="str">
        <f>VLOOKUP($B52,'Obras e Acervos'!$B:$X,5,0)</f>
        <v>ANTÔNIO E O BOI</v>
      </c>
      <c r="H52">
        <f>VLOOKUP($B52,'Obras e Acervos'!$B:$X,18,0)</f>
        <v>18</v>
      </c>
      <c r="I52">
        <f>VLOOKUP($B52,'Obras e Acervos'!$B:$X,19,0)</f>
        <v>23745</v>
      </c>
      <c r="J52" s="42">
        <f>VLOOKUP($B52,'Obras e Acervos'!$B:$X,20,0)</f>
        <v>2374.5</v>
      </c>
      <c r="K52" s="31">
        <f>VLOOKUP($B52,'Obras e Acervos'!$B:$X,21,0)</f>
        <v>6.59</v>
      </c>
      <c r="L52" s="31">
        <f t="shared" si="3"/>
        <v>156479.54999999999</v>
      </c>
      <c r="M52" s="1">
        <v>46063</v>
      </c>
      <c r="N52" s="1">
        <f t="shared" si="0"/>
        <v>46305</v>
      </c>
      <c r="O52">
        <f t="shared" si="4"/>
        <v>243</v>
      </c>
      <c r="P52" s="49">
        <f t="shared" si="8"/>
        <v>8.1</v>
      </c>
      <c r="Q52" s="34">
        <f>VLOOKUP($G52,Agendamento!$B:$F,5,0)</f>
        <v>4</v>
      </c>
      <c r="R52" s="36">
        <f t="shared" si="5"/>
        <v>24</v>
      </c>
      <c r="S52" s="44">
        <v>2.5499999999999998</v>
      </c>
      <c r="T52" s="44">
        <f t="shared" si="6"/>
        <v>14871.599999999999</v>
      </c>
      <c r="U52" t="s">
        <v>4951</v>
      </c>
      <c r="V52" t="str">
        <f t="shared" si="7"/>
        <v>NF/64237557_20260210_nf_01.pdf</v>
      </c>
      <c r="W52" s="32" t="str">
        <f t="shared" si="9"/>
        <v>NF - ANTÔNIO E O BOI</v>
      </c>
      <c r="X52" t="s">
        <v>5591</v>
      </c>
    </row>
    <row r="53" spans="1:24" x14ac:dyDescent="0.25">
      <c r="A53" t="str">
        <f>CONCATENATE(D53,"_",TEXT(M53,"ddmmaaaa"),"_",COUNTIF($D$2:D53,D53))</f>
        <v>032180300001-67_10022026_1</v>
      </c>
      <c r="B53" t="str">
        <f>CONCATENATE(Analise!D53,"_",COUNTIF(Analise!$D$2:D53,Analise!D53))</f>
        <v>032180300001-67_1</v>
      </c>
      <c r="C53" s="34">
        <f>COUNTIF('Obras e Acervos'!$C:$C,CONCATENATE(LEFT(D53,12),RIGHT(D53,2)))</f>
        <v>1</v>
      </c>
      <c r="D53" t="s">
        <v>5747</v>
      </c>
      <c r="E53" t="str">
        <f>VLOOKUP($B53,'Obras e Acervos'!$B:$X,3,0)</f>
        <v>DIRETA EDITORA E COMÉRCIO DE LIVROS LTDA-DIRETA EDITORA</v>
      </c>
      <c r="F53" t="str">
        <f>VLOOKUP($B53,'Obras e Acervos'!$B:$X,7,0)</f>
        <v>1081L23000020LE</v>
      </c>
      <c r="G53" t="str">
        <f>VLOOKUP($B53,'Obras e Acervos'!$B:$X,5,0)</f>
        <v>COMO SURGIU A NOITE</v>
      </c>
      <c r="H53">
        <f>VLOOKUP($B53,'Obras e Acervos'!$B:$X,18,0)</f>
        <v>12</v>
      </c>
      <c r="I53">
        <f>VLOOKUP($B53,'Obras e Acervos'!$B:$X,19,0)</f>
        <v>32766</v>
      </c>
      <c r="J53" s="42">
        <f>VLOOKUP($B53,'Obras e Acervos'!$B:$X,20,0)</f>
        <v>4587.2400000000007</v>
      </c>
      <c r="K53" s="31">
        <f>VLOOKUP($B53,'Obras e Acervos'!$B:$X,21,0)</f>
        <v>6.86</v>
      </c>
      <c r="L53" s="31">
        <f t="shared" si="3"/>
        <v>224774.76</v>
      </c>
      <c r="M53" s="1">
        <v>46063</v>
      </c>
      <c r="N53" s="1">
        <f t="shared" si="0"/>
        <v>46305</v>
      </c>
      <c r="O53">
        <f t="shared" si="4"/>
        <v>243</v>
      </c>
      <c r="P53" s="49">
        <f t="shared" si="8"/>
        <v>8.1</v>
      </c>
      <c r="Q53" s="34">
        <f>VLOOKUP($G53,Agendamento!$B:$F,5,0)</f>
        <v>4</v>
      </c>
      <c r="R53" s="36">
        <f t="shared" si="5"/>
        <v>33</v>
      </c>
      <c r="S53" s="44">
        <v>2.5499999999999998</v>
      </c>
      <c r="T53" s="44">
        <f t="shared" si="6"/>
        <v>20448.449999999997</v>
      </c>
      <c r="U53" t="s">
        <v>4948</v>
      </c>
      <c r="V53" t="str">
        <f t="shared" si="7"/>
        <v>NF/64237557_20260210_nf_02.pdf</v>
      </c>
      <c r="W53" s="32" t="str">
        <f t="shared" si="9"/>
        <v>NF - COMO SURGIU A NOITE</v>
      </c>
      <c r="X53" t="s">
        <v>5591</v>
      </c>
    </row>
    <row r="54" spans="1:24" x14ac:dyDescent="0.25">
      <c r="A54" t="str">
        <f>CONCATENATE(D54,"_",TEXT(M54,"ddmmaaaa"),"_",COUNTIF($D$2:D54,D54))</f>
        <v>181104490001-78_10022026_1</v>
      </c>
      <c r="B54" t="str">
        <f>CONCATENATE(Analise!D54,"_",COUNTIF(Analise!$D$2:D54,Analise!D54))</f>
        <v>181104490001-78_1</v>
      </c>
      <c r="C54" s="34">
        <f>COUNTIF('Obras e Acervos'!$C:$C,CONCATENATE(LEFT(D54,12),RIGHT(D54,2)))</f>
        <v>2</v>
      </c>
      <c r="D54" t="s">
        <v>4530</v>
      </c>
      <c r="E54" t="str">
        <f>VLOOKUP($B54,'Obras e Acervos'!$B:$X,3,0)</f>
        <v>ELEFANTE LETRADO SERVIÇOS EDUCACIONAIS LTDA-PLATAFORMA DE LEITURA ELEFANTE LETRADO</v>
      </c>
      <c r="F54" t="str">
        <f>VLOOKUP($B54,'Obras e Acervos'!$B:$X,7,0)</f>
        <v>1376L23000030LE</v>
      </c>
      <c r="G54" t="str">
        <f>VLOOKUP($B54,'Obras e Acervos'!$B:$X,5,0)</f>
        <v>TOM</v>
      </c>
      <c r="H54">
        <f>VLOOKUP($B54,'Obras e Acervos'!$B:$X,18,0)</f>
        <v>8</v>
      </c>
      <c r="I54">
        <f>VLOOKUP($B54,'Obras e Acervos'!$B:$X,19,0)</f>
        <v>35422</v>
      </c>
      <c r="J54" s="42">
        <f>VLOOKUP($B54,'Obras e Acervos'!$B:$X,20,0)</f>
        <v>4250.6399999999994</v>
      </c>
      <c r="K54" s="31">
        <f>VLOOKUP($B54,'Obras e Acervos'!$B:$X,21,0)</f>
        <v>6.78</v>
      </c>
      <c r="L54" s="31">
        <f t="shared" si="3"/>
        <v>240161.16</v>
      </c>
      <c r="M54" s="1">
        <v>46063</v>
      </c>
      <c r="N54" s="1">
        <f t="shared" si="0"/>
        <v>46305</v>
      </c>
      <c r="O54">
        <f t="shared" si="4"/>
        <v>243</v>
      </c>
      <c r="P54" s="49">
        <f t="shared" si="8"/>
        <v>8.1</v>
      </c>
      <c r="Q54" s="34">
        <f>VLOOKUP($G54,Agendamento!$B:$F,5,0)</f>
        <v>5</v>
      </c>
      <c r="R54" s="36">
        <f t="shared" si="5"/>
        <v>36</v>
      </c>
      <c r="S54" s="44">
        <v>2.5499999999999998</v>
      </c>
      <c r="T54" s="44">
        <f t="shared" si="6"/>
        <v>22307.399999999998</v>
      </c>
      <c r="U54" t="s">
        <v>4952</v>
      </c>
      <c r="V54" t="str">
        <f t="shared" si="7"/>
        <v>NF/64237557_20260210_nf_03.pdf</v>
      </c>
      <c r="W54" s="32" t="str">
        <f t="shared" si="9"/>
        <v>NF - TOM</v>
      </c>
      <c r="X54" t="s">
        <v>5591</v>
      </c>
    </row>
    <row r="55" spans="1:24" x14ac:dyDescent="0.25">
      <c r="A55" t="str">
        <f>CONCATENATE(D55,"_",TEXT(M55,"ddmmaaaa"),"_",COUNTIF($D$2:D55,D55))</f>
        <v>181104490001-78_10022026_2</v>
      </c>
      <c r="B55" t="str">
        <f>CONCATENATE(Analise!D55,"_",COUNTIF(Analise!$D$2:D55,Analise!D55))</f>
        <v>181104490001-78_2</v>
      </c>
      <c r="C55" s="34">
        <f>COUNTIF('Obras e Acervos'!$C:$C,CONCATENATE(LEFT(D55,12),RIGHT(D55,2)))</f>
        <v>2</v>
      </c>
      <c r="D55" t="s">
        <v>4530</v>
      </c>
      <c r="E55" t="str">
        <f>VLOOKUP($B55,'Obras e Acervos'!$B:$X,3,0)</f>
        <v>ELEFANTE LETRADO SERVIÇOS EDUCACIONAIS LTDA-PLATAFORMA DE LEITURA ELEFANTE LETRADO</v>
      </c>
      <c r="F55" t="str">
        <f>VLOOKUP($B55,'Obras e Acervos'!$B:$X,7,0)</f>
        <v>1332L23000020LE</v>
      </c>
      <c r="G55" t="str">
        <f>VLOOKUP($B55,'Obras e Acervos'!$B:$X,5,0)</f>
        <v>UM ENGARRAFAMENTO ELÉTRICO E OUTRAS HISTÓRIAS DO CLIMA</v>
      </c>
      <c r="H55">
        <f>VLOOKUP($B55,'Obras e Acervos'!$B:$X,18,0)</f>
        <v>21</v>
      </c>
      <c r="I55">
        <f>VLOOKUP($B55,'Obras e Acervos'!$B:$X,19,0)</f>
        <v>23738</v>
      </c>
      <c r="J55" s="42">
        <f>VLOOKUP($B55,'Obras e Acervos'!$B:$X,20,0)</f>
        <v>2848.56</v>
      </c>
      <c r="K55" s="31">
        <f>VLOOKUP($B55,'Obras e Acervos'!$B:$X,21,0)</f>
        <v>10.36</v>
      </c>
      <c r="L55" s="31">
        <f t="shared" si="3"/>
        <v>245925.68</v>
      </c>
      <c r="M55" s="1">
        <v>46063</v>
      </c>
      <c r="N55" s="1">
        <f t="shared" si="0"/>
        <v>46305</v>
      </c>
      <c r="O55">
        <f t="shared" si="4"/>
        <v>243</v>
      </c>
      <c r="P55" s="49">
        <f t="shared" si="8"/>
        <v>8.1</v>
      </c>
      <c r="Q55" s="34">
        <f>VLOOKUP($G55,Agendamento!$B:$F,5,0)</f>
        <v>6</v>
      </c>
      <c r="R55" s="36">
        <f t="shared" si="5"/>
        <v>24</v>
      </c>
      <c r="S55" s="44">
        <v>2.5499999999999998</v>
      </c>
      <c r="T55" s="44">
        <f t="shared" si="6"/>
        <v>14871.599999999999</v>
      </c>
      <c r="U55" t="s">
        <v>4952</v>
      </c>
      <c r="V55" t="str">
        <f t="shared" si="7"/>
        <v>NF/64237557_20260210_nf_03.pdf</v>
      </c>
      <c r="W55" s="32" t="str">
        <f t="shared" si="9"/>
        <v>NF - UM ENGARRAFAMENTO ELÉTRICO E OUTRAS HISTÓRIAS DO CLIMA</v>
      </c>
      <c r="X55" t="s">
        <v>5591</v>
      </c>
    </row>
    <row r="56" spans="1:24" x14ac:dyDescent="0.25">
      <c r="A56" t="str">
        <f>CONCATENATE(D56,"_",TEXT(M56,"ddmmaaaa"),"_",COUNTIF($D$2:D56,D56))</f>
        <v>411502030001-41_10022026_1</v>
      </c>
      <c r="B56" t="str">
        <f>CONCATENATE(Analise!D56,"_",COUNTIF(Analise!$D$2:D56,Analise!D56))</f>
        <v>411502030001-41_1</v>
      </c>
      <c r="C56" s="34">
        <f>COUNTIF('Obras e Acervos'!$C:$C,CONCATENATE(LEFT(D56,12),RIGHT(D56,2)))</f>
        <v>2</v>
      </c>
      <c r="D56" t="s">
        <v>4532</v>
      </c>
      <c r="E56" t="str">
        <f>VLOOKUP($B56,'Obras e Acervos'!$B:$X,3,0)</f>
        <v>EDITORA BOITATA LTDA-EDITORA BOITATÁ</v>
      </c>
      <c r="F56" t="str">
        <f>VLOOKUP($B56,'Obras e Acervos'!$B:$X,7,0)</f>
        <v>0419L23000030LE</v>
      </c>
      <c r="G56" t="str">
        <f>VLOOKUP($B56,'Obras e Acervos'!$B:$X,5,0)</f>
        <v>PINÓQUIO: O LIVRO DAS PEQUENAS VERDADES</v>
      </c>
      <c r="H56">
        <f>VLOOKUP($B56,'Obras e Acervos'!$B:$X,18,0)</f>
        <v>4</v>
      </c>
      <c r="I56">
        <f>VLOOKUP($B56,'Obras e Acervos'!$B:$X,19,0)</f>
        <v>45217</v>
      </c>
      <c r="J56" s="42">
        <f>VLOOKUP($B56,'Obras e Acervos'!$B:$X,20,0)</f>
        <v>4069.5299999999997</v>
      </c>
      <c r="K56" s="31">
        <f>VLOOKUP($B56,'Obras e Acervos'!$B:$X,21,0)</f>
        <v>5.84</v>
      </c>
      <c r="L56" s="31">
        <f t="shared" si="3"/>
        <v>264067.27999999997</v>
      </c>
      <c r="M56" s="1">
        <v>46063</v>
      </c>
      <c r="N56" s="1">
        <f t="shared" si="0"/>
        <v>46305</v>
      </c>
      <c r="O56">
        <f t="shared" si="4"/>
        <v>243</v>
      </c>
      <c r="P56" s="49">
        <f t="shared" si="8"/>
        <v>8.1</v>
      </c>
      <c r="Q56" s="34">
        <f>VLOOKUP($G56,Agendamento!$B:$F,5,0)</f>
        <v>7</v>
      </c>
      <c r="R56" s="36">
        <f t="shared" si="5"/>
        <v>46</v>
      </c>
      <c r="S56" s="44">
        <v>2.5499999999999998</v>
      </c>
      <c r="T56" s="44">
        <f t="shared" si="6"/>
        <v>28503.899999999998</v>
      </c>
      <c r="U56" t="s">
        <v>4955</v>
      </c>
      <c r="V56" t="str">
        <f t="shared" si="7"/>
        <v>NF/64237557_20260210_nf_04.pdf</v>
      </c>
      <c r="W56" s="32" t="str">
        <f t="shared" si="9"/>
        <v>NF - PINÓQUIO: O LIVRO DAS PEQUENAS VERDADES</v>
      </c>
      <c r="X56" t="s">
        <v>5591</v>
      </c>
    </row>
    <row r="57" spans="1:24" x14ac:dyDescent="0.25">
      <c r="A57" t="str">
        <f>CONCATENATE(D57,"_",TEXT(M57,"ddmmaaaa"),"_",COUNTIF($D$2:D57,D57))</f>
        <v>411502030001-41_10022026_2</v>
      </c>
      <c r="B57" t="str">
        <f>CONCATENATE(Analise!D57,"_",COUNTIF(Analise!$D$2:D57,Analise!D57))</f>
        <v>411502030001-41_2</v>
      </c>
      <c r="C57" s="34">
        <f>COUNTIF('Obras e Acervos'!$C:$C,CONCATENATE(LEFT(D57,12),RIGHT(D57,2)))</f>
        <v>2</v>
      </c>
      <c r="D57" t="s">
        <v>4532</v>
      </c>
      <c r="E57" t="str">
        <f>VLOOKUP($B57,'Obras e Acervos'!$B:$X,3,0)</f>
        <v>EDITORA BOITATA LTDA-EDITORA BOITATÁ</v>
      </c>
      <c r="F57" t="str">
        <f>VLOOKUP($B57,'Obras e Acervos'!$B:$X,7,0)</f>
        <v>0420L23000020LE</v>
      </c>
      <c r="G57" t="str">
        <f>VLOOKUP($B57,'Obras e Acervos'!$B:$X,5,0)</f>
        <v>O BOITATÁ E OS BOITATINHAS</v>
      </c>
      <c r="H57">
        <f>VLOOKUP($B57,'Obras e Acervos'!$B:$X,18,0)</f>
        <v>21</v>
      </c>
      <c r="I57">
        <f>VLOOKUP($B57,'Obras e Acervos'!$B:$X,19,0)</f>
        <v>30101</v>
      </c>
      <c r="J57" s="42">
        <f>VLOOKUP($B57,'Obras e Acervos'!$B:$X,20,0)</f>
        <v>3311.11</v>
      </c>
      <c r="K57" s="31">
        <f>VLOOKUP($B57,'Obras e Acervos'!$B:$X,21,0)</f>
        <v>8.32</v>
      </c>
      <c r="L57" s="31">
        <f t="shared" si="3"/>
        <v>250440.32000000001</v>
      </c>
      <c r="M57" s="1">
        <v>46063</v>
      </c>
      <c r="N57" s="1">
        <f t="shared" si="0"/>
        <v>46305</v>
      </c>
      <c r="O57">
        <f t="shared" si="4"/>
        <v>243</v>
      </c>
      <c r="P57" s="49">
        <f t="shared" si="8"/>
        <v>8.1</v>
      </c>
      <c r="Q57" s="34">
        <f>VLOOKUP($G57,Agendamento!$B:$F,5,0)</f>
        <v>6</v>
      </c>
      <c r="R57" s="36">
        <f t="shared" si="5"/>
        <v>31</v>
      </c>
      <c r="S57" s="44">
        <v>2.5499999999999998</v>
      </c>
      <c r="T57" s="44">
        <f t="shared" si="6"/>
        <v>19209.149999999998</v>
      </c>
      <c r="U57" t="s">
        <v>4955</v>
      </c>
      <c r="V57" t="str">
        <f t="shared" si="7"/>
        <v>NF/64237557_20260210_nf_04.pdf</v>
      </c>
      <c r="W57" s="32" t="str">
        <f t="shared" si="9"/>
        <v>NF - O BOITATÁ E OS BOITATINHAS</v>
      </c>
      <c r="X57" t="s">
        <v>5591</v>
      </c>
    </row>
    <row r="58" spans="1:24" x14ac:dyDescent="0.25">
      <c r="A58" t="str">
        <f>CONCATENATE(D58,"_",TEXT(M58,"ddmmaaaa"),"_",COUNTIF($D$2:D58,D58))</f>
        <v>005584580001-60_10022026_1</v>
      </c>
      <c r="B58" t="str">
        <f>CONCATENATE(Analise!D58,"_",COUNTIF(Analise!$D$2:D58,Analise!D58))</f>
        <v>005584580001-60_1</v>
      </c>
      <c r="C58" s="34">
        <f>COUNTIF('Obras e Acervos'!$C:$C,CONCATENATE(LEFT(D58,12),RIGHT(D58,2)))</f>
        <v>2</v>
      </c>
      <c r="D58" t="s">
        <v>4533</v>
      </c>
      <c r="E58" t="str">
        <f>VLOOKUP($B58,'Obras e Acervos'!$B:$X,3,0)</f>
        <v>JINKINGS EDITORES ASSOCIADOS LTDA.-BOITEMPO</v>
      </c>
      <c r="F58" t="str">
        <f>VLOOKUP($B58,'Obras e Acervos'!$B:$X,7,0)</f>
        <v>0333L23000030LE</v>
      </c>
      <c r="G58" t="str">
        <f>VLOOKUP($B58,'Obras e Acervos'!$B:$X,5,0)</f>
        <v>O URSO QUE NÃO ERA</v>
      </c>
      <c r="H58">
        <f>VLOOKUP($B58,'Obras e Acervos'!$B:$X,18,0)</f>
        <v>5</v>
      </c>
      <c r="I58">
        <f>VLOOKUP($B58,'Obras e Acervos'!$B:$X,19,0)</f>
        <v>37559</v>
      </c>
      <c r="J58" s="42">
        <f>VLOOKUP($B58,'Obras e Acervos'!$B:$X,20,0)</f>
        <v>5258.26</v>
      </c>
      <c r="K58" s="31">
        <f>VLOOKUP($B58,'Obras e Acervos'!$B:$X,21,0)</f>
        <v>8.83</v>
      </c>
      <c r="L58" s="31">
        <f t="shared" si="3"/>
        <v>331645.97000000003</v>
      </c>
      <c r="M58" s="1">
        <v>46063</v>
      </c>
      <c r="N58" s="1">
        <f t="shared" si="0"/>
        <v>46305</v>
      </c>
      <c r="O58">
        <f t="shared" si="4"/>
        <v>243</v>
      </c>
      <c r="P58" s="49">
        <f t="shared" si="8"/>
        <v>8.1</v>
      </c>
      <c r="Q58" s="34">
        <f>VLOOKUP($G58,Agendamento!$B:$F,5,0)</f>
        <v>7</v>
      </c>
      <c r="R58" s="36">
        <f t="shared" si="5"/>
        <v>38</v>
      </c>
      <c r="S58" s="44">
        <v>2.5499999999999998</v>
      </c>
      <c r="T58" s="44">
        <f t="shared" si="6"/>
        <v>23546.699999999997</v>
      </c>
      <c r="U58" t="s">
        <v>4956</v>
      </c>
      <c r="V58" t="str">
        <f t="shared" si="7"/>
        <v>NF/64237557_20260210_nf_05.pdf</v>
      </c>
      <c r="W58" s="32" t="str">
        <f t="shared" si="9"/>
        <v>NF - O URSO QUE NÃO ERA</v>
      </c>
      <c r="X58" t="s">
        <v>5591</v>
      </c>
    </row>
    <row r="59" spans="1:24" x14ac:dyDescent="0.25">
      <c r="A59" t="str">
        <f>CONCATENATE(D59,"_",TEXT(M59,"ddmmaaaa"),"_",COUNTIF($D$2:D59,D59))</f>
        <v>005584580001-60_10022026_2</v>
      </c>
      <c r="B59" t="str">
        <f>CONCATENATE(Analise!D59,"_",COUNTIF(Analise!$D$2:D59,Analise!D59))</f>
        <v>005584580001-60_2</v>
      </c>
      <c r="C59" s="34">
        <f>COUNTIF('Obras e Acervos'!$C:$C,CONCATENATE(LEFT(D59,12),RIGHT(D59,2)))</f>
        <v>2</v>
      </c>
      <c r="D59" t="s">
        <v>4533</v>
      </c>
      <c r="E59" t="str">
        <f>VLOOKUP($B59,'Obras e Acervos'!$B:$X,3,0)</f>
        <v>JINKINGS EDITORES ASSOCIADOS LTDA.-BOITEMPO</v>
      </c>
      <c r="F59" t="str">
        <f>VLOOKUP($B59,'Obras e Acervos'!$B:$X,7,0)</f>
        <v>0334L23000020LE</v>
      </c>
      <c r="G59" t="str">
        <f>VLOOKUP($B59,'Obras e Acervos'!$B:$X,5,0)</f>
        <v>O DISCO-PIZZA</v>
      </c>
      <c r="H59">
        <f>VLOOKUP($B59,'Obras e Acervos'!$B:$X,18,0)</f>
        <v>18</v>
      </c>
      <c r="I59">
        <f>VLOOKUP($B59,'Obras e Acervos'!$B:$X,19,0)</f>
        <v>23715</v>
      </c>
      <c r="J59" s="42">
        <f>VLOOKUP($B59,'Obras e Acervos'!$B:$X,20,0)</f>
        <v>1778.625</v>
      </c>
      <c r="K59" s="31">
        <f>VLOOKUP($B59,'Obras e Acervos'!$B:$X,21,0)</f>
        <v>6.59</v>
      </c>
      <c r="L59" s="31">
        <f t="shared" si="3"/>
        <v>156281.85</v>
      </c>
      <c r="M59" s="1">
        <v>46063</v>
      </c>
      <c r="N59" s="1">
        <f t="shared" si="0"/>
        <v>46305</v>
      </c>
      <c r="O59">
        <f t="shared" si="4"/>
        <v>243</v>
      </c>
      <c r="P59" s="49">
        <f t="shared" si="8"/>
        <v>8.1</v>
      </c>
      <c r="Q59" s="34">
        <f>VLOOKUP($G59,Agendamento!$B:$F,5,0)</f>
        <v>3</v>
      </c>
      <c r="R59" s="36">
        <f t="shared" si="5"/>
        <v>24</v>
      </c>
      <c r="S59" s="44">
        <v>2.5499999999999998</v>
      </c>
      <c r="T59" s="44">
        <f t="shared" si="6"/>
        <v>14871.599999999999</v>
      </c>
      <c r="U59" t="s">
        <v>4956</v>
      </c>
      <c r="V59" t="str">
        <f t="shared" si="7"/>
        <v>NF/64237557_20260210_nf_05.pdf</v>
      </c>
      <c r="W59" s="32" t="str">
        <f t="shared" si="9"/>
        <v>NF - O DISCO-PIZZA</v>
      </c>
      <c r="X59" t="s">
        <v>5591</v>
      </c>
    </row>
    <row r="60" spans="1:24" x14ac:dyDescent="0.25">
      <c r="A60" t="str">
        <f>CONCATENATE(D60,"_",TEXT(M60,"ddmmaaaa"),"_",COUNTIF($D$2:D60,D60))</f>
        <v>002986000001-88_10022026_1</v>
      </c>
      <c r="B60" t="str">
        <f>CONCATENATE(Analise!D60,"_",COUNTIF(Analise!$D$2:D60,Analise!D60)+1)</f>
        <v>002986000001-88_2</v>
      </c>
      <c r="C60" s="34">
        <f>COUNTIF('Obras e Acervos'!$C:$C,CONCATENATE(LEFT(D60,12),RIGHT(D60,2)))</f>
        <v>2</v>
      </c>
      <c r="D60" t="s">
        <v>4522</v>
      </c>
      <c r="E60" t="str">
        <f>VLOOKUP($B60,'Obras e Acervos'!$B:$X,3,0)</f>
        <v>EDITORA JPA LTDA.-</v>
      </c>
      <c r="F60" t="str">
        <f>VLOOKUP($B60,'Obras e Acervos'!$B:$X,7,0)</f>
        <v>0561L23000020LE</v>
      </c>
      <c r="G60" t="str">
        <f>VLOOKUP($B60,'Obras e Acervos'!$B:$X,5,0)</f>
        <v>QUASE DE VERDADE</v>
      </c>
      <c r="H60">
        <f>VLOOKUP($B60,'Obras e Acervos'!$B:$X,18,0)</f>
        <v>12</v>
      </c>
      <c r="I60">
        <f>VLOOKUP($B60,'Obras e Acervos'!$B:$X,19,0)</f>
        <v>32388</v>
      </c>
      <c r="J60" s="42">
        <f>VLOOKUP($B60,'Obras e Acervos'!$B:$X,20,0)</f>
        <v>4566.7079999999996</v>
      </c>
      <c r="K60" s="31">
        <f>VLOOKUP($B60,'Obras e Acervos'!$B:$X,21,0)</f>
        <v>8.25</v>
      </c>
      <c r="L60" s="31">
        <f t="shared" si="3"/>
        <v>267201</v>
      </c>
      <c r="M60" s="1">
        <v>46063</v>
      </c>
      <c r="N60" s="1">
        <f t="shared" si="0"/>
        <v>46305</v>
      </c>
      <c r="O60">
        <f t="shared" si="4"/>
        <v>243</v>
      </c>
      <c r="P60" s="49">
        <f t="shared" si="8"/>
        <v>8.1</v>
      </c>
      <c r="Q60" s="34">
        <f>VLOOKUP($G60,Agendamento!$B:$F,5,0)</f>
        <v>6</v>
      </c>
      <c r="R60" s="36">
        <f t="shared" si="5"/>
        <v>33</v>
      </c>
      <c r="S60" s="44">
        <v>2.5499999999999998</v>
      </c>
      <c r="T60" s="44">
        <f t="shared" si="6"/>
        <v>20448.449999999997</v>
      </c>
      <c r="U60" t="s">
        <v>4963</v>
      </c>
      <c r="V60" t="str">
        <f t="shared" si="7"/>
        <v>NF/64237557_20260210_nf_06.pdf</v>
      </c>
      <c r="W60" s="32" t="str">
        <f t="shared" si="9"/>
        <v>NF - QUASE DE VERDADE</v>
      </c>
      <c r="X60" t="s">
        <v>5591</v>
      </c>
    </row>
    <row r="61" spans="1:24" x14ac:dyDescent="0.25">
      <c r="A61" t="str">
        <f>CONCATENATE(D61,"_",TEXT(M61,"ddmmaaaa"),"_",COUNTIF($D$2:D61,D61))</f>
        <v>002986000001-88_10022026_2</v>
      </c>
      <c r="B61" t="str">
        <f>CONCATENATE(Analise!D61,"_",COUNTIF(Analise!$D$2:D61,Analise!D61)-1)</f>
        <v>002986000001-88_1</v>
      </c>
      <c r="C61" s="34">
        <f>COUNTIF('Obras e Acervos'!$C:$C,CONCATENATE(LEFT(D61,12),RIGHT(D61,2)))</f>
        <v>2</v>
      </c>
      <c r="D61" t="s">
        <v>4522</v>
      </c>
      <c r="E61" t="str">
        <f>VLOOKUP($B61,'Obras e Acervos'!$B:$X,3,0)</f>
        <v>EDITORA JPA LTDA.-</v>
      </c>
      <c r="F61" t="str">
        <f>VLOOKUP($B61,'Obras e Acervos'!$B:$X,7,0)</f>
        <v>0560L23000030LE</v>
      </c>
      <c r="G61" t="str">
        <f>VLOOKUP($B61,'Obras e Acervos'!$B:$X,5,0)</f>
        <v>O LIVRO DAS PALAVRAS</v>
      </c>
      <c r="H61">
        <f>VLOOKUP($B61,'Obras e Acervos'!$B:$X,18,0)</f>
        <v>9</v>
      </c>
      <c r="I61">
        <f>VLOOKUP($B61,'Obras e Acervos'!$B:$X,19,0)</f>
        <v>33552</v>
      </c>
      <c r="J61" s="42">
        <f>VLOOKUP($B61,'Obras e Acervos'!$B:$X,20,0)</f>
        <v>4093.3440000000001</v>
      </c>
      <c r="K61" s="31">
        <f>VLOOKUP($B61,'Obras e Acervos'!$B:$X,21,0)</f>
        <v>6.83</v>
      </c>
      <c r="L61" s="31">
        <f t="shared" si="3"/>
        <v>229160.16</v>
      </c>
      <c r="M61" s="1">
        <v>46063</v>
      </c>
      <c r="N61" s="1">
        <f t="shared" si="0"/>
        <v>46305</v>
      </c>
      <c r="O61">
        <f t="shared" si="4"/>
        <v>243</v>
      </c>
      <c r="P61" s="49">
        <f t="shared" si="8"/>
        <v>8.1</v>
      </c>
      <c r="Q61" s="34">
        <f>VLOOKUP($G61,Agendamento!$B:$F,5,0)</f>
        <v>5</v>
      </c>
      <c r="R61" s="36">
        <f t="shared" si="5"/>
        <v>34</v>
      </c>
      <c r="S61" s="44">
        <v>2.5499999999999998</v>
      </c>
      <c r="T61" s="44">
        <f t="shared" si="6"/>
        <v>21068.1</v>
      </c>
      <c r="U61" t="s">
        <v>4960</v>
      </c>
      <c r="V61" t="str">
        <f t="shared" si="7"/>
        <v>NF/64237557_20260210_nf_07.pdf</v>
      </c>
      <c r="W61" s="32" t="str">
        <f t="shared" si="9"/>
        <v>NF - O LIVRO DAS PALAVRAS</v>
      </c>
      <c r="X61" t="s">
        <v>5591</v>
      </c>
    </row>
    <row r="62" spans="1:24" x14ac:dyDescent="0.25">
      <c r="A62" t="str">
        <f>CONCATENATE(D62,"_",TEXT(M62,"ddmmaaaa"),"_",COUNTIF($D$2:D62,D62))</f>
        <v>279004140001-23_10022026_1</v>
      </c>
      <c r="B62" t="str">
        <f>CONCATENATE(Analise!D62,"_",COUNTIF(Analise!$D$2:D62,Analise!D62)+1)</f>
        <v>279004140001-23_2</v>
      </c>
      <c r="C62" s="34">
        <f>COUNTIF('Obras e Acervos'!$C:$C,CONCATENATE(LEFT(D62,12),RIGHT(D62,2)))</f>
        <v>2</v>
      </c>
      <c r="D62" t="s">
        <v>4523</v>
      </c>
      <c r="E62" t="str">
        <f>VLOOKUP($B62,'Obras e Acervos'!$B:$X,3,0)</f>
        <v>SOCIEDADE LITERÁRIA EDIÇÕES E EMPRENDIMENTOS LTDA.-</v>
      </c>
      <c r="F62" t="str">
        <f>VLOOKUP($B62,'Obras e Acervos'!$B:$X,7,0)</f>
        <v>0550L23000020LE</v>
      </c>
      <c r="G62" t="str">
        <f>VLOOKUP($B62,'Obras e Acervos'!$B:$X,5,0)</f>
        <v>O DIA MAIS FRIO DO ANO</v>
      </c>
      <c r="H62">
        <f>VLOOKUP($B62,'Obras e Acervos'!$B:$X,18,0)</f>
        <v>14</v>
      </c>
      <c r="I62">
        <f>VLOOKUP($B62,'Obras e Acervos'!$B:$X,19,0)</f>
        <v>27106</v>
      </c>
      <c r="J62" s="42">
        <f>VLOOKUP($B62,'Obras e Acervos'!$B:$X,20,0)</f>
        <v>3821.9459999999995</v>
      </c>
      <c r="K62" s="31">
        <f>VLOOKUP($B62,'Obras e Acervos'!$B:$X,21,0)</f>
        <v>8.2899999999999991</v>
      </c>
      <c r="L62" s="31">
        <f t="shared" si="3"/>
        <v>224708.74</v>
      </c>
      <c r="M62" s="1">
        <v>46063</v>
      </c>
      <c r="N62" s="1">
        <f t="shared" si="0"/>
        <v>46305</v>
      </c>
      <c r="O62">
        <f t="shared" si="4"/>
        <v>243</v>
      </c>
      <c r="P62" s="49">
        <f t="shared" si="8"/>
        <v>8.1</v>
      </c>
      <c r="Q62" s="34">
        <f>VLOOKUP($G62,Agendamento!$B:$F,5,0)</f>
        <v>5</v>
      </c>
      <c r="R62" s="36">
        <f t="shared" si="5"/>
        <v>28</v>
      </c>
      <c r="S62" s="44">
        <v>2.5499999999999998</v>
      </c>
      <c r="T62" s="44">
        <f t="shared" si="6"/>
        <v>17350.199999999997</v>
      </c>
      <c r="U62" t="s">
        <v>4969</v>
      </c>
      <c r="V62" t="str">
        <f t="shared" si="7"/>
        <v>NF/64237557_20260210_nf_08.pdf</v>
      </c>
      <c r="W62" s="32" t="str">
        <f t="shared" si="9"/>
        <v>NF - O DIA MAIS FRIO DO ANO</v>
      </c>
      <c r="X62" t="s">
        <v>5591</v>
      </c>
    </row>
    <row r="63" spans="1:24" x14ac:dyDescent="0.25">
      <c r="A63" t="str">
        <f>CONCATENATE(D63,"_",TEXT(M63,"ddmmaaaa"),"_",COUNTIF($D$2:D63,D63))</f>
        <v>279004140001-23_10022026_2</v>
      </c>
      <c r="B63" t="str">
        <f>CONCATENATE(Analise!D63,"_",COUNTIF(Analise!$D$2:D63,Analise!D63)-1)</f>
        <v>279004140001-23_1</v>
      </c>
      <c r="C63" s="34">
        <f>COUNTIF('Obras e Acervos'!$C:$C,CONCATENATE(LEFT(D63,12),RIGHT(D63,2)))</f>
        <v>2</v>
      </c>
      <c r="D63" t="s">
        <v>4523</v>
      </c>
      <c r="E63" t="str">
        <f>VLOOKUP($B63,'Obras e Acervos'!$B:$X,3,0)</f>
        <v>SOCIEDADE LITERÁRIA EDIÇÕES E EMPRENDIMENTOS LTDA.-</v>
      </c>
      <c r="F63" t="str">
        <f>VLOOKUP($B63,'Obras e Acervos'!$B:$X,7,0)</f>
        <v>0549L23000030LE</v>
      </c>
      <c r="G63" t="str">
        <f>VLOOKUP($B63,'Obras e Acervos'!$B:$X,5,0)</f>
        <v>FESTA NO CÉU</v>
      </c>
      <c r="H63">
        <f>VLOOKUP($B63,'Obras e Acervos'!$B:$X,18,0)</f>
        <v>10</v>
      </c>
      <c r="I63">
        <f>VLOOKUP($B63,'Obras e Acervos'!$B:$X,19,0)</f>
        <v>36131</v>
      </c>
      <c r="J63" s="42">
        <f>VLOOKUP($B63,'Obras e Acervos'!$B:$X,20,0)</f>
        <v>3721.4929999999999</v>
      </c>
      <c r="K63" s="31">
        <f>VLOOKUP($B63,'Obras e Acervos'!$B:$X,21,0)</f>
        <v>5.87</v>
      </c>
      <c r="L63" s="31">
        <f t="shared" si="3"/>
        <v>212088.97</v>
      </c>
      <c r="M63" s="1">
        <v>46063</v>
      </c>
      <c r="N63" s="1">
        <f t="shared" si="0"/>
        <v>46305</v>
      </c>
      <c r="O63">
        <f t="shared" si="4"/>
        <v>243</v>
      </c>
      <c r="P63" s="49">
        <f t="shared" si="8"/>
        <v>8.1</v>
      </c>
      <c r="Q63" s="34">
        <f>VLOOKUP($G63,Agendamento!$B:$F,5,0)</f>
        <v>5</v>
      </c>
      <c r="R63" s="36">
        <f t="shared" si="5"/>
        <v>37</v>
      </c>
      <c r="S63" s="44">
        <v>2.5499999999999998</v>
      </c>
      <c r="T63" s="44">
        <f t="shared" si="6"/>
        <v>22927.05</v>
      </c>
      <c r="U63" t="s">
        <v>4967</v>
      </c>
      <c r="V63" t="str">
        <f t="shared" si="7"/>
        <v>NF/64237557_20260210_nf_09.pdf</v>
      </c>
      <c r="W63" s="32" t="str">
        <f t="shared" si="9"/>
        <v>NF - FESTA NO CÉU</v>
      </c>
      <c r="X63" t="s">
        <v>5591</v>
      </c>
    </row>
    <row r="64" spans="1:24" x14ac:dyDescent="0.25">
      <c r="A64" t="str">
        <f>CONCATENATE(D64,"_",TEXT(M64,"ddmmaaaa"),"_",COUNTIF($D$2:D64,D64))</f>
        <v>093234310001-63_10022026_1</v>
      </c>
      <c r="B64" t="str">
        <f>CONCATENATE(Analise!D64,"_",COUNTIF(Analise!$D$2:D64,Analise!D64))</f>
        <v>093234310001-63_1</v>
      </c>
      <c r="C64" s="34">
        <f>COUNTIF('Obras e Acervos'!$C:$C,CONCATENATE(LEFT(D64,12),RIGHT(D64,2)))</f>
        <v>1</v>
      </c>
      <c r="D64" t="s">
        <v>4524</v>
      </c>
      <c r="E64" t="str">
        <f>VLOOKUP($B64,'Obras e Acervos'!$B:$X,3,0)</f>
        <v>EDITORA PRUMO LTDA.-</v>
      </c>
      <c r="F64" t="str">
        <f>VLOOKUP($B64,'Obras e Acervos'!$B:$X,7,0)</f>
        <v>0570L23000030LE</v>
      </c>
      <c r="G64" t="str">
        <f>VLOOKUP($B64,'Obras e Acervos'!$B:$X,5,0)</f>
        <v>DE OLHO NO OLHO</v>
      </c>
      <c r="H64">
        <f>VLOOKUP($B64,'Obras e Acervos'!$B:$X,18,0)</f>
        <v>7</v>
      </c>
      <c r="I64">
        <f>VLOOKUP($B64,'Obras e Acervos'!$B:$X,19,0)</f>
        <v>33116</v>
      </c>
      <c r="J64" s="42">
        <f>VLOOKUP($B64,'Obras e Acervos'!$B:$X,20,0)</f>
        <v>1390.8720000000001</v>
      </c>
      <c r="K64" s="31">
        <f>VLOOKUP($B64,'Obras e Acervos'!$B:$X,21,0)</f>
        <v>5.07</v>
      </c>
      <c r="L64" s="31">
        <f t="shared" si="3"/>
        <v>167898.12</v>
      </c>
      <c r="M64" s="1">
        <v>46063</v>
      </c>
      <c r="N64" s="1">
        <f t="shared" si="0"/>
        <v>46305</v>
      </c>
      <c r="O64">
        <f t="shared" si="4"/>
        <v>243</v>
      </c>
      <c r="P64" s="49">
        <f t="shared" si="8"/>
        <v>8.1</v>
      </c>
      <c r="Q64" s="34">
        <f>VLOOKUP($G64,Agendamento!$B:$F,5,0)</f>
        <v>4</v>
      </c>
      <c r="R64" s="36">
        <f t="shared" si="5"/>
        <v>34</v>
      </c>
      <c r="S64" s="44">
        <v>2.5499999999999998</v>
      </c>
      <c r="T64" s="44">
        <f t="shared" si="6"/>
        <v>21068.1</v>
      </c>
      <c r="U64" t="s">
        <v>4958</v>
      </c>
      <c r="V64" t="str">
        <f t="shared" si="7"/>
        <v>NF/64237557_20260210_nf_12.pdf</v>
      </c>
      <c r="W64" s="32" t="str">
        <f t="shared" si="9"/>
        <v>NF - DE OLHO NO OLHO</v>
      </c>
      <c r="X64" t="s">
        <v>5591</v>
      </c>
    </row>
    <row r="65" spans="1:24" x14ac:dyDescent="0.25">
      <c r="A65" t="str">
        <f>CONCATENATE(D65,"_",TEXT(M65,"ddmmaaaa"),"_",COUNTIF($D$2:D65,D65))</f>
        <v>051369630001-30_10022026_1</v>
      </c>
      <c r="B65" t="str">
        <f>CONCATENATE(Analise!D65,"_",COUNTIF(Analise!$D$2:D65,Analise!D65)+1)</f>
        <v>051369630001-30_2</v>
      </c>
      <c r="C65" s="34">
        <f>COUNTIF('Obras e Acervos'!$C:$C,CONCATENATE(LEFT(D65,12),RIGHT(D65,2)))</f>
        <v>2</v>
      </c>
      <c r="D65" t="s">
        <v>4525</v>
      </c>
      <c r="E65" t="str">
        <f>VLOOKUP($B65,'Obras e Acervos'!$B:$X,3,0)</f>
        <v>EDITORA LENDO E APRENDENDO LTDA.-</v>
      </c>
      <c r="F65" t="str">
        <f>VLOOKUP($B65,'Obras e Acervos'!$B:$X,7,0)</f>
        <v>0544L23000020LE</v>
      </c>
      <c r="G65" t="str">
        <f>VLOOKUP($B65,'Obras e Acervos'!$B:$X,5,0)</f>
        <v>AS AVENTURAS DE MU: UM EXTRATERRESTRE NA ESCOLA!</v>
      </c>
      <c r="H65">
        <f>VLOOKUP($B65,'Obras e Acervos'!$B:$X,18,0)</f>
        <v>17</v>
      </c>
      <c r="I65">
        <f>VLOOKUP($B65,'Obras e Acervos'!$B:$X,19,0)</f>
        <v>30686</v>
      </c>
      <c r="J65" s="42">
        <f>VLOOKUP($B65,'Obras e Acervos'!$B:$X,20,0)</f>
        <v>3743.692</v>
      </c>
      <c r="K65" s="31">
        <f>VLOOKUP($B65,'Obras e Acervos'!$B:$X,21,0)</f>
        <v>7.35</v>
      </c>
      <c r="L65" s="31">
        <f t="shared" si="3"/>
        <v>225542.09999999998</v>
      </c>
      <c r="M65" s="1">
        <v>46063</v>
      </c>
      <c r="N65" s="1">
        <f t="shared" si="0"/>
        <v>46305</v>
      </c>
      <c r="O65">
        <f t="shared" si="4"/>
        <v>243</v>
      </c>
      <c r="P65" s="49">
        <f t="shared" si="8"/>
        <v>8.1</v>
      </c>
      <c r="Q65" s="34">
        <f>VLOOKUP($G65,Agendamento!$B:$F,5,0)</f>
        <v>5</v>
      </c>
      <c r="R65" s="36">
        <f t="shared" si="5"/>
        <v>31</v>
      </c>
      <c r="S65" s="44">
        <v>2.5499999999999998</v>
      </c>
      <c r="T65" s="44">
        <f t="shared" si="6"/>
        <v>19209.149999999998</v>
      </c>
      <c r="U65" t="s">
        <v>4962</v>
      </c>
      <c r="V65" t="str">
        <f t="shared" si="7"/>
        <v>NF/64237557_20260210_nf_13.pdf</v>
      </c>
      <c r="W65" s="32" t="str">
        <f t="shared" si="9"/>
        <v>NF - AS AVENTURAS DE MU: UM EXTRATERRESTRE NA ESCOLA!</v>
      </c>
      <c r="X65" t="s">
        <v>5591</v>
      </c>
    </row>
    <row r="66" spans="1:24" x14ac:dyDescent="0.25">
      <c r="A66" t="str">
        <f>CONCATENATE(D66,"_",TEXT(M66,"ddmmaaaa"),"_",COUNTIF($D$2:D66,D66))</f>
        <v>051369630001-30_10022026_2</v>
      </c>
      <c r="B66" t="str">
        <f>CONCATENATE(Analise!D66,"_",COUNTIF(Analise!$D$2:D66,Analise!D66)-1)</f>
        <v>051369630001-30_1</v>
      </c>
      <c r="C66" s="34">
        <f>COUNTIF('Obras e Acervos'!$C:$C,CONCATENATE(LEFT(D66,12),RIGHT(D66,2)))</f>
        <v>2</v>
      </c>
      <c r="D66" t="s">
        <v>4525</v>
      </c>
      <c r="E66" t="str">
        <f>VLOOKUP($B66,'Obras e Acervos'!$B:$X,3,0)</f>
        <v>EDITORA LENDO E APRENDENDO LTDA.-</v>
      </c>
      <c r="F66" t="str">
        <f>VLOOKUP($B66,'Obras e Acervos'!$B:$X,7,0)</f>
        <v>0543L23000030LE</v>
      </c>
      <c r="G66" t="str">
        <f>VLOOKUP($B66,'Obras e Acervos'!$B:$X,5,0)</f>
        <v>A MENINA DE NOME ENFEITADO</v>
      </c>
      <c r="H66">
        <f>VLOOKUP($B66,'Obras e Acervos'!$B:$X,18,0)</f>
        <v>1</v>
      </c>
      <c r="I66">
        <f>VLOOKUP($B66,'Obras e Acervos'!$B:$X,19,0)</f>
        <v>58488</v>
      </c>
      <c r="J66" s="42">
        <f>VLOOKUP($B66,'Obras e Acervos'!$B:$X,20,0)</f>
        <v>6024.2639999999992</v>
      </c>
      <c r="K66" s="31">
        <f>VLOOKUP($B66,'Obras e Acervos'!$B:$X,21,0)</f>
        <v>4.54</v>
      </c>
      <c r="L66" s="31">
        <f t="shared" si="3"/>
        <v>265535.52</v>
      </c>
      <c r="M66" s="1">
        <v>46063</v>
      </c>
      <c r="N66" s="1">
        <f t="shared" ref="N66:N129" si="10">$AB$2</f>
        <v>46305</v>
      </c>
      <c r="O66">
        <f t="shared" si="4"/>
        <v>243</v>
      </c>
      <c r="P66" s="49">
        <f t="shared" ref="P66:P97" si="11">O66/30</f>
        <v>8.1</v>
      </c>
      <c r="Q66" s="34">
        <f>VLOOKUP($G66,Agendamento!$B:$F,5,0)</f>
        <v>8</v>
      </c>
      <c r="R66" s="36">
        <f t="shared" si="5"/>
        <v>59</v>
      </c>
      <c r="S66" s="44">
        <v>2.5499999999999998</v>
      </c>
      <c r="T66" s="44">
        <f t="shared" si="6"/>
        <v>36559.35</v>
      </c>
      <c r="U66" t="s">
        <v>4968</v>
      </c>
      <c r="V66" t="str">
        <f t="shared" si="7"/>
        <v>NF/64237557_20260210_nf_14.pdf</v>
      </c>
      <c r="W66" s="32" t="str">
        <f t="shared" ref="W66:W97" si="12">HYPERLINK(CONCATENATE("saida/",U66),CONCATENATE("NF - ",G66))</f>
        <v>NF - A MENINA DE NOME ENFEITADO</v>
      </c>
      <c r="X66" t="s">
        <v>5591</v>
      </c>
    </row>
    <row r="67" spans="1:24" x14ac:dyDescent="0.25">
      <c r="A67" t="str">
        <f>CONCATENATE(D67,"_",TEXT(M67,"ddmmaaaa"),"_",COUNTIF($D$2:D67,D67))</f>
        <v>299841480001-90_10022026_1</v>
      </c>
      <c r="B67" t="str">
        <f>CONCATENATE(Analise!D67,"_",COUNTIF(Analise!$D$2:D67,Analise!D67))</f>
        <v>299841480001-90_1</v>
      </c>
      <c r="C67" s="34">
        <f>COUNTIF('Obras e Acervos'!$C:$C,CONCATENATE(LEFT(D67,12),RIGHT(D67,2)))</f>
        <v>2</v>
      </c>
      <c r="D67" t="s">
        <v>4538</v>
      </c>
      <c r="E67" t="str">
        <f>VLOOKUP($B67,'Obras e Acervos'!$B:$X,3,0)</f>
        <v>MLT PARTICIPAÇÕES SOCIETÁRIAS LTDA-EDITORA MLT</v>
      </c>
      <c r="F67" t="str">
        <f>VLOOKUP($B67,'Obras e Acervos'!$B:$X,7,0)</f>
        <v>0906L23000030LE</v>
      </c>
      <c r="G67" t="str">
        <f>VLOOKUP($B67,'Obras e Acervos'!$B:$X,5,0)</f>
        <v>OS CAMUNDONGOS E O SAGUI</v>
      </c>
      <c r="H67">
        <f>VLOOKUP($B67,'Obras e Acervos'!$B:$X,18,0)</f>
        <v>5</v>
      </c>
      <c r="I67">
        <f>VLOOKUP($B67,'Obras e Acervos'!$B:$X,19,0)</f>
        <v>37438</v>
      </c>
      <c r="J67" s="42">
        <f>VLOOKUP($B67,'Obras e Acervos'!$B:$X,20,0)</f>
        <v>3182.23</v>
      </c>
      <c r="K67" s="31">
        <f>VLOOKUP($B67,'Obras e Acervos'!$B:$X,21,0)</f>
        <v>5.19</v>
      </c>
      <c r="L67" s="31">
        <f t="shared" ref="L67:L130" si="13">K67*I67</f>
        <v>194303.22</v>
      </c>
      <c r="M67" s="1">
        <v>46063</v>
      </c>
      <c r="N67" s="1">
        <f t="shared" si="10"/>
        <v>46305</v>
      </c>
      <c r="O67">
        <f t="shared" ref="O67:O130" si="14">IF(M67="",0,(N67-M67)+1)</f>
        <v>243</v>
      </c>
      <c r="P67" s="49">
        <f t="shared" si="11"/>
        <v>8.1</v>
      </c>
      <c r="Q67" s="34">
        <f>VLOOKUP($G67,Agendamento!$B:$F,5,0)</f>
        <v>5</v>
      </c>
      <c r="R67" s="36">
        <f t="shared" ref="R67:R130" si="15">IF(U67="",0,ROUNDUP($I67/1000,0))</f>
        <v>38</v>
      </c>
      <c r="S67" s="44">
        <v>2.5499999999999998</v>
      </c>
      <c r="T67" s="44">
        <f t="shared" ref="T67:T130" si="16">O67*R67*S67</f>
        <v>23546.699999999997</v>
      </c>
      <c r="U67" t="s">
        <v>4970</v>
      </c>
      <c r="V67" t="str">
        <f t="shared" ref="V67:V130" si="17">CONCATENATE("NF/",U67)</f>
        <v>NF/64237557_20260210_nf_15.pdf</v>
      </c>
      <c r="W67" s="32" t="str">
        <f t="shared" si="12"/>
        <v>NF - OS CAMUNDONGOS E O SAGUI</v>
      </c>
      <c r="X67" t="s">
        <v>5591</v>
      </c>
    </row>
    <row r="68" spans="1:24" x14ac:dyDescent="0.25">
      <c r="A68" t="str">
        <f>CONCATENATE(D68,"_",TEXT(M68,"ddmmaaaa"),"_",COUNTIF($D$2:D68,D68))</f>
        <v>299841480001-90_10022026_2</v>
      </c>
      <c r="B68" t="str">
        <f>CONCATENATE(Analise!D68,"_",COUNTIF(Analise!$D$2:D68,Analise!D68))</f>
        <v>299841480001-90_2</v>
      </c>
      <c r="C68" s="34">
        <f>COUNTIF('Obras e Acervos'!$C:$C,CONCATENATE(LEFT(D68,12),RIGHT(D68,2)))</f>
        <v>2</v>
      </c>
      <c r="D68" t="s">
        <v>4538</v>
      </c>
      <c r="E68" t="str">
        <f>VLOOKUP($B68,'Obras e Acervos'!$B:$X,3,0)</f>
        <v>MLT PARTICIPAÇÕES SOCIETÁRIAS LTDA-EDITORA MLT</v>
      </c>
      <c r="F68" t="str">
        <f>VLOOKUP($B68,'Obras e Acervos'!$B:$X,7,0)</f>
        <v>0907L23000020LE</v>
      </c>
      <c r="G68" t="str">
        <f>VLOOKUP($B68,'Obras e Acervos'!$B:$X,5,0)</f>
        <v>CAPA DE CAPIM DOURADO E OUTROS CONTOS DE FADAS</v>
      </c>
      <c r="H68">
        <f>VLOOKUP($B68,'Obras e Acervos'!$B:$X,18,0)</f>
        <v>16</v>
      </c>
      <c r="I68">
        <f>VLOOKUP($B68,'Obras e Acervos'!$B:$X,19,0)</f>
        <v>30939</v>
      </c>
      <c r="J68" s="42">
        <f>VLOOKUP($B68,'Obras e Acervos'!$B:$X,20,0)</f>
        <v>5816.5320000000002</v>
      </c>
      <c r="K68" s="31">
        <f>VLOOKUP($B68,'Obras e Acervos'!$B:$X,21,0)</f>
        <v>9.24</v>
      </c>
      <c r="L68" s="31">
        <f t="shared" si="13"/>
        <v>285876.36</v>
      </c>
      <c r="M68" s="1">
        <v>46063</v>
      </c>
      <c r="N68" s="1">
        <f t="shared" si="10"/>
        <v>46305</v>
      </c>
      <c r="O68">
        <f t="shared" si="14"/>
        <v>243</v>
      </c>
      <c r="P68" s="49">
        <f t="shared" si="11"/>
        <v>8.1</v>
      </c>
      <c r="Q68" s="34">
        <f>VLOOKUP($G68,Agendamento!$B:$F,5,0)</f>
        <v>6</v>
      </c>
      <c r="R68" s="36">
        <f t="shared" si="15"/>
        <v>31</v>
      </c>
      <c r="S68" s="44">
        <v>2.5499999999999998</v>
      </c>
      <c r="T68" s="44">
        <f t="shared" si="16"/>
        <v>19209.149999999998</v>
      </c>
      <c r="U68" t="s">
        <v>4970</v>
      </c>
      <c r="V68" t="str">
        <f t="shared" si="17"/>
        <v>NF/64237557_20260210_nf_15.pdf</v>
      </c>
      <c r="W68" s="32" t="str">
        <f t="shared" si="12"/>
        <v>NF - CAPA DE CAPIM DOURADO E OUTROS CONTOS DE FADAS</v>
      </c>
      <c r="X68" t="s">
        <v>5591</v>
      </c>
    </row>
    <row r="69" spans="1:24" x14ac:dyDescent="0.25">
      <c r="A69" t="str">
        <f>CONCATENATE(D69,"_",TEXT(M69,"ddmmaaaa"),"_",COUNTIF($D$2:D69,D69))</f>
        <v>001196970001-14_10022026_1</v>
      </c>
      <c r="B69" t="str">
        <f>CONCATENATE(Analise!D69,"_",COUNTIF(Analise!$D$2:D69,Analise!D69))</f>
        <v>001196970001-14_1</v>
      </c>
      <c r="C69" s="34">
        <f>COUNTIF('Obras e Acervos'!$C:$C,CONCATENATE(LEFT(D69,12),RIGHT(D69,2)))</f>
        <v>2</v>
      </c>
      <c r="D69" t="s">
        <v>4536</v>
      </c>
      <c r="E69" t="str">
        <f>VLOOKUP($B69,'Obras e Acervos'!$B:$X,3,0)</f>
        <v>LEXIKON EDITORA DIGITAL LTDA-LEXIKON</v>
      </c>
      <c r="F69" t="str">
        <f>VLOOKUP($B69,'Obras e Acervos'!$B:$X,7,0)</f>
        <v>0876L23000030LE</v>
      </c>
      <c r="G69" t="str">
        <f>VLOOKUP($B69,'Obras e Acervos'!$B:$X,5,0)</f>
        <v>O SÁBIO SABE TUDO?</v>
      </c>
      <c r="H69">
        <f>VLOOKUP($B69,'Obras e Acervos'!$B:$X,18,0)</f>
        <v>6</v>
      </c>
      <c r="I69">
        <f>VLOOKUP($B69,'Obras e Acervos'!$B:$X,19,0)</f>
        <v>37023</v>
      </c>
      <c r="J69" s="42">
        <f>VLOOKUP($B69,'Obras e Acervos'!$B:$X,20,0)</f>
        <v>3813.3689999999997</v>
      </c>
      <c r="K69" s="31">
        <f>VLOOKUP($B69,'Obras e Acervos'!$B:$X,21,0)</f>
        <v>5.84</v>
      </c>
      <c r="L69" s="31">
        <f t="shared" si="13"/>
        <v>216214.32</v>
      </c>
      <c r="M69" s="1">
        <v>46063</v>
      </c>
      <c r="N69" s="1">
        <f t="shared" si="10"/>
        <v>46305</v>
      </c>
      <c r="O69">
        <f t="shared" si="14"/>
        <v>243</v>
      </c>
      <c r="P69" s="49">
        <f t="shared" si="11"/>
        <v>8.1</v>
      </c>
      <c r="Q69" s="34">
        <f>VLOOKUP($G69,Agendamento!$B:$F,5,0)</f>
        <v>5</v>
      </c>
      <c r="R69" s="36">
        <f t="shared" si="15"/>
        <v>38</v>
      </c>
      <c r="S69" s="44">
        <v>2.5499999999999998</v>
      </c>
      <c r="T69" s="44">
        <f t="shared" si="16"/>
        <v>23546.699999999997</v>
      </c>
      <c r="U69" t="s">
        <v>4964</v>
      </c>
      <c r="V69" t="str">
        <f t="shared" si="17"/>
        <v>NF/64237557_20260210_nf_16.pdf</v>
      </c>
      <c r="W69" s="32" t="str">
        <f t="shared" si="12"/>
        <v>NF - O SÁBIO SABE TUDO?</v>
      </c>
      <c r="X69" t="s">
        <v>5591</v>
      </c>
    </row>
    <row r="70" spans="1:24" x14ac:dyDescent="0.25">
      <c r="A70" t="str">
        <f>CONCATENATE(D70,"_",TEXT(M70,"ddmmaaaa"),"_",COUNTIF($D$2:D70,D70))</f>
        <v>001196970001-14_10022026_2</v>
      </c>
      <c r="B70" t="str">
        <f>CONCATENATE(Analise!D70,"_",COUNTIF(Analise!$D$2:D70,Analise!D70))</f>
        <v>001196970001-14_2</v>
      </c>
      <c r="C70" s="34">
        <f>COUNTIF('Obras e Acervos'!$C:$C,CONCATENATE(LEFT(D70,12),RIGHT(D70,2)))</f>
        <v>2</v>
      </c>
      <c r="D70" t="s">
        <v>4536</v>
      </c>
      <c r="E70" t="str">
        <f>VLOOKUP($B70,'Obras e Acervos'!$B:$X,3,0)</f>
        <v>LEXIKON EDITORA DIGITAL LTDA-LEXIKON</v>
      </c>
      <c r="F70" t="str">
        <f>VLOOKUP($B70,'Obras e Acervos'!$B:$X,7,0)</f>
        <v>0877L23000020LE</v>
      </c>
      <c r="G70" t="str">
        <f>VLOOKUP($B70,'Obras e Acervos'!$B:$X,5,0)</f>
        <v>O PEQUENO DESENHISTA</v>
      </c>
      <c r="H70">
        <f>VLOOKUP($B70,'Obras e Acervos'!$B:$X,18,0)</f>
        <v>12</v>
      </c>
      <c r="I70">
        <f>VLOOKUP($B70,'Obras e Acervos'!$B:$X,19,0)</f>
        <v>31706</v>
      </c>
      <c r="J70" s="42">
        <f>VLOOKUP($B70,'Obras e Acervos'!$B:$X,20,0)</f>
        <v>3265.7179999999998</v>
      </c>
      <c r="K70" s="31">
        <f>VLOOKUP($B70,'Obras e Acervos'!$B:$X,21,0)</f>
        <v>6.37</v>
      </c>
      <c r="L70" s="31">
        <f t="shared" si="13"/>
        <v>201967.22</v>
      </c>
      <c r="M70" s="1">
        <v>46063</v>
      </c>
      <c r="N70" s="1">
        <f t="shared" si="10"/>
        <v>46305</v>
      </c>
      <c r="O70">
        <f t="shared" si="14"/>
        <v>243</v>
      </c>
      <c r="P70" s="49">
        <f t="shared" si="11"/>
        <v>8.1</v>
      </c>
      <c r="Q70" s="34">
        <f>VLOOKUP($G70,Agendamento!$B:$F,5,0)</f>
        <v>4</v>
      </c>
      <c r="R70" s="36">
        <f t="shared" si="15"/>
        <v>32</v>
      </c>
      <c r="S70" s="44">
        <v>2.5499999999999998</v>
      </c>
      <c r="T70" s="44">
        <f t="shared" si="16"/>
        <v>19828.8</v>
      </c>
      <c r="U70" t="s">
        <v>4964</v>
      </c>
      <c r="V70" t="str">
        <f t="shared" si="17"/>
        <v>NF/64237557_20260210_nf_16.pdf</v>
      </c>
      <c r="W70" s="32" t="str">
        <f t="shared" si="12"/>
        <v>NF - O PEQUENO DESENHISTA</v>
      </c>
      <c r="X70" t="s">
        <v>5591</v>
      </c>
    </row>
    <row r="71" spans="1:24" x14ac:dyDescent="0.25">
      <c r="A71" t="str">
        <f>CONCATENATE(D71,"_",TEXT(M71,"ddmmaaaa"),"_",COUNTIF($D$2:D71,D71))</f>
        <v>039872280001-05_10022026_1</v>
      </c>
      <c r="B71" t="str">
        <f>CONCATENATE(Analise!D71,"_",COUNTIF(Analise!$D$2:D71,Analise!D71))</f>
        <v>039872280001-05_1</v>
      </c>
      <c r="C71" s="34">
        <f>COUNTIF('Obras e Acervos'!$C:$C,CONCATENATE(LEFT(D71,12),RIGHT(D71,2)))</f>
        <v>2</v>
      </c>
      <c r="D71" t="s">
        <v>4531</v>
      </c>
      <c r="E71" t="str">
        <f>VLOOKUP($B71,'Obras e Acervos'!$B:$X,3,0)</f>
        <v>PONTES LIVROS EIRELI -PONTES LIVROS</v>
      </c>
      <c r="F71" t="str">
        <f>VLOOKUP($B71,'Obras e Acervos'!$B:$X,7,0)</f>
        <v>0507L23000030LE</v>
      </c>
      <c r="G71" t="str">
        <f>VLOOKUP($B71,'Obras e Acervos'!$B:$X,5,0)</f>
        <v>É HORA DE SENTIR</v>
      </c>
      <c r="H71">
        <f>VLOOKUP($B71,'Obras e Acervos'!$B:$X,18,0)</f>
        <v>9</v>
      </c>
      <c r="I71">
        <f>VLOOKUP($B71,'Obras e Acervos'!$B:$X,19,0)</f>
        <v>36052</v>
      </c>
      <c r="J71" s="42">
        <f>VLOOKUP($B71,'Obras e Acervos'!$B:$X,20,0)</f>
        <v>2703.9</v>
      </c>
      <c r="K71" s="31">
        <f>VLOOKUP($B71,'Obras e Acervos'!$B:$X,21,0)</f>
        <v>5.87</v>
      </c>
      <c r="L71" s="31">
        <f t="shared" si="13"/>
        <v>211625.24</v>
      </c>
      <c r="M71" s="1">
        <v>46063</v>
      </c>
      <c r="N71" s="1">
        <f t="shared" si="10"/>
        <v>46305</v>
      </c>
      <c r="O71">
        <f t="shared" si="14"/>
        <v>243</v>
      </c>
      <c r="P71" s="49">
        <f t="shared" si="11"/>
        <v>8.1</v>
      </c>
      <c r="Q71" s="34">
        <f>VLOOKUP($G71,Agendamento!$B:$F,5,0)</f>
        <v>6</v>
      </c>
      <c r="R71" s="36">
        <f t="shared" si="15"/>
        <v>37</v>
      </c>
      <c r="S71" s="44">
        <v>2.5499999999999998</v>
      </c>
      <c r="T71" s="44">
        <f t="shared" si="16"/>
        <v>22927.05</v>
      </c>
      <c r="U71" t="s">
        <v>4953</v>
      </c>
      <c r="V71" t="str">
        <f t="shared" si="17"/>
        <v>NF/64237557_20260210_nf_17.pdf</v>
      </c>
      <c r="W71" s="32" t="str">
        <f t="shared" si="12"/>
        <v>NF - É HORA DE SENTIR</v>
      </c>
      <c r="X71" t="s">
        <v>5591</v>
      </c>
    </row>
    <row r="72" spans="1:24" x14ac:dyDescent="0.25">
      <c r="A72" t="str">
        <f>CONCATENATE(D72,"_",TEXT(M72,"ddmmaaaa"),"_",COUNTIF($D$2:D72,D72))</f>
        <v>438850670001-63_10022026_1</v>
      </c>
      <c r="B72" t="str">
        <f>CONCATENATE(Analise!D72,"_",COUNTIF(Analise!$D$2:D72,Analise!D72)+1)</f>
        <v>438850670001-63_2</v>
      </c>
      <c r="C72" s="34">
        <f>COUNTIF('Obras e Acervos'!$C:$C,CONCATENATE(LEFT(D72,12),RIGHT(D72,2)))</f>
        <v>2</v>
      </c>
      <c r="D72" t="s">
        <v>4537</v>
      </c>
      <c r="E72" t="str">
        <f>VLOOKUP($B72,'Obras e Acervos'!$B:$X,3,0)</f>
        <v>EDITORA BIJU LTDA-BIJU</v>
      </c>
      <c r="F72" t="str">
        <f>VLOOKUP($B72,'Obras e Acervos'!$B:$X,7,0)</f>
        <v>1056L23000020LE</v>
      </c>
      <c r="G72" t="str">
        <f>VLOOKUP($B72,'Obras e Acervos'!$B:$X,5,0)</f>
        <v>TYKUÃ E A ORIGEM DA ANUNCIAÇÃO</v>
      </c>
      <c r="H72">
        <f>VLOOKUP($B72,'Obras e Acervos'!$B:$X,18,0)</f>
        <v>14</v>
      </c>
      <c r="I72">
        <f>VLOOKUP($B72,'Obras e Acervos'!$B:$X,19,0)</f>
        <v>24864</v>
      </c>
      <c r="J72" s="42">
        <f>VLOOKUP($B72,'Obras e Acervos'!$B:$X,20,0)</f>
        <v>4027.9680000000003</v>
      </c>
      <c r="K72" s="31">
        <f>VLOOKUP($B72,'Obras e Acervos'!$B:$X,21,0)</f>
        <v>6.52</v>
      </c>
      <c r="L72" s="31">
        <f t="shared" si="13"/>
        <v>162113.28</v>
      </c>
      <c r="M72" s="1">
        <v>46063</v>
      </c>
      <c r="N72" s="1">
        <f t="shared" si="10"/>
        <v>46305</v>
      </c>
      <c r="O72">
        <f t="shared" si="14"/>
        <v>243</v>
      </c>
      <c r="P72" s="49">
        <f t="shared" si="11"/>
        <v>8.1</v>
      </c>
      <c r="Q72" s="34">
        <f>VLOOKUP($G72,Agendamento!$B:$F,5,0)</f>
        <v>3</v>
      </c>
      <c r="R72" s="36">
        <f t="shared" si="15"/>
        <v>25</v>
      </c>
      <c r="S72" s="44">
        <v>2.5499999999999998</v>
      </c>
      <c r="T72" s="44">
        <f t="shared" si="16"/>
        <v>15491.249999999998</v>
      </c>
      <c r="U72" t="s">
        <v>4965</v>
      </c>
      <c r="V72" t="str">
        <f t="shared" si="17"/>
        <v>NF/64237557_20260210_nf_18.pdf</v>
      </c>
      <c r="W72" s="32" t="str">
        <f t="shared" si="12"/>
        <v>NF - TYKUÃ E A ORIGEM DA ANUNCIAÇÃO</v>
      </c>
      <c r="X72" t="s">
        <v>5591</v>
      </c>
    </row>
    <row r="73" spans="1:24" x14ac:dyDescent="0.25">
      <c r="A73" t="str">
        <f>CONCATENATE(D73,"_",TEXT(M73,"ddmmaaaa"),"_",COUNTIF($D$2:D73,D73))</f>
        <v>438849790001-10_10022026_1</v>
      </c>
      <c r="B73" t="str">
        <f>CONCATENATE(Analise!D73,"_",COUNTIF(Analise!$D$2:D73,Analise!D73)+1)</f>
        <v>438849790001-10_2</v>
      </c>
      <c r="C73" s="34">
        <f>COUNTIF('Obras e Acervos'!$C:$C,CONCATENATE(LEFT(D73,12),RIGHT(D73,2)))</f>
        <v>2</v>
      </c>
      <c r="D73" t="s">
        <v>4534</v>
      </c>
      <c r="E73" t="str">
        <f>VLOOKUP($B73,'Obras e Acervos'!$B:$X,3,0)</f>
        <v>EDITORA FLORESCENDO LTDA-FLORESCENDO</v>
      </c>
      <c r="F73" t="str">
        <f>VLOOKUP($B73,'Obras e Acervos'!$B:$X,7,0)</f>
        <v>1068L23000020LE</v>
      </c>
      <c r="G73" t="str">
        <f>VLOOKUP($B73,'Obras e Acervos'!$B:$X,5,0)</f>
        <v>IYÁ AGBÁ: A MÃE-VENTRE</v>
      </c>
      <c r="H73">
        <f>VLOOKUP($B73,'Obras e Acervos'!$B:$X,18,0)</f>
        <v>18</v>
      </c>
      <c r="I73">
        <f>VLOOKUP($B73,'Obras e Acervos'!$B:$X,19,0)</f>
        <v>24927</v>
      </c>
      <c r="J73" s="42">
        <f>VLOOKUP($B73,'Obras e Acervos'!$B:$X,20,0)</f>
        <v>3090.9479999999999</v>
      </c>
      <c r="K73" s="31">
        <f>VLOOKUP($B73,'Obras e Acervos'!$B:$X,21,0)</f>
        <v>7.46</v>
      </c>
      <c r="L73" s="31">
        <f t="shared" si="13"/>
        <v>185955.42</v>
      </c>
      <c r="M73" s="1">
        <v>46063</v>
      </c>
      <c r="N73" s="1">
        <f t="shared" si="10"/>
        <v>46305</v>
      </c>
      <c r="O73">
        <f t="shared" si="14"/>
        <v>243</v>
      </c>
      <c r="P73" s="49">
        <f t="shared" si="11"/>
        <v>8.1</v>
      </c>
      <c r="Q73" s="34">
        <f>VLOOKUP($G73,Agendamento!$B:$F,5,0)</f>
        <v>3</v>
      </c>
      <c r="R73" s="36">
        <f t="shared" si="15"/>
        <v>25</v>
      </c>
      <c r="S73" s="44">
        <v>2.5499999999999998</v>
      </c>
      <c r="T73" s="44">
        <f t="shared" si="16"/>
        <v>15491.249999999998</v>
      </c>
      <c r="U73" t="s">
        <v>4957</v>
      </c>
      <c r="V73" t="str">
        <f t="shared" si="17"/>
        <v>NF/64237557_20260210_nf_19.pdf</v>
      </c>
      <c r="W73" s="32" t="str">
        <f t="shared" si="12"/>
        <v>NF - IYÁ AGBÁ: A MÃE-VENTRE</v>
      </c>
      <c r="X73" t="s">
        <v>5591</v>
      </c>
    </row>
    <row r="74" spans="1:24" x14ac:dyDescent="0.25">
      <c r="A74" t="str">
        <f>CONCATENATE(D74,"_",TEXT(M74,"ddmmaaaa"),"_",COUNTIF($D$2:D74,D74))</f>
        <v>438855640001-61_10022026_1</v>
      </c>
      <c r="B74" t="str">
        <f>CONCATENATE(Analise!D74,"_",COUNTIF(Analise!$D$2:D74,Analise!D74))</f>
        <v>438855640001-61_1</v>
      </c>
      <c r="C74" s="34">
        <f>COUNTIF('Obras e Acervos'!$C:$C,CONCATENATE(LEFT(D74,12),RIGHT(D74,2)))</f>
        <v>2</v>
      </c>
      <c r="D74" t="s">
        <v>4535</v>
      </c>
      <c r="E74" t="str">
        <f>VLOOKUP($B74,'Obras e Acervos'!$B:$X,3,0)</f>
        <v>EDITORA SPARK LTDA-SPARK</v>
      </c>
      <c r="F74" t="str">
        <f>VLOOKUP($B74,'Obras e Acervos'!$B:$X,7,0)</f>
        <v>1053L23000030LE</v>
      </c>
      <c r="G74" t="str">
        <f>VLOOKUP($B74,'Obras e Acervos'!$B:$X,5,0)</f>
        <v>DIÁLOGOS FEMINISTAS ANTIRRACISTAS (E NADA FÁCEIS) COM AS CRIANÇAS</v>
      </c>
      <c r="H74">
        <f>VLOOKUP($B74,'Obras e Acervos'!$B:$X,18,0)</f>
        <v>4</v>
      </c>
      <c r="I74">
        <f>VLOOKUP($B74,'Obras e Acervos'!$B:$X,19,0)</f>
        <v>52564</v>
      </c>
      <c r="J74" s="42">
        <f>VLOOKUP($B74,'Obras e Acervos'!$B:$X,20,0)</f>
        <v>4520.5039999999999</v>
      </c>
      <c r="K74" s="31">
        <f>VLOOKUP($B74,'Obras e Acervos'!$B:$X,21,0)</f>
        <v>4.6100000000000003</v>
      </c>
      <c r="L74" s="31">
        <f t="shared" si="13"/>
        <v>242320.04</v>
      </c>
      <c r="M74" s="1">
        <v>46063</v>
      </c>
      <c r="N74" s="1">
        <f t="shared" si="10"/>
        <v>46305</v>
      </c>
      <c r="O74">
        <f t="shared" si="14"/>
        <v>243</v>
      </c>
      <c r="P74" s="49">
        <f t="shared" si="11"/>
        <v>8.1</v>
      </c>
      <c r="Q74" s="34">
        <f>VLOOKUP($G74,Agendamento!$B:$F,5,0)</f>
        <v>3</v>
      </c>
      <c r="R74" s="36">
        <f t="shared" si="15"/>
        <v>53</v>
      </c>
      <c r="S74" s="44">
        <v>2.5499999999999998</v>
      </c>
      <c r="T74" s="44">
        <f t="shared" si="16"/>
        <v>32841.449999999997</v>
      </c>
      <c r="U74" t="s">
        <v>4959</v>
      </c>
      <c r="V74" t="str">
        <f t="shared" si="17"/>
        <v>NF/64237557_20260210_nf_20.pdf</v>
      </c>
      <c r="W74" s="32" t="str">
        <f t="shared" si="12"/>
        <v>NF - DIÁLOGOS FEMINISTAS ANTIRRACISTAS (E NADA FÁCEIS) COM AS CRIANÇAS</v>
      </c>
      <c r="X74" t="s">
        <v>5591</v>
      </c>
    </row>
    <row r="75" spans="1:24" x14ac:dyDescent="0.25">
      <c r="A75" t="str">
        <f>CONCATENATE(D75,"_",TEXT(M75,"ddmmaaaa"),"_",COUNTIF($D$2:D75,D75))</f>
        <v>578889190001-80_10022026_1</v>
      </c>
      <c r="B75" t="str">
        <f>CONCATENATE(Analise!D75,"_",COUNTIF(Analise!$D$2:D75,Analise!D75))</f>
        <v>578889190001-80_1</v>
      </c>
      <c r="C75" s="34">
        <f>COUNTIF('Obras e Acervos'!$C:$C,CONCATENATE(LEFT(D75,12),RIGHT(D75,2)))</f>
        <v>2</v>
      </c>
      <c r="D75" t="s">
        <v>4527</v>
      </c>
      <c r="E75" t="str">
        <f>VLOOKUP($B75,'Obras e Acervos'!$B:$X,3,0)</f>
        <v>PONTES EDITORES LTDA 57888919000180-PONTES EDITORES</v>
      </c>
      <c r="F75" t="str">
        <f>VLOOKUP($B75,'Obras e Acervos'!$B:$X,7,0)</f>
        <v>0509L23000030LE</v>
      </c>
      <c r="G75" t="str">
        <f>VLOOKUP($B75,'Obras e Acervos'!$B:$X,5,0)</f>
        <v>BORBOLETRAS</v>
      </c>
      <c r="H75">
        <f>VLOOKUP($B75,'Obras e Acervos'!$B:$X,18,0)</f>
        <v>8</v>
      </c>
      <c r="I75">
        <f>VLOOKUP($B75,'Obras e Acervos'!$B:$X,19,0)</f>
        <v>33377</v>
      </c>
      <c r="J75" s="42">
        <f>VLOOKUP($B75,'Obras e Acervos'!$B:$X,20,0)</f>
        <v>2503.2750000000001</v>
      </c>
      <c r="K75" s="31">
        <f>VLOOKUP($B75,'Obras e Acervos'!$B:$X,21,0)</f>
        <v>5.94</v>
      </c>
      <c r="L75" s="31">
        <f t="shared" si="13"/>
        <v>198259.38</v>
      </c>
      <c r="M75" s="1">
        <v>46063</v>
      </c>
      <c r="N75" s="1">
        <f t="shared" si="10"/>
        <v>46305</v>
      </c>
      <c r="O75">
        <f t="shared" si="14"/>
        <v>243</v>
      </c>
      <c r="P75" s="49">
        <f t="shared" si="11"/>
        <v>8.1</v>
      </c>
      <c r="Q75" s="34">
        <f>VLOOKUP($G75,Agendamento!$B:$F,5,0)</f>
        <v>4</v>
      </c>
      <c r="R75" s="36">
        <f t="shared" si="15"/>
        <v>34</v>
      </c>
      <c r="S75" s="44">
        <v>2.5499999999999998</v>
      </c>
      <c r="T75" s="44">
        <f t="shared" si="16"/>
        <v>21068.1</v>
      </c>
      <c r="U75" t="s">
        <v>4949</v>
      </c>
      <c r="V75" t="str">
        <f t="shared" si="17"/>
        <v>NF/64237557_20260210_nf_21.pdf</v>
      </c>
      <c r="W75" s="32" t="str">
        <f t="shared" si="12"/>
        <v>NF - BORBOLETRAS</v>
      </c>
      <c r="X75" t="s">
        <v>5591</v>
      </c>
    </row>
    <row r="76" spans="1:24" x14ac:dyDescent="0.25">
      <c r="A76" t="str">
        <f>CONCATENATE(D76,"_",TEXT(M76,"ddmmaaaa"),"_",COUNTIF($D$2:D76,D76))</f>
        <v>578889190001-80_10022026_2</v>
      </c>
      <c r="B76" t="str">
        <f>CONCATENATE(Analise!D76,"_",COUNTIF(Analise!$D$2:D76,Analise!D76))</f>
        <v>578889190001-80_2</v>
      </c>
      <c r="C76" s="34">
        <f>COUNTIF('Obras e Acervos'!$C:$C,CONCATENATE(LEFT(D76,12),RIGHT(D76,2)))</f>
        <v>2</v>
      </c>
      <c r="D76" t="s">
        <v>4527</v>
      </c>
      <c r="E76" t="str">
        <f>VLOOKUP($B76,'Obras e Acervos'!$B:$X,3,0)</f>
        <v>PONTES EDITORES LTDA 57888919000180-PONTES EDITORES</v>
      </c>
      <c r="F76" t="str">
        <f>VLOOKUP($B76,'Obras e Acervos'!$B:$X,7,0)</f>
        <v>0510L23000020LE</v>
      </c>
      <c r="G76" t="str">
        <f>VLOOKUP($B76,'Obras e Acervos'!$B:$X,5,0)</f>
        <v>O BRASIL, OS ÍNDIGENAS E A FLOR PRIMAVERA</v>
      </c>
      <c r="H76">
        <f>VLOOKUP($B76,'Obras e Acervos'!$B:$X,18,0)</f>
        <v>11</v>
      </c>
      <c r="I76">
        <f>VLOOKUP($B76,'Obras e Acervos'!$B:$X,19,0)</f>
        <v>45527</v>
      </c>
      <c r="J76" s="42">
        <f>VLOOKUP($B76,'Obras e Acervos'!$B:$X,20,0)</f>
        <v>3414.5250000000001</v>
      </c>
      <c r="K76" s="31">
        <f>VLOOKUP($B76,'Obras e Acervos'!$B:$X,21,0)</f>
        <v>5.05</v>
      </c>
      <c r="L76" s="31">
        <f t="shared" si="13"/>
        <v>229911.35</v>
      </c>
      <c r="M76" s="1">
        <v>46063</v>
      </c>
      <c r="N76" s="1">
        <f t="shared" si="10"/>
        <v>46305</v>
      </c>
      <c r="O76">
        <f t="shared" si="14"/>
        <v>243</v>
      </c>
      <c r="P76" s="49">
        <f t="shared" si="11"/>
        <v>8.1</v>
      </c>
      <c r="Q76" s="34">
        <f>VLOOKUP($G76,Agendamento!$B:$F,5,0)</f>
        <v>5</v>
      </c>
      <c r="R76" s="36">
        <f t="shared" si="15"/>
        <v>46</v>
      </c>
      <c r="S76" s="44">
        <v>2.5499999999999998</v>
      </c>
      <c r="T76" s="44">
        <f t="shared" si="16"/>
        <v>28503.899999999998</v>
      </c>
      <c r="U76" t="s">
        <v>4949</v>
      </c>
      <c r="V76" t="str">
        <f t="shared" si="17"/>
        <v>NF/64237557_20260210_nf_21.pdf</v>
      </c>
      <c r="W76" s="32" t="str">
        <f t="shared" si="12"/>
        <v>NF - O BRASIL, OS ÍNDIGENAS E A FLOR PRIMAVERA</v>
      </c>
      <c r="X76" t="s">
        <v>5591</v>
      </c>
    </row>
    <row r="77" spans="1:24" x14ac:dyDescent="0.25">
      <c r="A77" t="str">
        <f>CONCATENATE(D77,"_",TEXT(M77,"ddmmaaaa"),"_",COUNTIF($D$2:D77,D77))</f>
        <v>057642360001-18_10022026_1</v>
      </c>
      <c r="B77" t="str">
        <f>CONCATENATE(Analise!D77,"_",COUNTIF(Analise!$D$2:D77,Analise!D77))</f>
        <v>057642360001-18_1</v>
      </c>
      <c r="C77" s="34">
        <f>COUNTIF('Obras e Acervos'!$C:$C,CONCATENATE(LEFT(D77,12),RIGHT(D77,2)))</f>
        <v>2</v>
      </c>
      <c r="D77" t="s">
        <v>4528</v>
      </c>
      <c r="E77" t="str">
        <f>VLOOKUP($B77,'Obras e Acervos'!$B:$X,3,0)</f>
        <v>EDITORA PLANETA DO BRASIL LTDA-EDITORA PLANETA</v>
      </c>
      <c r="F77" t="str">
        <f>VLOOKUP($B77,'Obras e Acervos'!$B:$X,7,0)</f>
        <v>0541L23000030LE</v>
      </c>
      <c r="G77" t="str">
        <f>VLOOKUP($B77,'Obras e Acervos'!$B:$X,5,0)</f>
        <v>A HISTÓRIA DE UM BICHINHO DE PELÚCIA</v>
      </c>
      <c r="H77">
        <f>VLOOKUP($B77,'Obras e Acervos'!$B:$X,18,0)</f>
        <v>8</v>
      </c>
      <c r="I77">
        <f>VLOOKUP($B77,'Obras e Acervos'!$B:$X,19,0)</f>
        <v>33498</v>
      </c>
      <c r="J77" s="42">
        <f>VLOOKUP($B77,'Obras e Acervos'!$B:$X,20,0)</f>
        <v>4187.25</v>
      </c>
      <c r="K77" s="31">
        <f>VLOOKUP($B77,'Obras e Acervos'!$B:$X,21,0)</f>
        <v>6.72</v>
      </c>
      <c r="L77" s="31">
        <f t="shared" si="13"/>
        <v>225106.56</v>
      </c>
      <c r="M77" s="1">
        <v>46063</v>
      </c>
      <c r="N77" s="1">
        <f t="shared" si="10"/>
        <v>46305</v>
      </c>
      <c r="O77">
        <f t="shared" si="14"/>
        <v>243</v>
      </c>
      <c r="P77" s="49">
        <f t="shared" si="11"/>
        <v>8.1</v>
      </c>
      <c r="Q77" s="34">
        <f>VLOOKUP($G77,Agendamento!$B:$F,5,0)</f>
        <v>5</v>
      </c>
      <c r="R77" s="36">
        <f t="shared" si="15"/>
        <v>34</v>
      </c>
      <c r="S77" s="44">
        <v>2.5499999999999998</v>
      </c>
      <c r="T77" s="44">
        <f t="shared" si="16"/>
        <v>21068.1</v>
      </c>
      <c r="U77" t="s">
        <v>4961</v>
      </c>
      <c r="V77" t="str">
        <f t="shared" si="17"/>
        <v>NF/64237557_20260210_nf_22.pdf</v>
      </c>
      <c r="W77" s="32" t="str">
        <f t="shared" si="12"/>
        <v>NF - A HISTÓRIA DE UM BICHINHO DE PELÚCIA</v>
      </c>
      <c r="X77" t="s">
        <v>5591</v>
      </c>
    </row>
    <row r="78" spans="1:24" x14ac:dyDescent="0.25">
      <c r="A78" t="str">
        <f>CONCATENATE(D78,"_",TEXT(M78,"ddmmaaaa"),"_",COUNTIF($D$2:D78,D78))</f>
        <v>424447030001-59_10022026_1</v>
      </c>
      <c r="B78" t="str">
        <f>CONCATENATE(Analise!D78,"_",COUNTIF(Analise!$D$2:D78,Analise!D78))</f>
        <v>424447030001-59_1</v>
      </c>
      <c r="C78" s="34">
        <f>COUNTIF('Obras e Acervos'!$C:$C,CONCATENATE(LEFT(D78,12),RIGHT(D78,2)))</f>
        <v>2</v>
      </c>
      <c r="D78" t="s">
        <v>4526</v>
      </c>
      <c r="E78" t="str">
        <f>VLOOKUP($B78,'Obras e Acervos'!$B:$X,3,0)</f>
        <v>EDITORA ROCCO LTDA.-</v>
      </c>
      <c r="F78" t="str">
        <f>VLOOKUP($B78,'Obras e Acervos'!$B:$X,7,0)</f>
        <v>0547L23000030LE</v>
      </c>
      <c r="G78" t="str">
        <f>VLOOKUP($B78,'Obras e Acervos'!$B:$X,5,0)</f>
        <v>BIA NÃO QUER DORMIR</v>
      </c>
      <c r="H78">
        <f>VLOOKUP($B78,'Obras e Acervos'!$B:$X,18,0)</f>
        <v>3</v>
      </c>
      <c r="I78">
        <f>VLOOKUP($B78,'Obras e Acervos'!$B:$X,19,0)</f>
        <v>46639</v>
      </c>
      <c r="J78" s="42">
        <f>VLOOKUP($B78,'Obras e Acervos'!$B:$X,20,0)</f>
        <v>4803.817</v>
      </c>
      <c r="K78" s="31">
        <f>VLOOKUP($B78,'Obras e Acervos'!$B:$X,21,0)</f>
        <v>5.03</v>
      </c>
      <c r="L78" s="31">
        <f t="shared" si="13"/>
        <v>234594.17</v>
      </c>
      <c r="M78" s="1">
        <v>46063</v>
      </c>
      <c r="N78" s="1">
        <f t="shared" si="10"/>
        <v>46305</v>
      </c>
      <c r="O78">
        <f t="shared" si="14"/>
        <v>243</v>
      </c>
      <c r="P78" s="49">
        <f t="shared" si="11"/>
        <v>8.1</v>
      </c>
      <c r="Q78" s="34">
        <f>VLOOKUP($G78,Agendamento!$B:$F,5,0)</f>
        <v>6</v>
      </c>
      <c r="R78" s="36">
        <f t="shared" si="15"/>
        <v>47</v>
      </c>
      <c r="S78" s="44">
        <v>2.5499999999999998</v>
      </c>
      <c r="T78" s="44">
        <f t="shared" si="16"/>
        <v>29123.55</v>
      </c>
      <c r="U78" t="s">
        <v>4966</v>
      </c>
      <c r="V78" t="str">
        <f t="shared" si="17"/>
        <v>NF/64237557_20260210_nf_10.pdf</v>
      </c>
      <c r="W78" s="32" t="str">
        <f t="shared" si="12"/>
        <v>NF - BIA NÃO QUER DORMIR</v>
      </c>
      <c r="X78" t="s">
        <v>5748</v>
      </c>
    </row>
    <row r="79" spans="1:24" x14ac:dyDescent="0.25">
      <c r="A79" t="str">
        <f>CONCATENATE(D79,"_",TEXT(M79,"ddmmaaaa"),"_",COUNTIF($D$2:D79,D79))</f>
        <v>424447030001-59_10022026_2</v>
      </c>
      <c r="B79" t="str">
        <f>CONCATENATE(Analise!D79,"_",COUNTIF(Analise!$D$2:D79,Analise!D79))</f>
        <v>424447030001-59_2</v>
      </c>
      <c r="C79" s="34">
        <f>COUNTIF('Obras e Acervos'!$C:$C,CONCATENATE(LEFT(D79,12),RIGHT(D79,2)))</f>
        <v>2</v>
      </c>
      <c r="D79" t="s">
        <v>4526</v>
      </c>
      <c r="E79" t="str">
        <f>VLOOKUP($B79,'Obras e Acervos'!$B:$X,3,0)</f>
        <v>EDITORA ROCCO LTDA.-</v>
      </c>
      <c r="F79" t="str">
        <f>VLOOKUP($B79,'Obras e Acervos'!$B:$X,7,0)</f>
        <v>0548L23000020LE</v>
      </c>
      <c r="G79" t="str">
        <f>VLOOKUP($B79,'Obras e Acervos'!$B:$X,5,0)</f>
        <v>A VIDA ÍNTIMA DE LAURA</v>
      </c>
      <c r="H79">
        <f>VLOOKUP($B79,'Obras e Acervos'!$B:$X,18,0)</f>
        <v>16</v>
      </c>
      <c r="I79">
        <f>VLOOKUP($B79,'Obras e Acervos'!$B:$X,19,0)</f>
        <v>31303</v>
      </c>
      <c r="J79" s="42">
        <f>VLOOKUP($B79,'Obras e Acervos'!$B:$X,20,0)</f>
        <v>4413.723</v>
      </c>
      <c r="K79" s="31">
        <f>VLOOKUP($B79,'Obras e Acervos'!$B:$X,21,0)</f>
        <v>8.27</v>
      </c>
      <c r="L79" s="31">
        <f t="shared" si="13"/>
        <v>258875.81</v>
      </c>
      <c r="M79" s="1">
        <v>46063</v>
      </c>
      <c r="N79" s="1">
        <f t="shared" si="10"/>
        <v>46305</v>
      </c>
      <c r="O79">
        <f t="shared" si="14"/>
        <v>243</v>
      </c>
      <c r="P79" s="49">
        <f t="shared" si="11"/>
        <v>8.1</v>
      </c>
      <c r="Q79" s="34">
        <f>VLOOKUP($G79,Agendamento!$B:$F,5,0)</f>
        <v>6</v>
      </c>
      <c r="R79" s="36">
        <f t="shared" si="15"/>
        <v>32</v>
      </c>
      <c r="S79" s="44">
        <v>2.5499999999999998</v>
      </c>
      <c r="T79" s="44">
        <f t="shared" si="16"/>
        <v>19828.8</v>
      </c>
      <c r="U79" t="s">
        <v>4954</v>
      </c>
      <c r="V79" t="str">
        <f t="shared" si="17"/>
        <v>NF/64237557_20260210_nf_11.pdf</v>
      </c>
      <c r="W79" s="32" t="str">
        <f t="shared" si="12"/>
        <v>NF - A VIDA ÍNTIMA DE LAURA</v>
      </c>
      <c r="X79" t="s">
        <v>5748</v>
      </c>
    </row>
    <row r="80" spans="1:24" x14ac:dyDescent="0.25">
      <c r="A80" t="str">
        <f>CONCATENATE(D80,"_",TEXT(M80,"ddmmaaaa"),"_",COUNTIF($D$2:D80,D80))</f>
        <v>610974320001-57_12022026_2</v>
      </c>
      <c r="B80" t="str">
        <f>CONCATENATE(Analise!D80,"_",COUNTIF(Analise!$D$2:D80,Analise!D80)-1)</f>
        <v>610974320001-57_1</v>
      </c>
      <c r="C80" s="34">
        <f>COUNTIF('Obras e Acervos'!$C:$C,CONCATENATE(LEFT(D80,12),RIGHT(D80,2)))</f>
        <v>2</v>
      </c>
      <c r="D80" t="s">
        <v>4499</v>
      </c>
      <c r="E80" t="str">
        <f>VLOOKUP($B80,'Obras e Acervos'!$B:$X,3,0)</f>
        <v>KITS EDITORA COMÉRCIO E INDÚSTRIA LTDA-KIT´S EDITORA</v>
      </c>
      <c r="F80" t="str">
        <f>VLOOKUP($B80,'Obras e Acervos'!$B:$X,7,0)</f>
        <v>0602L23000030LE</v>
      </c>
      <c r="G80" t="str">
        <f>VLOOKUP($B80,'Obras e Acervos'!$B:$X,5,0)</f>
        <v>O SAMBA DA GIRAFA E OUTROS POEMAS</v>
      </c>
      <c r="H80">
        <f>VLOOKUP($B80,'Obras e Acervos'!$B:$X,18,0)</f>
        <v>1</v>
      </c>
      <c r="I80">
        <f>VLOOKUP($B80,'Obras e Acervos'!$B:$X,19,0)</f>
        <v>131344</v>
      </c>
      <c r="J80" s="42">
        <f>VLOOKUP($B80,'Obras e Acervos'!$B:$X,20,0)</f>
        <v>20226.975999999999</v>
      </c>
      <c r="K80" s="31">
        <f>VLOOKUP($B80,'Obras e Acervos'!$B:$X,21,0)</f>
        <v>4.07</v>
      </c>
      <c r="L80" s="31">
        <f t="shared" si="13"/>
        <v>534570.08000000007</v>
      </c>
      <c r="M80" s="1">
        <v>46065</v>
      </c>
      <c r="N80" s="1">
        <f t="shared" si="10"/>
        <v>46305</v>
      </c>
      <c r="O80">
        <f t="shared" si="14"/>
        <v>241</v>
      </c>
      <c r="P80" s="49">
        <f t="shared" si="11"/>
        <v>8.0333333333333332</v>
      </c>
      <c r="Q80" s="34">
        <f>VLOOKUP($G80,Agendamento!$B:$F,5,0)</f>
        <v>28</v>
      </c>
      <c r="R80" s="36">
        <f t="shared" si="15"/>
        <v>132</v>
      </c>
      <c r="S80" s="44">
        <v>2.5499999999999998</v>
      </c>
      <c r="T80" s="44">
        <f t="shared" si="16"/>
        <v>81120.599999999991</v>
      </c>
      <c r="U80" t="s">
        <v>4975</v>
      </c>
      <c r="V80" t="str">
        <f t="shared" si="17"/>
        <v>NF/64237775_20260212_nf_01.pdf</v>
      </c>
      <c r="W80" s="32" t="str">
        <f t="shared" si="12"/>
        <v>NF - O SAMBA DA GIRAFA E OUTROS POEMAS</v>
      </c>
      <c r="X80" t="s">
        <v>5591</v>
      </c>
    </row>
    <row r="81" spans="1:24" x14ac:dyDescent="0.25">
      <c r="A81" t="str">
        <f>CONCATENATE(D81,"_",TEXT(M81,"ddmmaaaa"),"_",COUNTIF($D$2:D81,D81))</f>
        <v>072756370001-30_12022026_1</v>
      </c>
      <c r="B81" t="str">
        <f>CONCATENATE(Analise!D81,"_",COUNTIF(Analise!$D$2:D81,Analise!D81))</f>
        <v>072756370001-30_1</v>
      </c>
      <c r="C81" s="34">
        <f>COUNTIF('Obras e Acervos'!$C:$C,CONCATENATE(LEFT(D81,12),RIGHT(D81,2)))</f>
        <v>2</v>
      </c>
      <c r="D81" t="s">
        <v>4539</v>
      </c>
      <c r="E81" t="str">
        <f>VLOOKUP($B81,'Obras e Acervos'!$B:$X,3,0)</f>
        <v>EDITORIAL VINTE E CINCO LTDA-EDITORIAL25</v>
      </c>
      <c r="F81" t="str">
        <f>VLOOKUP($B81,'Obras e Acervos'!$B:$X,7,0)</f>
        <v>1296L23000030LE</v>
      </c>
      <c r="G81" t="str">
        <f>VLOOKUP($B81,'Obras e Acervos'!$B:$X,5,0)</f>
        <v>POR QUE O CABELO DA PRINCESA FOI PASSEAR?</v>
      </c>
      <c r="H81">
        <f>VLOOKUP($B81,'Obras e Acervos'!$B:$X,18,0)</f>
        <v>7</v>
      </c>
      <c r="I81">
        <f>VLOOKUP($B81,'Obras e Acervos'!$B:$X,19,0)</f>
        <v>34404</v>
      </c>
      <c r="J81" s="42">
        <f>VLOOKUP($B81,'Obras e Acervos'!$B:$X,20,0)</f>
        <v>4128.4799999999996</v>
      </c>
      <c r="K81" s="31">
        <f>VLOOKUP($B81,'Obras e Acervos'!$B:$X,21,0)</f>
        <v>5.91</v>
      </c>
      <c r="L81" s="31">
        <f t="shared" si="13"/>
        <v>203327.64</v>
      </c>
      <c r="M81" s="1">
        <v>46065</v>
      </c>
      <c r="N81" s="1">
        <f t="shared" si="10"/>
        <v>46305</v>
      </c>
      <c r="O81">
        <f t="shared" si="14"/>
        <v>241</v>
      </c>
      <c r="P81" s="49">
        <f t="shared" si="11"/>
        <v>8.0333333333333332</v>
      </c>
      <c r="Q81" s="34">
        <f>VLOOKUP($G81,Agendamento!$B:$F,5,0)</f>
        <v>5</v>
      </c>
      <c r="R81" s="36">
        <f t="shared" si="15"/>
        <v>35</v>
      </c>
      <c r="S81" s="44">
        <v>2.5499999999999998</v>
      </c>
      <c r="T81" s="44">
        <f t="shared" si="16"/>
        <v>21509.25</v>
      </c>
      <c r="U81" t="s">
        <v>4971</v>
      </c>
      <c r="V81" t="str">
        <f t="shared" si="17"/>
        <v>NF/64237775_20260212_nf_03.pdf</v>
      </c>
      <c r="W81" s="32" t="str">
        <f t="shared" si="12"/>
        <v>NF - POR QUE O CABELO DA PRINCESA FOI PASSEAR?</v>
      </c>
      <c r="X81" t="s">
        <v>5591</v>
      </c>
    </row>
    <row r="82" spans="1:24" x14ac:dyDescent="0.25">
      <c r="A82" t="str">
        <f>CONCATENATE(D82,"_",TEXT(M82,"ddmmaaaa"),"_",COUNTIF($D$2:D82,D82))</f>
        <v>086868630001-76_12022026_1</v>
      </c>
      <c r="B82" t="str">
        <f>CONCATENATE(Analise!D82,"_",COUNTIF(Analise!$D$2:D82,Analise!D82))</f>
        <v>086868630001-76_1</v>
      </c>
      <c r="C82" s="34">
        <f>COUNTIF('Obras e Acervos'!$C:$C,CONCATENATE(LEFT(D82,12),RIGHT(D82,2)))</f>
        <v>2</v>
      </c>
      <c r="D82" t="s">
        <v>4548</v>
      </c>
      <c r="E82" t="str">
        <f>VLOOKUP($B82,'Obras e Acervos'!$B:$X,3,0)</f>
        <v>EDITORA FONTANAR LTDA-</v>
      </c>
      <c r="F82" t="str">
        <f>VLOOKUP($B82,'Obras e Acervos'!$B:$X,7,0)</f>
        <v>0851L23000030LE</v>
      </c>
      <c r="G82" t="str">
        <f>VLOOKUP($B82,'Obras e Acervos'!$B:$X,5,0)</f>
        <v>PODE CHORAR, CORAÇÃO, MAS FIQUE INTEIRO</v>
      </c>
      <c r="H82">
        <f>VLOOKUP($B82,'Obras e Acervos'!$B:$X,18,0)</f>
        <v>9</v>
      </c>
      <c r="I82">
        <f>VLOOKUP($B82,'Obras e Acervos'!$B:$X,19,0)</f>
        <v>33067</v>
      </c>
      <c r="J82" s="42">
        <f>VLOOKUP($B82,'Obras e Acervos'!$B:$X,20,0)</f>
        <v>3306.7000000000003</v>
      </c>
      <c r="K82" s="31">
        <f>VLOOKUP($B82,'Obras e Acervos'!$B:$X,21,0)</f>
        <v>5.96</v>
      </c>
      <c r="L82" s="31">
        <f t="shared" si="13"/>
        <v>197079.32</v>
      </c>
      <c r="M82" s="1">
        <v>46065</v>
      </c>
      <c r="N82" s="1">
        <f t="shared" si="10"/>
        <v>46305</v>
      </c>
      <c r="O82">
        <f t="shared" si="14"/>
        <v>241</v>
      </c>
      <c r="P82" s="49">
        <f t="shared" si="11"/>
        <v>8.0333333333333332</v>
      </c>
      <c r="Q82" s="34">
        <f>VLOOKUP($G82,Agendamento!$B:$F,5,0)</f>
        <v>4</v>
      </c>
      <c r="R82" s="36">
        <f t="shared" si="15"/>
        <v>34</v>
      </c>
      <c r="S82" s="44">
        <v>2.5499999999999998</v>
      </c>
      <c r="T82" s="44">
        <f t="shared" si="16"/>
        <v>20894.699999999997</v>
      </c>
      <c r="U82" t="s">
        <v>4983</v>
      </c>
      <c r="V82" t="str">
        <f t="shared" si="17"/>
        <v>NF/64237775_20260212_nf_04.pdf</v>
      </c>
      <c r="W82" s="32" t="str">
        <f t="shared" si="12"/>
        <v>NF - PODE CHORAR, CORAÇÃO, MAS FIQUE INTEIRO</v>
      </c>
      <c r="X82" t="s">
        <v>5591</v>
      </c>
    </row>
    <row r="83" spans="1:24" x14ac:dyDescent="0.25">
      <c r="A83" t="str">
        <f>CONCATENATE(D83,"_",TEXT(M83,"ddmmaaaa"),"_",COUNTIF($D$2:D83,D83))</f>
        <v>121827330001-73_12022026_1</v>
      </c>
      <c r="B83" t="str">
        <f>CONCATENATE(Analise!D83,"_",COUNTIF(Analise!$D$2:D83,Analise!D83))</f>
        <v>121827330001-73_1</v>
      </c>
      <c r="C83" s="34">
        <f>COUNTIF('Obras e Acervos'!$C:$C,CONCATENATE(LEFT(D83,12),RIGHT(D83,2)))</f>
        <v>2</v>
      </c>
      <c r="D83" t="s">
        <v>4540</v>
      </c>
      <c r="E83" t="str">
        <f>VLOOKUP($B83,'Obras e Acervos'!$B:$X,3,0)</f>
        <v>MEF EDITORA LTDA.-SEMEAR IDEIAS LTDA</v>
      </c>
      <c r="F83" t="str">
        <f>VLOOKUP($B83,'Obras e Acervos'!$B:$X,7,0)</f>
        <v>1087L23000030LE</v>
      </c>
      <c r="G83" t="str">
        <f>VLOOKUP($B83,'Obras e Acervos'!$B:$X,5,0)</f>
        <v>VAMOS TOCAR O ABC!</v>
      </c>
      <c r="H83">
        <f>VLOOKUP($B83,'Obras e Acervos'!$B:$X,18,0)</f>
        <v>1</v>
      </c>
      <c r="I83">
        <f>VLOOKUP($B83,'Obras e Acervos'!$B:$X,19,0)</f>
        <v>63639</v>
      </c>
      <c r="J83" s="42">
        <f>VLOOKUP($B83,'Obras e Acervos'!$B:$X,20,0)</f>
        <v>5409.3150000000005</v>
      </c>
      <c r="K83" s="31">
        <f>VLOOKUP($B83,'Obras e Acervos'!$B:$X,21,0)</f>
        <v>3.58</v>
      </c>
      <c r="L83" s="31">
        <f t="shared" si="13"/>
        <v>227827.62</v>
      </c>
      <c r="M83" s="1">
        <v>46065</v>
      </c>
      <c r="N83" s="1">
        <f t="shared" si="10"/>
        <v>46305</v>
      </c>
      <c r="O83">
        <f t="shared" si="14"/>
        <v>241</v>
      </c>
      <c r="P83" s="49">
        <f t="shared" si="11"/>
        <v>8.0333333333333332</v>
      </c>
      <c r="Q83" s="34">
        <f>VLOOKUP($G83,Agendamento!$B:$F,5,0)</f>
        <v>5</v>
      </c>
      <c r="R83" s="36">
        <f t="shared" si="15"/>
        <v>64</v>
      </c>
      <c r="S83" s="44">
        <v>2.5499999999999998</v>
      </c>
      <c r="T83" s="44">
        <f t="shared" si="16"/>
        <v>39331.199999999997</v>
      </c>
      <c r="U83" t="s">
        <v>4972</v>
      </c>
      <c r="V83" t="str">
        <f t="shared" si="17"/>
        <v>NF/64237775_20260212_nf_06.pdf</v>
      </c>
      <c r="W83" s="32" t="str">
        <f t="shared" si="12"/>
        <v>NF - VAMOS TOCAR O ABC!</v>
      </c>
      <c r="X83" t="s">
        <v>5591</v>
      </c>
    </row>
    <row r="84" spans="1:24" x14ac:dyDescent="0.25">
      <c r="A84" t="str">
        <f>CONCATENATE(D84,"_",TEXT(M84,"ddmmaaaa"),"_",COUNTIF($D$2:D84,D84))</f>
        <v>121827330001-73_12022026_2</v>
      </c>
      <c r="B84" t="str">
        <f>CONCATENATE(Analise!D84,"_",COUNTIF(Analise!$D$2:D84,Analise!D84))</f>
        <v>121827330001-73_2</v>
      </c>
      <c r="C84" s="34">
        <f>COUNTIF('Obras e Acervos'!$C:$C,CONCATENATE(LEFT(D84,12),RIGHT(D84,2)))</f>
        <v>2</v>
      </c>
      <c r="D84" t="s">
        <v>4540</v>
      </c>
      <c r="E84" t="str">
        <f>VLOOKUP($B84,'Obras e Acervos'!$B:$X,3,0)</f>
        <v>MEF EDITORA LTDA.-SEMEAR IDEIAS LTDA</v>
      </c>
      <c r="F84" t="str">
        <f>VLOOKUP($B84,'Obras e Acervos'!$B:$X,7,0)</f>
        <v>1088L23000020LE</v>
      </c>
      <c r="G84" t="str">
        <f>VLOOKUP($B84,'Obras e Acervos'!$B:$X,5,0)</f>
        <v>O REI DE QUASE-TUDO E AS VINHAS DE OURO</v>
      </c>
      <c r="H84">
        <f>VLOOKUP($B84,'Obras e Acervos'!$B:$X,18,0)</f>
        <v>12</v>
      </c>
      <c r="I84">
        <f>VLOOKUP($B84,'Obras e Acervos'!$B:$X,19,0)</f>
        <v>30070</v>
      </c>
      <c r="J84" s="42">
        <f>VLOOKUP($B84,'Obras e Acervos'!$B:$X,20,0)</f>
        <v>2555.9500000000003</v>
      </c>
      <c r="K84" s="31">
        <f>VLOOKUP($B84,'Obras e Acervos'!$B:$X,21,0)</f>
        <v>5.48</v>
      </c>
      <c r="L84" s="31">
        <f t="shared" si="13"/>
        <v>164783.6</v>
      </c>
      <c r="M84" s="1">
        <v>46065</v>
      </c>
      <c r="N84" s="1">
        <f t="shared" si="10"/>
        <v>46305</v>
      </c>
      <c r="O84">
        <f t="shared" si="14"/>
        <v>241</v>
      </c>
      <c r="P84" s="49">
        <f t="shared" si="11"/>
        <v>8.0333333333333332</v>
      </c>
      <c r="Q84" s="34">
        <f>VLOOKUP($G84,Agendamento!$B:$F,5,0)</f>
        <v>3</v>
      </c>
      <c r="R84" s="36">
        <f t="shared" si="15"/>
        <v>31</v>
      </c>
      <c r="S84" s="44">
        <v>2.5499999999999998</v>
      </c>
      <c r="T84" s="44">
        <f t="shared" si="16"/>
        <v>19051.05</v>
      </c>
      <c r="U84" t="s">
        <v>4972</v>
      </c>
      <c r="V84" t="str">
        <f t="shared" si="17"/>
        <v>NF/64237775_20260212_nf_06.pdf</v>
      </c>
      <c r="W84" s="32" t="str">
        <f t="shared" si="12"/>
        <v>NF - O REI DE QUASE-TUDO E AS VINHAS DE OURO</v>
      </c>
      <c r="X84" t="s">
        <v>5591</v>
      </c>
    </row>
    <row r="85" spans="1:24" x14ac:dyDescent="0.25">
      <c r="A85" t="str">
        <f>CONCATENATE(D85,"_",TEXT(M85,"ddmmaaaa"),"_",COUNTIF($D$2:D85,D85))</f>
        <v>249063420001-33_12022026_1</v>
      </c>
      <c r="B85" t="str">
        <f>CONCATENATE(Analise!D85,"_",COUNTIF(Analise!$D$2:D85,Analise!D85)+1)</f>
        <v>249063420001-33_2</v>
      </c>
      <c r="C85" s="34">
        <f>COUNTIF('Obras e Acervos'!$C:$C,CONCATENATE(LEFT(D85,12),RIGHT(D85,2)))</f>
        <v>2</v>
      </c>
      <c r="D85" t="s">
        <v>4545</v>
      </c>
      <c r="E85" t="str">
        <f>VLOOKUP($B85,'Obras e Acervos'!$B:$X,3,0)</f>
        <v>IBEP SISTEMAS DE ENSINO-IBEP SISTEMAS</v>
      </c>
      <c r="F85" t="str">
        <f>VLOOKUP($B85,'Obras e Acervos'!$B:$X,7,0)</f>
        <v>0800L23000020LE</v>
      </c>
      <c r="G85" t="str">
        <f>VLOOKUP($B85,'Obras e Acervos'!$B:$X,5,0)</f>
        <v>A ILHA DO TESOURO</v>
      </c>
      <c r="H85">
        <f>VLOOKUP($B85,'Obras e Acervos'!$B:$X,18,0)</f>
        <v>12</v>
      </c>
      <c r="I85">
        <f>VLOOKUP($B85,'Obras e Acervos'!$B:$X,19,0)</f>
        <v>42296</v>
      </c>
      <c r="J85" s="42">
        <f>VLOOKUP($B85,'Obras e Acervos'!$B:$X,20,0)</f>
        <v>6471.2879999999996</v>
      </c>
      <c r="K85" s="31">
        <f>VLOOKUP($B85,'Obras e Acervos'!$B:$X,21,0)</f>
        <v>11.53</v>
      </c>
      <c r="L85" s="31">
        <f t="shared" si="13"/>
        <v>487672.87999999995</v>
      </c>
      <c r="M85" s="1">
        <v>46065</v>
      </c>
      <c r="N85" s="1">
        <f t="shared" si="10"/>
        <v>46305</v>
      </c>
      <c r="O85">
        <f t="shared" si="14"/>
        <v>241</v>
      </c>
      <c r="P85" s="49">
        <f t="shared" si="11"/>
        <v>8.0333333333333332</v>
      </c>
      <c r="Q85" s="34">
        <f>VLOOKUP($G85,Agendamento!$B:$F,5,0)</f>
        <v>7</v>
      </c>
      <c r="R85" s="36">
        <f t="shared" si="15"/>
        <v>43</v>
      </c>
      <c r="S85" s="44">
        <v>2.5499999999999998</v>
      </c>
      <c r="T85" s="44">
        <f t="shared" si="16"/>
        <v>26425.649999999998</v>
      </c>
      <c r="U85" t="s">
        <v>4980</v>
      </c>
      <c r="V85" t="str">
        <f t="shared" si="17"/>
        <v>NF/64237775_20260212_nf_07.pdf</v>
      </c>
      <c r="W85" s="32" t="str">
        <f t="shared" si="12"/>
        <v>NF - A ILHA DO TESOURO</v>
      </c>
      <c r="X85" t="s">
        <v>5591</v>
      </c>
    </row>
    <row r="86" spans="1:24" x14ac:dyDescent="0.25">
      <c r="A86" t="str">
        <f>CONCATENATE(D86,"_",TEXT(M86,"ddmmaaaa"),"_",COUNTIF($D$2:D86,D86))</f>
        <v>288258240001-10_12022026_1</v>
      </c>
      <c r="B86" t="str">
        <f>CONCATENATE(Analise!D86,"_",COUNTIF(Analise!$D$2:D86,Analise!D86)+1)</f>
        <v>288258240001-10_2</v>
      </c>
      <c r="C86" s="34">
        <f>COUNTIF('Obras e Acervos'!$C:$C,CONCATENATE(LEFT(D86,12),RIGHT(D86,2)))</f>
        <v>2</v>
      </c>
      <c r="D86" t="s">
        <v>4541</v>
      </c>
      <c r="E86" t="str">
        <f>VLOOKUP($B86,'Obras e Acervos'!$B:$X,3,0)</f>
        <v>AYLLON EDITORA LTDA-AYLLON</v>
      </c>
      <c r="F86" t="str">
        <f>VLOOKUP($B86,'Obras e Acervos'!$B:$X,7,0)</f>
        <v>1346L23000020LE</v>
      </c>
      <c r="G86" t="str">
        <f>VLOOKUP($B86,'Obras e Acervos'!$B:$X,5,0)</f>
        <v>VIAGEM AO REINO ENCANTADO DO CORDEL</v>
      </c>
      <c r="H86">
        <f>VLOOKUP($B86,'Obras e Acervos'!$B:$X,18,0)</f>
        <v>16</v>
      </c>
      <c r="I86">
        <f>VLOOKUP($B86,'Obras e Acervos'!$B:$X,19,0)</f>
        <v>37166</v>
      </c>
      <c r="J86" s="42">
        <f>VLOOKUP($B86,'Obras e Acervos'!$B:$X,20,0)</f>
        <v>3716.6000000000004</v>
      </c>
      <c r="K86" s="31">
        <f>VLOOKUP($B86,'Obras e Acervos'!$B:$X,21,0)</f>
        <v>6.3</v>
      </c>
      <c r="L86" s="31">
        <f t="shared" si="13"/>
        <v>234145.8</v>
      </c>
      <c r="M86" s="1">
        <v>46065</v>
      </c>
      <c r="N86" s="1">
        <f t="shared" si="10"/>
        <v>46305</v>
      </c>
      <c r="O86">
        <f t="shared" si="14"/>
        <v>241</v>
      </c>
      <c r="P86" s="49">
        <f t="shared" si="11"/>
        <v>8.0333333333333332</v>
      </c>
      <c r="Q86" s="34">
        <f>VLOOKUP($G86,Agendamento!$B:$F,5,0)</f>
        <v>4</v>
      </c>
      <c r="R86" s="36">
        <f t="shared" si="15"/>
        <v>38</v>
      </c>
      <c r="S86" s="44">
        <v>2.5499999999999998</v>
      </c>
      <c r="T86" s="44">
        <f t="shared" si="16"/>
        <v>23352.899999999998</v>
      </c>
      <c r="U86" t="s">
        <v>4973</v>
      </c>
      <c r="V86" t="str">
        <f t="shared" si="17"/>
        <v>NF/64237775_20260212_nf_08.pdf</v>
      </c>
      <c r="W86" s="32" t="str">
        <f t="shared" si="12"/>
        <v>NF - VIAGEM AO REINO ENCANTADO DO CORDEL</v>
      </c>
      <c r="X86" t="s">
        <v>5591</v>
      </c>
    </row>
    <row r="87" spans="1:24" x14ac:dyDescent="0.25">
      <c r="A87" t="str">
        <f>CONCATENATE(D87,"_",TEXT(M87,"ddmmaaaa"),"_",COUNTIF($D$2:D87,D87))</f>
        <v>199080820001-03_12022026_1</v>
      </c>
      <c r="B87" t="str">
        <f>CONCATENATE(Analise!D87,"_",COUNTIF(Analise!$D$2:D87,Analise!D87))</f>
        <v>199080820001-03_1</v>
      </c>
      <c r="C87" s="34">
        <f>COUNTIF('Obras e Acervos'!$C:$C,CONCATENATE(LEFT(D87,12),RIGHT(D87,2)))</f>
        <v>2</v>
      </c>
      <c r="D87" t="s">
        <v>4543</v>
      </c>
      <c r="E87" t="str">
        <f>VLOOKUP($B87,'Obras e Acervos'!$B:$X,3,0)</f>
        <v>VALOR CRUCIAL TREINAMENTO LTDA-VALOR CRUCIAL</v>
      </c>
      <c r="F87" t="str">
        <f>VLOOKUP($B87,'Obras e Acervos'!$B:$X,7,0)</f>
        <v>1171L23000030LE</v>
      </c>
      <c r="G87" t="str">
        <f>VLOOKUP($B87,'Obras e Acervos'!$B:$X,5,0)</f>
        <v>A BALEIA E O SUBMARINO</v>
      </c>
      <c r="H87">
        <f>VLOOKUP($B87,'Obras e Acervos'!$B:$X,18,0)</f>
        <v>10</v>
      </c>
      <c r="I87">
        <f>VLOOKUP($B87,'Obras e Acervos'!$B:$X,19,0)</f>
        <v>44160</v>
      </c>
      <c r="J87" s="42">
        <f>VLOOKUP($B87,'Obras e Acervos'!$B:$X,20,0)</f>
        <v>4769.28</v>
      </c>
      <c r="K87" s="31">
        <f>VLOOKUP($B87,'Obras e Acervos'!$B:$X,21,0)</f>
        <v>5.13</v>
      </c>
      <c r="L87" s="31">
        <f t="shared" si="13"/>
        <v>226540.79999999999</v>
      </c>
      <c r="M87" s="1">
        <v>46065</v>
      </c>
      <c r="N87" s="1">
        <f t="shared" si="10"/>
        <v>46305</v>
      </c>
      <c r="O87">
        <f t="shared" si="14"/>
        <v>241</v>
      </c>
      <c r="P87" s="49">
        <f t="shared" si="11"/>
        <v>8.0333333333333332</v>
      </c>
      <c r="Q87" s="34">
        <f>VLOOKUP($G87,Agendamento!$B:$F,5,0)</f>
        <v>6</v>
      </c>
      <c r="R87" s="36">
        <f t="shared" si="15"/>
        <v>45</v>
      </c>
      <c r="S87" s="44">
        <v>2.5499999999999998</v>
      </c>
      <c r="T87" s="44">
        <f t="shared" si="16"/>
        <v>27654.749999999996</v>
      </c>
      <c r="U87" t="s">
        <v>4977</v>
      </c>
      <c r="V87" t="str">
        <f t="shared" si="17"/>
        <v>NF/64237775_20260212_nf_09.pdf</v>
      </c>
      <c r="W87" s="32" t="str">
        <f t="shared" si="12"/>
        <v>NF - A BALEIA E O SUBMARINO</v>
      </c>
      <c r="X87" t="s">
        <v>5591</v>
      </c>
    </row>
    <row r="88" spans="1:24" x14ac:dyDescent="0.25">
      <c r="A88" t="str">
        <f>CONCATENATE(D88,"_",TEXT(M88,"ddmmaaaa"),"_",COUNTIF($D$2:D88,D88))</f>
        <v>502688380001-39_12022026_1</v>
      </c>
      <c r="B88" t="str">
        <f>CONCATENATE(Analise!D88,"_",COUNTIF(Analise!$D$2:D88,Analise!D88))</f>
        <v>502688380001-39_1</v>
      </c>
      <c r="C88" s="34">
        <f>COUNTIF('Obras e Acervos'!$C:$C,CONCATENATE(LEFT(D88,12),RIGHT(D88,2)))</f>
        <v>1</v>
      </c>
      <c r="D88" t="s">
        <v>4542</v>
      </c>
      <c r="E88" t="str">
        <f>VLOOKUP($B88,'Obras e Acervos'!$B:$X,3,0)</f>
        <v>SARAIVA EDUCAÇÃO S.A.-SARAIVA</v>
      </c>
      <c r="F88" t="str">
        <f>VLOOKUP($B88,'Obras e Acervos'!$B:$X,7,0)</f>
        <v>0408L23000020LE</v>
      </c>
      <c r="G88" t="str">
        <f>VLOOKUP($B88,'Obras e Acervos'!$B:$X,5,0)</f>
        <v>A POESIA SE FAZ NUM PESCAR DE OLHOS</v>
      </c>
      <c r="H88">
        <f>VLOOKUP($B88,'Obras e Acervos'!$B:$X,18,0)</f>
        <v>20</v>
      </c>
      <c r="I88">
        <f>VLOOKUP($B88,'Obras e Acervos'!$B:$X,19,0)</f>
        <v>39394</v>
      </c>
      <c r="J88" s="42">
        <f>VLOOKUP($B88,'Obras e Acervos'!$B:$X,20,0)</f>
        <v>5436.3720000000003</v>
      </c>
      <c r="K88" s="31">
        <f>VLOOKUP($B88,'Obras e Acervos'!$B:$X,21,0)</f>
        <v>7.13</v>
      </c>
      <c r="L88" s="31">
        <f t="shared" si="13"/>
        <v>280879.21999999997</v>
      </c>
      <c r="M88" s="1">
        <v>46065</v>
      </c>
      <c r="N88" s="1">
        <f t="shared" si="10"/>
        <v>46305</v>
      </c>
      <c r="O88">
        <f t="shared" si="14"/>
        <v>241</v>
      </c>
      <c r="P88" s="49">
        <f t="shared" si="11"/>
        <v>8.0333333333333332</v>
      </c>
      <c r="Q88" s="34">
        <f>VLOOKUP($G88,Agendamento!$B:$F,5,0)</f>
        <v>1</v>
      </c>
      <c r="R88" s="36">
        <f t="shared" si="15"/>
        <v>40</v>
      </c>
      <c r="S88" s="44">
        <v>2.5499999999999998</v>
      </c>
      <c r="T88" s="44">
        <f t="shared" si="16"/>
        <v>24582</v>
      </c>
      <c r="U88" t="s">
        <v>4987</v>
      </c>
      <c r="V88" t="str">
        <f t="shared" si="17"/>
        <v>NF/64237775_20260212_nf_10.pdf</v>
      </c>
      <c r="W88" s="32" t="str">
        <f t="shared" si="12"/>
        <v>NF - A POESIA SE FAZ NUM PESCAR DE OLHOS</v>
      </c>
      <c r="X88" t="s">
        <v>5591</v>
      </c>
    </row>
    <row r="89" spans="1:24" x14ac:dyDescent="0.25">
      <c r="A89" t="str">
        <f>CONCATENATE(D89,"_",TEXT(M89,"ddmmaaaa"),"_",COUNTIF($D$2:D89,D89))</f>
        <v>801907960001-21_12022026_1</v>
      </c>
      <c r="B89" t="str">
        <f>CONCATENATE(Analise!D89,"_",COUNTIF(Analise!$D$2:D89,Analise!D89))</f>
        <v>801907960001-21_1</v>
      </c>
      <c r="C89" s="34">
        <f>COUNTIF('Obras e Acervos'!$C:$C,CONCATENATE(LEFT(D89,12),RIGHT(D89,2)))</f>
        <v>2</v>
      </c>
      <c r="D89" t="s">
        <v>4544</v>
      </c>
      <c r="E89" t="str">
        <f>VLOOKUP($B89,'Obras e Acervos'!$B:$X,3,0)</f>
        <v>MAXIPRINT EDITORA LTDA.-MAXIPRINT</v>
      </c>
      <c r="F89" t="str">
        <f>VLOOKUP($B89,'Obras e Acervos'!$B:$X,7,0)</f>
        <v>0431L23000030LE</v>
      </c>
      <c r="G89" t="str">
        <f>VLOOKUP($B89,'Obras e Acervos'!$B:$X,5,0)</f>
        <v>O NASCIMENTO DO UNIVERSO</v>
      </c>
      <c r="H89">
        <f>VLOOKUP($B89,'Obras e Acervos'!$B:$X,18,0)</f>
        <v>9</v>
      </c>
      <c r="I89">
        <f>VLOOKUP($B89,'Obras e Acervos'!$B:$X,19,0)</f>
        <v>33567</v>
      </c>
      <c r="J89" s="42">
        <f>VLOOKUP($B89,'Obras e Acervos'!$B:$X,20,0)</f>
        <v>4632.2460000000001</v>
      </c>
      <c r="K89" s="31">
        <f>VLOOKUP($B89,'Obras e Acervos'!$B:$X,21,0)</f>
        <v>7.73</v>
      </c>
      <c r="L89" s="31">
        <f t="shared" si="13"/>
        <v>259472.91</v>
      </c>
      <c r="M89" s="1">
        <v>46065</v>
      </c>
      <c r="N89" s="1">
        <f t="shared" si="10"/>
        <v>46305</v>
      </c>
      <c r="O89">
        <f t="shared" si="14"/>
        <v>241</v>
      </c>
      <c r="P89" s="49">
        <f t="shared" si="11"/>
        <v>8.0333333333333332</v>
      </c>
      <c r="Q89" s="34">
        <f>VLOOKUP($G89,Agendamento!$B:$F,5,0)</f>
        <v>1</v>
      </c>
      <c r="R89" s="36">
        <f t="shared" si="15"/>
        <v>34</v>
      </c>
      <c r="S89" s="44">
        <v>2.5499999999999998</v>
      </c>
      <c r="T89" s="44">
        <f t="shared" si="16"/>
        <v>20894.699999999997</v>
      </c>
      <c r="U89" t="s">
        <v>4978</v>
      </c>
      <c r="V89" t="str">
        <f t="shared" si="17"/>
        <v>NF/64237775_20260212_nf_12.pdf</v>
      </c>
      <c r="W89" s="32" t="str">
        <f t="shared" si="12"/>
        <v>NF - O NASCIMENTO DO UNIVERSO</v>
      </c>
      <c r="X89" t="s">
        <v>5591</v>
      </c>
    </row>
    <row r="90" spans="1:24" x14ac:dyDescent="0.25">
      <c r="A90" t="str">
        <f>CONCATENATE(D90,"_",TEXT(M90,"ddmmaaaa"),"_",COUNTIF($D$2:D90,D90))</f>
        <v>801907960001-21_12022026_2</v>
      </c>
      <c r="B90" t="str">
        <f>CONCATENATE(Analise!D90,"_",COUNTIF(Analise!$D$2:D90,Analise!D90))</f>
        <v>801907960001-21_2</v>
      </c>
      <c r="C90" s="34">
        <f>COUNTIF('Obras e Acervos'!$C:$C,CONCATENATE(LEFT(D90,12),RIGHT(D90,2)))</f>
        <v>2</v>
      </c>
      <c r="D90" t="s">
        <v>4544</v>
      </c>
      <c r="E90" t="str">
        <f>VLOOKUP($B90,'Obras e Acervos'!$B:$X,3,0)</f>
        <v>MAXIPRINT EDITORA LTDA.-MAXIPRINT</v>
      </c>
      <c r="F90" t="str">
        <f>VLOOKUP($B90,'Obras e Acervos'!$B:$X,7,0)</f>
        <v>0432L23000020LE</v>
      </c>
      <c r="G90" t="str">
        <f>VLOOKUP($B90,'Obras e Acervos'!$B:$X,5,0)</f>
        <v>ARMAZÉM DO FOLCLORE</v>
      </c>
      <c r="H90">
        <f>VLOOKUP($B90,'Obras e Acervos'!$B:$X,18,0)</f>
        <v>15</v>
      </c>
      <c r="I90">
        <f>VLOOKUP($B90,'Obras e Acervos'!$B:$X,19,0)</f>
        <v>43442</v>
      </c>
      <c r="J90" s="42">
        <f>VLOOKUP($B90,'Obras e Acervos'!$B:$X,20,0)</f>
        <v>13597.346</v>
      </c>
      <c r="K90" s="31">
        <f>VLOOKUP($B90,'Obras e Acervos'!$B:$X,21,0)</f>
        <v>15.31</v>
      </c>
      <c r="L90" s="31">
        <f t="shared" si="13"/>
        <v>665097.02</v>
      </c>
      <c r="M90" s="1">
        <v>46065</v>
      </c>
      <c r="N90" s="1">
        <f t="shared" si="10"/>
        <v>46305</v>
      </c>
      <c r="O90">
        <f t="shared" si="14"/>
        <v>241</v>
      </c>
      <c r="P90" s="49">
        <f t="shared" si="11"/>
        <v>8.0333333333333332</v>
      </c>
      <c r="Q90" s="34">
        <f>VLOOKUP($G90,Agendamento!$B:$F,5,0)</f>
        <v>1</v>
      </c>
      <c r="R90" s="36">
        <f t="shared" si="15"/>
        <v>44</v>
      </c>
      <c r="S90" s="44">
        <v>2.5499999999999998</v>
      </c>
      <c r="T90" s="44">
        <f t="shared" si="16"/>
        <v>27040.199999999997</v>
      </c>
      <c r="U90" t="s">
        <v>4978</v>
      </c>
      <c r="V90" t="str">
        <f t="shared" si="17"/>
        <v>NF/64237775_20260212_nf_12.pdf</v>
      </c>
      <c r="W90" s="32" t="str">
        <f t="shared" si="12"/>
        <v>NF - ARMAZÉM DO FOLCLORE</v>
      </c>
      <c r="X90" t="s">
        <v>5591</v>
      </c>
    </row>
    <row r="91" spans="1:24" x14ac:dyDescent="0.25">
      <c r="A91" t="str">
        <f>CONCATENATE(D91,"_",TEXT(M91,"ddmmaaaa"),"_",COUNTIF($D$2:D91,D91))</f>
        <v>444120450001-49_12022026_1</v>
      </c>
      <c r="B91" t="str">
        <f>CONCATENATE(Analise!D91,"_",COUNTIF(Analise!$D$2:D91,Analise!D91))</f>
        <v>444120450001-49_1</v>
      </c>
      <c r="C91" s="34">
        <f>COUNTIF('Obras e Acervos'!$C:$C,CONCATENATE(LEFT(D91,12),RIGHT(D91,2)))</f>
        <v>2</v>
      </c>
      <c r="D91" t="s">
        <v>4546</v>
      </c>
      <c r="E91" t="str">
        <f>VLOOKUP($B91,'Obras e Acervos'!$B:$X,3,0)</f>
        <v>KAAS EDITORA-KAAS EDITORA</v>
      </c>
      <c r="F91" t="str">
        <f>VLOOKUP($B91,'Obras e Acervos'!$B:$X,7,0)</f>
        <v>0908L23000030LE</v>
      </c>
      <c r="G91" t="str">
        <f>VLOOKUP($B91,'Obras e Acervos'!$B:$X,5,0)</f>
        <v>PRÍNCIPE NÃO</v>
      </c>
      <c r="H91">
        <f>VLOOKUP($B91,'Obras e Acervos'!$B:$X,18,0)</f>
        <v>7</v>
      </c>
      <c r="I91">
        <f>VLOOKUP($B91,'Obras e Acervos'!$B:$X,19,0)</f>
        <v>33222</v>
      </c>
      <c r="J91" s="42">
        <f>VLOOKUP($B91,'Obras e Acervos'!$B:$X,20,0)</f>
        <v>3089.6460000000002</v>
      </c>
      <c r="K91" s="31">
        <f>VLOOKUP($B91,'Obras e Acervos'!$B:$X,21,0)</f>
        <v>5.94</v>
      </c>
      <c r="L91" s="31">
        <f t="shared" si="13"/>
        <v>197338.68000000002</v>
      </c>
      <c r="M91" s="1">
        <v>46065</v>
      </c>
      <c r="N91" s="1">
        <f t="shared" si="10"/>
        <v>46305</v>
      </c>
      <c r="O91">
        <f t="shared" si="14"/>
        <v>241</v>
      </c>
      <c r="P91" s="49">
        <f t="shared" si="11"/>
        <v>8.0333333333333332</v>
      </c>
      <c r="Q91" s="34">
        <f>VLOOKUP($G91,Agendamento!$B:$F,5,0)</f>
        <v>4</v>
      </c>
      <c r="R91" s="36">
        <f t="shared" si="15"/>
        <v>34</v>
      </c>
      <c r="S91" s="44">
        <v>2.5499999999999998</v>
      </c>
      <c r="T91" s="44">
        <f t="shared" si="16"/>
        <v>20894.699999999997</v>
      </c>
      <c r="U91" t="s">
        <v>4981</v>
      </c>
      <c r="V91" t="str">
        <f t="shared" si="17"/>
        <v>NF/64237775_20260212_nf_14.pdf</v>
      </c>
      <c r="W91" s="32" t="str">
        <f t="shared" si="12"/>
        <v>NF - PRÍNCIPE NÃO</v>
      </c>
      <c r="X91" t="s">
        <v>5591</v>
      </c>
    </row>
    <row r="92" spans="1:24" x14ac:dyDescent="0.25">
      <c r="A92" t="str">
        <f>CONCATENATE(D92,"_",TEXT(M92,"ddmmaaaa"),"_",COUNTIF($D$2:D92,D92))</f>
        <v>362221560001-64_12022026_1</v>
      </c>
      <c r="B92" t="str">
        <f>CONCATENATE(Analise!D92,"_",COUNTIF(Analise!$D$2:D92,Analise!D92))</f>
        <v>362221560001-64_1</v>
      </c>
      <c r="C92" s="34">
        <f>COUNTIF('Obras e Acervos'!$C:$C,CONCATENATE(LEFT(D92,12),RIGHT(D92,2)))</f>
        <v>2</v>
      </c>
      <c r="D92" t="s">
        <v>4553</v>
      </c>
      <c r="E92" t="str">
        <f>VLOOKUP($B92,'Obras e Acervos'!$B:$X,3,0)</f>
        <v>BRINQUE-BOOK EDITORA DE LIVROS LTDA-</v>
      </c>
      <c r="F92" t="str">
        <f>VLOOKUP($B92,'Obras e Acervos'!$B:$X,7,0)</f>
        <v>0653L23000030LE</v>
      </c>
      <c r="G92" t="str">
        <f>VLOOKUP($B92,'Obras e Acervos'!$B:$X,5,0)</f>
        <v>O INCRÍVEL LIVRO DO GILDO</v>
      </c>
      <c r="H92">
        <f>VLOOKUP($B92,'Obras e Acervos'!$B:$X,18,0)</f>
        <v>9</v>
      </c>
      <c r="I92">
        <f>VLOOKUP($B92,'Obras e Acervos'!$B:$X,19,0)</f>
        <v>35870</v>
      </c>
      <c r="J92" s="42">
        <f>VLOOKUP($B92,'Obras e Acervos'!$B:$X,20,0)</f>
        <v>3587</v>
      </c>
      <c r="K92" s="31">
        <f>VLOOKUP($B92,'Obras e Acervos'!$B:$X,21,0)</f>
        <v>5.87</v>
      </c>
      <c r="L92" s="31">
        <f t="shared" si="13"/>
        <v>210556.9</v>
      </c>
      <c r="M92" s="1">
        <v>46065</v>
      </c>
      <c r="N92" s="1">
        <f t="shared" si="10"/>
        <v>46305</v>
      </c>
      <c r="O92">
        <f t="shared" si="14"/>
        <v>241</v>
      </c>
      <c r="P92" s="49">
        <f t="shared" si="11"/>
        <v>8.0333333333333332</v>
      </c>
      <c r="Q92" s="34">
        <f>VLOOKUP($G92,Agendamento!$B:$F,5,0)</f>
        <v>5</v>
      </c>
      <c r="R92" s="36">
        <f t="shared" si="15"/>
        <v>36</v>
      </c>
      <c r="S92" s="44">
        <v>2.5499999999999998</v>
      </c>
      <c r="T92" s="44">
        <f t="shared" si="16"/>
        <v>22123.8</v>
      </c>
      <c r="U92" t="s">
        <v>4989</v>
      </c>
      <c r="V92" t="str">
        <f t="shared" si="17"/>
        <v>NF/64237775_20260212_nf_15.pdf</v>
      </c>
      <c r="W92" s="32" t="str">
        <f t="shared" si="12"/>
        <v>NF - O INCRÍVEL LIVRO DO GILDO</v>
      </c>
      <c r="X92" t="s">
        <v>5591</v>
      </c>
    </row>
    <row r="93" spans="1:24" x14ac:dyDescent="0.25">
      <c r="A93" t="str">
        <f>CONCATENATE(D93,"_",TEXT(M93,"ddmmaaaa"),"_",COUNTIF($D$2:D93,D93))</f>
        <v>946025470001-00_12022026_1</v>
      </c>
      <c r="B93" t="str">
        <f>CONCATENATE(Analise!D93,"_",COUNTIF(Analise!$D$2:D93,Analise!D93))</f>
        <v>946025470001-00_1</v>
      </c>
      <c r="C93" s="34">
        <f>COUNTIF('Obras e Acervos'!$C:$C,CONCATENATE(LEFT(D93,12),RIGHT(D93,2)))</f>
        <v>2</v>
      </c>
      <c r="D93" t="s">
        <v>4547</v>
      </c>
      <c r="E93" t="str">
        <f>VLOOKUP($B93,'Obras e Acervos'!$B:$X,3,0)</f>
        <v>EDITORA PROJETO LTDA-PROJETO EDITORA</v>
      </c>
      <c r="F93" t="str">
        <f>VLOOKUP($B93,'Obras e Acervos'!$B:$X,7,0)</f>
        <v>1328L23000030LE</v>
      </c>
      <c r="G93" t="str">
        <f>VLOOKUP($B93,'Obras e Acervos'!$B:$X,5,0)</f>
        <v>É O TAMBOR DE CRIOULA!</v>
      </c>
      <c r="H93">
        <f>VLOOKUP($B93,'Obras e Acervos'!$B:$X,18,0)</f>
        <v>6</v>
      </c>
      <c r="I93">
        <f>VLOOKUP($B93,'Obras e Acervos'!$B:$X,19,0)</f>
        <v>41734</v>
      </c>
      <c r="J93" s="42">
        <f>VLOOKUP($B93,'Obras e Acervos'!$B:$X,20,0)</f>
        <v>4173.4000000000005</v>
      </c>
      <c r="K93" s="31">
        <f>VLOOKUP($B93,'Obras e Acervos'!$B:$X,21,0)</f>
        <v>5.83</v>
      </c>
      <c r="L93" s="31">
        <f t="shared" si="13"/>
        <v>243309.22</v>
      </c>
      <c r="M93" s="1">
        <v>46065</v>
      </c>
      <c r="N93" s="1">
        <f t="shared" si="10"/>
        <v>46305</v>
      </c>
      <c r="O93">
        <f t="shared" si="14"/>
        <v>241</v>
      </c>
      <c r="P93" s="49">
        <f t="shared" si="11"/>
        <v>8.0333333333333332</v>
      </c>
      <c r="Q93" s="34">
        <f>VLOOKUP($G93,Agendamento!$B:$F,5,0)</f>
        <v>7</v>
      </c>
      <c r="R93" s="36">
        <f t="shared" si="15"/>
        <v>42</v>
      </c>
      <c r="S93" s="44">
        <v>2.5499999999999998</v>
      </c>
      <c r="T93" s="44">
        <f t="shared" si="16"/>
        <v>25811.1</v>
      </c>
      <c r="U93" t="s">
        <v>4982</v>
      </c>
      <c r="V93" t="str">
        <f t="shared" si="17"/>
        <v>NF/64237775_20260212_nf_16.pdf</v>
      </c>
      <c r="W93" s="32" t="str">
        <f t="shared" si="12"/>
        <v>NF - É O TAMBOR DE CRIOULA!</v>
      </c>
      <c r="X93" t="s">
        <v>5591</v>
      </c>
    </row>
    <row r="94" spans="1:24" x14ac:dyDescent="0.25">
      <c r="A94" t="str">
        <f>CONCATENATE(D94,"_",TEXT(M94,"ddmmaaaa"),"_",COUNTIF($D$2:D94,D94))</f>
        <v>946025470001-00_12022026_2</v>
      </c>
      <c r="B94" t="str">
        <f>CONCATENATE(Analise!D94,"_",COUNTIF(Analise!$D$2:D94,Analise!D94))</f>
        <v>946025470001-00_2</v>
      </c>
      <c r="C94" s="34">
        <f>COUNTIF('Obras e Acervos'!$C:$C,CONCATENATE(LEFT(D94,12),RIGHT(D94,2)))</f>
        <v>2</v>
      </c>
      <c r="D94" t="s">
        <v>4547</v>
      </c>
      <c r="E94" t="str">
        <f>VLOOKUP($B94,'Obras e Acervos'!$B:$X,3,0)</f>
        <v>EDITORA PROJETO LTDA-PROJETO EDITORA</v>
      </c>
      <c r="F94" t="str">
        <f>VLOOKUP($B94,'Obras e Acervos'!$B:$X,7,0)</f>
        <v>1329L23000020LE</v>
      </c>
      <c r="G94" t="str">
        <f>VLOOKUP($B94,'Obras e Acervos'!$B:$X,5,0)</f>
        <v>A FADA QUE TINHA IDEIAS - PEÇA TEATRAL</v>
      </c>
      <c r="H94">
        <f>VLOOKUP($B94,'Obras e Acervos'!$B:$X,18,0)</f>
        <v>13</v>
      </c>
      <c r="I94">
        <f>VLOOKUP($B94,'Obras e Acervos'!$B:$X,19,0)</f>
        <v>41574</v>
      </c>
      <c r="J94" s="42">
        <f>VLOOKUP($B94,'Obras e Acervos'!$B:$X,20,0)</f>
        <v>8314.8000000000011</v>
      </c>
      <c r="K94" s="31">
        <f>VLOOKUP($B94,'Obras e Acervos'!$B:$X,21,0)</f>
        <v>8.74</v>
      </c>
      <c r="L94" s="31">
        <f t="shared" si="13"/>
        <v>363356.76</v>
      </c>
      <c r="M94" s="1">
        <v>46065</v>
      </c>
      <c r="N94" s="1">
        <f t="shared" si="10"/>
        <v>46305</v>
      </c>
      <c r="O94">
        <f t="shared" si="14"/>
        <v>241</v>
      </c>
      <c r="P94" s="49">
        <f t="shared" si="11"/>
        <v>8.0333333333333332</v>
      </c>
      <c r="Q94" s="34">
        <f>VLOOKUP($G94,Agendamento!$B:$F,5,0)</f>
        <v>7</v>
      </c>
      <c r="R94" s="36">
        <f t="shared" si="15"/>
        <v>42</v>
      </c>
      <c r="S94" s="44">
        <v>2.5499999999999998</v>
      </c>
      <c r="T94" s="44">
        <f t="shared" si="16"/>
        <v>25811.1</v>
      </c>
      <c r="U94" t="s">
        <v>4982</v>
      </c>
      <c r="V94" t="str">
        <f t="shared" si="17"/>
        <v>NF/64237775_20260212_nf_16.pdf</v>
      </c>
      <c r="W94" s="32" t="str">
        <f t="shared" si="12"/>
        <v>NF - A FADA QUE TINHA IDEIAS - PEÇA TEATRAL</v>
      </c>
      <c r="X94" t="s">
        <v>5591</v>
      </c>
    </row>
    <row r="95" spans="1:24" x14ac:dyDescent="0.25">
      <c r="A95" t="str">
        <f>CONCATENATE(D95,"_",TEXT(M95,"ddmmaaaa"),"_",COUNTIF($D$2:D95,D95))</f>
        <v>401505140001-48_12022026_1</v>
      </c>
      <c r="B95" t="str">
        <f>CONCATENATE(Analise!D95,"_",COUNTIF(Analise!$D$2:D95,Analise!D95))</f>
        <v>401505140001-48_1</v>
      </c>
      <c r="C95" s="34">
        <f>COUNTIF('Obras e Acervos'!$C:$C,CONCATENATE(LEFT(D95,12),RIGHT(D95,2)))</f>
        <v>2</v>
      </c>
      <c r="D95" t="s">
        <v>4549</v>
      </c>
      <c r="E95" t="str">
        <f>VLOOKUP($B95,'Obras e Acervos'!$B:$X,3,0)</f>
        <v>AGIR EDITORA LTDA-NÃO HÁ</v>
      </c>
      <c r="F95" t="str">
        <f>VLOOKUP($B95,'Obras e Acervos'!$B:$X,7,0)</f>
        <v>0374L23000030LE</v>
      </c>
      <c r="G95" t="str">
        <f>VLOOKUP($B95,'Obras e Acervos'!$B:$X,5,0)</f>
        <v>A ÁRVORE QUE PENSAVA</v>
      </c>
      <c r="H95">
        <f>VLOOKUP($B95,'Obras e Acervos'!$B:$X,18,0)</f>
        <v>9</v>
      </c>
      <c r="I95">
        <f>VLOOKUP($B95,'Obras e Acervos'!$B:$X,19,0)</f>
        <v>37870</v>
      </c>
      <c r="J95" s="42">
        <f>VLOOKUP($B95,'Obras e Acervos'!$B:$X,20,0)</f>
        <v>2991.73</v>
      </c>
      <c r="K95" s="31">
        <f>VLOOKUP($B95,'Obras e Acervos'!$B:$X,21,0)</f>
        <v>4.59</v>
      </c>
      <c r="L95" s="31">
        <f t="shared" si="13"/>
        <v>173823.3</v>
      </c>
      <c r="M95" s="1">
        <v>46065</v>
      </c>
      <c r="N95" s="1">
        <f t="shared" si="10"/>
        <v>46305</v>
      </c>
      <c r="O95">
        <f t="shared" si="14"/>
        <v>241</v>
      </c>
      <c r="P95" s="49">
        <f t="shared" si="11"/>
        <v>8.0333333333333332</v>
      </c>
      <c r="Q95" s="34">
        <f>VLOOKUP($G95,Agendamento!$B:$F,5,0)</f>
        <v>5</v>
      </c>
      <c r="R95" s="36">
        <f t="shared" si="15"/>
        <v>38</v>
      </c>
      <c r="S95" s="44">
        <v>2.5499999999999998</v>
      </c>
      <c r="T95" s="44">
        <f t="shared" si="16"/>
        <v>23352.899999999998</v>
      </c>
      <c r="U95" t="s">
        <v>4984</v>
      </c>
      <c r="V95" t="str">
        <f t="shared" si="17"/>
        <v>NF/64237775_20260212_nf_17.pdf</v>
      </c>
      <c r="W95" s="32" t="str">
        <f t="shared" si="12"/>
        <v>NF - A ÁRVORE QUE PENSAVA</v>
      </c>
      <c r="X95" t="s">
        <v>5591</v>
      </c>
    </row>
    <row r="96" spans="1:24" x14ac:dyDescent="0.25">
      <c r="A96" t="str">
        <f>CONCATENATE(D96,"_",TEXT(M96,"ddmmaaaa"),"_",COUNTIF($D$2:D96,D96))</f>
        <v>401505140001-48_12022026_2</v>
      </c>
      <c r="B96" t="str">
        <f>CONCATENATE(Analise!D96,"_",COUNTIF(Analise!$D$2:D96,Analise!D96))</f>
        <v>401505140001-48_2</v>
      </c>
      <c r="C96" s="34">
        <f>COUNTIF('Obras e Acervos'!$C:$C,CONCATENATE(LEFT(D96,12),RIGHT(D96,2)))</f>
        <v>2</v>
      </c>
      <c r="D96" t="s">
        <v>4549</v>
      </c>
      <c r="E96" t="str">
        <f>VLOOKUP($B96,'Obras e Acervos'!$B:$X,3,0)</f>
        <v>AGIR EDITORA LTDA-NÃO HÁ</v>
      </c>
      <c r="F96" t="str">
        <f>VLOOKUP($B96,'Obras e Acervos'!$B:$X,7,0)</f>
        <v>0375L23000020LE</v>
      </c>
      <c r="G96" t="str">
        <f>VLOOKUP($B96,'Obras e Acervos'!$B:$X,5,0)</f>
        <v>O PULO DO GATO</v>
      </c>
      <c r="H96">
        <f>VLOOKUP($B96,'Obras e Acervos'!$B:$X,18,0)</f>
        <v>15</v>
      </c>
      <c r="I96">
        <f>VLOOKUP($B96,'Obras e Acervos'!$B:$X,19,0)</f>
        <v>33534</v>
      </c>
      <c r="J96" s="42">
        <f>VLOOKUP($B96,'Obras e Acervos'!$B:$X,20,0)</f>
        <v>2649.1860000000001</v>
      </c>
      <c r="K96" s="31">
        <f>VLOOKUP($B96,'Obras e Acervos'!$B:$X,21,0)</f>
        <v>4.97</v>
      </c>
      <c r="L96" s="31">
        <f t="shared" si="13"/>
        <v>166663.97999999998</v>
      </c>
      <c r="M96" s="1">
        <v>46065</v>
      </c>
      <c r="N96" s="1">
        <f t="shared" si="10"/>
        <v>46305</v>
      </c>
      <c r="O96">
        <f t="shared" si="14"/>
        <v>241</v>
      </c>
      <c r="P96" s="49">
        <f t="shared" si="11"/>
        <v>8.0333333333333332</v>
      </c>
      <c r="Q96" s="34">
        <f>VLOOKUP($G96,Agendamento!$B:$F,5,0)</f>
        <v>4</v>
      </c>
      <c r="R96" s="36">
        <f t="shared" si="15"/>
        <v>34</v>
      </c>
      <c r="S96" s="44">
        <v>2.5499999999999998</v>
      </c>
      <c r="T96" s="44">
        <f t="shared" si="16"/>
        <v>20894.699999999997</v>
      </c>
      <c r="U96" t="s">
        <v>4984</v>
      </c>
      <c r="V96" t="str">
        <f t="shared" si="17"/>
        <v>NF/64237775_20260212_nf_17.pdf</v>
      </c>
      <c r="W96" s="32" t="str">
        <f t="shared" si="12"/>
        <v>NF - O PULO DO GATO</v>
      </c>
      <c r="X96" t="s">
        <v>5591</v>
      </c>
    </row>
    <row r="97" spans="1:24" x14ac:dyDescent="0.25">
      <c r="A97" t="str">
        <f>CONCATENATE(D97,"_",TEXT(M97,"ddmmaaaa"),"_",COUNTIF($D$2:D97,D97))</f>
        <v>044264470001-88_12022026_1</v>
      </c>
      <c r="B97" t="str">
        <f>CONCATENATE(Analise!D97,"_",COUNTIF(Analise!$D$2:D97,Analise!D97))</f>
        <v>044264470001-88_1</v>
      </c>
      <c r="C97" s="34">
        <f>COUNTIF('Obras e Acervos'!$C:$C,CONCATENATE(LEFT(D97,12),RIGHT(D97,2)))</f>
        <v>2</v>
      </c>
      <c r="D97" t="s">
        <v>4550</v>
      </c>
      <c r="E97" t="str">
        <f>VLOOKUP($B97,'Obras e Acervos'!$B:$X,3,0)</f>
        <v>EDIOURO DUETTO EDITORIAL LTDA-NÃO HÁ</v>
      </c>
      <c r="F97" t="str">
        <f>VLOOKUP($B97,'Obras e Acervos'!$B:$X,7,0)</f>
        <v>0357L23000030LE</v>
      </c>
      <c r="G97" t="str">
        <f>VLOOKUP($B97,'Obras e Acervos'!$B:$X,5,0)</f>
        <v>MEU AMIGO TROVÃO</v>
      </c>
      <c r="H97">
        <f>VLOOKUP($B97,'Obras e Acervos'!$B:$X,18,0)</f>
        <v>6</v>
      </c>
      <c r="I97">
        <f>VLOOKUP($B97,'Obras e Acervos'!$B:$X,19,0)</f>
        <v>36750</v>
      </c>
      <c r="J97" s="42">
        <f>VLOOKUP($B97,'Obras e Acervos'!$B:$X,20,0)</f>
        <v>2903.25</v>
      </c>
      <c r="K97" s="31">
        <f>VLOOKUP($B97,'Obras e Acervos'!$B:$X,21,0)</f>
        <v>4.8899999999999997</v>
      </c>
      <c r="L97" s="31">
        <f t="shared" si="13"/>
        <v>179707.5</v>
      </c>
      <c r="M97" s="1">
        <v>46065</v>
      </c>
      <c r="N97" s="1">
        <f t="shared" si="10"/>
        <v>46305</v>
      </c>
      <c r="O97">
        <f t="shared" si="14"/>
        <v>241</v>
      </c>
      <c r="P97" s="49">
        <f t="shared" si="11"/>
        <v>8.0333333333333332</v>
      </c>
      <c r="Q97" s="34">
        <f>VLOOKUP($G97,Agendamento!$B:$F,5,0)</f>
        <v>4</v>
      </c>
      <c r="R97" s="36">
        <f t="shared" si="15"/>
        <v>37</v>
      </c>
      <c r="S97" s="44">
        <v>2.5499999999999998</v>
      </c>
      <c r="T97" s="44">
        <f t="shared" si="16"/>
        <v>22738.35</v>
      </c>
      <c r="U97" t="s">
        <v>4985</v>
      </c>
      <c r="V97" t="str">
        <f t="shared" si="17"/>
        <v>NF/64237775_20260212_nf_18.pdf</v>
      </c>
      <c r="W97" s="32" t="str">
        <f t="shared" si="12"/>
        <v>NF - MEU AMIGO TROVÃO</v>
      </c>
      <c r="X97" t="s">
        <v>5591</v>
      </c>
    </row>
    <row r="98" spans="1:24" x14ac:dyDescent="0.25">
      <c r="A98" t="str">
        <f>CONCATENATE(D98,"_",TEXT(M98,"ddmmaaaa"),"_",COUNTIF($D$2:D98,D98))</f>
        <v>044264470001-88_12022026_2</v>
      </c>
      <c r="B98" t="str">
        <f>CONCATENATE(Analise!D98,"_",COUNTIF(Analise!$D$2:D98,Analise!D98))</f>
        <v>044264470001-88_2</v>
      </c>
      <c r="C98" s="34">
        <f>COUNTIF('Obras e Acervos'!$C:$C,CONCATENATE(LEFT(D98,12),RIGHT(D98,2)))</f>
        <v>2</v>
      </c>
      <c r="D98" t="s">
        <v>4550</v>
      </c>
      <c r="E98" t="str">
        <f>VLOOKUP($B98,'Obras e Acervos'!$B:$X,3,0)</f>
        <v>EDIOURO DUETTO EDITORIAL LTDA-NÃO HÁ</v>
      </c>
      <c r="F98" t="str">
        <f>VLOOKUP($B98,'Obras e Acervos'!$B:$X,7,0)</f>
        <v>0358L23000020LE</v>
      </c>
      <c r="G98" t="str">
        <f>VLOOKUP($B98,'Obras e Acervos'!$B:$X,5,0)</f>
        <v>O BAÚ DO SEU MACHADO</v>
      </c>
      <c r="H98">
        <f>VLOOKUP($B98,'Obras e Acervos'!$B:$X,18,0)</f>
        <v>20</v>
      </c>
      <c r="I98">
        <f>VLOOKUP($B98,'Obras e Acervos'!$B:$X,19,0)</f>
        <v>28168</v>
      </c>
      <c r="J98" s="42">
        <f>VLOOKUP($B98,'Obras e Acervos'!$B:$X,20,0)</f>
        <v>3098.48</v>
      </c>
      <c r="K98" s="31">
        <f>VLOOKUP($B98,'Obras e Acervos'!$B:$X,21,0)</f>
        <v>5.9</v>
      </c>
      <c r="L98" s="31">
        <f t="shared" si="13"/>
        <v>166191.20000000001</v>
      </c>
      <c r="M98" s="1">
        <v>46065</v>
      </c>
      <c r="N98" s="1">
        <f t="shared" si="10"/>
        <v>46305</v>
      </c>
      <c r="O98">
        <f t="shared" si="14"/>
        <v>241</v>
      </c>
      <c r="P98" s="49">
        <f t="shared" ref="P98:P129" si="18">O98/30</f>
        <v>8.0333333333333332</v>
      </c>
      <c r="Q98" s="34">
        <f>VLOOKUP($G98,Agendamento!$B:$F,5,0)</f>
        <v>4</v>
      </c>
      <c r="R98" s="36">
        <f t="shared" si="15"/>
        <v>29</v>
      </c>
      <c r="S98" s="44">
        <v>2.5499999999999998</v>
      </c>
      <c r="T98" s="44">
        <f t="shared" si="16"/>
        <v>17821.949999999997</v>
      </c>
      <c r="U98" t="s">
        <v>4985</v>
      </c>
      <c r="V98" t="str">
        <f t="shared" si="17"/>
        <v>NF/64237775_20260212_nf_18.pdf</v>
      </c>
      <c r="W98" s="32" t="str">
        <f t="shared" ref="W98:W129" si="19">HYPERLINK(CONCATENATE("saida/",U98),CONCATENATE("NF - ",G98))</f>
        <v>NF - O BAÚ DO SEU MACHADO</v>
      </c>
      <c r="X98" t="s">
        <v>5591</v>
      </c>
    </row>
    <row r="99" spans="1:24" x14ac:dyDescent="0.25">
      <c r="A99" t="str">
        <f>CONCATENATE(D99,"_",TEXT(M99,"ddmmaaaa"),"_",COUNTIF($D$2:D99,D99))</f>
        <v>222280700001-34_12022026_1</v>
      </c>
      <c r="B99" t="str">
        <f>CONCATENATE(Analise!D99,"_",COUNTIF(Analise!$D$2:D99,Analise!D99))</f>
        <v>222280700001-34_1</v>
      </c>
      <c r="C99" s="34">
        <f>COUNTIF('Obras e Acervos'!$C:$C,CONCATENATE(LEFT(D99,12),RIGHT(D99,2)))</f>
        <v>2</v>
      </c>
      <c r="D99" t="s">
        <v>4551</v>
      </c>
      <c r="E99" t="str">
        <f>VLOOKUP($B99,'Obras e Acervos'!$B:$X,3,0)</f>
        <v>BOM DE LER EDITORA LTDA-NÃO HÁ</v>
      </c>
      <c r="F99" t="str">
        <f>VLOOKUP($B99,'Obras e Acervos'!$B:$X,7,0)</f>
        <v>0389L23000030LE</v>
      </c>
      <c r="G99" t="str">
        <f>VLOOKUP($B99,'Obras e Acervos'!$B:$X,5,0)</f>
        <v>QUEM COMEU AS HISTORINHAS?</v>
      </c>
      <c r="H99">
        <f>VLOOKUP($B99,'Obras e Acervos'!$B:$X,18,0)</f>
        <v>8</v>
      </c>
      <c r="I99">
        <f>VLOOKUP($B99,'Obras e Acervos'!$B:$X,19,0)</f>
        <v>33119</v>
      </c>
      <c r="J99" s="42">
        <f>VLOOKUP($B99,'Obras e Acervos'!$B:$X,20,0)</f>
        <v>3179.424</v>
      </c>
      <c r="K99" s="31">
        <f>VLOOKUP($B99,'Obras e Acervos'!$B:$X,21,0)</f>
        <v>5.87</v>
      </c>
      <c r="L99" s="31">
        <f t="shared" si="13"/>
        <v>194408.53</v>
      </c>
      <c r="M99" s="1">
        <v>46065</v>
      </c>
      <c r="N99" s="1">
        <f t="shared" si="10"/>
        <v>46305</v>
      </c>
      <c r="O99">
        <f t="shared" si="14"/>
        <v>241</v>
      </c>
      <c r="P99" s="49">
        <f t="shared" si="18"/>
        <v>8.0333333333333332</v>
      </c>
      <c r="Q99" s="34">
        <f>VLOOKUP($G99,Agendamento!$B:$F,5,0)</f>
        <v>5</v>
      </c>
      <c r="R99" s="36">
        <f t="shared" si="15"/>
        <v>34</v>
      </c>
      <c r="S99" s="44">
        <v>2.5499999999999998</v>
      </c>
      <c r="T99" s="44">
        <f t="shared" si="16"/>
        <v>20894.699999999997</v>
      </c>
      <c r="U99" t="s">
        <v>4986</v>
      </c>
      <c r="V99" t="str">
        <f t="shared" si="17"/>
        <v>NF/64237775_20260212_nf_19.pdf</v>
      </c>
      <c r="W99" s="32" t="str">
        <f t="shared" si="19"/>
        <v>NF - QUEM COMEU AS HISTORINHAS?</v>
      </c>
      <c r="X99" t="s">
        <v>5591</v>
      </c>
    </row>
    <row r="100" spans="1:24" x14ac:dyDescent="0.25">
      <c r="A100" t="str">
        <f>CONCATENATE(D100,"_",TEXT(M100,"ddmmaaaa"),"_",COUNTIF($D$2:D100,D100))</f>
        <v>222280700001-34_12022026_2</v>
      </c>
      <c r="B100" t="str">
        <f>CONCATENATE(Analise!D100,"_",COUNTIF(Analise!$D$2:D100,Analise!D100))</f>
        <v>222280700001-34_2</v>
      </c>
      <c r="C100" s="34">
        <f>COUNTIF('Obras e Acervos'!$C:$C,CONCATENATE(LEFT(D100,12),RIGHT(D100,2)))</f>
        <v>2</v>
      </c>
      <c r="D100" t="s">
        <v>4551</v>
      </c>
      <c r="E100" t="str">
        <f>VLOOKUP($B100,'Obras e Acervos'!$B:$X,3,0)</f>
        <v>BOM DE LER EDITORA LTDA-NÃO HÁ</v>
      </c>
      <c r="F100" t="str">
        <f>VLOOKUP($B100,'Obras e Acervos'!$B:$X,7,0)</f>
        <v>0390L23000020LE</v>
      </c>
      <c r="G100" t="str">
        <f>VLOOKUP($B100,'Obras e Acervos'!$B:$X,5,0)</f>
        <v>A BRUXINHA QUE ERA BOA</v>
      </c>
      <c r="H100">
        <f>VLOOKUP($B100,'Obras e Acervos'!$B:$X,18,0)</f>
        <v>19</v>
      </c>
      <c r="I100">
        <f>VLOOKUP($B100,'Obras e Acervos'!$B:$X,19,0)</f>
        <v>34194</v>
      </c>
      <c r="J100" s="42">
        <f>VLOOKUP($B100,'Obras e Acervos'!$B:$X,20,0)</f>
        <v>4445.22</v>
      </c>
      <c r="K100" s="31">
        <f>VLOOKUP($B100,'Obras e Acervos'!$B:$X,21,0)</f>
        <v>7.56</v>
      </c>
      <c r="L100" s="31">
        <f t="shared" si="13"/>
        <v>258506.63999999998</v>
      </c>
      <c r="M100" s="1">
        <v>46065</v>
      </c>
      <c r="N100" s="1">
        <f t="shared" si="10"/>
        <v>46305</v>
      </c>
      <c r="O100">
        <f t="shared" si="14"/>
        <v>241</v>
      </c>
      <c r="P100" s="49">
        <f t="shared" si="18"/>
        <v>8.0333333333333332</v>
      </c>
      <c r="Q100" s="34">
        <f>VLOOKUP($G100,Agendamento!$B:$F,5,0)</f>
        <v>6</v>
      </c>
      <c r="R100" s="36">
        <f t="shared" si="15"/>
        <v>35</v>
      </c>
      <c r="S100" s="44">
        <v>2.5499999999999998</v>
      </c>
      <c r="T100" s="44">
        <f t="shared" si="16"/>
        <v>21509.25</v>
      </c>
      <c r="U100" t="s">
        <v>4986</v>
      </c>
      <c r="V100" t="str">
        <f t="shared" si="17"/>
        <v>NF/64237775_20260212_nf_19.pdf</v>
      </c>
      <c r="W100" s="32" t="str">
        <f t="shared" si="19"/>
        <v>NF - A BRUXINHA QUE ERA BOA</v>
      </c>
      <c r="X100" t="s">
        <v>5591</v>
      </c>
    </row>
    <row r="101" spans="1:24" x14ac:dyDescent="0.25">
      <c r="A101" t="str">
        <f>CONCATENATE(D101,"_",TEXT(M101,"ddmmaaaa"),"_",COUNTIF($D$2:D101,D101))</f>
        <v>886304130002-81_12022026_1</v>
      </c>
      <c r="B101" t="str">
        <f>CONCATENATE(Analise!D101,"_",COUNTIF(Analise!$D$2:D101,Analise!D101))</f>
        <v>886304130002-81_1</v>
      </c>
      <c r="C101" s="34">
        <f>COUNTIF('Obras e Acervos'!$C:$C,CONCATENATE(LEFT(D101,12),RIGHT(D101,2)))</f>
        <v>2</v>
      </c>
      <c r="D101" t="s">
        <v>4552</v>
      </c>
      <c r="E101" t="str">
        <f>VLOOKUP($B101,'Obras e Acervos'!$B:$X,3,0)</f>
        <v>UNIÃO BRASILEIRA DE EDUCAÇÃO E ASSISTÊNCIA-EDIPUCRS</v>
      </c>
      <c r="F101" t="str">
        <f>VLOOKUP($B101,'Obras e Acervos'!$B:$X,7,0)</f>
        <v>0773L23000030LE</v>
      </c>
      <c r="G101" t="str">
        <f>VLOOKUP($B101,'Obras e Acervos'!$B:$X,5,0)</f>
        <v>A PRINCESA QUE NÃO QUERIA APRENDER A LER</v>
      </c>
      <c r="H101">
        <f>VLOOKUP($B101,'Obras e Acervos'!$B:$X,18,0)</f>
        <v>8</v>
      </c>
      <c r="I101">
        <f>VLOOKUP($B101,'Obras e Acervos'!$B:$X,19,0)</f>
        <v>61374</v>
      </c>
      <c r="J101" s="42">
        <f>VLOOKUP($B101,'Obras e Acervos'!$B:$X,20,0)</f>
        <v>6812.5140000000001</v>
      </c>
      <c r="K101" s="31">
        <f>VLOOKUP($B101,'Obras e Acervos'!$B:$X,21,0)</f>
        <v>5.14</v>
      </c>
      <c r="L101" s="31">
        <f t="shared" si="13"/>
        <v>315462.36</v>
      </c>
      <c r="M101" s="1">
        <v>46065</v>
      </c>
      <c r="N101" s="1">
        <f t="shared" si="10"/>
        <v>46305</v>
      </c>
      <c r="O101">
        <f t="shared" si="14"/>
        <v>241</v>
      </c>
      <c r="P101" s="49">
        <f t="shared" si="18"/>
        <v>8.0333333333333332</v>
      </c>
      <c r="Q101" s="34">
        <f>VLOOKUP($G101,Agendamento!$B:$F,5,0)</f>
        <v>10</v>
      </c>
      <c r="R101" s="36">
        <f t="shared" si="15"/>
        <v>62</v>
      </c>
      <c r="S101" s="44">
        <v>2.5499999999999998</v>
      </c>
      <c r="T101" s="44">
        <f t="shared" si="16"/>
        <v>38102.1</v>
      </c>
      <c r="U101" t="s">
        <v>4988</v>
      </c>
      <c r="V101" t="str">
        <f t="shared" si="17"/>
        <v>NF/64237775_20260212_nf_21.pdf</v>
      </c>
      <c r="W101" s="32" t="str">
        <f t="shared" si="19"/>
        <v>NF - A PRINCESA QUE NÃO QUERIA APRENDER A LER</v>
      </c>
      <c r="X101" t="s">
        <v>5591</v>
      </c>
    </row>
    <row r="102" spans="1:24" x14ac:dyDescent="0.25">
      <c r="A102" t="str">
        <f>CONCATENATE(D102,"_",TEXT(M102,"ddmmaaaa"),"_",COUNTIF($D$2:D102,D102))</f>
        <v>886304130002-81_12022026_2</v>
      </c>
      <c r="B102" t="str">
        <f>CONCATENATE(Analise!D102,"_",COUNTIF(Analise!$D$2:D102,Analise!D102))</f>
        <v>886304130002-81_2</v>
      </c>
      <c r="C102" s="34">
        <f>COUNTIF('Obras e Acervos'!$C:$C,CONCATENATE(LEFT(D102,12),RIGHT(D102,2)))</f>
        <v>2</v>
      </c>
      <c r="D102" t="s">
        <v>4552</v>
      </c>
      <c r="E102" t="str">
        <f>VLOOKUP($B102,'Obras e Acervos'!$B:$X,3,0)</f>
        <v>UNIÃO BRASILEIRA DE EDUCAÇÃO E ASSISTÊNCIA-EDIPUCRS</v>
      </c>
      <c r="F102" t="str">
        <f>VLOOKUP($B102,'Obras e Acervos'!$B:$X,7,0)</f>
        <v>0774L23000020LE</v>
      </c>
      <c r="G102" t="str">
        <f>VLOOKUP($B102,'Obras e Acervos'!$B:$X,5,0)</f>
        <v>CARTA ERRANTE, AVÓ ATRAPALHADA, MENINA ANIVERSARIANTE</v>
      </c>
      <c r="H102">
        <f>VLOOKUP($B102,'Obras e Acervos'!$B:$X,18,0)</f>
        <v>14</v>
      </c>
      <c r="I102">
        <f>VLOOKUP($B102,'Obras e Acervos'!$B:$X,19,0)</f>
        <v>28773</v>
      </c>
      <c r="J102" s="42">
        <f>VLOOKUP($B102,'Obras e Acervos'!$B:$X,20,0)</f>
        <v>4172.085</v>
      </c>
      <c r="K102" s="31">
        <f>VLOOKUP($B102,'Obras e Acervos'!$B:$X,21,0)</f>
        <v>8.43</v>
      </c>
      <c r="L102" s="31">
        <f t="shared" si="13"/>
        <v>242556.38999999998</v>
      </c>
      <c r="M102" s="1">
        <v>46065</v>
      </c>
      <c r="N102" s="1">
        <f t="shared" si="10"/>
        <v>46305</v>
      </c>
      <c r="O102">
        <f t="shared" si="14"/>
        <v>241</v>
      </c>
      <c r="P102" s="49">
        <f t="shared" si="18"/>
        <v>8.0333333333333332</v>
      </c>
      <c r="Q102" s="34">
        <f>VLOOKUP($G102,Agendamento!$B:$F,5,0)</f>
        <v>5</v>
      </c>
      <c r="R102" s="36">
        <f t="shared" si="15"/>
        <v>29</v>
      </c>
      <c r="S102" s="44">
        <v>2.5499999999999998</v>
      </c>
      <c r="T102" s="44">
        <f t="shared" si="16"/>
        <v>17821.949999999997</v>
      </c>
      <c r="U102" t="s">
        <v>4988</v>
      </c>
      <c r="V102" t="str">
        <f t="shared" si="17"/>
        <v>NF/64237775_20260212_nf_21.pdf</v>
      </c>
      <c r="W102" s="32" t="str">
        <f t="shared" si="19"/>
        <v>NF - CARTA ERRANTE, AVÓ ATRAPALHADA, MENINA ANIVERSARIANTE</v>
      </c>
      <c r="X102" t="s">
        <v>5591</v>
      </c>
    </row>
    <row r="103" spans="1:24" x14ac:dyDescent="0.25">
      <c r="A103" t="str">
        <f>CONCATENATE(D103,"_",TEXT(M103,"ddmmaaaa"),"_",COUNTIF($D$2:D103,D103))</f>
        <v>107286130001-01_13022026_1</v>
      </c>
      <c r="B103" t="str">
        <f>CONCATENATE(Analise!D103,"_",COUNTIF(Analise!$D$2:D103,Analise!D103)+1)</f>
        <v>107286130001-01_2</v>
      </c>
      <c r="C103" s="34">
        <f>COUNTIF('Obras e Acervos'!$C:$C,CONCATENATE(LEFT(D103,12),RIGHT(D103,2)))</f>
        <v>2</v>
      </c>
      <c r="D103" t="s">
        <v>4554</v>
      </c>
      <c r="E103" t="str">
        <f>VLOOKUP($B103,'Obras e Acervos'!$B:$X,3,0)</f>
        <v>UNIVERSO LIVROS EDITORA LTDA-UNIVERSO LIVROS EDITORA</v>
      </c>
      <c r="F103" t="str">
        <f>VLOOKUP($B103,'Obras e Acervos'!$B:$X,7,0)</f>
        <v>1317L23000020LE</v>
      </c>
      <c r="G103" t="str">
        <f>VLOOKUP($B103,'Obras e Acervos'!$B:$X,5,0)</f>
        <v>O ROUXINOL EM CORDEL</v>
      </c>
      <c r="H103">
        <f>VLOOKUP($B103,'Obras e Acervos'!$B:$X,18,0)</f>
        <v>16</v>
      </c>
      <c r="I103">
        <f>VLOOKUP($B103,'Obras e Acervos'!$B:$X,19,0)</f>
        <v>32106</v>
      </c>
      <c r="J103" s="42">
        <f>VLOOKUP($B103,'Obras e Acervos'!$B:$X,20,0)</f>
        <v>3820.614</v>
      </c>
      <c r="K103" s="31">
        <f>VLOOKUP($B103,'Obras e Acervos'!$B:$X,21,0)</f>
        <v>8.25</v>
      </c>
      <c r="L103" s="31">
        <f t="shared" si="13"/>
        <v>264874.5</v>
      </c>
      <c r="M103" s="1">
        <v>46066</v>
      </c>
      <c r="N103" s="1">
        <f t="shared" si="10"/>
        <v>46305</v>
      </c>
      <c r="O103">
        <f t="shared" si="14"/>
        <v>240</v>
      </c>
      <c r="P103" s="49">
        <f t="shared" si="18"/>
        <v>8</v>
      </c>
      <c r="Q103" s="34">
        <f>VLOOKUP($G103,Agendamento!$B:$F,5,0)</f>
        <v>5</v>
      </c>
      <c r="R103" s="36">
        <f t="shared" si="15"/>
        <v>33</v>
      </c>
      <c r="S103" s="44">
        <v>2.5499999999999998</v>
      </c>
      <c r="T103" s="44">
        <f t="shared" si="16"/>
        <v>20196</v>
      </c>
      <c r="U103" t="s">
        <v>4990</v>
      </c>
      <c r="V103" t="str">
        <f t="shared" si="17"/>
        <v>NF/64237863_20260213_nf_01.pdf</v>
      </c>
      <c r="W103" s="32" t="str">
        <f t="shared" si="19"/>
        <v>NF - O ROUXINOL EM CORDEL</v>
      </c>
      <c r="X103" t="s">
        <v>5591</v>
      </c>
    </row>
    <row r="104" spans="1:24" x14ac:dyDescent="0.25">
      <c r="A104" t="str">
        <f>CONCATENATE(D104,"_",TEXT(M104,"ddmmaaaa"),"_",COUNTIF($D$2:D104,D104))</f>
        <v>279069880001-09_13022026_1</v>
      </c>
      <c r="B104" t="str">
        <f>CONCATENATE(Analise!D104,"_",COUNTIF(Analise!$D$2:D104,Analise!D104))</f>
        <v>279069880001-09_1</v>
      </c>
      <c r="C104" s="34">
        <f>COUNTIF('Obras e Acervos'!$C:$C,CONCATENATE(LEFT(D104,12),RIGHT(D104,2)))</f>
        <v>1</v>
      </c>
      <c r="D104" t="s">
        <v>4556</v>
      </c>
      <c r="E104" t="str">
        <f>VLOOKUP($B104,'Obras e Acervos'!$B:$X,3,0)</f>
        <v>EDITORA SEI LTDA-EDITORA SEI</v>
      </c>
      <c r="F104" t="str">
        <f>VLOOKUP($B104,'Obras e Acervos'!$B:$X,7,0)</f>
        <v>0834L23000020LE</v>
      </c>
      <c r="G104" t="str">
        <f>VLOOKUP($B104,'Obras e Acervos'!$B:$X,5,0)</f>
        <v>VIAGEM AO CENTRO DA TERRA</v>
      </c>
      <c r="H104">
        <f>VLOOKUP($B104,'Obras e Acervos'!$B:$X,18,0)</f>
        <v>22</v>
      </c>
      <c r="I104">
        <f>VLOOKUP($B104,'Obras e Acervos'!$B:$X,19,0)</f>
        <v>46811</v>
      </c>
      <c r="J104" s="42">
        <f>VLOOKUP($B104,'Obras e Acervos'!$B:$X,20,0)</f>
        <v>8800.4680000000008</v>
      </c>
      <c r="K104" s="31">
        <f>VLOOKUP($B104,'Obras e Acervos'!$B:$X,21,0)</f>
        <v>7.38</v>
      </c>
      <c r="L104" s="31">
        <f t="shared" si="13"/>
        <v>345465.18</v>
      </c>
      <c r="M104" s="1">
        <v>46066</v>
      </c>
      <c r="N104" s="1">
        <f t="shared" si="10"/>
        <v>46305</v>
      </c>
      <c r="O104">
        <f t="shared" si="14"/>
        <v>240</v>
      </c>
      <c r="P104" s="49">
        <f t="shared" si="18"/>
        <v>8</v>
      </c>
      <c r="Q104" s="34">
        <f>VLOOKUP($G104,Agendamento!$B:$F,5,0)</f>
        <v>8</v>
      </c>
      <c r="R104" s="36">
        <f t="shared" si="15"/>
        <v>47</v>
      </c>
      <c r="S104" s="44">
        <v>2.5499999999999998</v>
      </c>
      <c r="T104" s="44">
        <f t="shared" si="16"/>
        <v>28763.999999999996</v>
      </c>
      <c r="U104" t="s">
        <v>4992</v>
      </c>
      <c r="V104" t="str">
        <f t="shared" si="17"/>
        <v>NF/64237863_20260213_nf_02.pdf</v>
      </c>
      <c r="W104" s="32" t="str">
        <f t="shared" si="19"/>
        <v>NF - VIAGEM AO CENTRO DA TERRA</v>
      </c>
      <c r="X104" t="s">
        <v>5591</v>
      </c>
    </row>
    <row r="105" spans="1:24" x14ac:dyDescent="0.25">
      <c r="A105" t="str">
        <f>CONCATENATE(D105,"_",TEXT(M105,"ddmmaaaa"),"_",COUNTIF($D$2:D105,D105))</f>
        <v>442999360001-30_13022026_1</v>
      </c>
      <c r="B105" t="str">
        <f>CONCATENATE(Analise!D105,"_",COUNTIF(Analise!$D$2:D105,Analise!D105))</f>
        <v>442999360001-30_1</v>
      </c>
      <c r="C105" s="34">
        <f>COUNTIF('Obras e Acervos'!$C:$C,CONCATENATE(LEFT(D105,12),RIGHT(D105,2)))</f>
        <v>2</v>
      </c>
      <c r="D105" t="s">
        <v>4555</v>
      </c>
      <c r="E105" t="str">
        <f>VLOOKUP($B105,'Obras e Acervos'!$B:$X,3,0)</f>
        <v>PAPERO EDITORA -PAPERO EDITORA</v>
      </c>
      <c r="F105" t="str">
        <f>VLOOKUP($B105,'Obras e Acervos'!$B:$X,7,0)</f>
        <v>0873L23000030LE</v>
      </c>
      <c r="G105" t="str">
        <f>VLOOKUP($B105,'Obras e Acervos'!$B:$X,5,0)</f>
        <v>ALFABETO POÉTICO</v>
      </c>
      <c r="H105">
        <f>VLOOKUP($B105,'Obras e Acervos'!$B:$X,18,0)</f>
        <v>4</v>
      </c>
      <c r="I105">
        <f>VLOOKUP($B105,'Obras e Acervos'!$B:$X,19,0)</f>
        <v>50974</v>
      </c>
      <c r="J105" s="42">
        <f>VLOOKUP($B105,'Obras e Acervos'!$B:$X,20,0)</f>
        <v>4740.5820000000003</v>
      </c>
      <c r="K105" s="31">
        <f>VLOOKUP($B105,'Obras e Acervos'!$B:$X,21,0)</f>
        <v>4.63</v>
      </c>
      <c r="L105" s="31">
        <f t="shared" si="13"/>
        <v>236009.62</v>
      </c>
      <c r="M105" s="1">
        <v>46066</v>
      </c>
      <c r="N105" s="1">
        <f t="shared" si="10"/>
        <v>46305</v>
      </c>
      <c r="O105">
        <f t="shared" si="14"/>
        <v>240</v>
      </c>
      <c r="P105" s="49">
        <f t="shared" si="18"/>
        <v>8</v>
      </c>
      <c r="Q105" s="34">
        <f>VLOOKUP($G105,Agendamento!$B:$F,5,0)</f>
        <v>6</v>
      </c>
      <c r="R105" s="36">
        <f t="shared" si="15"/>
        <v>51</v>
      </c>
      <c r="S105" s="44">
        <v>2.5499999999999998</v>
      </c>
      <c r="T105" s="44">
        <f t="shared" si="16"/>
        <v>31211.999999999996</v>
      </c>
      <c r="U105" t="s">
        <v>4991</v>
      </c>
      <c r="V105" t="str">
        <f t="shared" si="17"/>
        <v>NF/64237863_20260213_nf_03.pdf</v>
      </c>
      <c r="W105" s="32" t="str">
        <f t="shared" si="19"/>
        <v>NF - ALFABETO POÉTICO</v>
      </c>
      <c r="X105" t="s">
        <v>5591</v>
      </c>
    </row>
    <row r="106" spans="1:24" x14ac:dyDescent="0.25">
      <c r="A106" t="str">
        <f>CONCATENATE(D106,"_",TEXT(M106,"ddmmaaaa"),"_",COUNTIF($D$2:D106,D106))</f>
        <v>243638320001-30_13022026_1</v>
      </c>
      <c r="B106" t="str">
        <f>CONCATENATE(Analise!D106,"_",COUNTIF(Analise!$D$2:D106,Analise!D106)+1)</f>
        <v>243638320001-30_2</v>
      </c>
      <c r="C106" s="34">
        <f>COUNTIF('Obras e Acervos'!$C:$C,CONCATENATE(LEFT(D106,12),RIGHT(D106,2)))</f>
        <v>2</v>
      </c>
      <c r="D106" t="s">
        <v>4562</v>
      </c>
      <c r="E106" t="str">
        <f>VLOOKUP($B106,'Obras e Acervos'!$B:$X,3,0)</f>
        <v>EDITORA PIU LTDA-ME-EDITORA PIU</v>
      </c>
      <c r="F106" t="str">
        <f>VLOOKUP($B106,'Obras e Acervos'!$B:$X,7,0)</f>
        <v>0917L23000020LE</v>
      </c>
      <c r="G106" t="str">
        <f>VLOOKUP($B106,'Obras e Acervos'!$B:$X,5,0)</f>
        <v>AS AVENTURAS DA FAMÍLIA RATON</v>
      </c>
      <c r="H106">
        <f>VLOOKUP($B106,'Obras e Acervos'!$B:$X,18,0)</f>
        <v>12</v>
      </c>
      <c r="I106">
        <f>VLOOKUP($B106,'Obras e Acervos'!$B:$X,19,0)</f>
        <v>30752</v>
      </c>
      <c r="J106" s="42">
        <f>VLOOKUP($B106,'Obras e Acervos'!$B:$X,20,0)</f>
        <v>2890.6880000000001</v>
      </c>
      <c r="K106" s="31">
        <f>VLOOKUP($B106,'Obras e Acervos'!$B:$X,21,0)</f>
        <v>7.73</v>
      </c>
      <c r="L106" s="31">
        <f t="shared" si="13"/>
        <v>237712.96000000002</v>
      </c>
      <c r="M106" s="1">
        <v>46066</v>
      </c>
      <c r="N106" s="1">
        <f t="shared" si="10"/>
        <v>46305</v>
      </c>
      <c r="O106">
        <f t="shared" si="14"/>
        <v>240</v>
      </c>
      <c r="P106" s="49">
        <f t="shared" si="18"/>
        <v>8</v>
      </c>
      <c r="Q106" s="34">
        <f>VLOOKUP($G106,Agendamento!$B:$F,5,0)</f>
        <v>4</v>
      </c>
      <c r="R106" s="36">
        <f t="shared" si="15"/>
        <v>31</v>
      </c>
      <c r="S106" s="44">
        <v>2.5499999999999998</v>
      </c>
      <c r="T106" s="44">
        <f t="shared" si="16"/>
        <v>18972</v>
      </c>
      <c r="U106" t="s">
        <v>4999</v>
      </c>
      <c r="V106" t="str">
        <f t="shared" si="17"/>
        <v>NF/64237863_20260213_nf_04.pdf</v>
      </c>
      <c r="W106" s="32" t="str">
        <f t="shared" si="19"/>
        <v>NF - AS AVENTURAS DA FAMÍLIA RATON</v>
      </c>
      <c r="X106" t="s">
        <v>5591</v>
      </c>
    </row>
    <row r="107" spans="1:24" x14ac:dyDescent="0.25">
      <c r="A107" t="str">
        <f>CONCATENATE(D107,"_",TEXT(M107,"ddmmaaaa"),"_",COUNTIF($D$2:D107,D107))</f>
        <v>266408570001-60_13022026_1</v>
      </c>
      <c r="B107" t="str">
        <f>CONCATENATE(Analise!D107,"_",COUNTIF(Analise!$D$2:D107,Analise!D107)+1)</f>
        <v>266408570001-60_2</v>
      </c>
      <c r="C107" s="34">
        <f>COUNTIF('Obras e Acervos'!$C:$C,CONCATENATE(LEFT(D107,12),RIGHT(D107,2)))</f>
        <v>2</v>
      </c>
      <c r="D107" t="s">
        <v>4558</v>
      </c>
      <c r="E107" t="str">
        <f>VLOOKUP($B107,'Obras e Acervos'!$B:$X,3,0)</f>
        <v>MARIA MARIANA CIRILO DE MEDEIROS 10083232419-M3 ARTE &amp; EVENTOS</v>
      </c>
      <c r="F107" t="str">
        <f>VLOOKUP($B107,'Obras e Acervos'!$B:$X,7,0)</f>
        <v>1112L23000020LE</v>
      </c>
      <c r="G107" t="str">
        <f>VLOOKUP($B107,'Obras e Acervos'!$B:$X,5,0)</f>
        <v>O PAÍS DAS EMOÇÕES</v>
      </c>
      <c r="H107">
        <f>VLOOKUP($B107,'Obras e Acervos'!$B:$X,18,0)</f>
        <v>13</v>
      </c>
      <c r="I107">
        <f>VLOOKUP($B107,'Obras e Acervos'!$B:$X,19,0)</f>
        <v>45376</v>
      </c>
      <c r="J107" s="42">
        <f>VLOOKUP($B107,'Obras e Acervos'!$B:$X,20,0)</f>
        <v>8394.56</v>
      </c>
      <c r="K107" s="31">
        <f>VLOOKUP($B107,'Obras e Acervos'!$B:$X,21,0)</f>
        <v>6.4</v>
      </c>
      <c r="L107" s="31">
        <f t="shared" si="13"/>
        <v>290406.40000000002</v>
      </c>
      <c r="M107" s="1">
        <v>46066</v>
      </c>
      <c r="N107" s="1">
        <f t="shared" si="10"/>
        <v>46305</v>
      </c>
      <c r="O107">
        <f t="shared" si="14"/>
        <v>240</v>
      </c>
      <c r="P107" s="49">
        <f t="shared" si="18"/>
        <v>8</v>
      </c>
      <c r="Q107" s="34">
        <f>VLOOKUP($G107,Agendamento!$B:$F,5,0)</f>
        <v>7</v>
      </c>
      <c r="R107" s="36">
        <f t="shared" si="15"/>
        <v>46</v>
      </c>
      <c r="S107" s="44">
        <v>2.5499999999999998</v>
      </c>
      <c r="T107" s="44">
        <f t="shared" si="16"/>
        <v>28151.999999999996</v>
      </c>
      <c r="U107" t="s">
        <v>4994</v>
      </c>
      <c r="V107" t="str">
        <f t="shared" si="17"/>
        <v>NF/64237863_20260213_nf_05.pdf</v>
      </c>
      <c r="W107" s="32" t="str">
        <f t="shared" si="19"/>
        <v>NF - O PAÍS DAS EMOÇÕES</v>
      </c>
      <c r="X107" t="s">
        <v>5591</v>
      </c>
    </row>
    <row r="108" spans="1:24" x14ac:dyDescent="0.25">
      <c r="A108" t="str">
        <f>CONCATENATE(D108,"_",TEXT(M108,"ddmmaaaa"),"_",COUNTIF($D$2:D108,D108))</f>
        <v>380351670001-60_13022026_1</v>
      </c>
      <c r="B108" t="str">
        <f>CONCATENATE(Analise!D108,"_",COUNTIF(Analise!$D$2:D108,Analise!D108))</f>
        <v>380351670001-60_1</v>
      </c>
      <c r="C108" s="34">
        <f>COUNTIF('Obras e Acervos'!$C:$C,CONCATENATE(LEFT(D108,12),RIGHT(D108,2)))</f>
        <v>1</v>
      </c>
      <c r="D108" t="s">
        <v>4557</v>
      </c>
      <c r="E108" t="str">
        <f>VLOOKUP($B108,'Obras e Acervos'!$B:$X,3,0)</f>
        <v>ALGODAO DOCE EDITORIAL LTDA-ALGODÃO DOCE</v>
      </c>
      <c r="F108" t="str">
        <f>VLOOKUP($B108,'Obras e Acervos'!$B:$X,7,0)</f>
        <v>1049L23000030LE</v>
      </c>
      <c r="G108" t="str">
        <f>VLOOKUP($B108,'Obras e Acervos'!$B:$X,5,0)</f>
        <v>EMPURREM A BALEIA DE VOLTA PARA O MAR!</v>
      </c>
      <c r="H108">
        <f>VLOOKUP($B108,'Obras e Acervos'!$B:$X,18,0)</f>
        <v>6</v>
      </c>
      <c r="I108">
        <f>VLOOKUP($B108,'Obras e Acervos'!$B:$X,19,0)</f>
        <v>36811</v>
      </c>
      <c r="J108" s="42">
        <f>VLOOKUP($B108,'Obras e Acervos'!$B:$X,20,0)</f>
        <v>4417.32</v>
      </c>
      <c r="K108" s="31">
        <f>VLOOKUP($B108,'Obras e Acervos'!$B:$X,21,0)</f>
        <v>5.41</v>
      </c>
      <c r="L108" s="31">
        <f t="shared" si="13"/>
        <v>199147.51</v>
      </c>
      <c r="M108" s="1">
        <v>46066</v>
      </c>
      <c r="N108" s="1">
        <f t="shared" si="10"/>
        <v>46305</v>
      </c>
      <c r="O108">
        <f t="shared" si="14"/>
        <v>240</v>
      </c>
      <c r="P108" s="49">
        <f t="shared" si="18"/>
        <v>8</v>
      </c>
      <c r="Q108" s="34">
        <f>VLOOKUP($G108,Agendamento!$B:$F,5,0)</f>
        <v>4</v>
      </c>
      <c r="R108" s="36">
        <f t="shared" si="15"/>
        <v>37</v>
      </c>
      <c r="S108" s="44">
        <v>2.5499999999999998</v>
      </c>
      <c r="T108" s="44">
        <f t="shared" si="16"/>
        <v>22644</v>
      </c>
      <c r="U108" t="s">
        <v>4993</v>
      </c>
      <c r="V108" t="str">
        <f t="shared" si="17"/>
        <v>NF/64237863_20260213_nf_06.pdf</v>
      </c>
      <c r="W108" s="32" t="str">
        <f t="shared" si="19"/>
        <v>NF - EMPURREM A BALEIA DE VOLTA PARA O MAR!</v>
      </c>
      <c r="X108" t="s">
        <v>5591</v>
      </c>
    </row>
    <row r="109" spans="1:24" x14ac:dyDescent="0.25">
      <c r="A109" t="str">
        <f>CONCATENATE(D109,"_",TEXT(M109,"ddmmaaaa"),"_",COUNTIF($D$2:D109,D109))</f>
        <v>037638640001-53_13022026_1</v>
      </c>
      <c r="B109" t="str">
        <f>CONCATENATE(Analise!D109,"_",COUNTIF(Analise!$D$2:D109,Analise!D109))</f>
        <v>037638640001-53_1</v>
      </c>
      <c r="C109" s="34">
        <f>COUNTIF('Obras e Acervos'!$C:$C,CONCATENATE(LEFT(D109,12),RIGHT(D109,2)))</f>
        <v>2</v>
      </c>
      <c r="D109" t="s">
        <v>4560</v>
      </c>
      <c r="E109" t="str">
        <f>VLOOKUP($B109,'Obras e Acervos'!$B:$X,3,0)</f>
        <v>BAZAR DO TEMPO PRODUÇÕES E EMPREENDIMENTOS CULTURAIS LTDA.-BAZAR DO TEMPO</v>
      </c>
      <c r="F109" t="str">
        <f>VLOOKUP($B109,'Obras e Acervos'!$B:$X,7,0)</f>
        <v>0519L23000030LE</v>
      </c>
      <c r="G109" t="str">
        <f>VLOOKUP($B109,'Obras e Acervos'!$B:$X,5,0)</f>
        <v>FOI! - NÃO FOI!</v>
      </c>
      <c r="H109">
        <f>VLOOKUP($B109,'Obras e Acervos'!$B:$X,18,0)</f>
        <v>4</v>
      </c>
      <c r="I109">
        <f>VLOOKUP($B109,'Obras e Acervos'!$B:$X,19,0)</f>
        <v>45914</v>
      </c>
      <c r="J109" s="42">
        <f>VLOOKUP($B109,'Obras e Acervos'!$B:$X,20,0)</f>
        <v>5280.1100000000006</v>
      </c>
      <c r="K109" s="31">
        <f>VLOOKUP($B109,'Obras e Acervos'!$B:$X,21,0)</f>
        <v>6.61</v>
      </c>
      <c r="L109" s="31">
        <f t="shared" si="13"/>
        <v>303491.54000000004</v>
      </c>
      <c r="M109" s="1">
        <v>46066</v>
      </c>
      <c r="N109" s="1">
        <f t="shared" si="10"/>
        <v>46305</v>
      </c>
      <c r="O109">
        <f t="shared" si="14"/>
        <v>240</v>
      </c>
      <c r="P109" s="49">
        <f t="shared" si="18"/>
        <v>8</v>
      </c>
      <c r="Q109" s="34">
        <f>VLOOKUP($G109,Agendamento!$B:$F,5,0)</f>
        <v>8</v>
      </c>
      <c r="R109" s="36">
        <f t="shared" si="15"/>
        <v>46</v>
      </c>
      <c r="S109" s="44">
        <v>2.5499999999999998</v>
      </c>
      <c r="T109" s="44">
        <f t="shared" si="16"/>
        <v>28151.999999999996</v>
      </c>
      <c r="U109" t="s">
        <v>4996</v>
      </c>
      <c r="V109" t="str">
        <f t="shared" si="17"/>
        <v>NF/64237863_20260213_nf_07.pdf</v>
      </c>
      <c r="W109" s="32" t="str">
        <f t="shared" si="19"/>
        <v>NF - FOI! - NÃO FOI!</v>
      </c>
      <c r="X109" t="s">
        <v>5591</v>
      </c>
    </row>
    <row r="110" spans="1:24" x14ac:dyDescent="0.25">
      <c r="A110" t="str">
        <f>CONCATENATE(D110,"_",TEXT(M110,"ddmmaaaa"),"_",COUNTIF($D$2:D110,D110))</f>
        <v>227694490001-51_13022026_2</v>
      </c>
      <c r="B110" t="str">
        <f>CONCATENATE(Analise!D110,"_",COUNTIF(Analise!$D$2:D110,Analise!D110)-1)</f>
        <v>227694490001-51_1</v>
      </c>
      <c r="C110" s="34">
        <f>COUNTIF('Obras e Acervos'!$C:$C,CONCATENATE(LEFT(D110,12),RIGHT(D110,2)))</f>
        <v>2</v>
      </c>
      <c r="D110" t="s">
        <v>4497</v>
      </c>
      <c r="E110" t="str">
        <f>VLOOKUP($B110,'Obras e Acervos'!$B:$X,3,0)</f>
        <v>EDITORA MADREPEROLA LTDA-EDITORA MADREPÉROLA</v>
      </c>
      <c r="F110" t="str">
        <f>VLOOKUP($B110,'Obras e Acervos'!$B:$X,7,0)</f>
        <v>1248L23000030LE</v>
      </c>
      <c r="G110" t="str">
        <f>VLOOKUP($B110,'Obras e Acervos'!$B:$X,5,0)</f>
        <v>NOS MARES DO MUNDO</v>
      </c>
      <c r="H110">
        <f>VLOOKUP($B110,'Obras e Acervos'!$B:$X,18,0)</f>
        <v>4</v>
      </c>
      <c r="I110">
        <f>VLOOKUP($B110,'Obras e Acervos'!$B:$X,19,0)</f>
        <v>40354</v>
      </c>
      <c r="J110" s="42">
        <f>VLOOKUP($B110,'Obras e Acervos'!$B:$X,20,0)</f>
        <v>5488.1440000000002</v>
      </c>
      <c r="K110" s="31">
        <f>VLOOKUP($B110,'Obras e Acervos'!$B:$X,21,0)</f>
        <v>7.11</v>
      </c>
      <c r="L110" s="31">
        <f t="shared" si="13"/>
        <v>286916.94</v>
      </c>
      <c r="M110" s="1">
        <v>46066</v>
      </c>
      <c r="N110" s="1">
        <f t="shared" si="10"/>
        <v>46305</v>
      </c>
      <c r="O110">
        <f t="shared" si="14"/>
        <v>240</v>
      </c>
      <c r="P110" s="49">
        <f t="shared" si="18"/>
        <v>8</v>
      </c>
      <c r="Q110" s="34">
        <f>VLOOKUP($G110,Agendamento!$B:$F,5,0)</f>
        <v>7</v>
      </c>
      <c r="R110" s="36">
        <f t="shared" si="15"/>
        <v>41</v>
      </c>
      <c r="S110" s="44">
        <v>2.5499999999999998</v>
      </c>
      <c r="T110" s="44">
        <f t="shared" si="16"/>
        <v>25092</v>
      </c>
      <c r="U110" t="s">
        <v>4997</v>
      </c>
      <c r="V110" t="str">
        <f t="shared" si="17"/>
        <v>NF/64237863_20260213_nf_08.pdf</v>
      </c>
      <c r="W110" s="32" t="str">
        <f t="shared" si="19"/>
        <v>NF - NOS MARES DO MUNDO</v>
      </c>
      <c r="X110" t="s">
        <v>5591</v>
      </c>
    </row>
    <row r="111" spans="1:24" x14ac:dyDescent="0.25">
      <c r="A111" t="str">
        <f>CONCATENATE(D111,"_",TEXT(M111,"ddmmaaaa"),"_",COUNTIF($D$2:D111,D111))</f>
        <v>049983930001-25_13022026_1</v>
      </c>
      <c r="B111" t="str">
        <f>CONCATENATE(Analise!D111,"_",COUNTIF(Analise!$D$2:D111,Analise!D111))</f>
        <v>049983930001-25_1</v>
      </c>
      <c r="C111" s="34">
        <f>COUNTIF('Obras e Acervos'!$C:$C,CONCATENATE(LEFT(D111,12),RIGHT(D111,2)))</f>
        <v>1</v>
      </c>
      <c r="D111" t="s">
        <v>4561</v>
      </c>
      <c r="E111" t="str">
        <f>VLOOKUP($B111,'Obras e Acervos'!$B:$X,3,0)</f>
        <v>EDITORA LAFONTE LTDA-EDITORA LAFONTE</v>
      </c>
      <c r="F111" t="str">
        <f>VLOOKUP($B111,'Obras e Acervos'!$B:$X,7,0)</f>
        <v>0835L23000030LE</v>
      </c>
      <c r="G111" t="str">
        <f>VLOOKUP($B111,'Obras e Acervos'!$B:$X,5,0)</f>
        <v>HOJE ACORDEI BEIJA-FLOR</v>
      </c>
      <c r="H111">
        <f>VLOOKUP($B111,'Obras e Acervos'!$B:$X,18,0)</f>
        <v>9</v>
      </c>
      <c r="I111">
        <f>VLOOKUP($B111,'Obras e Acervos'!$B:$X,19,0)</f>
        <v>33173</v>
      </c>
      <c r="J111" s="42">
        <f>VLOOKUP($B111,'Obras e Acervos'!$B:$X,20,0)</f>
        <v>2819.7050000000004</v>
      </c>
      <c r="K111" s="31">
        <f>VLOOKUP($B111,'Obras e Acervos'!$B:$X,21,0)</f>
        <v>5.07</v>
      </c>
      <c r="L111" s="31">
        <f t="shared" si="13"/>
        <v>168187.11000000002</v>
      </c>
      <c r="M111" s="1">
        <v>46066</v>
      </c>
      <c r="N111" s="1">
        <f t="shared" si="10"/>
        <v>46305</v>
      </c>
      <c r="O111">
        <f t="shared" si="14"/>
        <v>240</v>
      </c>
      <c r="P111" s="49">
        <f t="shared" si="18"/>
        <v>8</v>
      </c>
      <c r="Q111" s="34">
        <f>VLOOKUP($G111,Agendamento!$B:$F,5,0)</f>
        <v>3</v>
      </c>
      <c r="R111" s="36">
        <f t="shared" si="15"/>
        <v>34</v>
      </c>
      <c r="S111" s="44">
        <v>2.5499999999999998</v>
      </c>
      <c r="T111" s="44">
        <f t="shared" si="16"/>
        <v>20808</v>
      </c>
      <c r="U111" t="s">
        <v>4998</v>
      </c>
      <c r="V111" t="str">
        <f t="shared" si="17"/>
        <v>NF/64237863_20260213_nf_09.pdf</v>
      </c>
      <c r="W111" s="32" t="str">
        <f t="shared" si="19"/>
        <v>NF - HOJE ACORDEI BEIJA-FLOR</v>
      </c>
      <c r="X111" t="s">
        <v>5591</v>
      </c>
    </row>
    <row r="112" spans="1:24" x14ac:dyDescent="0.25">
      <c r="A112" t="str">
        <f>CONCATENATE(D112,"_",TEXT(M112,"ddmmaaaa"),"_",COUNTIF($D$2:D112,D112))</f>
        <v>116905880001-79_13022026_1</v>
      </c>
      <c r="B112" t="str">
        <f>CONCATENATE(Analise!D112,"_",COUNTIF(Analise!$D$2:D112,Analise!D112))</f>
        <v>116905880001-79_1</v>
      </c>
      <c r="C112" s="34">
        <f>COUNTIF('Obras e Acervos'!$C:$C,CONCATENATE(LEFT(D112,12),RIGHT(D112,2)))</f>
        <v>1</v>
      </c>
      <c r="D112" t="s">
        <v>4559</v>
      </c>
      <c r="E112" t="str">
        <f>VLOOKUP($B112,'Obras e Acervos'!$B:$X,3,0)</f>
        <v>ATELIÊ DA ESCRITA EDITORA LTDA-ATELIÊ DA ESCRITA</v>
      </c>
      <c r="F112" t="str">
        <f>VLOOKUP($B112,'Obras e Acervos'!$B:$X,7,0)</f>
        <v>0931L23000020LE</v>
      </c>
      <c r="G112" t="str">
        <f>VLOOKUP($B112,'Obras e Acervos'!$B:$X,5,0)</f>
        <v>ÁGUA POR TODO LADO</v>
      </c>
      <c r="H112">
        <f>VLOOKUP($B112,'Obras e Acervos'!$B:$X,18,0)</f>
        <v>22</v>
      </c>
      <c r="I112">
        <f>VLOOKUP($B112,'Obras e Acervos'!$B:$X,19,0)</f>
        <v>23767</v>
      </c>
      <c r="J112" s="42">
        <f>VLOOKUP($B112,'Obras e Acervos'!$B:$X,20,0)</f>
        <v>2376.7000000000003</v>
      </c>
      <c r="K112" s="31">
        <f>VLOOKUP($B112,'Obras e Acervos'!$B:$X,21,0)</f>
        <v>6.59</v>
      </c>
      <c r="L112" s="31">
        <f t="shared" si="13"/>
        <v>156624.53</v>
      </c>
      <c r="M112" s="1">
        <v>46066</v>
      </c>
      <c r="N112" s="1">
        <f t="shared" si="10"/>
        <v>46305</v>
      </c>
      <c r="O112">
        <f t="shared" si="14"/>
        <v>240</v>
      </c>
      <c r="P112" s="49">
        <f t="shared" si="18"/>
        <v>8</v>
      </c>
      <c r="Q112" s="34">
        <f>VLOOKUP($G112,Agendamento!$B:$F,5,0)</f>
        <v>3</v>
      </c>
      <c r="R112" s="36">
        <f t="shared" si="15"/>
        <v>24</v>
      </c>
      <c r="S112" s="44">
        <v>2.5499999999999998</v>
      </c>
      <c r="T112" s="44">
        <f t="shared" si="16"/>
        <v>14687.999999999998</v>
      </c>
      <c r="U112" t="s">
        <v>4995</v>
      </c>
      <c r="V112" t="str">
        <f t="shared" si="17"/>
        <v>NF/64237863_20260213_nf_10.pdf</v>
      </c>
      <c r="W112" s="32" t="str">
        <f t="shared" si="19"/>
        <v>NF - ÁGUA POR TODO LADO</v>
      </c>
      <c r="X112" t="s">
        <v>5591</v>
      </c>
    </row>
    <row r="113" spans="1:24" x14ac:dyDescent="0.25">
      <c r="A113" t="str">
        <f>CONCATENATE(D113,"_",TEXT(M113,"ddmmaaaa"),"_",COUNTIF($D$2:D113,D113))</f>
        <v>354172620001-30_13022026_1</v>
      </c>
      <c r="B113" t="str">
        <f>CONCATENATE(Analise!D113,"_",COUNTIF(Analise!$D$2:D113,Analise!D113))</f>
        <v>354172620001-30_1</v>
      </c>
      <c r="C113" s="34">
        <f>COUNTIF('Obras e Acervos'!$C:$C,CONCATENATE(LEFT(D113,12),RIGHT(D113,2)))</f>
        <v>2</v>
      </c>
      <c r="D113" t="s">
        <v>4565</v>
      </c>
      <c r="E113" t="str">
        <f>VLOOKUP($B113,'Obras e Acervos'!$B:$X,3,0)</f>
        <v>EDITORA WISDOM LTDA -EDITORA WISDOM</v>
      </c>
      <c r="F113" t="str">
        <f>VLOOKUP($B113,'Obras e Acervos'!$B:$X,7,0)</f>
        <v>0638L23000030LE</v>
      </c>
      <c r="G113" t="str">
        <f>VLOOKUP($B113,'Obras e Acervos'!$B:$X,5,0)</f>
        <v>A ONÇA, O CAXINGUELÊ E O VEADO</v>
      </c>
      <c r="H113">
        <f>VLOOKUP($B113,'Obras e Acervos'!$B:$X,18,0)</f>
        <v>10</v>
      </c>
      <c r="I113">
        <f>VLOOKUP($B113,'Obras e Acervos'!$B:$X,19,0)</f>
        <v>35010</v>
      </c>
      <c r="J113" s="42">
        <f>VLOOKUP($B113,'Obras e Acervos'!$B:$X,20,0)</f>
        <v>2975.8500000000004</v>
      </c>
      <c r="K113" s="31">
        <f>VLOOKUP($B113,'Obras e Acervos'!$B:$X,21,0)</f>
        <v>5.01</v>
      </c>
      <c r="L113" s="31">
        <f t="shared" si="13"/>
        <v>175400.1</v>
      </c>
      <c r="M113" s="1">
        <v>46066</v>
      </c>
      <c r="N113" s="1">
        <f t="shared" si="10"/>
        <v>46305</v>
      </c>
      <c r="O113">
        <f t="shared" si="14"/>
        <v>240</v>
      </c>
      <c r="P113" s="49">
        <f t="shared" si="18"/>
        <v>8</v>
      </c>
      <c r="Q113" s="34">
        <f>VLOOKUP($G113,Agendamento!$B:$F,5,0)</f>
        <v>4</v>
      </c>
      <c r="R113" s="36">
        <f t="shared" si="15"/>
        <v>36</v>
      </c>
      <c r="S113" s="44">
        <v>2.5499999999999998</v>
      </c>
      <c r="T113" s="44">
        <f t="shared" si="16"/>
        <v>22032</v>
      </c>
      <c r="U113" t="s">
        <v>5007</v>
      </c>
      <c r="V113" t="str">
        <f t="shared" si="17"/>
        <v>NF/64237863_20260213_nf_11.pdf</v>
      </c>
      <c r="W113" s="32" t="str">
        <f t="shared" si="19"/>
        <v>NF - A ONÇA, O CAXINGUELÊ E O VEADO</v>
      </c>
      <c r="X113" t="s">
        <v>5591</v>
      </c>
    </row>
    <row r="114" spans="1:24" x14ac:dyDescent="0.25">
      <c r="A114" t="str">
        <f>CONCATENATE(D114,"_",TEXT(M114,"ddmmaaaa"),"_",COUNTIF($D$2:D114,D114))</f>
        <v>354172620001-30_13022026_2</v>
      </c>
      <c r="B114" t="str">
        <f>CONCATENATE(Analise!D114,"_",COUNTIF(Analise!$D$2:D114,Analise!D114))</f>
        <v>354172620001-30_2</v>
      </c>
      <c r="C114" s="34">
        <f>COUNTIF('Obras e Acervos'!$C:$C,CONCATENATE(LEFT(D114,12),RIGHT(D114,2)))</f>
        <v>2</v>
      </c>
      <c r="D114" t="s">
        <v>4565</v>
      </c>
      <c r="E114" t="str">
        <f>VLOOKUP($B114,'Obras e Acervos'!$B:$X,3,0)</f>
        <v>EDITORA WISDOM LTDA -EDITORA WISDOM</v>
      </c>
      <c r="F114" t="str">
        <f>VLOOKUP($B114,'Obras e Acervos'!$B:$X,7,0)</f>
        <v>0639L23000020LE</v>
      </c>
      <c r="G114" t="str">
        <f>VLOOKUP($B114,'Obras e Acervos'!$B:$X,5,0)</f>
        <v>A PEQUENA VENDEDORA DE FÓSFOROS</v>
      </c>
      <c r="H114">
        <f>VLOOKUP($B114,'Obras e Acervos'!$B:$X,18,0)</f>
        <v>17</v>
      </c>
      <c r="I114">
        <f>VLOOKUP($B114,'Obras e Acervos'!$B:$X,19,0)</f>
        <v>45987</v>
      </c>
      <c r="J114" s="42">
        <f>VLOOKUP($B114,'Obras e Acervos'!$B:$X,20,0)</f>
        <v>4736.6610000000001</v>
      </c>
      <c r="K114" s="31">
        <f>VLOOKUP($B114,'Obras e Acervos'!$B:$X,21,0)</f>
        <v>5.03</v>
      </c>
      <c r="L114" s="31">
        <f t="shared" si="13"/>
        <v>231314.61000000002</v>
      </c>
      <c r="M114" s="1">
        <v>46066</v>
      </c>
      <c r="N114" s="1">
        <f t="shared" si="10"/>
        <v>46305</v>
      </c>
      <c r="O114">
        <f t="shared" si="14"/>
        <v>240</v>
      </c>
      <c r="P114" s="49">
        <f t="shared" si="18"/>
        <v>8</v>
      </c>
      <c r="Q114" s="34">
        <f>VLOOKUP($G114,Agendamento!$B:$F,5,0)</f>
        <v>5</v>
      </c>
      <c r="R114" s="36">
        <f t="shared" si="15"/>
        <v>46</v>
      </c>
      <c r="S114" s="44">
        <v>2.5499999999999998</v>
      </c>
      <c r="T114" s="44">
        <f t="shared" si="16"/>
        <v>28151.999999999996</v>
      </c>
      <c r="U114" t="s">
        <v>5007</v>
      </c>
      <c r="V114" t="str">
        <f t="shared" si="17"/>
        <v>NF/64237863_20260213_nf_11.pdf</v>
      </c>
      <c r="W114" s="32" t="str">
        <f t="shared" si="19"/>
        <v>NF - A PEQUENA VENDEDORA DE FÓSFOROS</v>
      </c>
      <c r="X114" t="s">
        <v>5591</v>
      </c>
    </row>
    <row r="115" spans="1:24" x14ac:dyDescent="0.25">
      <c r="A115" t="str">
        <f>CONCATENATE(D115,"_",TEXT(M115,"ddmmaaaa"),"_",COUNTIF($D$2:D115,D115))</f>
        <v>188354790001-41_13022026_2</v>
      </c>
      <c r="B115" t="str">
        <f>CONCATENATE(Analise!D115,"_",COUNTIF(Analise!$D$2:D115,Analise!D115))</f>
        <v>188354790001-41_2</v>
      </c>
      <c r="C115" s="34">
        <f>COUNTIF('Obras e Acervos'!$C:$C,CONCATENATE(LEFT(D115,12),RIGHT(D115,2)))</f>
        <v>2</v>
      </c>
      <c r="D115" t="s">
        <v>4483</v>
      </c>
      <c r="E115" t="str">
        <f>VLOOKUP($B115,'Obras e Acervos'!$B:$X,3,0)</f>
        <v>CAIXOTE EDITORA, COMÉRCIO DE LIVROS E DES. DE SOFT. EIRELI-EDITORA CAIXOTE</v>
      </c>
      <c r="F115" t="str">
        <f>VLOOKUP($B115,'Obras e Acervos'!$B:$X,7,0)</f>
        <v>1106L23000020LE</v>
      </c>
      <c r="G115" t="str">
        <f>VLOOKUP($B115,'Obras e Acervos'!$B:$X,5,0)</f>
        <v>AMAL E A VIAGEM MAIS IMPORTANTE DA SUA VIDA</v>
      </c>
      <c r="H115">
        <f>VLOOKUP($B115,'Obras e Acervos'!$B:$X,18,0)</f>
        <v>12</v>
      </c>
      <c r="I115">
        <f>VLOOKUP($B115,'Obras e Acervos'!$B:$X,19,0)</f>
        <v>31676</v>
      </c>
      <c r="J115" s="42">
        <f>VLOOKUP($B115,'Obras e Acervos'!$B:$X,20,0)</f>
        <v>4814.7519999999995</v>
      </c>
      <c r="K115" s="31">
        <f>VLOOKUP($B115,'Obras e Acervos'!$B:$X,21,0)</f>
        <v>10.17</v>
      </c>
      <c r="L115" s="31">
        <f t="shared" si="13"/>
        <v>322144.92</v>
      </c>
      <c r="M115" s="1">
        <v>46066</v>
      </c>
      <c r="N115" s="1">
        <f t="shared" si="10"/>
        <v>46305</v>
      </c>
      <c r="O115">
        <f t="shared" si="14"/>
        <v>240</v>
      </c>
      <c r="P115" s="49">
        <f t="shared" si="18"/>
        <v>8</v>
      </c>
      <c r="Q115" s="34">
        <f>VLOOKUP($G115,Agendamento!$B:$F,5,0)</f>
        <v>7</v>
      </c>
      <c r="R115" s="36">
        <f t="shared" si="15"/>
        <v>32</v>
      </c>
      <c r="S115" s="44">
        <v>2.5499999999999998</v>
      </c>
      <c r="T115" s="44">
        <f t="shared" si="16"/>
        <v>19584</v>
      </c>
      <c r="U115" t="s">
        <v>5000</v>
      </c>
      <c r="V115" t="str">
        <f t="shared" si="17"/>
        <v>NF/64237863_20260213_nf_12.pdf</v>
      </c>
      <c r="W115" s="32" t="str">
        <f t="shared" si="19"/>
        <v>NF - AMAL E A VIAGEM MAIS IMPORTANTE DA SUA VIDA</v>
      </c>
      <c r="X115" t="s">
        <v>5591</v>
      </c>
    </row>
    <row r="116" spans="1:24" x14ac:dyDescent="0.25">
      <c r="A116" t="str">
        <f>CONCATENATE(D116,"_",TEXT(M116,"ddmmaaaa"),"_",COUNTIF($D$2:D116,D116))</f>
        <v>049468200001-21_13022026_1</v>
      </c>
      <c r="B116" t="str">
        <f>CONCATENATE(Analise!D116,"_",COUNTIF(Analise!$D$2:D116,Analise!D116))</f>
        <v>049468200001-21_1</v>
      </c>
      <c r="C116" s="34">
        <f>COUNTIF('Obras e Acervos'!$C:$C,CONCATENATE(LEFT(D116,12),RIGHT(D116,2)))</f>
        <v>1</v>
      </c>
      <c r="D116" t="s">
        <v>4563</v>
      </c>
      <c r="E116" t="str">
        <f>VLOOKUP($B116,'Obras e Acervos'!$B:$X,3,0)</f>
        <v>EDITORA ORIGINAL LTDA.-PANDA BOOKS</v>
      </c>
      <c r="F116" t="str">
        <f>VLOOKUP($B116,'Obras e Acervos'!$B:$X,7,0)</f>
        <v>1004L23000020LE</v>
      </c>
      <c r="G116" t="str">
        <f>VLOOKUP($B116,'Obras e Acervos'!$B:$X,5,0)</f>
        <v>O MÁGICO DI Ó</v>
      </c>
      <c r="H116">
        <f>VLOOKUP($B116,'Obras e Acervos'!$B:$X,18,0)</f>
        <v>22</v>
      </c>
      <c r="I116">
        <f>VLOOKUP($B116,'Obras e Acervos'!$B:$X,19,0)</f>
        <v>23676</v>
      </c>
      <c r="J116" s="42">
        <f>VLOOKUP($B116,'Obras e Acervos'!$B:$X,20,0)</f>
        <v>7813.08</v>
      </c>
      <c r="K116" s="31">
        <f>VLOOKUP($B116,'Obras e Acervos'!$B:$X,21,0)</f>
        <v>15.05</v>
      </c>
      <c r="L116" s="31">
        <f t="shared" si="13"/>
        <v>356323.8</v>
      </c>
      <c r="M116" s="1">
        <v>46066</v>
      </c>
      <c r="N116" s="1">
        <f t="shared" si="10"/>
        <v>46305</v>
      </c>
      <c r="O116">
        <f t="shared" si="14"/>
        <v>240</v>
      </c>
      <c r="P116" s="49">
        <f t="shared" si="18"/>
        <v>8</v>
      </c>
      <c r="Q116" s="34">
        <f>VLOOKUP($G116,Agendamento!$B:$F,5,0)</f>
        <v>5</v>
      </c>
      <c r="R116" s="36">
        <f t="shared" si="15"/>
        <v>24</v>
      </c>
      <c r="S116" s="44">
        <v>2.5499999999999998</v>
      </c>
      <c r="T116" s="44">
        <f t="shared" si="16"/>
        <v>14687.999999999998</v>
      </c>
      <c r="U116" t="s">
        <v>5005</v>
      </c>
      <c r="V116" t="str">
        <f t="shared" si="17"/>
        <v>NF/64237863_20260213_nf_13.pdf</v>
      </c>
      <c r="W116" s="32" t="str">
        <f t="shared" si="19"/>
        <v>NF - O MÁGICO DI Ó</v>
      </c>
      <c r="X116" t="s">
        <v>5591</v>
      </c>
    </row>
    <row r="117" spans="1:24" x14ac:dyDescent="0.25">
      <c r="A117" t="str">
        <f>CONCATENATE(D117,"_",TEXT(M117,"ddmmaaaa"),"_",COUNTIF($D$2:D117,D117))</f>
        <v>185567220001-92_13022026_1</v>
      </c>
      <c r="B117" t="str">
        <f>CONCATENATE(Analise!D117,"_",COUNTIF(Analise!$D$2:D117,Analise!D117))</f>
        <v>185567220001-92_1</v>
      </c>
      <c r="C117" s="34">
        <f>COUNTIF('Obras e Acervos'!$C:$C,CONCATENATE(LEFT(D117,12),RIGHT(D117,2)))</f>
        <v>1</v>
      </c>
      <c r="D117" t="s">
        <v>4564</v>
      </c>
      <c r="E117" t="str">
        <f>VLOOKUP($B117,'Obras e Acervos'!$B:$X,3,0)</f>
        <v>EDITORA EDEBÊ BRASIL LTDA-EDITORA EDEBÊ BRASIL LTDA</v>
      </c>
      <c r="F117" t="str">
        <f>VLOOKUP($B117,'Obras e Acervos'!$B:$X,7,0)</f>
        <v>1115L23000020LE</v>
      </c>
      <c r="G117" t="str">
        <f>VLOOKUP($B117,'Obras e Acervos'!$B:$X,5,0)</f>
        <v>SEVERINA A MENINA RICA DO SERTÃO</v>
      </c>
      <c r="H117">
        <f>VLOOKUP($B117,'Obras e Acervos'!$B:$X,18,0)</f>
        <v>20</v>
      </c>
      <c r="I117">
        <f>VLOOKUP($B117,'Obras e Acervos'!$B:$X,19,0)</f>
        <v>32728</v>
      </c>
      <c r="J117" s="42">
        <f>VLOOKUP($B117,'Obras e Acervos'!$B:$X,20,0)</f>
        <v>7429.2560000000003</v>
      </c>
      <c r="K117" s="31">
        <f>VLOOKUP($B117,'Obras e Acervos'!$B:$X,21,0)</f>
        <v>6.86</v>
      </c>
      <c r="L117" s="31">
        <f t="shared" si="13"/>
        <v>224514.08000000002</v>
      </c>
      <c r="M117" s="1">
        <v>46066</v>
      </c>
      <c r="N117" s="1">
        <f t="shared" si="10"/>
        <v>46305</v>
      </c>
      <c r="O117">
        <f t="shared" si="14"/>
        <v>240</v>
      </c>
      <c r="P117" s="49">
        <f t="shared" si="18"/>
        <v>8</v>
      </c>
      <c r="Q117" s="34">
        <f>VLOOKUP($G117,Agendamento!$B:$F,5,0)</f>
        <v>5</v>
      </c>
      <c r="R117" s="36">
        <f t="shared" si="15"/>
        <v>33</v>
      </c>
      <c r="S117" s="44">
        <v>2.5499999999999998</v>
      </c>
      <c r="T117" s="44">
        <f t="shared" si="16"/>
        <v>20196</v>
      </c>
      <c r="U117" t="s">
        <v>5006</v>
      </c>
      <c r="V117" t="str">
        <f t="shared" si="17"/>
        <v>NF/64237863_20260213_nf_14.pdf</v>
      </c>
      <c r="W117" s="32" t="str">
        <f t="shared" si="19"/>
        <v>NF - SEVERINA A MENINA RICA DO SERTÃO</v>
      </c>
      <c r="X117" t="s">
        <v>5591</v>
      </c>
    </row>
    <row r="118" spans="1:24" x14ac:dyDescent="0.25">
      <c r="A118" t="str">
        <f>CONCATENATE(D118,"_",TEXT(M118,"ddmmaaaa"),"_",COUNTIF($D$2:D118,D118))</f>
        <v>072756370001-30_13022026_2</v>
      </c>
      <c r="B118" t="str">
        <f>CONCATENATE(Analise!D118,"_",COUNTIF(Analise!$D$2:D118,Analise!D118))</f>
        <v>072756370001-30_2</v>
      </c>
      <c r="C118" s="34">
        <f>COUNTIF('Obras e Acervos'!$C:$C,CONCATENATE(LEFT(D118,12),RIGHT(D118,2)))</f>
        <v>2</v>
      </c>
      <c r="D118" t="s">
        <v>4539</v>
      </c>
      <c r="E118" t="str">
        <f>VLOOKUP($B118,'Obras e Acervos'!$B:$X,3,0)</f>
        <v>EDITORIAL VINTE E CINCO LTDA-EDITORIAL25</v>
      </c>
      <c r="F118" t="str">
        <f>VLOOKUP($B118,'Obras e Acervos'!$B:$X,7,0)</f>
        <v>1297L23000020LE</v>
      </c>
      <c r="G118" t="str">
        <f>VLOOKUP($B118,'Obras e Acervos'!$B:$X,5,0)</f>
        <v>UMA OUTRA HISTÓRIA</v>
      </c>
      <c r="H118">
        <f>VLOOKUP($B118,'Obras e Acervos'!$B:$X,18,0)</f>
        <v>20</v>
      </c>
      <c r="I118">
        <f>VLOOKUP($B118,'Obras e Acervos'!$B:$X,19,0)</f>
        <v>28062</v>
      </c>
      <c r="J118" s="42">
        <f>VLOOKUP($B118,'Obras e Acervos'!$B:$X,20,0)</f>
        <v>4040.9279999999999</v>
      </c>
      <c r="K118" s="31">
        <f>VLOOKUP($B118,'Obras e Acervos'!$B:$X,21,0)</f>
        <v>7.74</v>
      </c>
      <c r="L118" s="31">
        <f t="shared" si="13"/>
        <v>217199.88</v>
      </c>
      <c r="M118" s="1">
        <v>46066</v>
      </c>
      <c r="N118" s="1">
        <f t="shared" si="10"/>
        <v>46305</v>
      </c>
      <c r="O118">
        <f t="shared" si="14"/>
        <v>240</v>
      </c>
      <c r="P118" s="49">
        <f t="shared" si="18"/>
        <v>8</v>
      </c>
      <c r="Q118" s="34">
        <f>VLOOKUP($G118,Agendamento!$B:$F,5,0)</f>
        <v>5</v>
      </c>
      <c r="R118" s="36">
        <f t="shared" si="15"/>
        <v>29</v>
      </c>
      <c r="S118" s="44">
        <v>2.5499999999999998</v>
      </c>
      <c r="T118" s="44">
        <f t="shared" si="16"/>
        <v>17748</v>
      </c>
      <c r="U118" t="s">
        <v>5001</v>
      </c>
      <c r="V118" t="str">
        <f t="shared" si="17"/>
        <v>NF/64237863_20260213_nf_16.pdf</v>
      </c>
      <c r="W118" s="32" t="str">
        <f t="shared" si="19"/>
        <v>NF - UMA OUTRA HISTÓRIA</v>
      </c>
      <c r="X118" t="s">
        <v>5591</v>
      </c>
    </row>
    <row r="119" spans="1:24" x14ac:dyDescent="0.25">
      <c r="A119" t="str">
        <f>CONCATENATE(D119,"_",TEXT(M119,"ddmmaaaa"),"_",COUNTIF($D$2:D119,D119))</f>
        <v>056918200001-90_13022026_1</v>
      </c>
      <c r="B119" t="str">
        <f>CONCATENATE(Analise!D119,"_",COUNTIF(Analise!$D$2:D119,Analise!D119)+1)</f>
        <v>056918200001-90_2</v>
      </c>
      <c r="C119" s="34">
        <f>COUNTIF('Obras e Acervos'!$C:$C,CONCATENATE(LEFT(D119,12),RIGHT(D119,2)))</f>
        <v>2</v>
      </c>
      <c r="D119" t="s">
        <v>4566</v>
      </c>
      <c r="E119" t="str">
        <f>VLOOKUP($B119,'Obras e Acervos'!$B:$X,3,0)</f>
        <v>CULTURAMA EDITORA E DISTRIBUIDORA LTDA-CULTURAMA</v>
      </c>
      <c r="F119" t="str">
        <f>VLOOKUP($B119,'Obras e Acervos'!$B:$X,7,0)</f>
        <v>0866L23000020LE</v>
      </c>
      <c r="G119" t="str">
        <f>VLOOKUP($B119,'Obras e Acervos'!$B:$X,5,0)</f>
        <v>MICKEY E DONALD EM: 20.000 LÉGUAS SUBMARINAS</v>
      </c>
      <c r="H119">
        <f>VLOOKUP($B119,'Obras e Acervos'!$B:$X,18,0)</f>
        <v>20</v>
      </c>
      <c r="I119">
        <f>VLOOKUP($B119,'Obras e Acervos'!$B:$X,19,0)</f>
        <v>28728</v>
      </c>
      <c r="J119" s="42">
        <f>VLOOKUP($B119,'Obras e Acervos'!$B:$X,20,0)</f>
        <v>3016.44</v>
      </c>
      <c r="K119" s="31">
        <f>VLOOKUP($B119,'Obras e Acervos'!$B:$X,21,0)</f>
        <v>6.31</v>
      </c>
      <c r="L119" s="31">
        <f t="shared" si="13"/>
        <v>181273.68</v>
      </c>
      <c r="M119" s="1">
        <v>46066</v>
      </c>
      <c r="N119" s="1">
        <f t="shared" si="10"/>
        <v>46305</v>
      </c>
      <c r="O119">
        <f t="shared" si="14"/>
        <v>240</v>
      </c>
      <c r="P119" s="49">
        <f t="shared" si="18"/>
        <v>8</v>
      </c>
      <c r="Q119" s="34">
        <f>VLOOKUP($G119,Agendamento!$B:$F,5,0)</f>
        <v>5</v>
      </c>
      <c r="R119" s="36">
        <f t="shared" si="15"/>
        <v>29</v>
      </c>
      <c r="S119" s="44">
        <v>2.5499999999999998</v>
      </c>
      <c r="T119" s="44">
        <f t="shared" si="16"/>
        <v>17748</v>
      </c>
      <c r="U119" t="s">
        <v>5008</v>
      </c>
      <c r="V119" t="str">
        <f t="shared" si="17"/>
        <v>NF/64237863_20260213_nf_18.pdf</v>
      </c>
      <c r="W119" s="32" t="str">
        <f t="shared" si="19"/>
        <v>NF - MICKEY E DONALD EM: 20.000 LÉGUAS SUBMARINAS</v>
      </c>
      <c r="X119" t="s">
        <v>5591</v>
      </c>
    </row>
    <row r="120" spans="1:24" x14ac:dyDescent="0.25">
      <c r="A120" t="str">
        <f>CONCATENATE(D120,"_",TEXT(M120,"ddmmaaaa"),"_",COUNTIF($D$2:D120,D120))</f>
        <v>057642360001-18_13022026_2</v>
      </c>
      <c r="B120" t="str">
        <f>CONCATENATE(Analise!D120,"_",COUNTIF(Analise!$D$2:D120,Analise!D120))</f>
        <v>057642360001-18_2</v>
      </c>
      <c r="C120" s="34">
        <f>COUNTIF('Obras e Acervos'!$C:$C,CONCATENATE(LEFT(D120,12),RIGHT(D120,2)))</f>
        <v>2</v>
      </c>
      <c r="D120" t="s">
        <v>4528</v>
      </c>
      <c r="E120" t="str">
        <f>VLOOKUP($B120,'Obras e Acervos'!$B:$X,3,0)</f>
        <v>EDITORA PLANETA DO BRASIL LTDA-EDITORA PLANETA</v>
      </c>
      <c r="F120" t="str">
        <f>VLOOKUP($B120,'Obras e Acervos'!$B:$X,7,0)</f>
        <v>0542L23000020LE</v>
      </c>
      <c r="G120" t="str">
        <f>VLOOKUP($B120,'Obras e Acervos'!$B:$X,5,0)</f>
        <v>AS AVENTURAS DE MIKE</v>
      </c>
      <c r="H120">
        <f>VLOOKUP($B120,'Obras e Acervos'!$B:$X,18,0)</f>
        <v>16</v>
      </c>
      <c r="I120">
        <f>VLOOKUP($B120,'Obras e Acervos'!$B:$X,19,0)</f>
        <v>35621</v>
      </c>
      <c r="J120" s="42">
        <f>VLOOKUP($B120,'Obras e Acervos'!$B:$X,20,0)</f>
        <v>5699.36</v>
      </c>
      <c r="K120" s="31">
        <f>VLOOKUP($B120,'Obras e Acervos'!$B:$X,21,0)</f>
        <v>14.88</v>
      </c>
      <c r="L120" s="31">
        <f t="shared" si="13"/>
        <v>530040.48</v>
      </c>
      <c r="M120" s="1">
        <v>46066</v>
      </c>
      <c r="N120" s="1">
        <f t="shared" si="10"/>
        <v>46305</v>
      </c>
      <c r="O120">
        <f t="shared" si="14"/>
        <v>240</v>
      </c>
      <c r="P120" s="49">
        <f t="shared" si="18"/>
        <v>8</v>
      </c>
      <c r="Q120" s="34">
        <f>VLOOKUP($G120,Agendamento!$B:$F,5,0)</f>
        <v>7</v>
      </c>
      <c r="R120" s="36">
        <f t="shared" si="15"/>
        <v>36</v>
      </c>
      <c r="S120" s="44">
        <v>2.5499999999999998</v>
      </c>
      <c r="T120" s="44">
        <f t="shared" si="16"/>
        <v>22032</v>
      </c>
      <c r="U120" t="s">
        <v>5009</v>
      </c>
      <c r="V120" t="str">
        <f t="shared" si="17"/>
        <v>NF/64237863_20260213_nf_19.pdf</v>
      </c>
      <c r="W120" s="32" t="str">
        <f t="shared" si="19"/>
        <v>NF - AS AVENTURAS DE MIKE</v>
      </c>
      <c r="X120" t="s">
        <v>5591</v>
      </c>
    </row>
    <row r="121" spans="1:24" x14ac:dyDescent="0.25">
      <c r="A121" t="str">
        <f>CONCATENATE(D121,"_",TEXT(M121,"ddmmaaaa"),"_",COUNTIF($D$2:D121,D121))</f>
        <v>072139260001-04_13022026_1</v>
      </c>
      <c r="B121" t="str">
        <f>CONCATENATE(Analise!D121,"_",COUNTIF(Analise!$D$2:D121,Analise!D121))</f>
        <v>072139260001-04_1</v>
      </c>
      <c r="C121" s="34">
        <f>COUNTIF('Obras e Acervos'!$C:$C,CONCATENATE(LEFT(D121,12),RIGHT(D121,2)))</f>
        <v>1</v>
      </c>
      <c r="D121" s="35" t="s">
        <v>4569</v>
      </c>
      <c r="E121" t="str">
        <f>VLOOKUP($B121,'Obras e Acervos'!$B:$X,3,0)</f>
        <v>EDITORA HR LTDA-EDITORA HR LTDA</v>
      </c>
      <c r="F121" t="str">
        <f>VLOOKUP($B121,'Obras e Acervos'!$B:$X,7,0)</f>
        <v>0414L23000030LE</v>
      </c>
      <c r="G121" t="str">
        <f>VLOOKUP($B121,'Obras e Acervos'!$B:$X,5,0)</f>
        <v>VOVÓ TEM CADA HISTÓRIA</v>
      </c>
      <c r="H121">
        <f>VLOOKUP($B121,'Obras e Acervos'!$B:$X,18,0)</f>
        <v>6</v>
      </c>
      <c r="I121">
        <f>VLOOKUP($B121,'Obras e Acervos'!$B:$X,19,0)</f>
        <v>40447</v>
      </c>
      <c r="J121" s="42">
        <f>VLOOKUP($B121,'Obras e Acervos'!$B:$X,20,0)</f>
        <v>3882.9120000000003</v>
      </c>
      <c r="K121" s="31">
        <f>VLOOKUP($B121,'Obras e Acervos'!$B:$X,21,0)</f>
        <v>6.16</v>
      </c>
      <c r="L121" s="31">
        <f t="shared" si="13"/>
        <v>249153.52000000002</v>
      </c>
      <c r="M121" s="1">
        <v>46066</v>
      </c>
      <c r="N121" s="1">
        <f t="shared" si="10"/>
        <v>46305</v>
      </c>
      <c r="O121">
        <f t="shared" si="14"/>
        <v>240</v>
      </c>
      <c r="P121" s="49">
        <f t="shared" si="18"/>
        <v>8</v>
      </c>
      <c r="Q121" s="34">
        <f>VLOOKUP($G121,Agendamento!$B:$F,5,0)</f>
        <v>6</v>
      </c>
      <c r="R121" s="36">
        <f t="shared" si="15"/>
        <v>41</v>
      </c>
      <c r="S121" s="44">
        <v>2.5499999999999998</v>
      </c>
      <c r="T121" s="44">
        <f t="shared" si="16"/>
        <v>25092</v>
      </c>
      <c r="U121" t="s">
        <v>5016</v>
      </c>
      <c r="V121" t="str">
        <f t="shared" si="17"/>
        <v>NF/64237863_20260213_nf_22.pdf</v>
      </c>
      <c r="W121" s="32" t="str">
        <f t="shared" si="19"/>
        <v>NF - VOVÓ TEM CADA HISTÓRIA</v>
      </c>
      <c r="X121" t="s">
        <v>5591</v>
      </c>
    </row>
    <row r="122" spans="1:24" x14ac:dyDescent="0.25">
      <c r="A122" t="str">
        <f>CONCATENATE(D122,"_",TEXT(M122,"ddmmaaaa"),"_",COUNTIF($D$2:D122,D122))</f>
        <v>225205380001-60_13022026_1</v>
      </c>
      <c r="B122" t="str">
        <f>CONCATENATE(Analise!D122,"_",COUNTIF(Analise!$D$2:D122,Analise!D122))</f>
        <v>225205380001-60_1</v>
      </c>
      <c r="C122" s="34">
        <f>COUNTIF('Obras e Acervos'!$C:$C,CONCATENATE(LEFT(D122,12),RIGHT(D122,2)))</f>
        <v>2</v>
      </c>
      <c r="D122" s="35" t="s">
        <v>4570</v>
      </c>
      <c r="E122" t="str">
        <f>VLOOKUP($B122,'Obras e Acervos'!$B:$X,3,0)</f>
        <v>CASA DOS LIVROS EDITORA LTDA-CASA DOS LIVROS EDITORA LTDA</v>
      </c>
      <c r="F122" t="str">
        <f>VLOOKUP($B122,'Obras e Acervos'!$B:$X,7,0)</f>
        <v>0345L23000030LE</v>
      </c>
      <c r="G122" t="str">
        <f>VLOOKUP($B122,'Obras e Acervos'!$B:$X,5,0)</f>
        <v>QUÉ MAMÁ! É HORA DO LEITINHO</v>
      </c>
      <c r="H122">
        <f>VLOOKUP($B122,'Obras e Acervos'!$B:$X,18,0)</f>
        <v>4</v>
      </c>
      <c r="I122">
        <f>VLOOKUP($B122,'Obras e Acervos'!$B:$X,19,0)</f>
        <v>38005</v>
      </c>
      <c r="J122" s="42">
        <f>VLOOKUP($B122,'Obras e Acervos'!$B:$X,20,0)</f>
        <v>3648.48</v>
      </c>
      <c r="K122" s="31">
        <f>VLOOKUP($B122,'Obras e Acervos'!$B:$X,21,0)</f>
        <v>6.21</v>
      </c>
      <c r="L122" s="31">
        <f t="shared" si="13"/>
        <v>236011.05</v>
      </c>
      <c r="M122" s="1">
        <v>46066</v>
      </c>
      <c r="N122" s="1">
        <f t="shared" si="10"/>
        <v>46305</v>
      </c>
      <c r="O122">
        <f t="shared" si="14"/>
        <v>240</v>
      </c>
      <c r="P122" s="49">
        <f t="shared" si="18"/>
        <v>8</v>
      </c>
      <c r="Q122" s="34">
        <f>VLOOKUP($G122,Agendamento!$B:$F,5,0)</f>
        <v>6</v>
      </c>
      <c r="R122" s="36">
        <f t="shared" si="15"/>
        <v>39</v>
      </c>
      <c r="S122" s="44">
        <v>2.5499999999999998</v>
      </c>
      <c r="T122" s="44">
        <f t="shared" si="16"/>
        <v>23868</v>
      </c>
      <c r="U122" t="s">
        <v>5018</v>
      </c>
      <c r="V122" t="str">
        <f t="shared" si="17"/>
        <v>NF/64237863_20260213_nf_25.pdf</v>
      </c>
      <c r="W122" s="32" t="str">
        <f t="shared" si="19"/>
        <v>NF - QUÉ MAMÁ! É HORA DO LEITINHO</v>
      </c>
      <c r="X122" t="s">
        <v>5591</v>
      </c>
    </row>
    <row r="123" spans="1:24" x14ac:dyDescent="0.25">
      <c r="A123" t="str">
        <f>CONCATENATE(D123,"_",TEXT(M123,"ddmmaaaa"),"_",COUNTIF($D$2:D123,D123))</f>
        <v>081908130001-01_13022026_1</v>
      </c>
      <c r="B123" t="str">
        <f>CONCATENATE(Analise!D123,"_",COUNTIF(Analise!$D$2:D123,Analise!D123))</f>
        <v>081908130001-01_1</v>
      </c>
      <c r="C123" s="34">
        <f>COUNTIF('Obras e Acervos'!$C:$C,CONCATENATE(LEFT(D123,12),RIGHT(D123,2)))</f>
        <v>1</v>
      </c>
      <c r="D123" s="35" t="s">
        <v>4575</v>
      </c>
      <c r="E123" t="str">
        <f>VLOOKUP($B123,'Obras e Acervos'!$B:$X,3,0)</f>
        <v>VIDA MELHOR EDITORA LTDA.-VIDA MELHOR EDITORA LTDA.</v>
      </c>
      <c r="F123" t="str">
        <f>VLOOKUP($B123,'Obras e Acervos'!$B:$X,7,0)</f>
        <v>0444L23000030LE</v>
      </c>
      <c r="G123" t="str">
        <f>VLOOKUP($B123,'Obras e Acervos'!$B:$X,5,0)</f>
        <v>UMA CANÇÃO</v>
      </c>
      <c r="H123">
        <f>VLOOKUP($B123,'Obras e Acervos'!$B:$X,18,0)</f>
        <v>4</v>
      </c>
      <c r="I123">
        <f>VLOOKUP($B123,'Obras e Acervos'!$B:$X,19,0)</f>
        <v>39793</v>
      </c>
      <c r="J123" s="42">
        <f>VLOOKUP($B123,'Obras e Acervos'!$B:$X,20,0)</f>
        <v>3820.1280000000002</v>
      </c>
      <c r="K123" s="31">
        <f>VLOOKUP($B123,'Obras e Acervos'!$B:$X,21,0)</f>
        <v>6.18</v>
      </c>
      <c r="L123" s="31">
        <f t="shared" si="13"/>
        <v>245920.74</v>
      </c>
      <c r="M123" s="1">
        <v>46066</v>
      </c>
      <c r="N123" s="1">
        <f t="shared" si="10"/>
        <v>46305</v>
      </c>
      <c r="O123">
        <f t="shared" si="14"/>
        <v>240</v>
      </c>
      <c r="P123" s="49">
        <f t="shared" si="18"/>
        <v>8</v>
      </c>
      <c r="Q123" s="34">
        <f>VLOOKUP($G123,Agendamento!$B:$F,5,0)</f>
        <v>6</v>
      </c>
      <c r="R123" s="36">
        <f t="shared" si="15"/>
        <v>40</v>
      </c>
      <c r="S123" s="44">
        <v>2.5499999999999998</v>
      </c>
      <c r="T123" s="44">
        <f t="shared" si="16"/>
        <v>24480</v>
      </c>
      <c r="U123" t="s">
        <v>5024</v>
      </c>
      <c r="V123" t="str">
        <f t="shared" si="17"/>
        <v>NF/64237863_20260213_nf_26.pdf</v>
      </c>
      <c r="W123" s="32" t="str">
        <f t="shared" si="19"/>
        <v>NF - UMA CANÇÃO</v>
      </c>
      <c r="X123" t="s">
        <v>5591</v>
      </c>
    </row>
    <row r="124" spans="1:24" x14ac:dyDescent="0.25">
      <c r="A124" t="str">
        <f>CONCATENATE(D124,"_",TEXT(M124,"ddmmaaaa"),"_",COUNTIF($D$2:D124,D124))</f>
        <v>225205380001-60_13022026_2</v>
      </c>
      <c r="B124" t="str">
        <f>CONCATENATE(Analise!D124,"_",COUNTIF(Analise!$D$2:D124,Analise!D124))</f>
        <v>225205380001-60_2</v>
      </c>
      <c r="C124" s="34">
        <f>COUNTIF('Obras e Acervos'!$C:$C,CONCATENATE(LEFT(D124,12),RIGHT(D124,2)))</f>
        <v>2</v>
      </c>
      <c r="D124" s="35" t="s">
        <v>4570</v>
      </c>
      <c r="E124" t="str">
        <f>VLOOKUP($B124,'Obras e Acervos'!$B:$X,3,0)</f>
        <v>CASA DOS LIVROS EDITORA LTDA-CASA DOS LIVROS EDITORA LTDA</v>
      </c>
      <c r="F124" t="str">
        <f>VLOOKUP($B124,'Obras e Acervos'!$B:$X,7,0)</f>
        <v>0346L23000020LE</v>
      </c>
      <c r="G124" t="str">
        <f>VLOOKUP($B124,'Obras e Acervos'!$B:$X,5,0)</f>
        <v>RAMON FELLINI, O CÃO DETETIVE</v>
      </c>
      <c r="H124">
        <f>VLOOKUP($B124,'Obras e Acervos'!$B:$X,18,0)</f>
        <v>21</v>
      </c>
      <c r="I124">
        <f>VLOOKUP($B124,'Obras e Acervos'!$B:$X,19,0)</f>
        <v>23768</v>
      </c>
      <c r="J124" s="42">
        <f>VLOOKUP($B124,'Obras e Acervos'!$B:$X,20,0)</f>
        <v>2281.7280000000001</v>
      </c>
      <c r="K124" s="31">
        <f>VLOOKUP($B124,'Obras e Acervos'!$B:$X,21,0)</f>
        <v>8.34</v>
      </c>
      <c r="L124" s="31">
        <f t="shared" si="13"/>
        <v>198225.12</v>
      </c>
      <c r="M124" s="1">
        <v>46066</v>
      </c>
      <c r="N124" s="1">
        <f t="shared" si="10"/>
        <v>46305</v>
      </c>
      <c r="O124">
        <f t="shared" si="14"/>
        <v>240</v>
      </c>
      <c r="P124" s="49">
        <f t="shared" si="18"/>
        <v>8</v>
      </c>
      <c r="Q124" s="34">
        <f>VLOOKUP($G124,Agendamento!$B:$F,5,0)</f>
        <v>4</v>
      </c>
      <c r="R124" s="36">
        <f t="shared" si="15"/>
        <v>24</v>
      </c>
      <c r="S124" s="44">
        <v>2.5499999999999998</v>
      </c>
      <c r="T124" s="44">
        <f t="shared" si="16"/>
        <v>14687.999999999998</v>
      </c>
      <c r="U124" t="s">
        <v>5019</v>
      </c>
      <c r="V124" t="str">
        <f t="shared" si="17"/>
        <v>NF/64237863_20260213_nf_27.pdf</v>
      </c>
      <c r="W124" s="32" t="str">
        <f t="shared" si="19"/>
        <v>NF - RAMON FELLINI, O CÃO DETETIVE</v>
      </c>
      <c r="X124" t="s">
        <v>5591</v>
      </c>
    </row>
    <row r="125" spans="1:24" x14ac:dyDescent="0.25">
      <c r="A125" t="str">
        <f>CONCATENATE(D125,"_",TEXT(M125,"ddmmaaaa"),"_",COUNTIF($D$2:D125,D125))</f>
        <v>031412510001-84_13022026_1</v>
      </c>
      <c r="B125" t="str">
        <f>CONCATENATE(Analise!D125,"_",COUNTIF(Analise!$D$2:D125,Analise!D125))</f>
        <v>031412510001-84_1</v>
      </c>
      <c r="C125" s="34">
        <f>COUNTIF('Obras e Acervos'!$C:$C,CONCATENATE(LEFT(D125,12),RIGHT(D125,2)))</f>
        <v>2</v>
      </c>
      <c r="D125" s="35" t="s">
        <v>4571</v>
      </c>
      <c r="E125" t="str">
        <f>VLOOKUP($B125,'Obras e Acervos'!$B:$X,3,0)</f>
        <v>TELOS EDITORA LTDA-TELOS EDITORA</v>
      </c>
      <c r="F125" t="str">
        <f>VLOOKUP($B125,'Obras e Acervos'!$B:$X,7,0)</f>
        <v>0556L23000030LE</v>
      </c>
      <c r="G125" t="str">
        <f>VLOOKUP($B125,'Obras e Acervos'!$B:$X,5,0)</f>
        <v>TAMBOR DO AMOR</v>
      </c>
      <c r="H125">
        <f>VLOOKUP($B125,'Obras e Acervos'!$B:$X,18,0)</f>
        <v>1</v>
      </c>
      <c r="I125">
        <f>VLOOKUP($B125,'Obras e Acervos'!$B:$X,19,0)</f>
        <v>120330</v>
      </c>
      <c r="J125" s="42">
        <f>VLOOKUP($B125,'Obras e Acervos'!$B:$X,20,0)</f>
        <v>12033</v>
      </c>
      <c r="K125" s="31">
        <f>VLOOKUP($B125,'Obras e Acervos'!$B:$X,21,0)</f>
        <v>3.34</v>
      </c>
      <c r="L125" s="31">
        <f t="shared" si="13"/>
        <v>401902.2</v>
      </c>
      <c r="M125" s="1">
        <v>46066</v>
      </c>
      <c r="N125" s="1">
        <f t="shared" si="10"/>
        <v>46305</v>
      </c>
      <c r="O125">
        <f t="shared" si="14"/>
        <v>240</v>
      </c>
      <c r="P125" s="49">
        <f t="shared" si="18"/>
        <v>8</v>
      </c>
      <c r="Q125" s="34">
        <f>VLOOKUP($G125,Agendamento!$B:$F,5,0)</f>
        <v>13</v>
      </c>
      <c r="R125" s="36">
        <f t="shared" si="15"/>
        <v>121</v>
      </c>
      <c r="S125" s="44">
        <v>2.5499999999999998</v>
      </c>
      <c r="T125" s="44">
        <f t="shared" si="16"/>
        <v>74052</v>
      </c>
      <c r="U125" t="s">
        <v>5020</v>
      </c>
      <c r="V125" t="str">
        <f t="shared" si="17"/>
        <v>NF/64237863_20260213_nf_28.pdf</v>
      </c>
      <c r="W125" s="32" t="str">
        <f t="shared" si="19"/>
        <v>NF - TAMBOR DO AMOR</v>
      </c>
      <c r="X125" t="s">
        <v>5591</v>
      </c>
    </row>
    <row r="126" spans="1:24" x14ac:dyDescent="0.25">
      <c r="A126" t="str">
        <f>CONCATENATE(D126,"_",TEXT(M126,"ddmmaaaa"),"_",COUNTIF($D$2:D126,D126))</f>
        <v>031412510001-84_13022026_2</v>
      </c>
      <c r="B126" t="str">
        <f>CONCATENATE(Analise!D126,"_",COUNTIF(Analise!$D$2:D126,Analise!D126))</f>
        <v>031412510001-84_2</v>
      </c>
      <c r="C126" s="34">
        <f>COUNTIF('Obras e Acervos'!$C:$C,CONCATENATE(LEFT(D126,12),RIGHT(D126,2)))</f>
        <v>2</v>
      </c>
      <c r="D126" s="35" t="s">
        <v>4571</v>
      </c>
      <c r="E126" t="str">
        <f>VLOOKUP($B126,'Obras e Acervos'!$B:$X,3,0)</f>
        <v>TELOS EDITORA LTDA-TELOS EDITORA</v>
      </c>
      <c r="F126" t="str">
        <f>VLOOKUP($B126,'Obras e Acervos'!$B:$X,7,0)</f>
        <v>0557L23000020LE</v>
      </c>
      <c r="G126" t="str">
        <f>VLOOKUP($B126,'Obras e Acervos'!$B:$X,5,0)</f>
        <v>O BAILE DAS CAVEIRAS</v>
      </c>
      <c r="H126">
        <f>VLOOKUP($B126,'Obras e Acervos'!$B:$X,18,0)</f>
        <v>17</v>
      </c>
      <c r="I126">
        <f>VLOOKUP($B126,'Obras e Acervos'!$B:$X,19,0)</f>
        <v>28050</v>
      </c>
      <c r="J126" s="42">
        <f>VLOOKUP($B126,'Obras e Acervos'!$B:$X,20,0)</f>
        <v>3646.5</v>
      </c>
      <c r="K126" s="31">
        <f>VLOOKUP($B126,'Obras e Acervos'!$B:$X,21,0)</f>
        <v>7.3</v>
      </c>
      <c r="L126" s="31">
        <f t="shared" si="13"/>
        <v>204765</v>
      </c>
      <c r="M126" s="1">
        <v>46066</v>
      </c>
      <c r="N126" s="1">
        <f t="shared" si="10"/>
        <v>46305</v>
      </c>
      <c r="O126">
        <f t="shared" si="14"/>
        <v>240</v>
      </c>
      <c r="P126" s="49">
        <f t="shared" si="18"/>
        <v>8</v>
      </c>
      <c r="Q126" s="34">
        <f>VLOOKUP($G126,Agendamento!$B:$F,5,0)</f>
        <v>5</v>
      </c>
      <c r="R126" s="36">
        <f t="shared" si="15"/>
        <v>29</v>
      </c>
      <c r="S126" s="44">
        <v>2.5499999999999998</v>
      </c>
      <c r="T126" s="44">
        <f t="shared" si="16"/>
        <v>17748</v>
      </c>
      <c r="U126" t="s">
        <v>5020</v>
      </c>
      <c r="V126" t="str">
        <f t="shared" si="17"/>
        <v>NF/64237863_20260213_nf_28.pdf</v>
      </c>
      <c r="W126" s="32" t="str">
        <f t="shared" si="19"/>
        <v>NF - O BAILE DAS CAVEIRAS</v>
      </c>
      <c r="X126" t="s">
        <v>5591</v>
      </c>
    </row>
    <row r="127" spans="1:24" x14ac:dyDescent="0.25">
      <c r="A127" t="str">
        <f>CONCATENATE(D127,"_",TEXT(M127,"ddmmaaaa"),"_",COUNTIF($D$2:D127,D127))</f>
        <v>195105640001-00_13022026_1</v>
      </c>
      <c r="B127" t="str">
        <f>CONCATENATE(Analise!D127,"_",COUNTIF(Analise!$D$2:D127,Analise!D127))</f>
        <v>195105640001-00_1</v>
      </c>
      <c r="C127" s="34">
        <f>COUNTIF('Obras e Acervos'!$C:$C,CONCATENATE(LEFT(D127,12),RIGHT(D127,2)))</f>
        <v>2</v>
      </c>
      <c r="D127" s="35" t="s">
        <v>4576</v>
      </c>
      <c r="E127" t="str">
        <f>VLOOKUP($B127,'Obras e Acervos'!$B:$X,3,0)</f>
        <v>RAKUN EDITORA E SERVIÇOS DE TEXTO LTDA.-RAKUN</v>
      </c>
      <c r="F127" t="str">
        <f>VLOOKUP($B127,'Obras e Acervos'!$B:$X,7,0)</f>
        <v>1009L23000030LE</v>
      </c>
      <c r="G127" t="str">
        <f>VLOOKUP($B127,'Obras e Acervos'!$B:$X,5,0)</f>
        <v>A BARCA DO CANOEIRO</v>
      </c>
      <c r="H127">
        <f>VLOOKUP($B127,'Obras e Acervos'!$B:$X,18,0)</f>
        <v>1</v>
      </c>
      <c r="I127">
        <f>VLOOKUP($B127,'Obras e Acervos'!$B:$X,19,0)</f>
        <v>54246</v>
      </c>
      <c r="J127" s="42">
        <f>VLOOKUP($B127,'Obras e Acervos'!$B:$X,20,0)</f>
        <v>8136.9</v>
      </c>
      <c r="K127" s="31">
        <f>VLOOKUP($B127,'Obras e Acervos'!$B:$X,21,0)</f>
        <v>6.06</v>
      </c>
      <c r="L127" s="31">
        <f t="shared" si="13"/>
        <v>328730.75999999995</v>
      </c>
      <c r="M127" s="1">
        <v>46066</v>
      </c>
      <c r="N127" s="1">
        <f t="shared" si="10"/>
        <v>46305</v>
      </c>
      <c r="O127">
        <f t="shared" si="14"/>
        <v>240</v>
      </c>
      <c r="P127" s="49">
        <f t="shared" si="18"/>
        <v>8</v>
      </c>
      <c r="Q127" s="34">
        <f>VLOOKUP($G127,Agendamento!$B:$F,5,0)</f>
        <v>11</v>
      </c>
      <c r="R127" s="36">
        <f t="shared" si="15"/>
        <v>55</v>
      </c>
      <c r="S127" s="44">
        <v>2.5499999999999998</v>
      </c>
      <c r="T127" s="44">
        <f t="shared" si="16"/>
        <v>33660</v>
      </c>
      <c r="U127" t="s">
        <v>5025</v>
      </c>
      <c r="V127" t="str">
        <f t="shared" si="17"/>
        <v>NF/64237863_20260213_nf_29.pdf</v>
      </c>
      <c r="W127" s="32" t="str">
        <f t="shared" si="19"/>
        <v>NF - A BARCA DO CANOEIRO</v>
      </c>
      <c r="X127" t="s">
        <v>5591</v>
      </c>
    </row>
    <row r="128" spans="1:24" x14ac:dyDescent="0.25">
      <c r="A128" t="str">
        <f>CONCATENATE(D128,"_",TEXT(M128,"ddmmaaaa"),"_",COUNTIF($D$2:D128,D128))</f>
        <v>195105640001-00_13022026_2</v>
      </c>
      <c r="B128" t="str">
        <f>CONCATENATE(Analise!D128,"_",COUNTIF(Analise!$D$2:D128,Analise!D128))</f>
        <v>195105640001-00_2</v>
      </c>
      <c r="C128" s="34">
        <f>COUNTIF('Obras e Acervos'!$C:$C,CONCATENATE(LEFT(D128,12),RIGHT(D128,2)))</f>
        <v>2</v>
      </c>
      <c r="D128" s="35" t="s">
        <v>4576</v>
      </c>
      <c r="E128" t="str">
        <f>VLOOKUP($B128,'Obras e Acervos'!$B:$X,3,0)</f>
        <v>RAKUN EDITORA E SERVIÇOS DE TEXTO LTDA.-RAKUN</v>
      </c>
      <c r="F128" t="str">
        <f>VLOOKUP($B128,'Obras e Acervos'!$B:$X,7,0)</f>
        <v>1010L23000020LE</v>
      </c>
      <c r="G128" t="str">
        <f>VLOOKUP($B128,'Obras e Acervos'!$B:$X,5,0)</f>
        <v>O ESCURO QUE MORA DENTRO DO ESCURO</v>
      </c>
      <c r="H128">
        <f>VLOOKUP($B128,'Obras e Acervos'!$B:$X,18,0)</f>
        <v>19</v>
      </c>
      <c r="I128">
        <f>VLOOKUP($B128,'Obras e Acervos'!$B:$X,19,0)</f>
        <v>25346</v>
      </c>
      <c r="J128" s="42">
        <f>VLOOKUP($B128,'Obras e Acervos'!$B:$X,20,0)</f>
        <v>3041.52</v>
      </c>
      <c r="K128" s="31">
        <f>VLOOKUP($B128,'Obras e Acervos'!$B:$X,21,0)</f>
        <v>11.81</v>
      </c>
      <c r="L128" s="31">
        <f t="shared" si="13"/>
        <v>299336.26</v>
      </c>
      <c r="M128" s="1">
        <v>46066</v>
      </c>
      <c r="N128" s="1">
        <f t="shared" si="10"/>
        <v>46305</v>
      </c>
      <c r="O128">
        <f t="shared" si="14"/>
        <v>240</v>
      </c>
      <c r="P128" s="49">
        <f t="shared" si="18"/>
        <v>8</v>
      </c>
      <c r="Q128" s="34">
        <f>VLOOKUP($G128,Agendamento!$B:$F,5,0)</f>
        <v>5</v>
      </c>
      <c r="R128" s="36">
        <f t="shared" si="15"/>
        <v>26</v>
      </c>
      <c r="S128" s="44">
        <v>2.5499999999999998</v>
      </c>
      <c r="T128" s="44">
        <f t="shared" si="16"/>
        <v>15911.999999999998</v>
      </c>
      <c r="U128" t="s">
        <v>5025</v>
      </c>
      <c r="V128" t="str">
        <f t="shared" si="17"/>
        <v>NF/64237863_20260213_nf_29.pdf</v>
      </c>
      <c r="W128" s="32" t="str">
        <f t="shared" si="19"/>
        <v>NF - O ESCURO QUE MORA DENTRO DO ESCURO</v>
      </c>
      <c r="X128" t="s">
        <v>5591</v>
      </c>
    </row>
    <row r="129" spans="1:24" x14ac:dyDescent="0.25">
      <c r="A129" t="str">
        <f>CONCATENATE(D129,"_",TEXT(M129,"ddmmaaaa"),"_",COUNTIF($D$2:D129,D129))</f>
        <v>046963000001-08_13022026_1</v>
      </c>
      <c r="B129" t="str">
        <f>CONCATENATE(Analise!D129,"_",COUNTIF(Analise!$D$2:D129,Analise!D129))</f>
        <v>046963000001-08_1</v>
      </c>
      <c r="C129" s="34">
        <f>COUNTIF('Obras e Acervos'!$C:$C,CONCATENATE(LEFT(D129,12),RIGHT(D129,2)))</f>
        <v>2</v>
      </c>
      <c r="D129" s="35" t="s">
        <v>4567</v>
      </c>
      <c r="E129" t="str">
        <f>VLOOKUP($B129,'Obras e Acervos'!$B:$X,3,0)</f>
        <v>GUIA DOS CURIOSOS COMUNICAÇÕES LTDA.-GUIA DOS CURIOSOS COMUNICAÇÕES</v>
      </c>
      <c r="F129" t="str">
        <f>VLOOKUP($B129,'Obras e Acervos'!$B:$X,7,0)</f>
        <v>1005L23000030LE</v>
      </c>
      <c r="G129" t="str">
        <f>VLOOKUP($B129,'Obras e Acervos'!$B:$X,5,0)</f>
        <v>MOLEQUE</v>
      </c>
      <c r="H129">
        <f>VLOOKUP($B129,'Obras e Acervos'!$B:$X,18,0)</f>
        <v>6</v>
      </c>
      <c r="I129">
        <f>VLOOKUP($B129,'Obras e Acervos'!$B:$X,19,0)</f>
        <v>36932</v>
      </c>
      <c r="J129" s="42">
        <f>VLOOKUP($B129,'Obras e Acervos'!$B:$X,20,0)</f>
        <v>4431.84</v>
      </c>
      <c r="K129" s="31">
        <f>VLOOKUP($B129,'Obras e Acervos'!$B:$X,21,0)</f>
        <v>5.84</v>
      </c>
      <c r="L129" s="31">
        <f t="shared" si="13"/>
        <v>215682.88</v>
      </c>
      <c r="M129" s="1">
        <v>46066</v>
      </c>
      <c r="N129" s="1">
        <f t="shared" si="10"/>
        <v>46305</v>
      </c>
      <c r="O129">
        <f t="shared" si="14"/>
        <v>240</v>
      </c>
      <c r="P129" s="49">
        <f t="shared" si="18"/>
        <v>8</v>
      </c>
      <c r="Q129" s="34">
        <f>VLOOKUP($G129,Agendamento!$B:$F,5,0)</f>
        <v>7</v>
      </c>
      <c r="R129" s="36">
        <f t="shared" si="15"/>
        <v>37</v>
      </c>
      <c r="S129" s="44">
        <v>2.5499999999999998</v>
      </c>
      <c r="T129" s="44">
        <f t="shared" si="16"/>
        <v>22644</v>
      </c>
      <c r="U129" t="s">
        <v>5011</v>
      </c>
      <c r="V129" t="str">
        <f t="shared" si="17"/>
        <v>NF/64237863_20260213_nf_30.pdf</v>
      </c>
      <c r="W129" s="32" t="str">
        <f t="shared" si="19"/>
        <v>NF - MOLEQUE</v>
      </c>
      <c r="X129" t="s">
        <v>5591</v>
      </c>
    </row>
    <row r="130" spans="1:24" x14ac:dyDescent="0.25">
      <c r="A130" t="str">
        <f>CONCATENATE(D130,"_",TEXT(M130,"ddmmaaaa"),"_",COUNTIF($D$2:D130,D130))</f>
        <v>046963000001-08_13022026_2</v>
      </c>
      <c r="B130" t="str">
        <f>CONCATENATE(Analise!D130,"_",COUNTIF(Analise!$D$2:D130,Analise!D130))</f>
        <v>046963000001-08_2</v>
      </c>
      <c r="C130" s="34">
        <f>COUNTIF('Obras e Acervos'!$C:$C,CONCATENATE(LEFT(D130,12),RIGHT(D130,2)))</f>
        <v>2</v>
      </c>
      <c r="D130" s="35" t="s">
        <v>4567</v>
      </c>
      <c r="E130" t="str">
        <f>VLOOKUP($B130,'Obras e Acervos'!$B:$X,3,0)</f>
        <v>GUIA DOS CURIOSOS COMUNICAÇÕES LTDA.-GUIA DOS CURIOSOS COMUNICAÇÕES</v>
      </c>
      <c r="F130" t="str">
        <f>VLOOKUP($B130,'Obras e Acervos'!$B:$X,7,0)</f>
        <v>1006L23000020LE</v>
      </c>
      <c r="G130" t="str">
        <f>VLOOKUP($B130,'Obras e Acervos'!$B:$X,5,0)</f>
        <v>FRITAS - O INCRÍVEL LIVRO DA VIDA DE CAMILA A. SILVA</v>
      </c>
      <c r="H130">
        <f>VLOOKUP($B130,'Obras e Acervos'!$B:$X,18,0)</f>
        <v>20</v>
      </c>
      <c r="I130">
        <f>VLOOKUP($B130,'Obras e Acervos'!$B:$X,19,0)</f>
        <v>26729</v>
      </c>
      <c r="J130" s="42">
        <f>VLOOKUP($B130,'Obras e Acervos'!$B:$X,20,0)</f>
        <v>3474.77</v>
      </c>
      <c r="K130" s="31">
        <f>VLOOKUP($B130,'Obras e Acervos'!$B:$X,21,0)</f>
        <v>10.97</v>
      </c>
      <c r="L130" s="31">
        <f t="shared" si="13"/>
        <v>293217.13</v>
      </c>
      <c r="M130" s="1">
        <v>46066</v>
      </c>
      <c r="N130" s="1">
        <f t="shared" ref="N130:N193" si="20">$AB$2</f>
        <v>46305</v>
      </c>
      <c r="O130">
        <f t="shared" si="14"/>
        <v>240</v>
      </c>
      <c r="P130" s="49">
        <f t="shared" ref="P130:P162" si="21">O130/30</f>
        <v>8</v>
      </c>
      <c r="Q130" s="34">
        <f>VLOOKUP($G130,Agendamento!$B:$F,5,0)</f>
        <v>9</v>
      </c>
      <c r="R130" s="36">
        <f t="shared" si="15"/>
        <v>27</v>
      </c>
      <c r="S130" s="44">
        <v>2.5499999999999998</v>
      </c>
      <c r="T130" s="44">
        <f t="shared" si="16"/>
        <v>16524</v>
      </c>
      <c r="U130" t="s">
        <v>5011</v>
      </c>
      <c r="V130" t="str">
        <f t="shared" si="17"/>
        <v>NF/64237863_20260213_nf_30.pdf</v>
      </c>
      <c r="W130" s="32" t="str">
        <f t="shared" ref="W130:W162" si="22">HYPERLINK(CONCATENATE("saida/",U130),CONCATENATE("NF - ",G130))</f>
        <v>NF - FRITAS - O INCRÍVEL LIVRO DA VIDA DE CAMILA A. SILVA</v>
      </c>
      <c r="X130" t="s">
        <v>5591</v>
      </c>
    </row>
    <row r="131" spans="1:24" x14ac:dyDescent="0.25">
      <c r="A131" t="str">
        <f>CONCATENATE(D131,"_",TEXT(M131,"ddmmaaaa"),"_",COUNTIF($D$2:D131,D131))</f>
        <v>056918200001-90_13022026_2</v>
      </c>
      <c r="B131" t="str">
        <f>CONCATENATE(Analise!D131,"_",COUNTIF(Analise!$D$2:D131,Analise!D131)-1)</f>
        <v>056918200001-90_1</v>
      </c>
      <c r="C131" s="34">
        <f>COUNTIF('Obras e Acervos'!$C:$C,CONCATENATE(LEFT(D131,12),RIGHT(D131,2)))</f>
        <v>2</v>
      </c>
      <c r="D131" s="35" t="s">
        <v>4566</v>
      </c>
      <c r="E131" t="str">
        <f>VLOOKUP($B131,'Obras e Acervos'!$B:$X,3,0)</f>
        <v>CULTURAMA EDITORA E DISTRIBUIDORA LTDA-CULTURAMA</v>
      </c>
      <c r="F131" t="str">
        <f>VLOOKUP($B131,'Obras e Acervos'!$B:$X,7,0)</f>
        <v>0865L23000030LE</v>
      </c>
      <c r="G131" t="str">
        <f>VLOOKUP($B131,'Obras e Acervos'!$B:$X,5,0)</f>
        <v>HORA DA ESCOLA</v>
      </c>
      <c r="H131">
        <f>VLOOKUP($B131,'Obras e Acervos'!$B:$X,18,0)</f>
        <v>2</v>
      </c>
      <c r="I131">
        <f>VLOOKUP($B131,'Obras e Acervos'!$B:$X,19,0)</f>
        <v>46619</v>
      </c>
      <c r="J131" s="42">
        <f>VLOOKUP($B131,'Obras e Acervos'!$B:$X,20,0)</f>
        <v>4428.8050000000003</v>
      </c>
      <c r="K131" s="31">
        <f>VLOOKUP($B131,'Obras e Acervos'!$B:$X,21,0)</f>
        <v>4.95</v>
      </c>
      <c r="L131" s="31">
        <f t="shared" ref="L131:L194" si="23">K131*I131</f>
        <v>230764.05000000002</v>
      </c>
      <c r="M131" s="1">
        <v>46066</v>
      </c>
      <c r="N131" s="1">
        <f t="shared" si="20"/>
        <v>46305</v>
      </c>
      <c r="O131">
        <f t="shared" ref="O131:O194" si="24">IF(M131="",0,(N131-M131)+1)</f>
        <v>240</v>
      </c>
      <c r="P131" s="49">
        <f t="shared" si="21"/>
        <v>8</v>
      </c>
      <c r="Q131" s="34">
        <f>VLOOKUP($G131,Agendamento!$B:$F,5,0)</f>
        <v>7</v>
      </c>
      <c r="R131" s="36">
        <f t="shared" ref="R131:R194" si="25">IF(U131="",0,ROUNDUP($I131/1000,0))</f>
        <v>47</v>
      </c>
      <c r="S131" s="44">
        <v>2.5499999999999998</v>
      </c>
      <c r="T131" s="44">
        <f t="shared" ref="T131:T194" si="26">O131*R131*S131</f>
        <v>28763.999999999996</v>
      </c>
      <c r="U131" t="s">
        <v>5013</v>
      </c>
      <c r="V131" t="str">
        <f t="shared" ref="V131:V194" si="27">CONCATENATE("NF/",U131)</f>
        <v>NF/64237863_20260213_nf_31.pdf</v>
      </c>
      <c r="W131" s="32" t="str">
        <f t="shared" si="22"/>
        <v>NF - HORA DA ESCOLA</v>
      </c>
      <c r="X131" t="s">
        <v>5591</v>
      </c>
    </row>
    <row r="132" spans="1:24" x14ac:dyDescent="0.25">
      <c r="A132" t="str">
        <f>CONCATENATE(D132,"_",TEXT(M132,"ddmmaaaa"),"_",COUNTIF($D$2:D132,D132))</f>
        <v>196124280001-13_13022026_1</v>
      </c>
      <c r="B132" t="str">
        <f>CONCATENATE(Analise!D132,"_",COUNTIF(Analise!$D$2:D132,Analise!D132))</f>
        <v>196124280001-13_1</v>
      </c>
      <c r="C132" s="34">
        <f>COUNTIF('Obras e Acervos'!$C:$C,CONCATENATE(LEFT(D132,12),RIGHT(D132,2)))</f>
        <v>1</v>
      </c>
      <c r="D132" s="35" t="s">
        <v>4572</v>
      </c>
      <c r="E132" t="str">
        <f>VLOOKUP($B132,'Obras e Acervos'!$B:$X,3,0)</f>
        <v>ESTUDIO ÁGUA EDITORA LTDA-ESTUDIO ÁGUA EDITORA</v>
      </c>
      <c r="F132" t="str">
        <f>VLOOKUP($B132,'Obras e Acervos'!$B:$X,7,0)</f>
        <v>0354L23000020LE</v>
      </c>
      <c r="G132" t="str">
        <f>VLOOKUP($B132,'Obras e Acervos'!$B:$X,5,0)</f>
        <v>BICHIONÁRIO</v>
      </c>
      <c r="H132">
        <f>VLOOKUP($B132,'Obras e Acervos'!$B:$X,18,0)</f>
        <v>16</v>
      </c>
      <c r="I132">
        <f>VLOOKUP($B132,'Obras e Acervos'!$B:$X,19,0)</f>
        <v>32167</v>
      </c>
      <c r="J132" s="42">
        <f>VLOOKUP($B132,'Obras e Acervos'!$B:$X,20,0)</f>
        <v>2927.1970000000001</v>
      </c>
      <c r="K132" s="31">
        <f>VLOOKUP($B132,'Obras e Acervos'!$B:$X,21,0)</f>
        <v>5.93</v>
      </c>
      <c r="L132" s="31">
        <f t="shared" si="23"/>
        <v>190750.31</v>
      </c>
      <c r="M132" s="1">
        <v>46066</v>
      </c>
      <c r="N132" s="1">
        <f t="shared" si="20"/>
        <v>46305</v>
      </c>
      <c r="O132">
        <f t="shared" si="24"/>
        <v>240</v>
      </c>
      <c r="P132" s="49">
        <f t="shared" si="21"/>
        <v>8</v>
      </c>
      <c r="Q132" s="34">
        <f>VLOOKUP($G132,Agendamento!$B:$F,5,0)</f>
        <v>4</v>
      </c>
      <c r="R132" s="36">
        <f t="shared" si="25"/>
        <v>33</v>
      </c>
      <c r="S132" s="44">
        <v>2.5499999999999998</v>
      </c>
      <c r="T132" s="44">
        <f t="shared" si="26"/>
        <v>20196</v>
      </c>
      <c r="U132" t="s">
        <v>5021</v>
      </c>
      <c r="V132" t="str">
        <f t="shared" si="27"/>
        <v>NF/64237863_20260213_nf_32.pdf</v>
      </c>
      <c r="W132" s="32" t="str">
        <f t="shared" si="22"/>
        <v>NF - BICHIONÁRIO</v>
      </c>
      <c r="X132" t="s">
        <v>5591</v>
      </c>
    </row>
    <row r="133" spans="1:24" x14ac:dyDescent="0.25">
      <c r="A133" t="str">
        <f>CONCATENATE(D133,"_",TEXT(M133,"ddmmaaaa"),"_",COUNTIF($D$2:D133,D133))</f>
        <v>967455340001-16_13022026_1</v>
      </c>
      <c r="B133" t="str">
        <f>CONCATENATE(Analise!D133,"_",COUNTIF(Analise!$D$2:D133,Analise!D133))</f>
        <v>967455340001-16_1</v>
      </c>
      <c r="C133" s="34">
        <f>COUNTIF('Obras e Acervos'!$C:$C,CONCATENATE(LEFT(D133,12),RIGHT(D133,2)))</f>
        <v>2</v>
      </c>
      <c r="D133" s="35" t="s">
        <v>4573</v>
      </c>
      <c r="E133" t="str">
        <f>VLOOKUP($B133,'Obras e Acervos'!$B:$X,3,0)</f>
        <v>SOLISLUNA DESIGN E EDITORA LTDA-SOLISLUNA EDITORA</v>
      </c>
      <c r="F133" t="str">
        <f>VLOOKUP($B133,'Obras e Acervos'!$B:$X,7,0)</f>
        <v>1051L23000030LE</v>
      </c>
      <c r="G133" t="str">
        <f>VLOOKUP($B133,'Obras e Acervos'!$B:$X,5,0)</f>
        <v>TECELAGEM: UMA HISTÓRIA ILUSTRADA</v>
      </c>
      <c r="H133">
        <f>VLOOKUP($B133,'Obras e Acervos'!$B:$X,18,0)</f>
        <v>6</v>
      </c>
      <c r="I133">
        <f>VLOOKUP($B133,'Obras e Acervos'!$B:$X,19,0)</f>
        <v>36992</v>
      </c>
      <c r="J133" s="42">
        <f>VLOOKUP($B133,'Obras e Acervos'!$B:$X,20,0)</f>
        <v>4254.08</v>
      </c>
      <c r="K133" s="31">
        <f>VLOOKUP($B133,'Obras e Acervos'!$B:$X,21,0)</f>
        <v>4.95</v>
      </c>
      <c r="L133" s="31">
        <f t="shared" si="23"/>
        <v>183110.39999999999</v>
      </c>
      <c r="M133" s="1">
        <v>46066</v>
      </c>
      <c r="N133" s="1">
        <f t="shared" si="20"/>
        <v>46305</v>
      </c>
      <c r="O133">
        <f t="shared" si="24"/>
        <v>240</v>
      </c>
      <c r="P133" s="49">
        <f t="shared" si="21"/>
        <v>8</v>
      </c>
      <c r="Q133" s="34">
        <f>VLOOKUP($G133,Agendamento!$B:$F,5,0)</f>
        <v>4</v>
      </c>
      <c r="R133" s="36">
        <f t="shared" si="25"/>
        <v>37</v>
      </c>
      <c r="S133" s="44">
        <v>2.5499999999999998</v>
      </c>
      <c r="T133" s="44">
        <f t="shared" si="26"/>
        <v>22644</v>
      </c>
      <c r="U133" t="s">
        <v>5022</v>
      </c>
      <c r="V133" t="str">
        <f t="shared" si="27"/>
        <v>NF/64237863_20260213_nf_33.pdf</v>
      </c>
      <c r="W133" s="32" t="str">
        <f t="shared" si="22"/>
        <v>NF - TECELAGEM: UMA HISTÓRIA ILUSTRADA</v>
      </c>
      <c r="X133" t="s">
        <v>5591</v>
      </c>
    </row>
    <row r="134" spans="1:24" x14ac:dyDescent="0.25">
      <c r="A134" t="str">
        <f>CONCATENATE(D134,"_",TEXT(M134,"ddmmaaaa"),"_",COUNTIF($D$2:D134,D134))</f>
        <v>967455340001-16_13022026_2</v>
      </c>
      <c r="B134" t="str">
        <f>CONCATENATE(Analise!D134,"_",COUNTIF(Analise!$D$2:D134,Analise!D134))</f>
        <v>967455340001-16_2</v>
      </c>
      <c r="C134" s="34">
        <f>COUNTIF('Obras e Acervos'!$C:$C,CONCATENATE(LEFT(D134,12),RIGHT(D134,2)))</f>
        <v>2</v>
      </c>
      <c r="D134" s="35" t="s">
        <v>4573</v>
      </c>
      <c r="E134" t="str">
        <f>VLOOKUP($B134,'Obras e Acervos'!$B:$X,3,0)</f>
        <v>SOLISLUNA DESIGN E EDITORA LTDA-SOLISLUNA EDITORA</v>
      </c>
      <c r="F134" t="str">
        <f>VLOOKUP($B134,'Obras e Acervos'!$B:$X,7,0)</f>
        <v>1052L23000020LE</v>
      </c>
      <c r="G134" t="str">
        <f>VLOOKUP($B134,'Obras e Acervos'!$B:$X,5,0)</f>
        <v>ANTONINO PEREGRINO</v>
      </c>
      <c r="H134">
        <f>VLOOKUP($B134,'Obras e Acervos'!$B:$X,18,0)</f>
        <v>11</v>
      </c>
      <c r="I134">
        <f>VLOOKUP($B134,'Obras e Acervos'!$B:$X,19,0)</f>
        <v>31907</v>
      </c>
      <c r="J134" s="42">
        <f>VLOOKUP($B134,'Obras e Acervos'!$B:$X,20,0)</f>
        <v>8455.3549999999996</v>
      </c>
      <c r="K134" s="31">
        <f>VLOOKUP($B134,'Obras e Acervos'!$B:$X,21,0)</f>
        <v>9.56</v>
      </c>
      <c r="L134" s="31">
        <f t="shared" si="23"/>
        <v>305030.92000000004</v>
      </c>
      <c r="M134" s="1">
        <v>46066</v>
      </c>
      <c r="N134" s="1">
        <f t="shared" si="20"/>
        <v>46305</v>
      </c>
      <c r="O134">
        <f t="shared" si="24"/>
        <v>240</v>
      </c>
      <c r="P134" s="49">
        <f t="shared" si="21"/>
        <v>8</v>
      </c>
      <c r="Q134" s="34">
        <f>VLOOKUP($G134,Agendamento!$B:$F,5,0)</f>
        <v>4</v>
      </c>
      <c r="R134" s="36">
        <f t="shared" si="25"/>
        <v>32</v>
      </c>
      <c r="S134" s="44">
        <v>2.5499999999999998</v>
      </c>
      <c r="T134" s="44">
        <f t="shared" si="26"/>
        <v>19584</v>
      </c>
      <c r="U134" t="s">
        <v>5022</v>
      </c>
      <c r="V134" t="str">
        <f t="shared" si="27"/>
        <v>NF/64237863_20260213_nf_33.pdf</v>
      </c>
      <c r="W134" s="32" t="str">
        <f t="shared" si="22"/>
        <v>NF - ANTONINO PEREGRINO</v>
      </c>
      <c r="X134" t="s">
        <v>5591</v>
      </c>
    </row>
    <row r="135" spans="1:24" x14ac:dyDescent="0.25">
      <c r="A135" t="str">
        <f>CONCATENATE(D135,"_",TEXT(M135,"ddmmaaaa"),"_",COUNTIF($D$2:D135,D135))</f>
        <v>082775930001-40_13022026_1</v>
      </c>
      <c r="B135" t="str">
        <f>CONCATENATE(Analise!D135,"_",COUNTIF(Analise!$D$2:D135,Analise!D135))</f>
        <v>082775930001-40_1</v>
      </c>
      <c r="C135" s="34">
        <f>COUNTIF('Obras e Acervos'!$C:$C,CONCATENATE(LEFT(D135,12),RIGHT(D135,2)))</f>
        <v>1</v>
      </c>
      <c r="D135" s="35" t="s">
        <v>4574</v>
      </c>
      <c r="E135" t="str">
        <f>VLOOKUP($B135,'Obras e Acervos'!$B:$X,3,0)</f>
        <v>SOPA EDITORA E PRODUTORA LTDA -SOPA EDITORA</v>
      </c>
      <c r="F135" t="str">
        <f>VLOOKUP($B135,'Obras e Acervos'!$B:$X,7,0)</f>
        <v>0699L23000030LE</v>
      </c>
      <c r="G135" t="str">
        <f>VLOOKUP($B135,'Obras e Acervos'!$B:$X,5,0)</f>
        <v>ELVIS, O CÃO COM ASAS</v>
      </c>
      <c r="H135">
        <f>VLOOKUP($B135,'Obras e Acervos'!$B:$X,18,0)</f>
        <v>7</v>
      </c>
      <c r="I135">
        <f>VLOOKUP($B135,'Obras e Acervos'!$B:$X,19,0)</f>
        <v>33283</v>
      </c>
      <c r="J135" s="42">
        <f>VLOOKUP($B135,'Obras e Acervos'!$B:$X,20,0)</f>
        <v>3594.5639999999999</v>
      </c>
      <c r="K135" s="31">
        <f>VLOOKUP($B135,'Obras e Acervos'!$B:$X,21,0)</f>
        <v>6.81</v>
      </c>
      <c r="L135" s="31">
        <f t="shared" si="23"/>
        <v>226657.22999999998</v>
      </c>
      <c r="M135" s="1">
        <v>46066</v>
      </c>
      <c r="N135" s="1">
        <f t="shared" si="20"/>
        <v>46305</v>
      </c>
      <c r="O135">
        <f t="shared" si="24"/>
        <v>240</v>
      </c>
      <c r="P135" s="49">
        <f t="shared" si="21"/>
        <v>8</v>
      </c>
      <c r="Q135" s="34">
        <f>VLOOKUP($G135,Agendamento!$B:$F,5,0)</f>
        <v>5</v>
      </c>
      <c r="R135" s="36">
        <f t="shared" si="25"/>
        <v>34</v>
      </c>
      <c r="S135" s="44">
        <v>2.5499999999999998</v>
      </c>
      <c r="T135" s="44">
        <f t="shared" si="26"/>
        <v>20808</v>
      </c>
      <c r="U135" t="s">
        <v>5023</v>
      </c>
      <c r="V135" t="str">
        <f t="shared" si="27"/>
        <v>NF/64237863_20260213_nf_34.pdf</v>
      </c>
      <c r="W135" s="32" t="str">
        <f t="shared" si="22"/>
        <v>NF - ELVIS, O CÃO COM ASAS</v>
      </c>
      <c r="X135" t="s">
        <v>5591</v>
      </c>
    </row>
    <row r="136" spans="1:24" x14ac:dyDescent="0.25">
      <c r="A136" t="str">
        <f>CONCATENATE(D136,"_",TEXT(M136,"ddmmaaaa"),"_",COUNTIF($D$2:D136,D136))</f>
        <v>443011540001-99_13022026_1</v>
      </c>
      <c r="B136" t="str">
        <f>CONCATENATE(Analise!D136,"_",COUNTIF(Analise!$D$2:D136,Analise!D136)+1)</f>
        <v>443011540001-99_2</v>
      </c>
      <c r="C136" s="34">
        <f>COUNTIF('Obras e Acervos'!$C:$C,CONCATENATE(LEFT(D136,12),RIGHT(D136,2)))</f>
        <v>2</v>
      </c>
      <c r="D136" s="35" t="s">
        <v>4568</v>
      </c>
      <c r="E136" t="str">
        <f>VLOOKUP($B136,'Obras e Acervos'!$B:$X,3,0)</f>
        <v>GRAMATA EDITORA-GRAMATA EDITORA</v>
      </c>
      <c r="F136" t="str">
        <f>VLOOKUP($B136,'Obras e Acervos'!$B:$X,7,0)</f>
        <v>0858L23000020LE</v>
      </c>
      <c r="G136" t="str">
        <f>VLOOKUP($B136,'Obras e Acervos'!$B:$X,5,0)</f>
        <v>ODISSEIA</v>
      </c>
      <c r="H136">
        <f>VLOOKUP($B136,'Obras e Acervos'!$B:$X,18,0)</f>
        <v>17</v>
      </c>
      <c r="I136">
        <f>VLOOKUP($B136,'Obras e Acervos'!$B:$X,19,0)</f>
        <v>28186</v>
      </c>
      <c r="J136" s="42">
        <f>VLOOKUP($B136,'Obras e Acervos'!$B:$X,20,0)</f>
        <v>3579.6219999999998</v>
      </c>
      <c r="K136" s="31">
        <f>VLOOKUP($B136,'Obras e Acervos'!$B:$X,21,0)</f>
        <v>10.67</v>
      </c>
      <c r="L136" s="31">
        <f t="shared" si="23"/>
        <v>300744.62</v>
      </c>
      <c r="M136" s="1">
        <v>46066</v>
      </c>
      <c r="N136" s="1">
        <f t="shared" si="20"/>
        <v>46305</v>
      </c>
      <c r="O136">
        <f t="shared" si="24"/>
        <v>240</v>
      </c>
      <c r="P136" s="49">
        <f t="shared" si="21"/>
        <v>8</v>
      </c>
      <c r="Q136" s="34">
        <f>VLOOKUP($G136,Agendamento!$B:$F,5,0)</f>
        <v>3</v>
      </c>
      <c r="R136" s="36">
        <f t="shared" si="25"/>
        <v>29</v>
      </c>
      <c r="S136" s="44">
        <v>2.5499999999999998</v>
      </c>
      <c r="T136" s="44">
        <f t="shared" si="26"/>
        <v>17748</v>
      </c>
      <c r="U136" t="s">
        <v>5015</v>
      </c>
      <c r="V136" t="str">
        <f t="shared" si="27"/>
        <v>NF/64237863_20260213_nf_35.pdf</v>
      </c>
      <c r="W136" s="32" t="str">
        <f t="shared" si="22"/>
        <v>NF - ODISSEIA</v>
      </c>
      <c r="X136" t="s">
        <v>5591</v>
      </c>
    </row>
    <row r="137" spans="1:24" x14ac:dyDescent="0.25">
      <c r="A137" t="str">
        <f>CONCATENATE(D137,"_",TEXT(M137,"ddmmaaaa"),"_",COUNTIF($D$2:D137,D137))</f>
        <v>271379610001-07_13022026_1</v>
      </c>
      <c r="B137" t="str">
        <f>CONCATENATE(Analise!D137,"_",COUNTIF(Analise!$D$2:D137,Analise!D137))</f>
        <v>271379610001-07_1</v>
      </c>
      <c r="C137" s="34">
        <f>COUNTIF('Obras e Acervos'!$C:$C,CONCATENATE(LEFT(D137,12),RIGHT(D137,2)))</f>
        <v>1</v>
      </c>
      <c r="D137" t="s">
        <v>5771</v>
      </c>
      <c r="E137" t="str">
        <f>VLOOKUP($B137,'Obras e Acervos'!$B:$X,3,0)</f>
        <v>TODAVIA EDITORA S.A.-TODAVIA</v>
      </c>
      <c r="F137" t="str">
        <f>VLOOKUP($B137,'Obras e Acervos'!$B:$X,7,0)</f>
        <v>0758L23000020LE</v>
      </c>
      <c r="G137" t="str">
        <f>VLOOKUP($B137,'Obras e Acervos'!$B:$X,5,0)</f>
        <v>A ALMA PERDIDA</v>
      </c>
      <c r="H137">
        <f>VLOOKUP($B137,'Obras e Acervos'!$B:$X,18,0)</f>
        <v>19</v>
      </c>
      <c r="I137">
        <f>VLOOKUP($B137,'Obras e Acervos'!$B:$X,19,0)</f>
        <v>24952</v>
      </c>
      <c r="J137" s="42">
        <f>VLOOKUP($B137,'Obras e Acervos'!$B:$X,20,0)</f>
        <v>3992.32</v>
      </c>
      <c r="K137" s="31">
        <f>VLOOKUP($B137,'Obras e Acervos'!$B:$X,21,0)</f>
        <v>9.34</v>
      </c>
      <c r="L137" s="31">
        <f t="shared" si="23"/>
        <v>233051.68</v>
      </c>
      <c r="M137" s="1">
        <v>46066</v>
      </c>
      <c r="N137" s="1">
        <f t="shared" si="20"/>
        <v>46305</v>
      </c>
      <c r="O137">
        <f t="shared" si="24"/>
        <v>240</v>
      </c>
      <c r="P137" s="49">
        <f t="shared" ref="P137" si="28">O137/30</f>
        <v>8</v>
      </c>
      <c r="Q137" s="34">
        <f>VLOOKUP($G137,Agendamento!$B:$F,5,0)</f>
        <v>5</v>
      </c>
      <c r="R137" s="36">
        <f t="shared" si="25"/>
        <v>25</v>
      </c>
      <c r="S137" s="44">
        <v>2.5499999999999998</v>
      </c>
      <c r="T137" s="44">
        <f t="shared" si="26"/>
        <v>15299.999999999998</v>
      </c>
      <c r="U137" t="s">
        <v>5017</v>
      </c>
      <c r="V137" t="str">
        <f t="shared" si="27"/>
        <v>NF/64237863_20260213_nf_38.pdf</v>
      </c>
      <c r="W137" s="32" t="str">
        <f t="shared" ref="W137" si="29">HYPERLINK(CONCATENATE("saida/",U137),CONCATENATE("NF - ",G137))</f>
        <v>NF - A ALMA PERDIDA</v>
      </c>
      <c r="X137" t="s">
        <v>5591</v>
      </c>
    </row>
    <row r="138" spans="1:24" x14ac:dyDescent="0.25">
      <c r="A138" t="str">
        <f>CONCATENATE(D138,"_",TEXT(M138,"ddmmaaaa"),"_",COUNTIF($D$2:D138,D138))</f>
        <v>442218420001-49_16022026_1</v>
      </c>
      <c r="B138" t="str">
        <f>CONCATENATE(Analise!D138,"_",COUNTIF(Analise!$D$2:D138,Analise!D138))</f>
        <v>442218420001-49_1</v>
      </c>
      <c r="C138" s="34">
        <f>COUNTIF('Obras e Acervos'!$C:$C,CONCATENATE(LEFT(D138,12),RIGHT(D138,2)))</f>
        <v>1</v>
      </c>
      <c r="D138" s="35" t="s">
        <v>4580</v>
      </c>
      <c r="E138" t="str">
        <f>VLOOKUP($B138,'Obras e Acervos'!$B:$X,3,0)</f>
        <v>EDITORA DOIS VERSOS LTDA- DOIS VERSOS EDITORA</v>
      </c>
      <c r="F138" t="str">
        <f>VLOOKUP($B138,'Obras e Acervos'!$B:$X,7,0)</f>
        <v>0467L23000030LE</v>
      </c>
      <c r="G138" t="str">
        <f>VLOOKUP($B138,'Obras e Acervos'!$B:$X,5,0)</f>
        <v>OS SONS DO MUNDO</v>
      </c>
      <c r="H138">
        <f>VLOOKUP($B138,'Obras e Acervos'!$B:$X,18,0)</f>
        <v>6</v>
      </c>
      <c r="I138">
        <f>VLOOKUP($B138,'Obras e Acervos'!$B:$X,19,0)</f>
        <v>41931</v>
      </c>
      <c r="J138" s="42">
        <f>VLOOKUP($B138,'Obras e Acervos'!$B:$X,20,0)</f>
        <v>5870.34</v>
      </c>
      <c r="K138" s="31">
        <f>VLOOKUP($B138,'Obras e Acervos'!$B:$X,21,0)</f>
        <v>5.57</v>
      </c>
      <c r="L138" s="31">
        <f t="shared" si="23"/>
        <v>233555.67</v>
      </c>
      <c r="M138" s="1">
        <v>46069</v>
      </c>
      <c r="N138" s="1">
        <f t="shared" si="20"/>
        <v>46305</v>
      </c>
      <c r="O138">
        <f t="shared" si="24"/>
        <v>237</v>
      </c>
      <c r="P138" s="49">
        <f t="shared" si="21"/>
        <v>7.9</v>
      </c>
      <c r="Q138" s="34">
        <f>VLOOKUP($G138,Agendamento!$B:$F,5,0)</f>
        <v>5</v>
      </c>
      <c r="R138" s="36">
        <f t="shared" si="25"/>
        <v>42</v>
      </c>
      <c r="S138" s="44">
        <v>2.5499999999999998</v>
      </c>
      <c r="T138" s="44">
        <f t="shared" si="26"/>
        <v>25382.699999999997</v>
      </c>
      <c r="U138" t="s">
        <v>5030</v>
      </c>
      <c r="V138" t="str">
        <f t="shared" si="27"/>
        <v>NF/64238035_20260216_nf_01.pdf</v>
      </c>
      <c r="W138" s="32" t="str">
        <f t="shared" si="22"/>
        <v>NF - OS SONS DO MUNDO</v>
      </c>
      <c r="X138" t="s">
        <v>5591</v>
      </c>
    </row>
    <row r="139" spans="1:24" x14ac:dyDescent="0.25">
      <c r="A139" t="str">
        <f>CONCATENATE(D139,"_",TEXT(M139,"ddmmaaaa"),"_",COUNTIF($D$2:D139,D139))</f>
        <v>407167490001-54_16022026_1</v>
      </c>
      <c r="B139" t="str">
        <f>CONCATENATE(Analise!D139,"_",COUNTIF(Analise!$D$2:D139,Analise!D139))</f>
        <v>407167490001-54_1</v>
      </c>
      <c r="C139" s="34">
        <f>COUNTIF('Obras e Acervos'!$C:$C,CONCATENATE(LEFT(D139,12),RIGHT(D139,2)))</f>
        <v>1</v>
      </c>
      <c r="D139" s="35" t="s">
        <v>4581</v>
      </c>
      <c r="E139" t="str">
        <f>VLOOKUP($B139,'Obras e Acervos'!$B:$X,3,0)</f>
        <v>AFETO EDITORIAL LTDA-AFETO EDITORIAL</v>
      </c>
      <c r="F139" t="str">
        <f>VLOOKUP($B139,'Obras e Acervos'!$B:$X,7,0)</f>
        <v>0671L23000030LE</v>
      </c>
      <c r="G139" t="str">
        <f>VLOOKUP($B139,'Obras e Acervos'!$B:$X,5,0)</f>
        <v>QUANDO UMA HISTÓRIA NÃO TEM COMEÇO NEM FIM</v>
      </c>
      <c r="H139">
        <f>VLOOKUP($B139,'Obras e Acervos'!$B:$X,18,0)</f>
        <v>3</v>
      </c>
      <c r="I139">
        <f>VLOOKUP($B139,'Obras e Acervos'!$B:$X,19,0)</f>
        <v>48427</v>
      </c>
      <c r="J139" s="42">
        <f>VLOOKUP($B139,'Obras e Acervos'!$B:$X,20,0)</f>
        <v>7264.05</v>
      </c>
      <c r="K139" s="31">
        <f>VLOOKUP($B139,'Obras e Acervos'!$B:$X,21,0)</f>
        <v>4.8099999999999996</v>
      </c>
      <c r="L139" s="31">
        <f t="shared" si="23"/>
        <v>232933.87</v>
      </c>
      <c r="M139" s="1">
        <v>46069</v>
      </c>
      <c r="N139" s="1">
        <f t="shared" si="20"/>
        <v>46305</v>
      </c>
      <c r="O139">
        <f t="shared" si="24"/>
        <v>237</v>
      </c>
      <c r="P139" s="49">
        <f t="shared" si="21"/>
        <v>7.9</v>
      </c>
      <c r="Q139" s="34">
        <f>VLOOKUP($G139,Agendamento!$B:$F,5,0)</f>
        <v>7</v>
      </c>
      <c r="R139" s="36">
        <f t="shared" si="25"/>
        <v>49</v>
      </c>
      <c r="S139" s="44">
        <v>2.5499999999999998</v>
      </c>
      <c r="T139" s="44">
        <f t="shared" si="26"/>
        <v>29613.149999999998</v>
      </c>
      <c r="U139" t="s">
        <v>5031</v>
      </c>
      <c r="V139" t="str">
        <f t="shared" si="27"/>
        <v>NF/64238035_20260216_nf_02.pdf</v>
      </c>
      <c r="W139" s="32" t="str">
        <f t="shared" si="22"/>
        <v>NF - QUANDO UMA HISTÓRIA NÃO TEM COMEÇO NEM FIM</v>
      </c>
      <c r="X139" t="s">
        <v>5591</v>
      </c>
    </row>
    <row r="140" spans="1:24" x14ac:dyDescent="0.25">
      <c r="A140" t="str">
        <f>CONCATENATE(D140,"_",TEXT(M140,"ddmmaaaa"),"_",COUNTIF($D$2:D140,D140))</f>
        <v>403846980001-00_16022026_1</v>
      </c>
      <c r="B140" t="str">
        <f>CONCATENATE(Analise!D140,"_",COUNTIF(Analise!$D$2:D140,Analise!D140))</f>
        <v>403846980001-00_1</v>
      </c>
      <c r="C140" s="34">
        <f>COUNTIF('Obras e Acervos'!$C:$C,CONCATENATE(LEFT(D140,12),RIGHT(D140,2)))</f>
        <v>1</v>
      </c>
      <c r="D140" s="35" t="s">
        <v>4583</v>
      </c>
      <c r="E140" t="str">
        <f>VLOOKUP($B140,'Obras e Acervos'!$B:$X,3,0)</f>
        <v>N2I EDITORA LTDA-N2I EDITORA</v>
      </c>
      <c r="F140" t="str">
        <f>VLOOKUP($B140,'Obras e Acervos'!$B:$X,7,0)</f>
        <v>0672L23000030LE</v>
      </c>
      <c r="G140" t="str">
        <f>VLOOKUP($B140,'Obras e Acervos'!$B:$X,5,0)</f>
        <v>MEU DOCE DE CADA DIA</v>
      </c>
      <c r="H140">
        <f>VLOOKUP($B140,'Obras e Acervos'!$B:$X,18,0)</f>
        <v>10</v>
      </c>
      <c r="I140">
        <f>VLOOKUP($B140,'Obras e Acervos'!$B:$X,19,0)</f>
        <v>35646</v>
      </c>
      <c r="J140" s="42">
        <f>VLOOKUP($B140,'Obras e Acervos'!$B:$X,20,0)</f>
        <v>5346.9</v>
      </c>
      <c r="K140" s="31">
        <f>VLOOKUP($B140,'Obras e Acervos'!$B:$X,21,0)</f>
        <v>5.96</v>
      </c>
      <c r="L140" s="31">
        <f t="shared" si="23"/>
        <v>212450.16</v>
      </c>
      <c r="M140" s="1">
        <v>46069</v>
      </c>
      <c r="N140" s="1">
        <f t="shared" si="20"/>
        <v>46305</v>
      </c>
      <c r="O140">
        <f t="shared" si="24"/>
        <v>237</v>
      </c>
      <c r="P140" s="49">
        <f t="shared" si="21"/>
        <v>7.9</v>
      </c>
      <c r="Q140" s="34">
        <f>VLOOKUP($G140,Agendamento!$B:$F,5,0)</f>
        <v>5</v>
      </c>
      <c r="R140" s="36">
        <f t="shared" si="25"/>
        <v>36</v>
      </c>
      <c r="S140" s="44">
        <v>2.5499999999999998</v>
      </c>
      <c r="T140" s="44">
        <f t="shared" si="26"/>
        <v>21756.6</v>
      </c>
      <c r="U140" t="s">
        <v>5033</v>
      </c>
      <c r="V140" t="str">
        <f t="shared" si="27"/>
        <v>NF/64238035_20260216_nf_03.pdf</v>
      </c>
      <c r="W140" s="32" t="str">
        <f t="shared" si="22"/>
        <v>NF - MEU DOCE DE CADA DIA</v>
      </c>
      <c r="X140" t="s">
        <v>5591</v>
      </c>
    </row>
    <row r="141" spans="1:24" x14ac:dyDescent="0.25">
      <c r="A141" t="str">
        <f>CONCATENATE(D141,"_",TEXT(M141,"ddmmaaaa"),"_",COUNTIF($D$2:D141,D141))</f>
        <v>304948240001-26_16022026_1</v>
      </c>
      <c r="B141" t="str">
        <f>CONCATENATE(Analise!D141,"_",COUNTIF(Analise!$D$2:D141,Analise!D141))</f>
        <v>304948240001-26_1</v>
      </c>
      <c r="C141" s="34">
        <f>COUNTIF('Obras e Acervos'!$C:$C,CONCATENATE(LEFT(D141,12),RIGHT(D141,2)))</f>
        <v>1</v>
      </c>
      <c r="D141" s="35" t="s">
        <v>4589</v>
      </c>
      <c r="E141" t="str">
        <f>VLOOKUP($B141,'Obras e Acervos'!$B:$X,3,0)</f>
        <v>RAFAEL ILELIS DE B. SILVA EDITORIAL-OSS EDITORIAL</v>
      </c>
      <c r="F141" t="str">
        <f>VLOOKUP($B141,'Obras e Acervos'!$B:$X,7,0)</f>
        <v>0673L23000030LE</v>
      </c>
      <c r="G141" t="str">
        <f>VLOOKUP($B141,'Obras e Acervos'!$B:$X,5,0)</f>
        <v>BIA CORAJOSA QUE MANDOU O MEDO EMBORA</v>
      </c>
      <c r="H141">
        <f>VLOOKUP($B141,'Obras e Acervos'!$B:$X,18,0)</f>
        <v>10</v>
      </c>
      <c r="I141">
        <f>VLOOKUP($B141,'Obras e Acervos'!$B:$X,19,0)</f>
        <v>33858</v>
      </c>
      <c r="J141" s="42">
        <f>VLOOKUP($B141,'Obras e Acervos'!$B:$X,20,0)</f>
        <v>5078.7</v>
      </c>
      <c r="K141" s="31">
        <f>VLOOKUP($B141,'Obras e Acervos'!$B:$X,21,0)</f>
        <v>6</v>
      </c>
      <c r="L141" s="31">
        <f t="shared" si="23"/>
        <v>203148</v>
      </c>
      <c r="M141" s="1">
        <v>46069</v>
      </c>
      <c r="N141" s="1">
        <f t="shared" si="20"/>
        <v>46305</v>
      </c>
      <c r="O141">
        <f t="shared" si="24"/>
        <v>237</v>
      </c>
      <c r="P141" s="49">
        <f t="shared" si="21"/>
        <v>7.9</v>
      </c>
      <c r="Q141" s="34">
        <f>VLOOKUP($G141,Agendamento!$B:$F,5,0)</f>
        <v>5</v>
      </c>
      <c r="R141" s="36">
        <f t="shared" si="25"/>
        <v>34</v>
      </c>
      <c r="S141" s="44">
        <v>2.5499999999999998</v>
      </c>
      <c r="T141" s="44">
        <f t="shared" si="26"/>
        <v>20547.899999999998</v>
      </c>
      <c r="U141" t="s">
        <v>5040</v>
      </c>
      <c r="V141" t="str">
        <f t="shared" si="27"/>
        <v>NF/64238035_20260216_nf_04.pdf</v>
      </c>
      <c r="W141" s="32" t="str">
        <f t="shared" si="22"/>
        <v>NF - BIA CORAJOSA QUE MANDOU O MEDO EMBORA</v>
      </c>
      <c r="X141" t="s">
        <v>5591</v>
      </c>
    </row>
    <row r="142" spans="1:24" x14ac:dyDescent="0.25">
      <c r="A142" t="str">
        <f>CONCATENATE(D142,"_",TEXT(M142,"ddmmaaaa"),"_",COUNTIF($D$2:D142,D142))</f>
        <v>433993560001-52_16022026_1</v>
      </c>
      <c r="B142" t="str">
        <f>CONCATENATE(Analise!D142,"_",COUNTIF(Analise!$D$2:D142,Analise!D142))</f>
        <v>433993560001-52_1</v>
      </c>
      <c r="C142" s="34">
        <f>COUNTIF('Obras e Acervos'!$C:$C,CONCATENATE(LEFT(D142,12),RIGHT(D142,2)))</f>
        <v>1</v>
      </c>
      <c r="D142" s="35" t="s">
        <v>4585</v>
      </c>
      <c r="E142" t="str">
        <f>VLOOKUP($B142,'Obras e Acervos'!$B:$X,3,0)</f>
        <v>SARA EDITORA LTDA -SARA EDITORA</v>
      </c>
      <c r="F142" t="str">
        <f>VLOOKUP($B142,'Obras e Acervos'!$B:$X,7,0)</f>
        <v>0492L23000030LE</v>
      </c>
      <c r="G142" t="str">
        <f>VLOOKUP($B142,'Obras e Acervos'!$B:$X,5,0)</f>
        <v>O QUE SERÁ, RAFA?</v>
      </c>
      <c r="H142">
        <f>VLOOKUP($B142,'Obras e Acervos'!$B:$X,18,0)</f>
        <v>8</v>
      </c>
      <c r="I142">
        <f>VLOOKUP($B142,'Obras e Acervos'!$B:$X,19,0)</f>
        <v>33134</v>
      </c>
      <c r="J142" s="42">
        <f>VLOOKUP($B142,'Obras e Acervos'!$B:$X,20,0)</f>
        <v>2153.71</v>
      </c>
      <c r="K142" s="31">
        <f>VLOOKUP($B142,'Obras e Acervos'!$B:$X,21,0)</f>
        <v>4.18</v>
      </c>
      <c r="L142" s="31">
        <f t="shared" si="23"/>
        <v>138500.12</v>
      </c>
      <c r="M142" s="1">
        <v>46069</v>
      </c>
      <c r="N142" s="1">
        <f t="shared" si="20"/>
        <v>46305</v>
      </c>
      <c r="O142">
        <f t="shared" si="24"/>
        <v>237</v>
      </c>
      <c r="P142" s="49">
        <f t="shared" si="21"/>
        <v>7.9</v>
      </c>
      <c r="Q142" s="34">
        <f>VLOOKUP($G142,Agendamento!$B:$F,5,0)</f>
        <v>3</v>
      </c>
      <c r="R142" s="36">
        <f t="shared" si="25"/>
        <v>34</v>
      </c>
      <c r="S142" s="44">
        <v>2.5499999999999998</v>
      </c>
      <c r="T142" s="44">
        <f t="shared" si="26"/>
        <v>20547.899999999998</v>
      </c>
      <c r="U142" t="s">
        <v>5035</v>
      </c>
      <c r="V142" t="str">
        <f t="shared" si="27"/>
        <v>NF/64238035_20260216_nf_05.pdf</v>
      </c>
      <c r="W142" s="32" t="str">
        <f t="shared" si="22"/>
        <v>NF - O QUE SERÁ, RAFA?</v>
      </c>
      <c r="X142" t="s">
        <v>5591</v>
      </c>
    </row>
    <row r="143" spans="1:24" x14ac:dyDescent="0.25">
      <c r="A143" t="str">
        <f>CONCATENATE(D143,"_",TEXT(M143,"ddmmaaaa"),"_",COUNTIF($D$2:D143,D143))</f>
        <v>435976880001-41_16022026_1</v>
      </c>
      <c r="B143" t="str">
        <f>CONCATENATE(Analise!D143,"_",COUNTIF(Analise!$D$2:D143,Analise!D143)+1)</f>
        <v>435976880001-41_2</v>
      </c>
      <c r="C143" s="34">
        <f>COUNTIF('Obras e Acervos'!$C:$C,CONCATENATE(LEFT(D143,12),RIGHT(D143,2)))</f>
        <v>2</v>
      </c>
      <c r="D143" s="35" t="s">
        <v>4592</v>
      </c>
      <c r="E143" t="str">
        <f>VLOOKUP($B143,'Obras e Acervos'!$B:$X,3,0)</f>
        <v>EDITORA OFICINA DO SABER LTDA-OFICINA DO SABER</v>
      </c>
      <c r="F143" t="str">
        <f>VLOOKUP($B143,'Obras e Acervos'!$B:$X,7,0)</f>
        <v>1014L23000020LE</v>
      </c>
      <c r="G143" t="str">
        <f>VLOOKUP($B143,'Obras e Acervos'!$B:$X,5,0)</f>
        <v>O CORAÇÃO DA PRINCESA JOANA</v>
      </c>
      <c r="H143">
        <f>VLOOKUP($B143,'Obras e Acervos'!$B:$X,18,0)</f>
        <v>16</v>
      </c>
      <c r="I143">
        <f>VLOOKUP($B143,'Obras e Acervos'!$B:$X,19,0)</f>
        <v>32666</v>
      </c>
      <c r="J143" s="42">
        <f>VLOOKUP($B143,'Obras e Acervos'!$B:$X,20,0)</f>
        <v>4671.2379999999994</v>
      </c>
      <c r="K143" s="31">
        <f>VLOOKUP($B143,'Obras e Acervos'!$B:$X,21,0)</f>
        <v>7.75</v>
      </c>
      <c r="L143" s="31">
        <f t="shared" si="23"/>
        <v>253161.5</v>
      </c>
      <c r="M143" s="1">
        <v>46069</v>
      </c>
      <c r="N143" s="1">
        <f t="shared" si="20"/>
        <v>46305</v>
      </c>
      <c r="O143">
        <f t="shared" si="24"/>
        <v>237</v>
      </c>
      <c r="P143" s="49">
        <f t="shared" si="21"/>
        <v>7.9</v>
      </c>
      <c r="Q143" s="34">
        <f>VLOOKUP($G143,Agendamento!$B:$F,5,0)</f>
        <v>6</v>
      </c>
      <c r="R143" s="36">
        <f t="shared" si="25"/>
        <v>33</v>
      </c>
      <c r="S143" s="44">
        <v>2.5499999999999998</v>
      </c>
      <c r="T143" s="44">
        <f t="shared" si="26"/>
        <v>19943.55</v>
      </c>
      <c r="U143" t="s">
        <v>5043</v>
      </c>
      <c r="V143" t="str">
        <f t="shared" si="27"/>
        <v>NF/64238035_20260216_nf_06.pdf</v>
      </c>
      <c r="W143" s="32" t="str">
        <f t="shared" si="22"/>
        <v>NF - O CORAÇÃO DA PRINCESA JOANA</v>
      </c>
      <c r="X143" t="s">
        <v>5591</v>
      </c>
    </row>
    <row r="144" spans="1:24" x14ac:dyDescent="0.25">
      <c r="A144" t="str">
        <f>CONCATENATE(D144,"_",TEXT(M144,"ddmmaaaa"),"_",COUNTIF($D$2:D144,D144))</f>
        <v>117057780001-12_16022026_1</v>
      </c>
      <c r="B144" t="str">
        <f>CONCATENATE(Analise!D144,"_",COUNTIF(Analise!$D$2:D144,Analise!D144))</f>
        <v>117057780001-12_1</v>
      </c>
      <c r="C144" s="34">
        <f>COUNTIF('Obras e Acervos'!$C:$C,CONCATENATE(LEFT(D144,12),RIGHT(D144,2)))</f>
        <v>2</v>
      </c>
      <c r="D144" s="35" t="s">
        <v>4591</v>
      </c>
      <c r="E144" t="str">
        <f>VLOOKUP($B144,'Obras e Acervos'!$B:$X,3,0)</f>
        <v>MARIA BRANCA PRODUÇÃO CULTURAL E ARTÍSTICA LTDA-MARIA BRANCA</v>
      </c>
      <c r="F144" t="str">
        <f>VLOOKUP($B144,'Obras e Acervos'!$B:$X,7,0)</f>
        <v>0401L23000030LE</v>
      </c>
      <c r="G144" t="str">
        <f>VLOOKUP($B144,'Obras e Acervos'!$B:$X,5,0)</f>
        <v>FRANCISCO BRAÇOS COMPRIDOS</v>
      </c>
      <c r="H144">
        <f>VLOOKUP($B144,'Obras e Acervos'!$B:$X,18,0)</f>
        <v>7</v>
      </c>
      <c r="I144">
        <f>VLOOKUP($B144,'Obras e Acervos'!$B:$X,19,0)</f>
        <v>33131</v>
      </c>
      <c r="J144" s="42">
        <f>VLOOKUP($B144,'Obras e Acervos'!$B:$X,20,0)</f>
        <v>1292.1089999999999</v>
      </c>
      <c r="K144" s="31">
        <f>VLOOKUP($B144,'Obras e Acervos'!$B:$X,21,0)</f>
        <v>4.72</v>
      </c>
      <c r="L144" s="31">
        <f t="shared" si="23"/>
        <v>156378.31999999998</v>
      </c>
      <c r="M144" s="1">
        <v>46069</v>
      </c>
      <c r="N144" s="1">
        <f t="shared" si="20"/>
        <v>46305</v>
      </c>
      <c r="O144">
        <f t="shared" si="24"/>
        <v>237</v>
      </c>
      <c r="P144" s="49">
        <f t="shared" si="21"/>
        <v>7.9</v>
      </c>
      <c r="Q144" s="34">
        <f>VLOOKUP($G144,Agendamento!$B:$F,5,0)</f>
        <v>7</v>
      </c>
      <c r="R144" s="36">
        <f t="shared" si="25"/>
        <v>34</v>
      </c>
      <c r="S144" s="44">
        <v>2.5499999999999998</v>
      </c>
      <c r="T144" s="44">
        <f t="shared" si="26"/>
        <v>20547.899999999998</v>
      </c>
      <c r="U144" t="s">
        <v>5042</v>
      </c>
      <c r="V144" t="str">
        <f t="shared" si="27"/>
        <v>NF/64238035_20260216_nf_07.pdf</v>
      </c>
      <c r="W144" s="32" t="str">
        <f t="shared" si="22"/>
        <v>NF - FRANCISCO BRAÇOS COMPRIDOS</v>
      </c>
      <c r="X144" t="s">
        <v>5591</v>
      </c>
    </row>
    <row r="145" spans="1:24" x14ac:dyDescent="0.25">
      <c r="A145" t="str">
        <f>CONCATENATE(D145,"_",TEXT(M145,"ddmmaaaa"),"_",COUNTIF($D$2:D145,D145))</f>
        <v>117057780001-12_16022026_2</v>
      </c>
      <c r="B145" t="str">
        <f>CONCATENATE(Analise!D145,"_",COUNTIF(Analise!$D$2:D145,Analise!D145))</f>
        <v>117057780001-12_2</v>
      </c>
      <c r="C145" s="34">
        <f>COUNTIF('Obras e Acervos'!$C:$C,CONCATENATE(LEFT(D145,12),RIGHT(D145,2)))</f>
        <v>2</v>
      </c>
      <c r="D145" s="35" t="s">
        <v>4591</v>
      </c>
      <c r="E145" t="str">
        <f>VLOOKUP($B145,'Obras e Acervos'!$B:$X,3,0)</f>
        <v>MARIA BRANCA PRODUÇÃO CULTURAL E ARTÍSTICA LTDA-MARIA BRANCA</v>
      </c>
      <c r="F145" t="str">
        <f>VLOOKUP($B145,'Obras e Acervos'!$B:$X,7,0)</f>
        <v>0402L23000020LE</v>
      </c>
      <c r="G145" t="str">
        <f>VLOOKUP($B145,'Obras e Acervos'!$B:$X,5,0)</f>
        <v>OS GATOS DETETIVES E O SUMIÇO DO CANARINHO</v>
      </c>
      <c r="H145">
        <f>VLOOKUP($B145,'Obras e Acervos'!$B:$X,18,0)</f>
        <v>14</v>
      </c>
      <c r="I145">
        <f>VLOOKUP($B145,'Obras e Acervos'!$B:$X,19,0)</f>
        <v>26182</v>
      </c>
      <c r="J145" s="42">
        <f>VLOOKUP($B145,'Obras e Acervos'!$B:$X,20,0)</f>
        <v>5707.6760000000004</v>
      </c>
      <c r="K145" s="31">
        <f>VLOOKUP($B145,'Obras e Acervos'!$B:$X,21,0)</f>
        <v>12.57</v>
      </c>
      <c r="L145" s="31">
        <f t="shared" si="23"/>
        <v>329107.74</v>
      </c>
      <c r="M145" s="1">
        <v>46069</v>
      </c>
      <c r="N145" s="1">
        <f t="shared" si="20"/>
        <v>46305</v>
      </c>
      <c r="O145">
        <f t="shared" si="24"/>
        <v>237</v>
      </c>
      <c r="P145" s="49">
        <f t="shared" si="21"/>
        <v>7.9</v>
      </c>
      <c r="Q145" s="34">
        <f>VLOOKUP($G145,Agendamento!$B:$F,5,0)</f>
        <v>7</v>
      </c>
      <c r="R145" s="36">
        <f t="shared" si="25"/>
        <v>27</v>
      </c>
      <c r="S145" s="44">
        <v>2.5499999999999998</v>
      </c>
      <c r="T145" s="44">
        <f t="shared" si="26"/>
        <v>16317.449999999999</v>
      </c>
      <c r="U145" t="s">
        <v>5042</v>
      </c>
      <c r="V145" t="str">
        <f t="shared" si="27"/>
        <v>NF/64238035_20260216_nf_07.pdf</v>
      </c>
      <c r="W145" s="32" t="str">
        <f t="shared" si="22"/>
        <v>NF - OS GATOS DETETIVES E O SUMIÇO DO CANARINHO</v>
      </c>
      <c r="X145" t="s">
        <v>5591</v>
      </c>
    </row>
    <row r="146" spans="1:24" x14ac:dyDescent="0.25">
      <c r="A146" t="str">
        <f>CONCATENATE(D146,"_",TEXT(M146,"ddmmaaaa"),"_",COUNTIF($D$2:D146,D146))</f>
        <v>030537920001-50_16022026_1</v>
      </c>
      <c r="B146" t="str">
        <f>CONCATENATE(Analise!D146,"_",COUNTIF(Analise!$D$2:D146,Analise!D146))</f>
        <v>030537920001-50_1</v>
      </c>
      <c r="C146" s="34">
        <f>COUNTIF('Obras e Acervos'!$C:$C,CONCATENATE(LEFT(D146,12),RIGHT(D146,2)))</f>
        <v>1</v>
      </c>
      <c r="D146" s="35" t="s">
        <v>4586</v>
      </c>
      <c r="E146" t="str">
        <f>VLOOKUP($B146,'Obras e Acervos'!$B:$X,3,0)</f>
        <v>PADARIA DE TEXTOS LTDA.-PADARIA DE LIVROS</v>
      </c>
      <c r="F146" t="str">
        <f>VLOOKUP($B146,'Obras e Acervos'!$B:$X,7,0)</f>
        <v>0506L23000020LE</v>
      </c>
      <c r="G146" t="str">
        <f>VLOOKUP($B146,'Obras e Acervos'!$B:$X,5,0)</f>
        <v>CASTELOS</v>
      </c>
      <c r="H146">
        <f>VLOOKUP($B146,'Obras e Acervos'!$B:$X,18,0)</f>
        <v>17</v>
      </c>
      <c r="I146">
        <f>VLOOKUP($B146,'Obras e Acervos'!$B:$X,19,0)</f>
        <v>28110</v>
      </c>
      <c r="J146" s="42">
        <f>VLOOKUP($B146,'Obras e Acervos'!$B:$X,20,0)</f>
        <v>5059.8</v>
      </c>
      <c r="K146" s="31">
        <f>VLOOKUP($B146,'Obras e Acervos'!$B:$X,21,0)</f>
        <v>9.48</v>
      </c>
      <c r="L146" s="31">
        <f t="shared" si="23"/>
        <v>266482.8</v>
      </c>
      <c r="M146" s="1">
        <v>46069</v>
      </c>
      <c r="N146" s="1">
        <f t="shared" si="20"/>
        <v>46305</v>
      </c>
      <c r="O146">
        <f t="shared" si="24"/>
        <v>237</v>
      </c>
      <c r="P146" s="49">
        <f t="shared" si="21"/>
        <v>7.9</v>
      </c>
      <c r="Q146" s="34">
        <f>VLOOKUP($G146,Agendamento!$B:$F,5,0)</f>
        <v>7</v>
      </c>
      <c r="R146" s="36">
        <f t="shared" si="25"/>
        <v>29</v>
      </c>
      <c r="S146" s="44">
        <v>2.5499999999999998</v>
      </c>
      <c r="T146" s="44">
        <f t="shared" si="26"/>
        <v>17526.149999999998</v>
      </c>
      <c r="U146" t="s">
        <v>5037</v>
      </c>
      <c r="V146" t="str">
        <f t="shared" si="27"/>
        <v>NF/64238035_20260216_nf_08.pdf</v>
      </c>
      <c r="W146" s="32" t="str">
        <f t="shared" si="22"/>
        <v>NF - CASTELOS</v>
      </c>
      <c r="X146" t="s">
        <v>5591</v>
      </c>
    </row>
    <row r="147" spans="1:24" x14ac:dyDescent="0.25">
      <c r="A147" t="str">
        <f>CONCATENATE(D147,"_",TEXT(M147,"ddmmaaaa"),"_",COUNTIF($D$2:D147,D147))</f>
        <v>020228400001-80_16022026_1</v>
      </c>
      <c r="B147" t="str">
        <f>CONCATENATE(Analise!D147,"_",COUNTIF(Analise!$D$2:D147,Analise!D147))</f>
        <v>020228400001-80_1</v>
      </c>
      <c r="C147" s="34">
        <f>COUNTIF('Obras e Acervos'!$C:$C,CONCATENATE(LEFT(D147,12),RIGHT(D147,2)))</f>
        <v>2</v>
      </c>
      <c r="D147" s="35" t="s">
        <v>4593</v>
      </c>
      <c r="E147" t="str">
        <f>VLOOKUP($B147,'Obras e Acervos'!$B:$X,3,0)</f>
        <v>KRAUSS E FREITAS COMERCIO LTDA EPP-CASA CULTURAL</v>
      </c>
      <c r="F147" t="str">
        <f>VLOOKUP($B147,'Obras e Acervos'!$B:$X,7,0)</f>
        <v>0823L23000030LE</v>
      </c>
      <c r="G147" t="str">
        <f>VLOOKUP($B147,'Obras e Acervos'!$B:$X,5,0)</f>
        <v>PATO ELE NÃO É</v>
      </c>
      <c r="H147">
        <f>VLOOKUP($B147,'Obras e Acervos'!$B:$X,18,0)</f>
        <v>8</v>
      </c>
      <c r="I147">
        <f>VLOOKUP($B147,'Obras e Acervos'!$B:$X,19,0)</f>
        <v>35619</v>
      </c>
      <c r="J147" s="42">
        <f>VLOOKUP($B147,'Obras e Acervos'!$B:$X,20,0)</f>
        <v>3561.9</v>
      </c>
      <c r="K147" s="31">
        <f>VLOOKUP($B147,'Obras e Acervos'!$B:$X,21,0)</f>
        <v>6.32</v>
      </c>
      <c r="L147" s="31">
        <f t="shared" si="23"/>
        <v>225112.08000000002</v>
      </c>
      <c r="M147" s="1">
        <v>46069</v>
      </c>
      <c r="N147" s="1">
        <f t="shared" si="20"/>
        <v>46305</v>
      </c>
      <c r="O147">
        <f t="shared" si="24"/>
        <v>237</v>
      </c>
      <c r="P147" s="49">
        <f t="shared" si="21"/>
        <v>7.9</v>
      </c>
      <c r="Q147" s="34">
        <f>VLOOKUP($G147,Agendamento!$B:$F,5,0)</f>
        <v>8</v>
      </c>
      <c r="R147" s="36">
        <f t="shared" si="25"/>
        <v>36</v>
      </c>
      <c r="S147" s="44">
        <v>2.5499999999999998</v>
      </c>
      <c r="T147" s="44">
        <f t="shared" si="26"/>
        <v>21756.6</v>
      </c>
      <c r="U147" t="s">
        <v>5044</v>
      </c>
      <c r="V147" t="str">
        <f t="shared" si="27"/>
        <v>NF/64238035_20260216_nf_09.pdf</v>
      </c>
      <c r="W147" s="32" t="str">
        <f t="shared" si="22"/>
        <v>NF - PATO ELE NÃO É</v>
      </c>
      <c r="X147" t="s">
        <v>5591</v>
      </c>
    </row>
    <row r="148" spans="1:24" x14ac:dyDescent="0.25">
      <c r="A148" t="str">
        <f>CONCATENATE(D148,"_",TEXT(M148,"ddmmaaaa"),"_",COUNTIF($D$2:D148,D148))</f>
        <v>020228400001-80_16022026_2</v>
      </c>
      <c r="B148" t="str">
        <f>CONCATENATE(Analise!D148,"_",COUNTIF(Analise!$D$2:D148,Analise!D148))</f>
        <v>020228400001-80_2</v>
      </c>
      <c r="C148" s="34">
        <f>COUNTIF('Obras e Acervos'!$C:$C,CONCATENATE(LEFT(D148,12),RIGHT(D148,2)))</f>
        <v>2</v>
      </c>
      <c r="D148" s="35" t="s">
        <v>4593</v>
      </c>
      <c r="E148" t="str">
        <f>VLOOKUP($B148,'Obras e Acervos'!$B:$X,3,0)</f>
        <v>KRAUSS E FREITAS COMERCIO LTDA EPP-CASA CULTURAL</v>
      </c>
      <c r="F148" t="str">
        <f>VLOOKUP($B148,'Obras e Acervos'!$B:$X,7,0)</f>
        <v>0824L23000020LE</v>
      </c>
      <c r="G148" t="str">
        <f>VLOOKUP($B148,'Obras e Acervos'!$B:$X,5,0)</f>
        <v>UM VARAL NO QUARTO</v>
      </c>
      <c r="H148">
        <f>VLOOKUP($B148,'Obras e Acervos'!$B:$X,18,0)</f>
        <v>22</v>
      </c>
      <c r="I148">
        <f>VLOOKUP($B148,'Obras e Acervos'!$B:$X,19,0)</f>
        <v>23813</v>
      </c>
      <c r="J148" s="42">
        <f>VLOOKUP($B148,'Obras e Acervos'!$B:$X,20,0)</f>
        <v>2381.3000000000002</v>
      </c>
      <c r="K148" s="31">
        <f>VLOOKUP($B148,'Obras e Acervos'!$B:$X,21,0)</f>
        <v>7.04</v>
      </c>
      <c r="L148" s="31">
        <f t="shared" si="23"/>
        <v>167643.51999999999</v>
      </c>
      <c r="M148" s="1">
        <v>46069</v>
      </c>
      <c r="N148" s="1">
        <f t="shared" si="20"/>
        <v>46305</v>
      </c>
      <c r="O148">
        <f t="shared" si="24"/>
        <v>237</v>
      </c>
      <c r="P148" s="49">
        <f t="shared" si="21"/>
        <v>7.9</v>
      </c>
      <c r="Q148" s="34">
        <f>VLOOKUP($G148,Agendamento!$B:$F,5,0)</f>
        <v>5</v>
      </c>
      <c r="R148" s="36">
        <f t="shared" si="25"/>
        <v>24</v>
      </c>
      <c r="S148" s="44">
        <v>2.5499999999999998</v>
      </c>
      <c r="T148" s="44">
        <f t="shared" si="26"/>
        <v>14504.4</v>
      </c>
      <c r="U148" t="s">
        <v>5044</v>
      </c>
      <c r="V148" t="str">
        <f t="shared" si="27"/>
        <v>NF/64238035_20260216_nf_09.pdf</v>
      </c>
      <c r="W148" s="32" t="str">
        <f t="shared" si="22"/>
        <v>NF - UM VARAL NO QUARTO</v>
      </c>
      <c r="X148" t="s">
        <v>5591</v>
      </c>
    </row>
    <row r="149" spans="1:24" x14ac:dyDescent="0.25">
      <c r="A149" t="str">
        <f>CONCATENATE(D149,"_",TEXT(M149,"ddmmaaaa"),"_",COUNTIF($D$2:D149,D149))</f>
        <v>119503950001-00_16022026_1</v>
      </c>
      <c r="B149" t="str">
        <f>CONCATENATE(Analise!D149,"_",COUNTIF(Analise!$D$2:D149,Analise!D149))</f>
        <v>119503950001-00_1</v>
      </c>
      <c r="C149" s="34">
        <f>COUNTIF('Obras e Acervos'!$C:$C,CONCATENATE(LEFT(D149,12),RIGHT(D149,2)))</f>
        <v>2</v>
      </c>
      <c r="D149" s="35" t="s">
        <v>4582</v>
      </c>
      <c r="E149" t="str">
        <f>VLOOKUP($B149,'Obras e Acervos'!$B:$X,3,0)</f>
        <v>GALERIA SABER E LER COMERCIO DE LIVROS LTDA-GALERIA SABER E LER</v>
      </c>
      <c r="F149" t="str">
        <f>VLOOKUP($B149,'Obras e Acervos'!$B:$X,7,0)</f>
        <v>0658L23000030LE</v>
      </c>
      <c r="G149" t="str">
        <f>VLOOKUP($B149,'Obras e Acervos'!$B:$X,5,0)</f>
        <v>LEMBRANDO DE ZAZA</v>
      </c>
      <c r="H149">
        <f>VLOOKUP($B149,'Obras e Acervos'!$B:$X,18,0)</f>
        <v>8</v>
      </c>
      <c r="I149">
        <f>VLOOKUP($B149,'Obras e Acervos'!$B:$X,19,0)</f>
        <v>33210</v>
      </c>
      <c r="J149" s="42">
        <f>VLOOKUP($B149,'Obras e Acervos'!$B:$X,20,0)</f>
        <v>2955.69</v>
      </c>
      <c r="K149" s="31">
        <f>VLOOKUP($B149,'Obras e Acervos'!$B:$X,21,0)</f>
        <v>7.9</v>
      </c>
      <c r="L149" s="31">
        <f t="shared" si="23"/>
        <v>262359</v>
      </c>
      <c r="M149" s="1">
        <v>46069</v>
      </c>
      <c r="N149" s="1">
        <f t="shared" si="20"/>
        <v>46305</v>
      </c>
      <c r="O149">
        <f t="shared" si="24"/>
        <v>237</v>
      </c>
      <c r="P149" s="49">
        <f t="shared" si="21"/>
        <v>7.9</v>
      </c>
      <c r="Q149" s="34">
        <f>VLOOKUP($G149,Agendamento!$B:$F,5,0)</f>
        <v>8</v>
      </c>
      <c r="R149" s="36">
        <f t="shared" si="25"/>
        <v>34</v>
      </c>
      <c r="S149" s="44">
        <v>2.5499999999999998</v>
      </c>
      <c r="T149" s="44">
        <f t="shared" si="26"/>
        <v>20547.899999999998</v>
      </c>
      <c r="U149" t="s">
        <v>5032</v>
      </c>
      <c r="V149" t="str">
        <f t="shared" si="27"/>
        <v>NF/64238035_20260216_nf_10.pdf</v>
      </c>
      <c r="W149" s="32" t="str">
        <f t="shared" si="22"/>
        <v>NF - LEMBRANDO DE ZAZA</v>
      </c>
      <c r="X149" t="s">
        <v>5591</v>
      </c>
    </row>
    <row r="150" spans="1:24" x14ac:dyDescent="0.25">
      <c r="A150" t="str">
        <f>CONCATENATE(D150,"_",TEXT(M150,"ddmmaaaa"),"_",COUNTIF($D$2:D150,D150))</f>
        <v>119503950001-00_16022026_2</v>
      </c>
      <c r="B150" t="str">
        <f>CONCATENATE(Analise!D150,"_",COUNTIF(Analise!$D$2:D150,Analise!D150))</f>
        <v>119503950001-00_2</v>
      </c>
      <c r="C150" s="34">
        <f>COUNTIF('Obras e Acervos'!$C:$C,CONCATENATE(LEFT(D150,12),RIGHT(D150,2)))</f>
        <v>2</v>
      </c>
      <c r="D150" s="35" t="s">
        <v>4582</v>
      </c>
      <c r="E150" t="str">
        <f>VLOOKUP($B150,'Obras e Acervos'!$B:$X,3,0)</f>
        <v>GALERIA SABER E LER COMERCIO DE LIVROS LTDA-GALERIA SABER E LER</v>
      </c>
      <c r="F150" t="str">
        <f>VLOOKUP($B150,'Obras e Acervos'!$B:$X,7,0)</f>
        <v>0659L23000020LE</v>
      </c>
      <c r="G150" t="str">
        <f>VLOOKUP($B150,'Obras e Acervos'!$B:$X,5,0)</f>
        <v>OS GATOS DETETIVES E A DESTRUIÇÃO DA HORTA</v>
      </c>
      <c r="H150">
        <f>VLOOKUP($B150,'Obras e Acervos'!$B:$X,18,0)</f>
        <v>12</v>
      </c>
      <c r="I150">
        <f>VLOOKUP($B150,'Obras e Acervos'!$B:$X,19,0)</f>
        <v>31161</v>
      </c>
      <c r="J150" s="42">
        <f>VLOOKUP($B150,'Obras e Acervos'!$B:$X,20,0)</f>
        <v>5390.8529999999992</v>
      </c>
      <c r="K150" s="31">
        <f>VLOOKUP($B150,'Obras e Acervos'!$B:$X,21,0)</f>
        <v>10.18</v>
      </c>
      <c r="L150" s="31">
        <f t="shared" si="23"/>
        <v>317218.98</v>
      </c>
      <c r="M150" s="1">
        <v>46069</v>
      </c>
      <c r="N150" s="1">
        <f t="shared" si="20"/>
        <v>46305</v>
      </c>
      <c r="O150">
        <f t="shared" si="24"/>
        <v>237</v>
      </c>
      <c r="P150" s="49">
        <f t="shared" si="21"/>
        <v>7.9</v>
      </c>
      <c r="Q150" s="34">
        <f>VLOOKUP($G150,Agendamento!$B:$F,5,0)</f>
        <v>8</v>
      </c>
      <c r="R150" s="36">
        <f t="shared" si="25"/>
        <v>32</v>
      </c>
      <c r="S150" s="44">
        <v>2.5499999999999998</v>
      </c>
      <c r="T150" s="44">
        <f t="shared" si="26"/>
        <v>19339.199999999997</v>
      </c>
      <c r="U150" t="s">
        <v>5032</v>
      </c>
      <c r="V150" t="str">
        <f t="shared" si="27"/>
        <v>NF/64238035_20260216_nf_10.pdf</v>
      </c>
      <c r="W150" s="32" t="str">
        <f t="shared" si="22"/>
        <v>NF - OS GATOS DETETIVES E A DESTRUIÇÃO DA HORTA</v>
      </c>
      <c r="X150" t="s">
        <v>5591</v>
      </c>
    </row>
    <row r="151" spans="1:24" x14ac:dyDescent="0.25">
      <c r="A151" t="str">
        <f>CONCATENATE(D151,"_",TEXT(M151,"ddmmaaaa"),"_",COUNTIF($D$2:D151,D151))</f>
        <v>040530930001-73_16022026_1</v>
      </c>
      <c r="B151" t="str">
        <f>CONCATENATE(Analise!D151,"_",COUNTIF(Analise!$D$2:D151,Analise!D151))</f>
        <v>040530930001-73_1</v>
      </c>
      <c r="C151" s="34">
        <f>COUNTIF('Obras e Acervos'!$C:$C,CONCATENATE(LEFT(D151,12),RIGHT(D151,2)))</f>
        <v>2</v>
      </c>
      <c r="D151" s="35" t="s">
        <v>4594</v>
      </c>
      <c r="E151" t="str">
        <f>VLOOKUP($B151,'Obras e Acervos'!$B:$X,3,0)</f>
        <v>NANABOOKS EDITORA LTDA-NANABOOKS</v>
      </c>
      <c r="F151" t="str">
        <f>VLOOKUP($B151,'Obras e Acervos'!$B:$X,7,0)</f>
        <v>0308L23000030LE</v>
      </c>
      <c r="G151" t="str">
        <f>VLOOKUP($B151,'Obras e Acervos'!$B:$X,5,0)</f>
        <v>O URSO E O RATO</v>
      </c>
      <c r="H151">
        <f>VLOOKUP($B151,'Obras e Acervos'!$B:$X,18,0)</f>
        <v>1</v>
      </c>
      <c r="I151">
        <f>VLOOKUP($B151,'Obras e Acervos'!$B:$X,19,0)</f>
        <v>55110</v>
      </c>
      <c r="J151" s="42">
        <f>VLOOKUP($B151,'Obras e Acervos'!$B:$X,20,0)</f>
        <v>6062.1</v>
      </c>
      <c r="K151" s="31">
        <f>VLOOKUP($B151,'Obras e Acervos'!$B:$X,21,0)</f>
        <v>4.9400000000000004</v>
      </c>
      <c r="L151" s="31">
        <f t="shared" si="23"/>
        <v>272243.40000000002</v>
      </c>
      <c r="M151" s="1">
        <v>46069</v>
      </c>
      <c r="N151" s="1">
        <f t="shared" si="20"/>
        <v>46305</v>
      </c>
      <c r="O151">
        <f t="shared" si="24"/>
        <v>237</v>
      </c>
      <c r="P151" s="49">
        <f t="shared" si="21"/>
        <v>7.9</v>
      </c>
      <c r="Q151" s="34">
        <f>VLOOKUP($G151,Agendamento!$B:$F,5,0)</f>
        <v>12</v>
      </c>
      <c r="R151" s="36">
        <f t="shared" si="25"/>
        <v>56</v>
      </c>
      <c r="S151" s="44">
        <v>2.5499999999999998</v>
      </c>
      <c r="T151" s="44">
        <f t="shared" si="26"/>
        <v>33843.599999999999</v>
      </c>
      <c r="U151" t="s">
        <v>5045</v>
      </c>
      <c r="V151" t="str">
        <f t="shared" si="27"/>
        <v>NF/64238035_20260216_nf_11.pdf</v>
      </c>
      <c r="W151" s="32" t="str">
        <f t="shared" si="22"/>
        <v>NF - O URSO E O RATO</v>
      </c>
      <c r="X151" t="s">
        <v>5591</v>
      </c>
    </row>
    <row r="152" spans="1:24" x14ac:dyDescent="0.25">
      <c r="A152" t="str">
        <f>CONCATENATE(D152,"_",TEXT(M152,"ddmmaaaa"),"_",COUNTIF($D$2:D152,D152))</f>
        <v>040530930001-73_16022026_2</v>
      </c>
      <c r="B152" t="str">
        <f>CONCATENATE(Analise!D152,"_",COUNTIF(Analise!$D$2:D152,Analise!D152))</f>
        <v>040530930001-73_2</v>
      </c>
      <c r="C152" s="34">
        <f>COUNTIF('Obras e Acervos'!$C:$C,CONCATENATE(LEFT(D152,12),RIGHT(D152,2)))</f>
        <v>2</v>
      </c>
      <c r="D152" s="35" t="s">
        <v>4594</v>
      </c>
      <c r="E152" t="str">
        <f>VLOOKUP($B152,'Obras e Acervos'!$B:$X,3,0)</f>
        <v>NANABOOKS EDITORA LTDA-NANABOOKS</v>
      </c>
      <c r="F152" t="str">
        <f>VLOOKUP($B152,'Obras e Acervos'!$B:$X,7,0)</f>
        <v>0309L23000020LE</v>
      </c>
      <c r="G152" t="str">
        <f>VLOOKUP($B152,'Obras e Acervos'!$B:$X,5,0)</f>
        <v>OBRIGADO: A HISTÓRIA DE UMA VIZINHANÇA</v>
      </c>
      <c r="H152">
        <f>VLOOKUP($B152,'Obras e Acervos'!$B:$X,18,0)</f>
        <v>19</v>
      </c>
      <c r="I152">
        <f>VLOOKUP($B152,'Obras e Acervos'!$B:$X,19,0)</f>
        <v>24846</v>
      </c>
      <c r="J152" s="42">
        <f>VLOOKUP($B152,'Obras e Acervos'!$B:$X,20,0)</f>
        <v>3403.902</v>
      </c>
      <c r="K152" s="31">
        <f>VLOOKUP($B152,'Obras e Acervos'!$B:$X,21,0)</f>
        <v>8.41</v>
      </c>
      <c r="L152" s="31">
        <f t="shared" si="23"/>
        <v>208954.86000000002</v>
      </c>
      <c r="M152" s="1">
        <v>46069</v>
      </c>
      <c r="N152" s="1">
        <f t="shared" si="20"/>
        <v>46305</v>
      </c>
      <c r="O152">
        <f t="shared" si="24"/>
        <v>237</v>
      </c>
      <c r="P152" s="49">
        <f t="shared" si="21"/>
        <v>7.9</v>
      </c>
      <c r="Q152" s="34">
        <f>VLOOKUP($G152,Agendamento!$B:$F,5,0)</f>
        <v>6</v>
      </c>
      <c r="R152" s="36">
        <f t="shared" si="25"/>
        <v>25</v>
      </c>
      <c r="S152" s="44">
        <v>2.5499999999999998</v>
      </c>
      <c r="T152" s="44">
        <f t="shared" si="26"/>
        <v>15108.749999999998</v>
      </c>
      <c r="U152" t="s">
        <v>5045</v>
      </c>
      <c r="V152" t="str">
        <f t="shared" si="27"/>
        <v>NF/64238035_20260216_nf_11.pdf</v>
      </c>
      <c r="W152" s="32" t="str">
        <f t="shared" si="22"/>
        <v>NF - OBRIGADO: A HISTÓRIA DE UMA VIZINHANÇA</v>
      </c>
      <c r="X152" t="s">
        <v>5591</v>
      </c>
    </row>
    <row r="153" spans="1:24" x14ac:dyDescent="0.25">
      <c r="A153" t="str">
        <f>CONCATENATE(D153,"_",TEXT(M153,"ddmmaaaa"),"_",COUNTIF($D$2:D153,D153))</f>
        <v>050299360001-69_16022026_1</v>
      </c>
      <c r="B153" t="str">
        <f>CONCATENATE(Analise!D153,"_",COUNTIF(Analise!$D$2:D153,Analise!D153))</f>
        <v>050299360001-69_1</v>
      </c>
      <c r="C153" s="34">
        <f>COUNTIF('Obras e Acervos'!$C:$C,CONCATENATE(LEFT(D153,12),RIGHT(D153,2)))</f>
        <v>2</v>
      </c>
      <c r="D153" s="35" t="s">
        <v>4587</v>
      </c>
      <c r="E153" t="str">
        <f>VLOOKUP($B153,'Obras e Acervos'!$B:$X,3,0)</f>
        <v>NOVA ERA EDITORA E CONSULTORIA-EDITORA ACALANTO</v>
      </c>
      <c r="F153" t="str">
        <f>VLOOKUP($B153,'Obras e Acervos'!$B:$X,7,0)</f>
        <v>0767L23000030LE</v>
      </c>
      <c r="G153" t="str">
        <f>VLOOKUP($B153,'Obras e Acervos'!$B:$X,5,0)</f>
        <v>MESMA NOVA HISTÓRIA</v>
      </c>
      <c r="H153">
        <f>VLOOKUP($B153,'Obras e Acervos'!$B:$X,18,0)</f>
        <v>3</v>
      </c>
      <c r="I153">
        <f>VLOOKUP($B153,'Obras e Acervos'!$B:$X,19,0)</f>
        <v>46109</v>
      </c>
      <c r="J153" s="42">
        <f>VLOOKUP($B153,'Obras e Acervos'!$B:$X,20,0)</f>
        <v>7515.7669999999998</v>
      </c>
      <c r="K153" s="31">
        <f>VLOOKUP($B153,'Obras e Acervos'!$B:$X,21,0)</f>
        <v>7.79</v>
      </c>
      <c r="L153" s="31">
        <f t="shared" si="23"/>
        <v>359189.11</v>
      </c>
      <c r="M153" s="1">
        <v>46069</v>
      </c>
      <c r="N153" s="1">
        <f t="shared" si="20"/>
        <v>46305</v>
      </c>
      <c r="O153">
        <f t="shared" si="24"/>
        <v>237</v>
      </c>
      <c r="P153" s="49">
        <f t="shared" si="21"/>
        <v>7.9</v>
      </c>
      <c r="Q153" s="34">
        <f>VLOOKUP($G153,Agendamento!$B:$F,5,0)</f>
        <v>12</v>
      </c>
      <c r="R153" s="36">
        <f t="shared" si="25"/>
        <v>47</v>
      </c>
      <c r="S153" s="44">
        <v>2.5499999999999998</v>
      </c>
      <c r="T153" s="44">
        <f t="shared" si="26"/>
        <v>28404.449999999997</v>
      </c>
      <c r="U153" t="s">
        <v>5038</v>
      </c>
      <c r="V153" t="str">
        <f t="shared" si="27"/>
        <v>NF/64238035_20260216_nf_12.pdf</v>
      </c>
      <c r="W153" s="32" t="str">
        <f t="shared" si="22"/>
        <v>NF - MESMA NOVA HISTÓRIA</v>
      </c>
      <c r="X153" t="s">
        <v>5591</v>
      </c>
    </row>
    <row r="154" spans="1:24" x14ac:dyDescent="0.25">
      <c r="A154" t="str">
        <f>CONCATENATE(D154,"_",TEXT(M154,"ddmmaaaa"),"_",COUNTIF($D$2:D154,D154))</f>
        <v>050299360001-69_16022026_2</v>
      </c>
      <c r="B154" t="str">
        <f>CONCATENATE(Analise!D154,"_",COUNTIF(Analise!$D$2:D154,Analise!D154))</f>
        <v>050299360001-69_2</v>
      </c>
      <c r="C154" s="34">
        <f>COUNTIF('Obras e Acervos'!$C:$C,CONCATENATE(LEFT(D154,12),RIGHT(D154,2)))</f>
        <v>2</v>
      </c>
      <c r="D154" s="35" t="s">
        <v>4587</v>
      </c>
      <c r="E154" t="str">
        <f>VLOOKUP($B154,'Obras e Acervos'!$B:$X,3,0)</f>
        <v>NOVA ERA EDITORA E CONSULTORIA-EDITORA ACALANTO</v>
      </c>
      <c r="F154" t="str">
        <f>VLOOKUP($B154,'Obras e Acervos'!$B:$X,7,0)</f>
        <v>0768L23000020LE</v>
      </c>
      <c r="G154" t="str">
        <f>VLOOKUP($B154,'Obras e Acervos'!$B:$X,5,0)</f>
        <v>AS FABULOSAS FÁBULAS DE IAUARETÊ</v>
      </c>
      <c r="H154">
        <f>VLOOKUP($B154,'Obras e Acervos'!$B:$X,18,0)</f>
        <v>22</v>
      </c>
      <c r="I154">
        <f>VLOOKUP($B154,'Obras e Acervos'!$B:$X,19,0)</f>
        <v>24267</v>
      </c>
      <c r="J154" s="42">
        <f>VLOOKUP($B154,'Obras e Acervos'!$B:$X,20,0)</f>
        <v>5945.415</v>
      </c>
      <c r="K154" s="31">
        <f>VLOOKUP($B154,'Obras e Acervos'!$B:$X,21,0)</f>
        <v>14.07</v>
      </c>
      <c r="L154" s="31">
        <f t="shared" si="23"/>
        <v>341436.69</v>
      </c>
      <c r="M154" s="1">
        <v>46069</v>
      </c>
      <c r="N154" s="1">
        <f t="shared" si="20"/>
        <v>46305</v>
      </c>
      <c r="O154">
        <f t="shared" si="24"/>
        <v>237</v>
      </c>
      <c r="P154" s="49">
        <f t="shared" si="21"/>
        <v>7.9</v>
      </c>
      <c r="Q154" s="34">
        <f>VLOOKUP($G154,Agendamento!$B:$F,5,0)</f>
        <v>7</v>
      </c>
      <c r="R154" s="36">
        <f t="shared" si="25"/>
        <v>25</v>
      </c>
      <c r="S154" s="44">
        <v>2.5499999999999998</v>
      </c>
      <c r="T154" s="44">
        <f t="shared" si="26"/>
        <v>15108.749999999998</v>
      </c>
      <c r="U154" t="s">
        <v>5038</v>
      </c>
      <c r="V154" t="str">
        <f t="shared" si="27"/>
        <v>NF/64238035_20260216_nf_12.pdf</v>
      </c>
      <c r="W154" s="32" t="str">
        <f t="shared" si="22"/>
        <v>NF - AS FABULOSAS FÁBULAS DE IAUARETÊ</v>
      </c>
      <c r="X154" t="s">
        <v>5591</v>
      </c>
    </row>
    <row r="155" spans="1:24" x14ac:dyDescent="0.25">
      <c r="A155" t="str">
        <f>CONCATENATE(D155,"_",TEXT(M155,"ddmmaaaa"),"_",COUNTIF($D$2:D155,D155))</f>
        <v>864618520001-00_16022026_1</v>
      </c>
      <c r="B155" t="str">
        <f>CONCATENATE(Analise!D155,"_",COUNTIF(Analise!$D$2:D155,Analise!D155))</f>
        <v>864618520001-00_1</v>
      </c>
      <c r="C155" s="34">
        <f>COUNTIF('Obras e Acervos'!$C:$C,CONCATENATE(LEFT(D155,12),RIGHT(D155,2)))</f>
        <v>2</v>
      </c>
      <c r="D155" s="35" t="s">
        <v>4588</v>
      </c>
      <c r="E155" t="str">
        <f>VLOOKUP($B155,'Obras e Acervos'!$B:$X,3,0)</f>
        <v>EDITORA PEIRÓPOLIS LTDA.-PEIROPOLIS</v>
      </c>
      <c r="F155" t="str">
        <f>VLOOKUP($B155,'Obras e Acervos'!$B:$X,7,0)</f>
        <v>0732L23000030LE</v>
      </c>
      <c r="G155" t="str">
        <f>VLOOKUP($B155,'Obras e Acervos'!$B:$X,5,0)</f>
        <v>FÉRIAS NA ANTÁRTICA</v>
      </c>
      <c r="H155">
        <f>VLOOKUP($B155,'Obras e Acervos'!$B:$X,18,0)</f>
        <v>1</v>
      </c>
      <c r="I155">
        <f>VLOOKUP($B155,'Obras e Acervos'!$B:$X,19,0)</f>
        <v>50307</v>
      </c>
      <c r="J155" s="42">
        <f>VLOOKUP($B155,'Obras e Acervos'!$B:$X,20,0)</f>
        <v>10514.163</v>
      </c>
      <c r="K155" s="31">
        <f>VLOOKUP($B155,'Obras e Acervos'!$B:$X,21,0)</f>
        <v>9.01</v>
      </c>
      <c r="L155" s="31">
        <f t="shared" si="23"/>
        <v>453266.07</v>
      </c>
      <c r="M155" s="1">
        <v>46069</v>
      </c>
      <c r="N155" s="1">
        <f t="shared" si="20"/>
        <v>46305</v>
      </c>
      <c r="O155">
        <f t="shared" si="24"/>
        <v>237</v>
      </c>
      <c r="P155" s="49">
        <f t="shared" si="21"/>
        <v>7.9</v>
      </c>
      <c r="Q155" s="34">
        <f>VLOOKUP($G155,Agendamento!$B:$F,5,0)</f>
        <v>15</v>
      </c>
      <c r="R155" s="36">
        <f t="shared" si="25"/>
        <v>51</v>
      </c>
      <c r="S155" s="44">
        <v>2.5499999999999998</v>
      </c>
      <c r="T155" s="44">
        <f t="shared" si="26"/>
        <v>30821.85</v>
      </c>
      <c r="U155" t="s">
        <v>5039</v>
      </c>
      <c r="V155" t="str">
        <f t="shared" si="27"/>
        <v>NF/64238035_20260216_nf_13.pdf</v>
      </c>
      <c r="W155" s="32" t="str">
        <f t="shared" si="22"/>
        <v>NF - FÉRIAS NA ANTÁRTICA</v>
      </c>
      <c r="X155" t="s">
        <v>5591</v>
      </c>
    </row>
    <row r="156" spans="1:24" x14ac:dyDescent="0.25">
      <c r="A156" t="str">
        <f>CONCATENATE(D156,"_",TEXT(M156,"ddmmaaaa"),"_",COUNTIF($D$2:D156,D156))</f>
        <v>864618520001-00_16022026_2</v>
      </c>
      <c r="B156" t="str">
        <f>CONCATENATE(Analise!D156,"_",COUNTIF(Analise!$D$2:D156,Analise!D156))</f>
        <v>864618520001-00_2</v>
      </c>
      <c r="C156" s="34">
        <f>COUNTIF('Obras e Acervos'!$C:$C,CONCATENATE(LEFT(D156,12),RIGHT(D156,2)))</f>
        <v>2</v>
      </c>
      <c r="D156" s="35" t="s">
        <v>4588</v>
      </c>
      <c r="E156" t="str">
        <f>VLOOKUP($B156,'Obras e Acervos'!$B:$X,3,0)</f>
        <v>EDITORA PEIRÓPOLIS LTDA.-PEIROPOLIS</v>
      </c>
      <c r="F156" t="str">
        <f>VLOOKUP($B156,'Obras e Acervos'!$B:$X,7,0)</f>
        <v>0733L23000020LE</v>
      </c>
      <c r="G156" t="str">
        <f>VLOOKUP($B156,'Obras e Acervos'!$B:$X,5,0)</f>
        <v>IRMÃS DA CHUVA</v>
      </c>
      <c r="H156">
        <f>VLOOKUP($B156,'Obras e Acervos'!$B:$X,18,0)</f>
        <v>19</v>
      </c>
      <c r="I156">
        <f>VLOOKUP($B156,'Obras e Acervos'!$B:$X,19,0)</f>
        <v>24316</v>
      </c>
      <c r="J156" s="42">
        <f>VLOOKUP($B156,'Obras e Acervos'!$B:$X,20,0)</f>
        <v>5519.732</v>
      </c>
      <c r="K156" s="31">
        <f>VLOOKUP($B156,'Obras e Acervos'!$B:$X,21,0)</f>
        <v>13.14</v>
      </c>
      <c r="L156" s="31">
        <f t="shared" si="23"/>
        <v>319512.24</v>
      </c>
      <c r="M156" s="1">
        <v>46069</v>
      </c>
      <c r="N156" s="1">
        <f t="shared" si="20"/>
        <v>46305</v>
      </c>
      <c r="O156">
        <f t="shared" si="24"/>
        <v>237</v>
      </c>
      <c r="P156" s="49">
        <f t="shared" si="21"/>
        <v>7.9</v>
      </c>
      <c r="Q156" s="34">
        <f>VLOOKUP($G156,Agendamento!$B:$F,5,0)</f>
        <v>8</v>
      </c>
      <c r="R156" s="36">
        <f t="shared" si="25"/>
        <v>25</v>
      </c>
      <c r="S156" s="44">
        <v>2.5499999999999998</v>
      </c>
      <c r="T156" s="44">
        <f t="shared" si="26"/>
        <v>15108.749999999998</v>
      </c>
      <c r="U156" t="s">
        <v>5039</v>
      </c>
      <c r="V156" t="str">
        <f t="shared" si="27"/>
        <v>NF/64238035_20260216_nf_13.pdf</v>
      </c>
      <c r="W156" s="32" t="str">
        <f t="shared" si="22"/>
        <v>NF - IRMÃS DA CHUVA</v>
      </c>
      <c r="X156" t="s">
        <v>5591</v>
      </c>
    </row>
    <row r="157" spans="1:24" x14ac:dyDescent="0.25">
      <c r="A157" t="str">
        <f>CONCATENATE(D157,"_",TEXT(M157,"ddmmaaaa"),"_",COUNTIF($D$2:D157,D157))</f>
        <v>140147770001-10_16022026_1</v>
      </c>
      <c r="B157" t="str">
        <f>CONCATENATE(Analise!D157,"_",COUNTIF(Analise!$D$2:D157,Analise!D157))</f>
        <v>140147770001-10_1</v>
      </c>
      <c r="C157" s="34">
        <f>COUNTIF('Obras e Acervos'!$C:$C,CONCATENATE(LEFT(D157,12),RIGHT(D157,2)))</f>
        <v>1</v>
      </c>
      <c r="D157" s="35" t="s">
        <v>4584</v>
      </c>
      <c r="E157" t="str">
        <f>VLOOKUP($B157,'Obras e Acervos'!$B:$X,3,0)</f>
        <v>RODRIGUES &amp; RODRIGUES EDITORA LTDA. EPP-QUATRO CANTOS</v>
      </c>
      <c r="F157" t="str">
        <f>VLOOKUP($B157,'Obras e Acervos'!$B:$X,7,0)</f>
        <v>0530L23000020LE</v>
      </c>
      <c r="G157" t="str">
        <f>VLOOKUP($B157,'Obras e Acervos'!$B:$X,5,0)</f>
        <v>DAS CARAMINHOLAS DE FIRMINO OU O BESOURO QUE NÃO CHORAVA</v>
      </c>
      <c r="H157">
        <f>VLOOKUP($B157,'Obras e Acervos'!$B:$X,18,0)</f>
        <v>22</v>
      </c>
      <c r="I157">
        <f>VLOOKUP($B157,'Obras e Acervos'!$B:$X,19,0)</f>
        <v>23934</v>
      </c>
      <c r="J157" s="42">
        <f>VLOOKUP($B157,'Obras e Acervos'!$B:$X,20,0)</f>
        <v>3374.6939999999995</v>
      </c>
      <c r="K157" s="31">
        <f>VLOOKUP($B157,'Obras e Acervos'!$B:$X,21,0)</f>
        <v>7.98</v>
      </c>
      <c r="L157" s="31">
        <f t="shared" si="23"/>
        <v>190993.32</v>
      </c>
      <c r="M157" s="1">
        <v>46069</v>
      </c>
      <c r="N157" s="1">
        <f t="shared" si="20"/>
        <v>46305</v>
      </c>
      <c r="O157">
        <f t="shared" si="24"/>
        <v>237</v>
      </c>
      <c r="P157" s="49">
        <f t="shared" si="21"/>
        <v>7.9</v>
      </c>
      <c r="Q157" s="34">
        <f>VLOOKUP($G157,Agendamento!$B:$F,5,0)</f>
        <v>4</v>
      </c>
      <c r="R157" s="36">
        <f t="shared" si="25"/>
        <v>24</v>
      </c>
      <c r="S157" s="44">
        <v>2.5499999999999998</v>
      </c>
      <c r="T157" s="44">
        <f t="shared" si="26"/>
        <v>14504.4</v>
      </c>
      <c r="U157" t="s">
        <v>5034</v>
      </c>
      <c r="V157" t="str">
        <f t="shared" si="27"/>
        <v>NF/64238035_20260216_nf_14.pdf</v>
      </c>
      <c r="W157" s="32" t="str">
        <f t="shared" si="22"/>
        <v>NF - DAS CARAMINHOLAS DE FIRMINO OU O BESOURO QUE NÃO CHORAVA</v>
      </c>
      <c r="X157" t="s">
        <v>5591</v>
      </c>
    </row>
    <row r="158" spans="1:24" x14ac:dyDescent="0.25">
      <c r="A158" t="str">
        <f>CONCATENATE(D158,"_",TEXT(M158,"ddmmaaaa"),"_",COUNTIF($D$2:D158,D158))</f>
        <v>048415830001-34_16022026_1</v>
      </c>
      <c r="B158" t="str">
        <f>CONCATENATE(Analise!D158,"_",COUNTIF(Analise!$D$2:D158,Analise!D158)+1)</f>
        <v>048415830001-34_2</v>
      </c>
      <c r="C158" s="34">
        <f>COUNTIF('Obras e Acervos'!$C:$C,CONCATENATE(LEFT(D158,12),RIGHT(D158,2)))</f>
        <v>2</v>
      </c>
      <c r="D158" s="35" t="s">
        <v>4579</v>
      </c>
      <c r="E158" t="str">
        <f>VLOOKUP($B158,'Obras e Acervos'!$B:$X,3,0)</f>
        <v>VERBA EDITORIAL LTDA. EPP-VERBA EDITORIAL</v>
      </c>
      <c r="F158" t="str">
        <f>VLOOKUP($B158,'Obras e Acervos'!$B:$X,7,0)</f>
        <v>0394L23000020LE</v>
      </c>
      <c r="G158" t="str">
        <f>VLOOKUP($B158,'Obras e Acervos'!$B:$X,5,0)</f>
        <v>AMANACY E A DANÇA DA CHUVA</v>
      </c>
      <c r="H158">
        <f>VLOOKUP($B158,'Obras e Acervos'!$B:$X,18,0)</f>
        <v>18</v>
      </c>
      <c r="I158">
        <f>VLOOKUP($B158,'Obras e Acervos'!$B:$X,19,0)</f>
        <v>24200</v>
      </c>
      <c r="J158" s="42">
        <f>VLOOKUP($B158,'Obras e Acervos'!$B:$X,20,0)</f>
        <v>2468.3999999999996</v>
      </c>
      <c r="K158" s="31">
        <f>VLOOKUP($B158,'Obras e Acervos'!$B:$X,21,0)</f>
        <v>6.55</v>
      </c>
      <c r="L158" s="31">
        <f t="shared" si="23"/>
        <v>158510</v>
      </c>
      <c r="M158" s="1">
        <v>46069</v>
      </c>
      <c r="N158" s="1">
        <f t="shared" si="20"/>
        <v>46305</v>
      </c>
      <c r="O158">
        <f t="shared" si="24"/>
        <v>237</v>
      </c>
      <c r="P158" s="49">
        <f t="shared" si="21"/>
        <v>7.9</v>
      </c>
      <c r="Q158" s="34">
        <f>VLOOKUP($G158,Agendamento!$B:$F,5,0)</f>
        <v>4</v>
      </c>
      <c r="R158" s="36">
        <f t="shared" si="25"/>
        <v>25</v>
      </c>
      <c r="S158" s="44">
        <v>2.5499999999999998</v>
      </c>
      <c r="T158" s="44">
        <f t="shared" si="26"/>
        <v>15108.749999999998</v>
      </c>
      <c r="U158" t="s">
        <v>5036</v>
      </c>
      <c r="V158" t="str">
        <f t="shared" si="27"/>
        <v>NF/64238035_20260216_nf_15.pdf</v>
      </c>
      <c r="W158" s="32" t="str">
        <f t="shared" si="22"/>
        <v>NF - AMANACY E A DANÇA DA CHUVA</v>
      </c>
      <c r="X158" t="s">
        <v>5591</v>
      </c>
    </row>
    <row r="159" spans="1:24" x14ac:dyDescent="0.25">
      <c r="A159" t="str">
        <f>CONCATENATE(D159,"_",TEXT(M159,"ddmmaaaa"),"_",COUNTIF($D$2:D159,D159))</f>
        <v>062221720001-96_16022026_1</v>
      </c>
      <c r="B159" t="str">
        <f>CONCATENATE(Analise!D159,"_",COUNTIF(Analise!$D$2:D159,Analise!D159)+1)</f>
        <v>062221720001-96_2</v>
      </c>
      <c r="C159" s="34">
        <f>COUNTIF('Obras e Acervos'!$C:$C,CONCATENATE(LEFT(D159,12),RIGHT(D159,2)))</f>
        <v>2</v>
      </c>
      <c r="D159" s="35" t="s">
        <v>4577</v>
      </c>
      <c r="E159" t="str">
        <f>VLOOKUP($B159,'Obras e Acervos'!$B:$X,3,0)</f>
        <v>CAROCHINHA EDITORA LTDA.-CAROCHINHA</v>
      </c>
      <c r="F159" t="str">
        <f>VLOOKUP($B159,'Obras e Acervos'!$B:$X,7,0)</f>
        <v>1243L23000020LE</v>
      </c>
      <c r="G159" t="str">
        <f>VLOOKUP($B159,'Obras e Acervos'!$B:$X,5,0)</f>
        <v>O PULO DO COELHO</v>
      </c>
      <c r="H159">
        <f>VLOOKUP($B159,'Obras e Acervos'!$B:$X,18,0)</f>
        <v>18</v>
      </c>
      <c r="I159">
        <f>VLOOKUP($B159,'Obras e Acervos'!$B:$X,19,0)</f>
        <v>23669</v>
      </c>
      <c r="J159" s="42">
        <f>VLOOKUP($B159,'Obras e Acervos'!$B:$X,20,0)</f>
        <v>2721.9349999999999</v>
      </c>
      <c r="K159" s="31">
        <f>VLOOKUP($B159,'Obras e Acervos'!$B:$X,21,0)</f>
        <v>8.4700000000000006</v>
      </c>
      <c r="L159" s="31">
        <f t="shared" si="23"/>
        <v>200476.43000000002</v>
      </c>
      <c r="M159" s="1">
        <v>46069</v>
      </c>
      <c r="N159" s="1">
        <f t="shared" si="20"/>
        <v>46305</v>
      </c>
      <c r="O159">
        <f t="shared" si="24"/>
        <v>237</v>
      </c>
      <c r="P159" s="49">
        <f t="shared" si="21"/>
        <v>7.9</v>
      </c>
      <c r="Q159" s="34">
        <f>VLOOKUP($G159,Agendamento!$B:$F,5,0)</f>
        <v>4</v>
      </c>
      <c r="R159" s="36">
        <f t="shared" si="25"/>
        <v>24</v>
      </c>
      <c r="S159" s="44">
        <v>2.5499999999999998</v>
      </c>
      <c r="T159" s="44">
        <f t="shared" si="26"/>
        <v>14504.4</v>
      </c>
      <c r="U159" t="s">
        <v>5026</v>
      </c>
      <c r="V159" t="str">
        <f t="shared" si="27"/>
        <v>NF/64238035_20260216_nf_16.pdf</v>
      </c>
      <c r="W159" s="32" t="str">
        <f t="shared" si="22"/>
        <v>NF - O PULO DO COELHO</v>
      </c>
      <c r="X159" t="s">
        <v>5591</v>
      </c>
    </row>
    <row r="160" spans="1:24" x14ac:dyDescent="0.25">
      <c r="A160" t="str">
        <f>CONCATENATE(D160,"_",TEXT(M160,"ddmmaaaa"),"_",COUNTIF($D$2:D160,D160))</f>
        <v>511657360001-50_16022026_1</v>
      </c>
      <c r="B160" t="str">
        <f>CONCATENATE(Analise!D160,"_",COUNTIF(Analise!$D$2:D160,Analise!D160))</f>
        <v>511657360001-50_1</v>
      </c>
      <c r="C160" s="34">
        <f>COUNTIF('Obras e Acervos'!$C:$C,CONCATENATE(LEFT(D160,12),RIGHT(D160,2)))</f>
        <v>2</v>
      </c>
      <c r="D160" s="35" t="s">
        <v>4590</v>
      </c>
      <c r="E160" t="str">
        <f>VLOOKUP($B160,'Obras e Acervos'!$B:$X,3,0)</f>
        <v>BERLENDIS EDITORES LTDA-BERLENDIS &amp; VERTECCHIA</v>
      </c>
      <c r="F160" t="str">
        <f>VLOOKUP($B160,'Obras e Acervos'!$B:$X,7,0)</f>
        <v>0403L23000030LE</v>
      </c>
      <c r="G160" t="str">
        <f>VLOOKUP($B160,'Obras e Acervos'!$B:$X,5,0)</f>
        <v>MULAN: A VIAGEM DA JOVEM GUERREIRA</v>
      </c>
      <c r="H160">
        <f>VLOOKUP($B160,'Obras e Acervos'!$B:$X,18,0)</f>
        <v>2</v>
      </c>
      <c r="I160">
        <f>VLOOKUP($B160,'Obras e Acervos'!$B:$X,19,0)</f>
        <v>50694</v>
      </c>
      <c r="J160" s="42">
        <f>VLOOKUP($B160,'Obras e Acervos'!$B:$X,20,0)</f>
        <v>8364.51</v>
      </c>
      <c r="K160" s="31">
        <f>VLOOKUP($B160,'Obras e Acervos'!$B:$X,21,0)</f>
        <v>5.96</v>
      </c>
      <c r="L160" s="31">
        <f t="shared" si="23"/>
        <v>302136.24</v>
      </c>
      <c r="M160" s="1">
        <v>46069</v>
      </c>
      <c r="N160" s="1">
        <f t="shared" si="20"/>
        <v>46305</v>
      </c>
      <c r="O160">
        <f t="shared" si="24"/>
        <v>237</v>
      </c>
      <c r="P160" s="49">
        <f t="shared" si="21"/>
        <v>7.9</v>
      </c>
      <c r="Q160" s="34">
        <f>VLOOKUP($G160,Agendamento!$B:$F,5,0)</f>
        <v>8</v>
      </c>
      <c r="R160" s="36">
        <f t="shared" si="25"/>
        <v>51</v>
      </c>
      <c r="S160" s="44">
        <v>2.5499999999999998</v>
      </c>
      <c r="T160" s="44">
        <f t="shared" si="26"/>
        <v>30821.85</v>
      </c>
      <c r="U160" t="s">
        <v>5041</v>
      </c>
      <c r="V160" t="str">
        <f t="shared" si="27"/>
        <v>NF/64238035_20260216_nf_17.pdf</v>
      </c>
      <c r="W160" s="32" t="str">
        <f t="shared" si="22"/>
        <v>NF - MULAN: A VIAGEM DA JOVEM GUERREIRA</v>
      </c>
      <c r="X160" t="s">
        <v>5591</v>
      </c>
    </row>
    <row r="161" spans="1:24" x14ac:dyDescent="0.25">
      <c r="A161" t="str">
        <f>CONCATENATE(D161,"_",TEXT(M161,"ddmmaaaa"),"_",COUNTIF($D$2:D161,D161))</f>
        <v>511657360001-50_16022026_2</v>
      </c>
      <c r="B161" t="str">
        <f>CONCATENATE(Analise!D161,"_",COUNTIF(Analise!$D$2:D161,Analise!D161))</f>
        <v>511657360001-50_2</v>
      </c>
      <c r="C161" s="34">
        <f>COUNTIF('Obras e Acervos'!$C:$C,CONCATENATE(LEFT(D161,12),RIGHT(D161,2)))</f>
        <v>2</v>
      </c>
      <c r="D161" s="35" t="s">
        <v>4590</v>
      </c>
      <c r="E161" t="str">
        <f>VLOOKUP($B161,'Obras e Acervos'!$B:$X,3,0)</f>
        <v>BERLENDIS EDITORES LTDA-BERLENDIS &amp; VERTECCHIA</v>
      </c>
      <c r="F161" t="str">
        <f>VLOOKUP($B161,'Obras e Acervos'!$B:$X,7,0)</f>
        <v>0404L23000020LE</v>
      </c>
      <c r="G161" t="str">
        <f>VLOOKUP($B161,'Obras e Acervos'!$B:$X,5,0)</f>
        <v>VOU LÁ BUSCAR A NOITE E JÁ VOLTO: MITOS E CONTOS KAYAPÓ</v>
      </c>
      <c r="H161">
        <f>VLOOKUP($B161,'Obras e Acervos'!$B:$X,18,0)</f>
        <v>19</v>
      </c>
      <c r="I161">
        <f>VLOOKUP($B161,'Obras e Acervos'!$B:$X,19,0)</f>
        <v>27255</v>
      </c>
      <c r="J161" s="42">
        <f>VLOOKUP($B161,'Obras e Acervos'!$B:$X,20,0)</f>
        <v>4497.0749999999998</v>
      </c>
      <c r="K161" s="31">
        <f>VLOOKUP($B161,'Obras e Acervos'!$B:$X,21,0)</f>
        <v>8.15</v>
      </c>
      <c r="L161" s="31">
        <f t="shared" si="23"/>
        <v>222128.25</v>
      </c>
      <c r="M161" s="1">
        <v>46069</v>
      </c>
      <c r="N161" s="1">
        <f t="shared" si="20"/>
        <v>46305</v>
      </c>
      <c r="O161">
        <f t="shared" si="24"/>
        <v>237</v>
      </c>
      <c r="P161" s="49">
        <f t="shared" si="21"/>
        <v>7.9</v>
      </c>
      <c r="Q161" s="34">
        <f>VLOOKUP($G161,Agendamento!$B:$F,5,0)</f>
        <v>5</v>
      </c>
      <c r="R161" s="36">
        <f t="shared" si="25"/>
        <v>28</v>
      </c>
      <c r="S161" s="44">
        <v>2.5499999999999998</v>
      </c>
      <c r="T161" s="44">
        <f t="shared" si="26"/>
        <v>16921.8</v>
      </c>
      <c r="U161" t="s">
        <v>5041</v>
      </c>
      <c r="V161" t="str">
        <f t="shared" si="27"/>
        <v>NF/64238035_20260216_nf_17.pdf</v>
      </c>
      <c r="W161" s="32" t="str">
        <f t="shared" si="22"/>
        <v>NF - VOU LÁ BUSCAR A NOITE E JÁ VOLTO: MITOS E CONTOS KAYAPÓ</v>
      </c>
      <c r="X161" t="s">
        <v>5591</v>
      </c>
    </row>
    <row r="162" spans="1:24" x14ac:dyDescent="0.25">
      <c r="A162" t="str">
        <f>CONCATENATE(D162,"_",TEXT(M162,"ddmmaaaa"),"_",COUNTIF($D$2:D162,D162))</f>
        <v>048415830001-34_16022026_2</v>
      </c>
      <c r="B162" t="str">
        <f>CONCATENATE(Analise!D162,"_",COUNTIF(Analise!$D$2:D162,Analise!D162)-1)</f>
        <v>048415830001-34_1</v>
      </c>
      <c r="C162" s="34">
        <f>COUNTIF('Obras e Acervos'!$C:$C,CONCATENATE(LEFT(D162,12),RIGHT(D162,2)))</f>
        <v>2</v>
      </c>
      <c r="D162" s="35" t="s">
        <v>4579</v>
      </c>
      <c r="E162" t="str">
        <f>VLOOKUP($B162,'Obras e Acervos'!$B:$X,3,0)</f>
        <v>VERBA EDITORIAL LTDA. EPP-VERBA EDITORIAL</v>
      </c>
      <c r="F162" t="str">
        <f>VLOOKUP($B162,'Obras e Acervos'!$B:$X,7,0)</f>
        <v>0393L23000030LE</v>
      </c>
      <c r="G162" t="str">
        <f>VLOOKUP($B162,'Obras e Acervos'!$B:$X,5,0)</f>
        <v>SANSÃO, O FORTE</v>
      </c>
      <c r="H162">
        <f>VLOOKUP($B162,'Obras e Acervos'!$B:$X,18,0)</f>
        <v>2</v>
      </c>
      <c r="I162">
        <f>VLOOKUP($B162,'Obras e Acervos'!$B:$X,19,0)</f>
        <v>43907</v>
      </c>
      <c r="J162" s="42">
        <f>VLOOKUP($B162,'Obras e Acervos'!$B:$X,20,0)</f>
        <v>5620.0960000000005</v>
      </c>
      <c r="K162" s="31">
        <f>VLOOKUP($B162,'Obras e Acervos'!$B:$X,21,0)</f>
        <v>5.87</v>
      </c>
      <c r="L162" s="31">
        <f t="shared" si="23"/>
        <v>257734.09</v>
      </c>
      <c r="M162" s="1">
        <v>46069</v>
      </c>
      <c r="N162" s="1">
        <f t="shared" si="20"/>
        <v>46305</v>
      </c>
      <c r="O162">
        <f t="shared" si="24"/>
        <v>237</v>
      </c>
      <c r="P162" s="49">
        <f t="shared" si="21"/>
        <v>7.9</v>
      </c>
      <c r="Q162" s="34">
        <f>VLOOKUP($G162,Agendamento!$B:$F,5,0)</f>
        <v>7</v>
      </c>
      <c r="R162" s="36">
        <f t="shared" si="25"/>
        <v>44</v>
      </c>
      <c r="S162" s="44">
        <v>2.5499999999999998</v>
      </c>
      <c r="T162" s="44">
        <f t="shared" si="26"/>
        <v>26591.399999999998</v>
      </c>
      <c r="U162" t="s">
        <v>5029</v>
      </c>
      <c r="V162" t="str">
        <f t="shared" si="27"/>
        <v>NF/64238035_20260216_nf_18.pdf</v>
      </c>
      <c r="W162" s="32" t="str">
        <f t="shared" si="22"/>
        <v>NF - SANSÃO, O FORTE</v>
      </c>
      <c r="X162" t="s">
        <v>5591</v>
      </c>
    </row>
    <row r="163" spans="1:24" x14ac:dyDescent="0.25">
      <c r="A163" t="str">
        <f>CONCATENATE(D163,"_",TEXT(M163,"ddmmaaaa"),"_",COUNTIF($D$2:D163,D163))</f>
        <v>308500170001-07_16022026_1</v>
      </c>
      <c r="B163" t="str">
        <f>CONCATENATE(Analise!D163,"_",COUNTIF(Analise!$D$2:D163,Analise!D163))</f>
        <v>308500170001-07_1</v>
      </c>
      <c r="C163" s="34">
        <f>COUNTIF('Obras e Acervos'!$C:$C,CONCATENATE(LEFT(D163,12),RIGHT(D163,2)))</f>
        <v>1</v>
      </c>
      <c r="D163" s="35" t="s">
        <v>4578</v>
      </c>
      <c r="E163" t="str">
        <f>VLOOKUP($B163,'Obras e Acervos'!$B:$X,3,0)</f>
        <v>EDITORA QUATTRO LTDA-EDITORA QUATTRO</v>
      </c>
      <c r="F163" t="str">
        <f>VLOOKUP($B163,'Obras e Acervos'!$B:$X,7,0)</f>
        <v>0627L23000030LE</v>
      </c>
      <c r="G163" t="str">
        <f>VLOOKUP($B163,'Obras e Acervos'!$B:$X,5,0)</f>
        <v>COMO NASCEM AS BORBOLETAS</v>
      </c>
      <c r="H163">
        <f>VLOOKUP($B163,'Obras e Acervos'!$B:$X,18,0)</f>
        <v>9</v>
      </c>
      <c r="I163">
        <f>VLOOKUP($B163,'Obras e Acervos'!$B:$X,19,0)</f>
        <v>39112</v>
      </c>
      <c r="J163" s="42">
        <f>VLOOKUP($B163,'Obras e Acervos'!$B:$X,20,0)</f>
        <v>4028.5359999999996</v>
      </c>
      <c r="K163" s="31">
        <f>VLOOKUP($B163,'Obras e Acervos'!$B:$X,21,0)</f>
        <v>5.46</v>
      </c>
      <c r="L163" s="31">
        <f t="shared" si="23"/>
        <v>213551.52</v>
      </c>
      <c r="M163" s="1">
        <v>46069</v>
      </c>
      <c r="N163" s="1">
        <f t="shared" si="20"/>
        <v>46305</v>
      </c>
      <c r="O163">
        <f t="shared" si="24"/>
        <v>237</v>
      </c>
      <c r="P163" s="49">
        <f t="shared" ref="P163:P168" si="30">O163/30</f>
        <v>7.9</v>
      </c>
      <c r="Q163" s="34">
        <f>VLOOKUP($G163,Agendamento!$B:$F,5,0)</f>
        <v>7</v>
      </c>
      <c r="R163" s="36">
        <f t="shared" si="25"/>
        <v>40</v>
      </c>
      <c r="S163" s="44">
        <v>2.5499999999999998</v>
      </c>
      <c r="T163" s="44">
        <f t="shared" si="26"/>
        <v>24174</v>
      </c>
      <c r="U163" t="s">
        <v>5027</v>
      </c>
      <c r="V163" t="str">
        <f t="shared" si="27"/>
        <v>NF/64238035_20260216_nf_19.pdf</v>
      </c>
      <c r="W163" s="32" t="str">
        <f t="shared" ref="W163:W168" si="31">HYPERLINK(CONCATENATE("saida/",U163),CONCATENATE("NF - ",G163))</f>
        <v>NF - COMO NASCEM AS BORBOLETAS</v>
      </c>
      <c r="X163" t="s">
        <v>5591</v>
      </c>
    </row>
    <row r="164" spans="1:24" x14ac:dyDescent="0.25">
      <c r="A164" t="str">
        <f>CONCATENATE(D164,"_",TEXT(M164,"ddmmaaaa"),"_",COUNTIF($D$2:D164,D164))</f>
        <v>053600510001-48_16022026_1</v>
      </c>
      <c r="B164" t="str">
        <f>CONCATENATE(Analise!D164,"_",COUNTIF(Analise!$D$2:D164,Analise!D164))</f>
        <v>053600510001-48_1</v>
      </c>
      <c r="C164" s="34">
        <f>COUNTIF('Obras e Acervos'!$C:$C,CONCATENATE(LEFT(D164,12),RIGHT(D164,2)))</f>
        <v>2</v>
      </c>
      <c r="D164" s="35" t="s">
        <v>5749</v>
      </c>
      <c r="E164" t="str">
        <f>VLOOKUP($B164,'Obras e Acervos'!$B:$X,3,0)</f>
        <v>TERRA SUL EDITORA LTDA-TERRA SUL EDITORA</v>
      </c>
      <c r="F164" t="str">
        <f>VLOOKUP($B164,'Obras e Acervos'!$B:$X,7,0)</f>
        <v>0417L23000030LE</v>
      </c>
      <c r="G164" t="str">
        <f>VLOOKUP($B164,'Obras e Acervos'!$B:$X,5,0)</f>
        <v>CARA DE NENHUM, FOCINHO DE TODOS</v>
      </c>
      <c r="H164">
        <f>VLOOKUP($B164,'Obras e Acervos'!$B:$X,18,0)</f>
        <v>9</v>
      </c>
      <c r="I164">
        <f>VLOOKUP($B164,'Obras e Acervos'!$B:$X,19,0)</f>
        <v>93395</v>
      </c>
      <c r="J164" s="42">
        <f>VLOOKUP($B164,'Obras e Acervos'!$B:$X,20,0)</f>
        <v>18679</v>
      </c>
      <c r="K164" s="31">
        <f>VLOOKUP($B164,'Obras e Acervos'!$B:$X,21,0)</f>
        <v>3.89</v>
      </c>
      <c r="L164" s="31">
        <f t="shared" si="23"/>
        <v>363306.55</v>
      </c>
      <c r="M164" s="1">
        <v>46069</v>
      </c>
      <c r="N164" s="1">
        <f t="shared" si="20"/>
        <v>46305</v>
      </c>
      <c r="O164">
        <f t="shared" si="24"/>
        <v>237</v>
      </c>
      <c r="P164" s="49">
        <f t="shared" si="30"/>
        <v>7.9</v>
      </c>
      <c r="Q164" s="34">
        <f>VLOOKUP($G164,Agendamento!$B:$F,5,0)</f>
        <v>12</v>
      </c>
      <c r="R164" s="36">
        <f t="shared" si="25"/>
        <v>94</v>
      </c>
      <c r="S164" s="44">
        <v>2.5499999999999998</v>
      </c>
      <c r="T164" s="44">
        <f t="shared" si="26"/>
        <v>56808.899999999994</v>
      </c>
      <c r="U164" t="s">
        <v>5028</v>
      </c>
      <c r="V164" t="str">
        <f t="shared" si="27"/>
        <v>NF/64238035_20260216_nf_20.pdf</v>
      </c>
      <c r="W164" s="32" t="str">
        <f t="shared" si="31"/>
        <v>NF - CARA DE NENHUM, FOCINHO DE TODOS</v>
      </c>
      <c r="X164" t="s">
        <v>5591</v>
      </c>
    </row>
    <row r="165" spans="1:24" x14ac:dyDescent="0.25">
      <c r="A165" t="str">
        <f>CONCATENATE(D165,"_",TEXT(M165,"ddmmaaaa"),"_",COUNTIF($D$2:D165,D165))</f>
        <v>053600510001-48_16022026_2</v>
      </c>
      <c r="B165" t="str">
        <f>CONCATENATE(Analise!D165,"_",COUNTIF(Analise!$D$2:D165,Analise!D165))</f>
        <v>053600510001-48_2</v>
      </c>
      <c r="C165" s="34">
        <f>COUNTIF('Obras e Acervos'!$C:$C,CONCATENATE(LEFT(D165,12),RIGHT(D165,2)))</f>
        <v>2</v>
      </c>
      <c r="D165" s="35" t="s">
        <v>5749</v>
      </c>
      <c r="E165" t="str">
        <f>VLOOKUP($B165,'Obras e Acervos'!$B:$X,3,0)</f>
        <v>TERRA SUL EDITORA LTDA-TERRA SUL EDITORA</v>
      </c>
      <c r="F165" t="str">
        <f>VLOOKUP($B165,'Obras e Acervos'!$B:$X,7,0)</f>
        <v>0418L23000020LE</v>
      </c>
      <c r="G165" t="str">
        <f>VLOOKUP($B165,'Obras e Acervos'!$B:$X,5,0)</f>
        <v>KUARUP A LENDA DA VIDA E DA MORTE</v>
      </c>
      <c r="H165">
        <f>VLOOKUP($B165,'Obras e Acervos'!$B:$X,18,0)</f>
        <v>15</v>
      </c>
      <c r="I165">
        <f>VLOOKUP($B165,'Obras e Acervos'!$B:$X,19,0)</f>
        <v>66061</v>
      </c>
      <c r="J165" s="42">
        <f>VLOOKUP($B165,'Obras e Acervos'!$B:$X,20,0)</f>
        <v>9909.15</v>
      </c>
      <c r="K165" s="31">
        <f>VLOOKUP($B165,'Obras e Acervos'!$B:$X,21,0)</f>
        <v>3.55</v>
      </c>
      <c r="L165" s="31">
        <f t="shared" si="23"/>
        <v>234516.55</v>
      </c>
      <c r="M165" s="1">
        <v>46069</v>
      </c>
      <c r="N165" s="1">
        <f t="shared" si="20"/>
        <v>46305</v>
      </c>
      <c r="O165">
        <f t="shared" si="24"/>
        <v>237</v>
      </c>
      <c r="P165" s="49">
        <f t="shared" si="30"/>
        <v>7.9</v>
      </c>
      <c r="Q165" s="34">
        <f>VLOOKUP($G165,Agendamento!$B:$F,5,0)</f>
        <v>7</v>
      </c>
      <c r="R165" s="36">
        <f t="shared" si="25"/>
        <v>67</v>
      </c>
      <c r="S165" s="44">
        <v>2.5499999999999998</v>
      </c>
      <c r="T165" s="44">
        <f t="shared" si="26"/>
        <v>40491.449999999997</v>
      </c>
      <c r="U165" t="s">
        <v>5028</v>
      </c>
      <c r="V165" t="str">
        <f t="shared" si="27"/>
        <v>NF/64238035_20260216_nf_20.pdf</v>
      </c>
      <c r="W165" s="32" t="str">
        <f t="shared" si="31"/>
        <v>NF - KUARUP A LENDA DA VIDA E DA MORTE</v>
      </c>
      <c r="X165" t="s">
        <v>5591</v>
      </c>
    </row>
    <row r="166" spans="1:24" x14ac:dyDescent="0.25">
      <c r="A166" t="str">
        <f>CONCATENATE(D166,"_",TEXT(M166,"ddmmaaaa"),"_",COUNTIF($D$2:D166,D166))</f>
        <v>133609660001-81_19022026_1</v>
      </c>
      <c r="B166" t="str">
        <f>CONCATENATE(Analise!D166,"_",COUNTIF(Analise!$D$2:D166,Analise!D166)+1)</f>
        <v>133609660001-81_2</v>
      </c>
      <c r="C166" s="34">
        <f>COUNTIF('Obras e Acervos'!$C:$C,CONCATENATE(LEFT(D166,12),RIGHT(D166,2)))</f>
        <v>2</v>
      </c>
      <c r="D166" s="35" t="s">
        <v>4605</v>
      </c>
      <c r="E166" t="str">
        <f>VLOOKUP($B166,'Obras e Acervos'!$B:$X,3,0)</f>
        <v>ÔZÉ EDITORA E LIVRARIA LTDA-ÔZÉ EDITORA</v>
      </c>
      <c r="F166" t="str">
        <f>VLOOKUP($B166,'Obras e Acervos'!$B:$X,7,0)</f>
        <v>0364L23000020LE</v>
      </c>
      <c r="G166" t="str">
        <f>VLOOKUP($B166,'Obras e Acervos'!$B:$X,5,0)</f>
        <v>ALCATEIA</v>
      </c>
      <c r="H166">
        <f>VLOOKUP($B166,'Obras e Acervos'!$B:$X,18,0)</f>
        <v>15</v>
      </c>
      <c r="I166">
        <f>VLOOKUP($B166,'Obras e Acervos'!$B:$X,19,0)</f>
        <v>33792</v>
      </c>
      <c r="J166" s="42">
        <f>VLOOKUP($B166,'Obras e Acervos'!$B:$X,20,0)</f>
        <v>9123.84</v>
      </c>
      <c r="K166" s="31">
        <f>VLOOKUP($B166,'Obras e Acervos'!$B:$X,21,0)</f>
        <v>11.28</v>
      </c>
      <c r="L166" s="31">
        <f t="shared" si="23"/>
        <v>381173.75999999995</v>
      </c>
      <c r="M166" s="1">
        <v>46072</v>
      </c>
      <c r="N166" s="1">
        <f t="shared" si="20"/>
        <v>46305</v>
      </c>
      <c r="O166">
        <f t="shared" si="24"/>
        <v>234</v>
      </c>
      <c r="P166" s="49">
        <f t="shared" si="30"/>
        <v>7.8</v>
      </c>
      <c r="Q166" s="34">
        <f>VLOOKUP($G166,Agendamento!$B:$F,5,0)</f>
        <v>8</v>
      </c>
      <c r="R166" s="36">
        <f t="shared" si="25"/>
        <v>34</v>
      </c>
      <c r="S166" s="44">
        <v>2.5499999999999998</v>
      </c>
      <c r="T166" s="44">
        <f t="shared" si="26"/>
        <v>20287.8</v>
      </c>
      <c r="U166" t="s">
        <v>5058</v>
      </c>
      <c r="V166" t="str">
        <f t="shared" si="27"/>
        <v>NF/64238035_20260219_nf_01.pdf</v>
      </c>
      <c r="W166" s="32" t="str">
        <f t="shared" si="31"/>
        <v>NF - ALCATEIA</v>
      </c>
      <c r="X166" t="s">
        <v>5591</v>
      </c>
    </row>
    <row r="167" spans="1:24" x14ac:dyDescent="0.25">
      <c r="A167" t="str">
        <f>CONCATENATE(D167,"_",TEXT(M167,"ddmmaaaa"),"_",COUNTIF($D$2:D167,D167))</f>
        <v>133609660001-81_19022026_2</v>
      </c>
      <c r="B167" t="str">
        <f>CONCATENATE(Analise!D167,"_",COUNTIF(Analise!$D$2:D167,Analise!D167)-1)</f>
        <v>133609660001-81_1</v>
      </c>
      <c r="C167" s="34">
        <f>COUNTIF('Obras e Acervos'!$C:$C,CONCATENATE(LEFT(D167,12),RIGHT(D167,2)))</f>
        <v>2</v>
      </c>
      <c r="D167" s="35" t="s">
        <v>4605</v>
      </c>
      <c r="E167" t="str">
        <f>VLOOKUP($B167,'Obras e Acervos'!$B:$X,3,0)</f>
        <v>ÔZÉ EDITORA E LIVRARIA LTDA-ÔZÉ EDITORA</v>
      </c>
      <c r="F167" t="str">
        <f>VLOOKUP($B167,'Obras e Acervos'!$B:$X,7,0)</f>
        <v>0363L23000030LE</v>
      </c>
      <c r="G167" t="str">
        <f>VLOOKUP($B167,'Obras e Acervos'!$B:$X,5,0)</f>
        <v>O CORAÇÃO DE PLÁSTICO</v>
      </c>
      <c r="H167">
        <f>VLOOKUP($B167,'Obras e Acervos'!$B:$X,18,0)</f>
        <v>8</v>
      </c>
      <c r="I167">
        <f>VLOOKUP($B167,'Obras e Acervos'!$B:$X,19,0)</f>
        <v>35710</v>
      </c>
      <c r="J167" s="42">
        <f>VLOOKUP($B167,'Obras e Acervos'!$B:$X,20,0)</f>
        <v>2249.73</v>
      </c>
      <c r="K167" s="31">
        <f>VLOOKUP($B167,'Obras e Acervos'!$B:$X,21,0)</f>
        <v>6.06</v>
      </c>
      <c r="L167" s="31">
        <f t="shared" si="23"/>
        <v>216402.59999999998</v>
      </c>
      <c r="M167" s="1">
        <v>46072</v>
      </c>
      <c r="N167" s="1">
        <f t="shared" si="20"/>
        <v>46305</v>
      </c>
      <c r="O167">
        <f t="shared" si="24"/>
        <v>234</v>
      </c>
      <c r="P167" s="49">
        <f t="shared" si="30"/>
        <v>7.8</v>
      </c>
      <c r="Q167" s="34">
        <f>VLOOKUP($G167,Agendamento!$B:$F,5,0)</f>
        <v>8</v>
      </c>
      <c r="R167" s="36">
        <f t="shared" si="25"/>
        <v>36</v>
      </c>
      <c r="S167" s="44">
        <v>2.5499999999999998</v>
      </c>
      <c r="T167" s="44">
        <f t="shared" si="26"/>
        <v>21481.199999999997</v>
      </c>
      <c r="U167" t="s">
        <v>5058</v>
      </c>
      <c r="V167" t="str">
        <f t="shared" si="27"/>
        <v>NF/64238035_20260219_nf_01.pdf</v>
      </c>
      <c r="W167" s="32" t="str">
        <f t="shared" si="31"/>
        <v>NF - O CORAÇÃO DE PLÁSTICO</v>
      </c>
      <c r="X167" t="s">
        <v>5591</v>
      </c>
    </row>
    <row r="168" spans="1:24" x14ac:dyDescent="0.25">
      <c r="A168" t="str">
        <f>CONCATENATE(D168,"_",TEXT(M168,"ddmmaaaa"),"_",COUNTIF($D$2:D168,D168))</f>
        <v>070704160001-25_19022026_1</v>
      </c>
      <c r="B168" t="str">
        <f>CONCATENATE(Analise!D168,"_",COUNTIF(Analise!$D$2:D168,Analise!D168))</f>
        <v>070704160001-25_1</v>
      </c>
      <c r="C168" s="34">
        <f>COUNTIF('Obras e Acervos'!$C:$C,CONCATENATE(LEFT(D168,12),RIGHT(D168,2)))</f>
        <v>1</v>
      </c>
      <c r="D168" s="35" t="s">
        <v>4604</v>
      </c>
      <c r="E168" t="str">
        <f>VLOOKUP($B168,'Obras e Acervos'!$B:$X,3,0)</f>
        <v>GC EDITORA EIRELI-GUAXINIM EDITORA</v>
      </c>
      <c r="F168" t="str">
        <f>VLOOKUP($B168,'Obras e Acervos'!$B:$X,7,0)</f>
        <v>1165L23000020LE</v>
      </c>
      <c r="G168" t="str">
        <f>VLOOKUP($B168,'Obras e Acervos'!$B:$X,5,0)</f>
        <v>O PÁSSARO DE DUAS CABEÇAS</v>
      </c>
      <c r="H168">
        <f>VLOOKUP($B168,'Obras e Acervos'!$B:$X,18,0)</f>
        <v>16</v>
      </c>
      <c r="I168">
        <f>VLOOKUP($B168,'Obras e Acervos'!$B:$X,19,0)</f>
        <v>29788</v>
      </c>
      <c r="J168" s="42">
        <f>VLOOKUP($B168,'Obras e Acervos'!$B:$X,20,0)</f>
        <v>3127.74</v>
      </c>
      <c r="K168" s="31">
        <f>VLOOKUP($B168,'Obras e Acervos'!$B:$X,21,0)</f>
        <v>7.92</v>
      </c>
      <c r="L168" s="31">
        <f t="shared" si="23"/>
        <v>235920.96</v>
      </c>
      <c r="M168" s="1">
        <v>46072</v>
      </c>
      <c r="N168" s="1">
        <f t="shared" si="20"/>
        <v>46305</v>
      </c>
      <c r="O168">
        <f t="shared" si="24"/>
        <v>234</v>
      </c>
      <c r="P168" s="49">
        <f t="shared" si="30"/>
        <v>7.8</v>
      </c>
      <c r="Q168" s="34">
        <f>VLOOKUP($G168,Agendamento!$B:$F,5,0)</f>
        <v>4</v>
      </c>
      <c r="R168" s="36">
        <f t="shared" si="25"/>
        <v>30</v>
      </c>
      <c r="S168" s="44">
        <v>2.5499999999999998</v>
      </c>
      <c r="T168" s="44">
        <f t="shared" si="26"/>
        <v>17901</v>
      </c>
      <c r="U168" t="s">
        <v>5056</v>
      </c>
      <c r="V168" t="str">
        <f t="shared" si="27"/>
        <v>NF/64238035_20260219_nf_03.pdf</v>
      </c>
      <c r="W168" s="32" t="str">
        <f t="shared" si="31"/>
        <v>NF - O PÁSSARO DE DUAS CABEÇAS</v>
      </c>
      <c r="X168" t="s">
        <v>5591</v>
      </c>
    </row>
    <row r="169" spans="1:24" x14ac:dyDescent="0.25">
      <c r="A169" t="str">
        <f>CONCATENATE(D169,"_",TEXT(M169,"ddmmaaaa"),"_",COUNTIF($D$2:D169,D169))</f>
        <v>481817540001-11_19022026_1</v>
      </c>
      <c r="B169" t="str">
        <f>CONCATENATE(Analise!D169,"_",COUNTIF(Analise!$D$2:D169,Analise!D169))</f>
        <v>481817540001-11_1</v>
      </c>
      <c r="C169" s="34">
        <f>COUNTIF('Obras e Acervos'!$C:$C,CONCATENATE(LEFT(D169,12),RIGHT(D169,2)))</f>
        <v>2</v>
      </c>
      <c r="D169" s="35" t="s">
        <v>5751</v>
      </c>
      <c r="E169" t="str">
        <f>VLOOKUP($B169,'Obras e Acervos'!$B:$X,3,0)</f>
        <v>M.R. CORNACCHIA EDITORA LTDA.-PAPIRUS</v>
      </c>
      <c r="F169" t="str">
        <f>VLOOKUP($B169,'Obras e Acervos'!$B:$X,7,0)</f>
        <v>0496L23000030LE</v>
      </c>
      <c r="G169" t="str">
        <f>VLOOKUP($B169,'Obras e Acervos'!$B:$X,5,0)</f>
        <v>CIRANDA DO ABC</v>
      </c>
      <c r="H169">
        <f>VLOOKUP($B169,'Obras e Acervos'!$B:$X,18,0)</f>
        <v>2</v>
      </c>
      <c r="I169">
        <f>VLOOKUP($B169,'Obras e Acervos'!$B:$X,19,0)</f>
        <v>52376</v>
      </c>
      <c r="J169" s="42">
        <f>VLOOKUP($B169,'Obras e Acervos'!$B:$X,20,0)</f>
        <v>6285.12</v>
      </c>
      <c r="K169" s="31">
        <f>VLOOKUP($B169,'Obras e Acervos'!$B:$X,21,0)</f>
        <v>5.34</v>
      </c>
      <c r="L169" s="31">
        <f t="shared" si="23"/>
        <v>279687.83999999997</v>
      </c>
      <c r="M169" s="1">
        <v>46072</v>
      </c>
      <c r="N169" s="1">
        <f t="shared" si="20"/>
        <v>46305</v>
      </c>
      <c r="O169">
        <f t="shared" si="24"/>
        <v>234</v>
      </c>
      <c r="P169" s="49">
        <f t="shared" ref="P169:P170" si="32">O169/30</f>
        <v>7.8</v>
      </c>
      <c r="Q169" s="34">
        <f>VLOOKUP($G169,Agendamento!$B:$F,5,0)</f>
        <v>7</v>
      </c>
      <c r="R169" s="36">
        <f t="shared" si="25"/>
        <v>53</v>
      </c>
      <c r="S169" s="44">
        <v>2.5499999999999998</v>
      </c>
      <c r="T169" s="44">
        <f t="shared" si="26"/>
        <v>31625.1</v>
      </c>
      <c r="U169" t="s">
        <v>5050</v>
      </c>
      <c r="V169" t="str">
        <f t="shared" si="27"/>
        <v>NF/64238035_20260219_nf_05.pdf</v>
      </c>
      <c r="W169" s="32" t="str">
        <f t="shared" ref="W169:W170" si="33">HYPERLINK(CONCATENATE("saida/",U169),CONCATENATE("NF - ",G169))</f>
        <v>NF - CIRANDA DO ABC</v>
      </c>
      <c r="X169" t="s">
        <v>5591</v>
      </c>
    </row>
    <row r="170" spans="1:24" x14ac:dyDescent="0.25">
      <c r="A170" t="str">
        <f>CONCATENATE(D170,"_",TEXT(M170,"ddmmaaaa"),"_",COUNTIF($D$2:D170,D170))</f>
        <v>481817540001-11_19022026_2</v>
      </c>
      <c r="B170" t="str">
        <f>CONCATENATE(Analise!D170,"_",COUNTIF(Analise!$D$2:D170,Analise!D170))</f>
        <v>481817540001-11_2</v>
      </c>
      <c r="C170" s="34">
        <f>COUNTIF('Obras e Acervos'!$C:$C,CONCATENATE(LEFT(D170,12),RIGHT(D170,2)))</f>
        <v>2</v>
      </c>
      <c r="D170" s="35" t="s">
        <v>5751</v>
      </c>
      <c r="E170" t="str">
        <f>VLOOKUP($B170,'Obras e Acervos'!$B:$X,3,0)</f>
        <v>M.R. CORNACCHIA EDITORA LTDA.-PAPIRUS</v>
      </c>
      <c r="F170" t="str">
        <f>VLOOKUP($B170,'Obras e Acervos'!$B:$X,7,0)</f>
        <v>0497L23000020LE</v>
      </c>
      <c r="G170" t="str">
        <f>VLOOKUP($B170,'Obras e Acervos'!$B:$X,5,0)</f>
        <v>QUANDO EU ERA MENINO</v>
      </c>
      <c r="H170">
        <f>VLOOKUP($B170,'Obras e Acervos'!$B:$X,18,0)</f>
        <v>19</v>
      </c>
      <c r="I170">
        <f>VLOOKUP($B170,'Obras e Acervos'!$B:$X,19,0)</f>
        <v>25785</v>
      </c>
      <c r="J170" s="42">
        <f>VLOOKUP($B170,'Obras e Acervos'!$B:$X,20,0)</f>
        <v>4254.5250000000005</v>
      </c>
      <c r="K170" s="31">
        <f>VLOOKUP($B170,'Obras e Acervos'!$B:$X,21,0)</f>
        <v>16.21</v>
      </c>
      <c r="L170" s="31">
        <f t="shared" si="23"/>
        <v>417974.85000000003</v>
      </c>
      <c r="M170" s="1">
        <v>46072</v>
      </c>
      <c r="N170" s="1">
        <f t="shared" si="20"/>
        <v>46305</v>
      </c>
      <c r="O170">
        <f t="shared" si="24"/>
        <v>234</v>
      </c>
      <c r="P170" s="49">
        <f t="shared" si="32"/>
        <v>7.8</v>
      </c>
      <c r="Q170" s="34">
        <f>VLOOKUP($G170,Agendamento!$B:$F,5,0)</f>
        <v>6</v>
      </c>
      <c r="R170" s="36">
        <f t="shared" si="25"/>
        <v>26</v>
      </c>
      <c r="S170" s="44">
        <v>2.5499999999999998</v>
      </c>
      <c r="T170" s="44">
        <f t="shared" si="26"/>
        <v>15514.199999999999</v>
      </c>
      <c r="U170" t="s">
        <v>5050</v>
      </c>
      <c r="V170" t="str">
        <f t="shared" si="27"/>
        <v>NF/64238035_20260219_nf_05.pdf</v>
      </c>
      <c r="W170" s="32" t="str">
        <f t="shared" si="33"/>
        <v>NF - QUANDO EU ERA MENINO</v>
      </c>
      <c r="X170" t="s">
        <v>5591</v>
      </c>
    </row>
    <row r="171" spans="1:24" x14ac:dyDescent="0.25">
      <c r="A171" t="str">
        <f>CONCATENATE(D171,"_",TEXT(M171,"ddmmaaaa"),"_",COUNTIF($D$2:D171,D171))</f>
        <v>393714780001-63_19022026_1</v>
      </c>
      <c r="B171" t="str">
        <f>CONCATENATE(Analise!D171,"_",COUNTIF(Analise!$D$2:D171,Analise!D171))</f>
        <v>393714780001-63_1</v>
      </c>
      <c r="C171" s="34">
        <f>COUNTIF('Obras e Acervos'!$C:$C,CONCATENATE(LEFT(D171,12),RIGHT(D171,2)))</f>
        <v>1</v>
      </c>
      <c r="D171" s="35" t="s">
        <v>4606</v>
      </c>
      <c r="E171" t="str">
        <f>VLOOKUP($B171,'Obras e Acervos'!$B:$X,3,0)</f>
        <v>ANTES EDITORA LTDA -</v>
      </c>
      <c r="F171" t="str">
        <f>VLOOKUP($B171,'Obras e Acervos'!$B:$X,7,0)</f>
        <v>1334L23000020LE</v>
      </c>
      <c r="G171" t="str">
        <f>VLOOKUP($B171,'Obras e Acervos'!$B:$X,5,0)</f>
        <v>ENDE/VOCÊ - UMA HISTÓRIA SOBRE A GENTE</v>
      </c>
      <c r="H171">
        <f>VLOOKUP($B171,'Obras e Acervos'!$B:$X,18,0)</f>
        <v>16</v>
      </c>
      <c r="I171">
        <f>VLOOKUP($B171,'Obras e Acervos'!$B:$X,19,0)</f>
        <v>31030</v>
      </c>
      <c r="J171" s="42">
        <f>VLOOKUP($B171,'Obras e Acervos'!$B:$X,20,0)</f>
        <v>6206</v>
      </c>
      <c r="K171" s="31">
        <f>VLOOKUP($B171,'Obras e Acervos'!$B:$X,21,0)</f>
        <v>10.19</v>
      </c>
      <c r="L171" s="31">
        <f t="shared" si="23"/>
        <v>316195.7</v>
      </c>
      <c r="M171" s="1">
        <v>46072</v>
      </c>
      <c r="N171" s="1">
        <f t="shared" si="20"/>
        <v>46305</v>
      </c>
      <c r="O171">
        <f t="shared" si="24"/>
        <v>234</v>
      </c>
      <c r="P171" s="49">
        <f t="shared" ref="P171:P234" si="34">O171/30</f>
        <v>7.8</v>
      </c>
      <c r="Q171" s="34">
        <f>VLOOKUP($G171,Agendamento!$B:$F,5,0)</f>
        <v>7</v>
      </c>
      <c r="R171" s="36">
        <f t="shared" si="25"/>
        <v>32</v>
      </c>
      <c r="S171" s="44">
        <v>2.5499999999999998</v>
      </c>
      <c r="T171" s="44">
        <f t="shared" si="26"/>
        <v>19094.399999999998</v>
      </c>
      <c r="U171" t="s">
        <v>5061</v>
      </c>
      <c r="V171" t="str">
        <f t="shared" si="27"/>
        <v>NF/64238035_20260219_nf_08.pdf</v>
      </c>
      <c r="W171" s="32" t="str">
        <f t="shared" ref="W171:W234" si="35">HYPERLINK(CONCATENATE("saida/",U171),CONCATENATE("NF - ",G171))</f>
        <v>NF - ENDE/VOCÊ - UMA HISTÓRIA SOBRE A GENTE</v>
      </c>
      <c r="X171" t="s">
        <v>5591</v>
      </c>
    </row>
    <row r="172" spans="1:24" x14ac:dyDescent="0.25">
      <c r="A172" t="str">
        <f>CONCATENATE(D172,"_",TEXT(M172,"ddmmaaaa"),"_",COUNTIF($D$2:D172,D172))</f>
        <v>184929220001-29_19022026_1</v>
      </c>
      <c r="B172" t="str">
        <f>CONCATENATE(Analise!D172,"_",COUNTIF(Analise!$D$2:D172,Analise!D172))</f>
        <v>184929220001-29_1</v>
      </c>
      <c r="C172" s="34">
        <f>COUNTIF('Obras e Acervos'!$C:$C,CONCATENATE(LEFT(D172,12),RIGHT(D172,2)))</f>
        <v>1</v>
      </c>
      <c r="D172" s="35" t="s">
        <v>4599</v>
      </c>
      <c r="E172" t="str">
        <f>VLOOKUP($B172,'Obras e Acervos'!$B:$X,3,0)</f>
        <v>MARIA EMILIA PALHA FARIA 06723475631-FRANCESINHA EDITORA</v>
      </c>
      <c r="F172" t="str">
        <f>VLOOKUP($B172,'Obras e Acervos'!$B:$X,7,0)</f>
        <v>1278L23000020LE</v>
      </c>
      <c r="G172" t="str">
        <f>VLOOKUP($B172,'Obras e Acervos'!$B:$X,5,0)</f>
        <v>POCÃO, UM PORQUINHO DIFERENTE</v>
      </c>
      <c r="H172">
        <f>VLOOKUP($B172,'Obras e Acervos'!$B:$X,18,0)</f>
        <v>21</v>
      </c>
      <c r="I172">
        <f>VLOOKUP($B172,'Obras e Acervos'!$B:$X,19,0)</f>
        <v>23723</v>
      </c>
      <c r="J172" s="42">
        <f>VLOOKUP($B172,'Obras e Acervos'!$B:$X,20,0)</f>
        <v>1779.2249999999999</v>
      </c>
      <c r="K172" s="31">
        <f>VLOOKUP($B172,'Obras e Acervos'!$B:$X,21,0)</f>
        <v>7.05</v>
      </c>
      <c r="L172" s="31">
        <f t="shared" si="23"/>
        <v>167247.15</v>
      </c>
      <c r="M172" s="1">
        <v>46072</v>
      </c>
      <c r="N172" s="1">
        <f t="shared" si="20"/>
        <v>46305</v>
      </c>
      <c r="O172">
        <f t="shared" si="24"/>
        <v>234</v>
      </c>
      <c r="P172" s="49">
        <f t="shared" si="34"/>
        <v>7.8</v>
      </c>
      <c r="Q172" s="34">
        <f>VLOOKUP($G172,Agendamento!$B:$F,5,0)</f>
        <v>4</v>
      </c>
      <c r="R172" s="36">
        <f t="shared" si="25"/>
        <v>24</v>
      </c>
      <c r="S172" s="44">
        <v>2.5499999999999998</v>
      </c>
      <c r="T172" s="44">
        <f t="shared" si="26"/>
        <v>14320.8</v>
      </c>
      <c r="U172" t="s">
        <v>5051</v>
      </c>
      <c r="V172" t="str">
        <f t="shared" si="27"/>
        <v>NF/64238035_20260219_nf_09.pdf</v>
      </c>
      <c r="W172" s="32" t="str">
        <f t="shared" si="35"/>
        <v>NF - POCÃO, UM PORQUINHO DIFERENTE</v>
      </c>
      <c r="X172" t="s">
        <v>5591</v>
      </c>
    </row>
    <row r="173" spans="1:24" x14ac:dyDescent="0.25">
      <c r="A173" t="str">
        <f>CONCATENATE(D173,"_",TEXT(M173,"ddmmaaaa"),"_",COUNTIF($D$2:D173,D173))</f>
        <v>879324630001-70_19022026_1</v>
      </c>
      <c r="B173" t="str">
        <f>CONCATENATE(Analise!D173,"_",COUNTIF(Analise!$D$2:D173,Analise!D173))</f>
        <v>879324630001-70_1</v>
      </c>
      <c r="C173" s="34">
        <f>COUNTIF('Obras e Acervos'!$C:$C,CONCATENATE(LEFT(D173,12),RIGHT(D173,2)))</f>
        <v>2</v>
      </c>
      <c r="D173" s="35" t="s">
        <v>4595</v>
      </c>
      <c r="E173" t="str">
        <f>VLOOKUP($B173,'Obras e Acervos'!$B:$X,3,0)</f>
        <v>PUBLIBOOK LIVROS E PAPÉIS LTDA.-L&amp;PM EDITORES</v>
      </c>
      <c r="F173" t="str">
        <f>VLOOKUP($B173,'Obras e Acervos'!$B:$X,7,0)</f>
        <v>0711L23000030LE</v>
      </c>
      <c r="G173" t="str">
        <f>VLOOKUP($B173,'Obras e Acervos'!$B:$X,5,0)</f>
        <v>ISADORA MOON VAI À ESCOLA</v>
      </c>
      <c r="H173">
        <f>VLOOKUP($B173,'Obras e Acervos'!$B:$X,18,0)</f>
        <v>7</v>
      </c>
      <c r="I173">
        <f>VLOOKUP($B173,'Obras e Acervos'!$B:$X,19,0)</f>
        <v>33025</v>
      </c>
      <c r="J173" s="42">
        <f>VLOOKUP($B173,'Obras e Acervos'!$B:$X,20,0)</f>
        <v>5151.8999999999996</v>
      </c>
      <c r="K173" s="31">
        <f>VLOOKUP($B173,'Obras e Acervos'!$B:$X,21,0)</f>
        <v>12.36</v>
      </c>
      <c r="L173" s="31">
        <f t="shared" si="23"/>
        <v>408189</v>
      </c>
      <c r="M173" s="1">
        <v>46072</v>
      </c>
      <c r="N173" s="1">
        <f t="shared" si="20"/>
        <v>46305</v>
      </c>
      <c r="O173">
        <f t="shared" si="24"/>
        <v>234</v>
      </c>
      <c r="P173" s="49">
        <f t="shared" si="34"/>
        <v>7.8</v>
      </c>
      <c r="Q173" s="34">
        <f>VLOOKUP($G173,Agendamento!$B:$F,5,0)</f>
        <v>7</v>
      </c>
      <c r="R173" s="36">
        <f t="shared" si="25"/>
        <v>34</v>
      </c>
      <c r="S173" s="44">
        <v>2.5499999999999998</v>
      </c>
      <c r="T173" s="44">
        <f t="shared" si="26"/>
        <v>20287.8</v>
      </c>
      <c r="U173" t="s">
        <v>5046</v>
      </c>
      <c r="V173" t="str">
        <f t="shared" si="27"/>
        <v>NF/64238035_20260219_nf_10.pdf</v>
      </c>
      <c r="W173" s="32" t="str">
        <f t="shared" si="35"/>
        <v>NF - ISADORA MOON VAI À ESCOLA</v>
      </c>
      <c r="X173" t="s">
        <v>5591</v>
      </c>
    </row>
    <row r="174" spans="1:24" x14ac:dyDescent="0.25">
      <c r="A174" t="str">
        <f>CONCATENATE(D174,"_",TEXT(M174,"ddmmaaaa"),"_",COUNTIF($D$2:D174,D174))</f>
        <v>879324630001-70_19022026_2</v>
      </c>
      <c r="B174" t="str">
        <f>CONCATENATE(Analise!D174,"_",COUNTIF(Analise!$D$2:D174,Analise!D174))</f>
        <v>879324630001-70_2</v>
      </c>
      <c r="C174" s="34">
        <f>COUNTIF('Obras e Acervos'!$C:$C,CONCATENATE(LEFT(D174,12),RIGHT(D174,2)))</f>
        <v>2</v>
      </c>
      <c r="D174" s="35" t="s">
        <v>4595</v>
      </c>
      <c r="E174" t="str">
        <f>VLOOKUP($B174,'Obras e Acervos'!$B:$X,3,0)</f>
        <v>PUBLIBOOK LIVROS E PAPÉIS LTDA.-L&amp;PM EDITORES</v>
      </c>
      <c r="F174" t="str">
        <f>VLOOKUP($B174,'Obras e Acervos'!$B:$X,7,0)</f>
        <v>0712L23000020LE</v>
      </c>
      <c r="G174" t="str">
        <f>VLOOKUP($B174,'Obras e Acervos'!$B:$X,5,0)</f>
        <v>O PORÃO MISTERIOSO</v>
      </c>
      <c r="H174">
        <f>VLOOKUP($B174,'Obras e Acervos'!$B:$X,18,0)</f>
        <v>16</v>
      </c>
      <c r="I174">
        <f>VLOOKUP($B174,'Obras e Acervos'!$B:$X,19,0)</f>
        <v>32606</v>
      </c>
      <c r="J174" s="42">
        <f>VLOOKUP($B174,'Obras e Acervos'!$B:$X,20,0)</f>
        <v>4467.0219999999999</v>
      </c>
      <c r="K174" s="31">
        <f>VLOOKUP($B174,'Obras e Acervos'!$B:$X,21,0)</f>
        <v>11.63</v>
      </c>
      <c r="L174" s="31">
        <f t="shared" si="23"/>
        <v>379207.78</v>
      </c>
      <c r="M174" s="1">
        <v>46072</v>
      </c>
      <c r="N174" s="1">
        <f t="shared" si="20"/>
        <v>46305</v>
      </c>
      <c r="O174">
        <f t="shared" si="24"/>
        <v>234</v>
      </c>
      <c r="P174" s="49">
        <f t="shared" si="34"/>
        <v>7.8</v>
      </c>
      <c r="Q174" s="34">
        <f>VLOOKUP($G174,Agendamento!$B:$F,5,0)</f>
        <v>6</v>
      </c>
      <c r="R174" s="36">
        <f t="shared" si="25"/>
        <v>33</v>
      </c>
      <c r="S174" s="44">
        <v>2.5499999999999998</v>
      </c>
      <c r="T174" s="44">
        <f t="shared" si="26"/>
        <v>19691.099999999999</v>
      </c>
      <c r="U174" t="s">
        <v>5046</v>
      </c>
      <c r="V174" t="str">
        <f t="shared" si="27"/>
        <v>NF/64238035_20260219_nf_10.pdf</v>
      </c>
      <c r="W174" s="32" t="str">
        <f t="shared" si="35"/>
        <v>NF - O PORÃO MISTERIOSO</v>
      </c>
      <c r="X174" t="s">
        <v>5591</v>
      </c>
    </row>
    <row r="175" spans="1:24" x14ac:dyDescent="0.25">
      <c r="A175" t="str">
        <f>CONCATENATE(D175,"_",TEXT(M175,"ddmmaaaa"),"_",COUNTIF($D$2:D175,D175))</f>
        <v>621363040038-20_19022026_1</v>
      </c>
      <c r="B175" t="str">
        <f>CONCATENATE(Analise!D175,"_",COUNTIF(Analise!$D$2:D175,Analise!D175))</f>
        <v>621363040038-20_1</v>
      </c>
      <c r="C175" s="34">
        <f>COUNTIF('Obras e Acervos'!$C:$C,CONCATENATE(LEFT(D175,12),RIGHT(D175,2)))</f>
        <v>2</v>
      </c>
      <c r="D175" s="35" t="s">
        <v>4598</v>
      </c>
      <c r="E175" t="str">
        <f>VLOOKUP($B175,'Obras e Acervos'!$B:$X,3,0)</f>
        <v>EDITORA MODERNA LTDA-MODERNA</v>
      </c>
      <c r="F175" t="str">
        <f>VLOOKUP($B175,'Obras e Acervos'!$B:$X,7,0)</f>
        <v>0694L23000030LE</v>
      </c>
      <c r="G175" t="str">
        <f>VLOOKUP($B175,'Obras e Acervos'!$B:$X,5,0)</f>
        <v>O GUARDIÃO DA BOLA</v>
      </c>
      <c r="H175">
        <f>VLOOKUP($B175,'Obras e Acervos'!$B:$X,18,0)</f>
        <v>3</v>
      </c>
      <c r="I175">
        <f>VLOOKUP($B175,'Obras e Acervos'!$B:$X,19,0)</f>
        <v>54259</v>
      </c>
      <c r="J175" s="42">
        <f>VLOOKUP($B175,'Obras e Acervos'!$B:$X,20,0)</f>
        <v>6511.08</v>
      </c>
      <c r="K175" s="31">
        <f>VLOOKUP($B175,'Obras e Acervos'!$B:$X,21,0)</f>
        <v>4.34</v>
      </c>
      <c r="L175" s="31">
        <f t="shared" si="23"/>
        <v>235484.06</v>
      </c>
      <c r="M175" s="1">
        <v>46072</v>
      </c>
      <c r="N175" s="1">
        <f t="shared" si="20"/>
        <v>46305</v>
      </c>
      <c r="O175">
        <f t="shared" si="24"/>
        <v>234</v>
      </c>
      <c r="P175" s="49">
        <f t="shared" si="34"/>
        <v>7.8</v>
      </c>
      <c r="Q175" s="34">
        <f>VLOOKUP($G175,Agendamento!$B:$F,5,0)</f>
        <v>7</v>
      </c>
      <c r="R175" s="36">
        <f t="shared" si="25"/>
        <v>55</v>
      </c>
      <c r="S175" s="44">
        <v>2.5499999999999998</v>
      </c>
      <c r="T175" s="44">
        <f t="shared" si="26"/>
        <v>32818.5</v>
      </c>
      <c r="U175" t="s">
        <v>5049</v>
      </c>
      <c r="V175" t="str">
        <f t="shared" si="27"/>
        <v>NF/64238035_20260219_nf_11.pdf</v>
      </c>
      <c r="W175" s="32" t="str">
        <f t="shared" si="35"/>
        <v>NF - O GUARDIÃO DA BOLA</v>
      </c>
      <c r="X175" t="s">
        <v>5591</v>
      </c>
    </row>
    <row r="176" spans="1:24" x14ac:dyDescent="0.25">
      <c r="A176" t="str">
        <f>CONCATENATE(D176,"_",TEXT(M176,"ddmmaaaa"),"_",COUNTIF($D$2:D176,D176))</f>
        <v>093691040001-42_19022026_1</v>
      </c>
      <c r="B176" t="str">
        <f>CONCATENATE(Analise!D176,"_",COUNTIF(Analise!$D$2:D176,Analise!D176))</f>
        <v>093691040001-42_1</v>
      </c>
      <c r="C176" s="34">
        <f>COUNTIF('Obras e Acervos'!$C:$C,CONCATENATE(LEFT(D176,12),RIGHT(D176,2)))</f>
        <v>2</v>
      </c>
      <c r="D176" s="35" t="s">
        <v>4597</v>
      </c>
      <c r="E176" t="str">
        <f>VLOOKUP($B176,'Obras e Acervos'!$B:$X,3,0)</f>
        <v>AVALIA QUALIDADE EDUCACIONAL LTDA.-AVALIA</v>
      </c>
      <c r="F176" t="str">
        <f>VLOOKUP($B176,'Obras e Acervos'!$B:$X,7,0)</f>
        <v>0572L23000030LE</v>
      </c>
      <c r="G176" t="str">
        <f>VLOOKUP($B176,'Obras e Acervos'!$B:$X,5,0)</f>
        <v>BIRUTA</v>
      </c>
      <c r="H176">
        <f>VLOOKUP($B176,'Obras e Acervos'!$B:$X,18,0)</f>
        <v>4</v>
      </c>
      <c r="I176">
        <f>VLOOKUP($B176,'Obras e Acervos'!$B:$X,19,0)</f>
        <v>44096</v>
      </c>
      <c r="J176" s="42">
        <f>VLOOKUP($B176,'Obras e Acervos'!$B:$X,20,0)</f>
        <v>5291.5199999999995</v>
      </c>
      <c r="K176" s="31">
        <f>VLOOKUP($B176,'Obras e Acervos'!$B:$X,21,0)</f>
        <v>5.22</v>
      </c>
      <c r="L176" s="31">
        <f t="shared" si="23"/>
        <v>230181.12</v>
      </c>
      <c r="M176" s="1">
        <v>46072</v>
      </c>
      <c r="N176" s="1">
        <f t="shared" si="20"/>
        <v>46305</v>
      </c>
      <c r="O176">
        <f t="shared" si="24"/>
        <v>234</v>
      </c>
      <c r="P176" s="49">
        <f t="shared" si="34"/>
        <v>7.8</v>
      </c>
      <c r="Q176" s="34">
        <f>VLOOKUP($G176,Agendamento!$B:$F,5,0)</f>
        <v>5</v>
      </c>
      <c r="R176" s="36">
        <f t="shared" si="25"/>
        <v>45</v>
      </c>
      <c r="S176" s="44">
        <v>2.5499999999999998</v>
      </c>
      <c r="T176" s="44">
        <f t="shared" si="26"/>
        <v>26851.499999999996</v>
      </c>
      <c r="U176" t="s">
        <v>5048</v>
      </c>
      <c r="V176" t="str">
        <f t="shared" si="27"/>
        <v>NF/64238035_20260219_nf_12.pdf</v>
      </c>
      <c r="W176" s="32" t="str">
        <f t="shared" si="35"/>
        <v>NF - BIRUTA</v>
      </c>
      <c r="X176" t="s">
        <v>5591</v>
      </c>
    </row>
    <row r="177" spans="1:24" x14ac:dyDescent="0.25">
      <c r="A177" t="str">
        <f>CONCATENATE(D177,"_",TEXT(M177,"ddmmaaaa"),"_",COUNTIF($D$2:D177,D177))</f>
        <v>430481660001-90_19022026_1</v>
      </c>
      <c r="B177" t="str">
        <f>CONCATENATE(Analise!D177,"_",COUNTIF(Analise!$D$2:D177,Analise!D177))</f>
        <v>430481660001-90_1</v>
      </c>
      <c r="C177" s="34">
        <f>COUNTIF('Obras e Acervos'!$C:$C,CONCATENATE(LEFT(D177,12),RIGHT(D177,2)))</f>
        <v>2</v>
      </c>
      <c r="D177" s="35" t="s">
        <v>4596</v>
      </c>
      <c r="E177" t="str">
        <f>VLOOKUP($B177,'Obras e Acervos'!$B:$X,3,0)</f>
        <v>EDITORA ALTEA LTDA-ALTEA</v>
      </c>
      <c r="F177" t="str">
        <f>VLOOKUP($B177,'Obras e Acervos'!$B:$X,7,0)</f>
        <v>0855L23000030LE</v>
      </c>
      <c r="G177" t="str">
        <f>VLOOKUP($B177,'Obras e Acervos'!$B:$X,5,0)</f>
        <v>AQUI, BEM PERTO</v>
      </c>
      <c r="H177">
        <f>VLOOKUP($B177,'Obras e Acervos'!$B:$X,18,0)</f>
        <v>10</v>
      </c>
      <c r="I177">
        <f>VLOOKUP($B177,'Obras e Acervos'!$B:$X,19,0)</f>
        <v>35585</v>
      </c>
      <c r="J177" s="42">
        <f>VLOOKUP($B177,'Obras e Acervos'!$B:$X,20,0)</f>
        <v>7117</v>
      </c>
      <c r="K177" s="31">
        <f>VLOOKUP($B177,'Obras e Acervos'!$B:$X,21,0)</f>
        <v>8.9700000000000006</v>
      </c>
      <c r="L177" s="31">
        <f t="shared" si="23"/>
        <v>319197.45</v>
      </c>
      <c r="M177" s="1">
        <v>46072</v>
      </c>
      <c r="N177" s="1">
        <f t="shared" si="20"/>
        <v>46305</v>
      </c>
      <c r="O177">
        <f t="shared" si="24"/>
        <v>234</v>
      </c>
      <c r="P177" s="49">
        <f t="shared" si="34"/>
        <v>7.8</v>
      </c>
      <c r="Q177" s="34">
        <f>VLOOKUP($G177,Agendamento!$B:$F,5,0)</f>
        <v>7</v>
      </c>
      <c r="R177" s="36">
        <f t="shared" si="25"/>
        <v>36</v>
      </c>
      <c r="S177" s="44">
        <v>2.5499999999999998</v>
      </c>
      <c r="T177" s="44">
        <f t="shared" si="26"/>
        <v>21481.199999999997</v>
      </c>
      <c r="U177" t="s">
        <v>5047</v>
      </c>
      <c r="V177" t="str">
        <f t="shared" si="27"/>
        <v>NF/64238035_20260219_nf_13.pdf</v>
      </c>
      <c r="W177" s="32" t="str">
        <f t="shared" si="35"/>
        <v>NF - AQUI, BEM PERTO</v>
      </c>
      <c r="X177" t="s">
        <v>5591</v>
      </c>
    </row>
    <row r="178" spans="1:24" x14ac:dyDescent="0.25">
      <c r="A178" t="str">
        <f>CONCATENATE(D178,"_",TEXT(M178,"ddmmaaaa"),"_",COUNTIF($D$2:D178,D178))</f>
        <v>050044170001-46_19022026_1</v>
      </c>
      <c r="B178" t="str">
        <f>CONCATENATE(Analise!D178,"_",COUNTIF(Analise!$D$2:D178,Analise!D178))</f>
        <v>050044170001-46_1</v>
      </c>
      <c r="C178" s="34">
        <f>COUNTIF('Obras e Acervos'!$C:$C,CONCATENATE(LEFT(D178,12),RIGHT(D178,2)))</f>
        <v>2</v>
      </c>
      <c r="D178" s="35" t="s">
        <v>4600</v>
      </c>
      <c r="E178" t="str">
        <f>VLOOKUP($B178,'Obras e Acervos'!$B:$X,3,0)</f>
        <v>SALAMANDRA EDITORIAL LTDA. -SALAMANDRA</v>
      </c>
      <c r="F178" t="str">
        <f>VLOOKUP($B178,'Obras e Acervos'!$B:$X,7,0)</f>
        <v>0679L23000030LE</v>
      </c>
      <c r="G178" t="str">
        <f>VLOOKUP($B178,'Obras e Acervos'!$B:$X,5,0)</f>
        <v>MARCELO, MARMELO, MARTELO</v>
      </c>
      <c r="H178">
        <f>VLOOKUP($B178,'Obras e Acervos'!$B:$X,18,0)</f>
        <v>7</v>
      </c>
      <c r="I178">
        <f>VLOOKUP($B178,'Obras e Acervos'!$B:$X,19,0)</f>
        <v>63598</v>
      </c>
      <c r="J178" s="42">
        <f>VLOOKUP($B178,'Obras e Acervos'!$B:$X,20,0)</f>
        <v>12719.6</v>
      </c>
      <c r="K178" s="31">
        <f>VLOOKUP($B178,'Obras e Acervos'!$B:$X,21,0)</f>
        <v>7.52</v>
      </c>
      <c r="L178" s="31">
        <f t="shared" si="23"/>
        <v>478256.95999999996</v>
      </c>
      <c r="M178" s="1">
        <v>46072</v>
      </c>
      <c r="N178" s="1">
        <f t="shared" si="20"/>
        <v>46305</v>
      </c>
      <c r="O178">
        <f t="shared" si="24"/>
        <v>234</v>
      </c>
      <c r="P178" s="49">
        <f t="shared" si="34"/>
        <v>7.8</v>
      </c>
      <c r="Q178" s="34">
        <f>VLOOKUP($G178,Agendamento!$B:$F,5,0)</f>
        <v>13</v>
      </c>
      <c r="R178" s="36">
        <f t="shared" si="25"/>
        <v>64</v>
      </c>
      <c r="S178" s="44">
        <v>2.5499999999999998</v>
      </c>
      <c r="T178" s="44">
        <f t="shared" si="26"/>
        <v>38188.799999999996</v>
      </c>
      <c r="U178" t="s">
        <v>5052</v>
      </c>
      <c r="V178" t="str">
        <f t="shared" si="27"/>
        <v>NF/64238035_20260219_nf_14.pdf</v>
      </c>
      <c r="W178" s="32" t="str">
        <f t="shared" si="35"/>
        <v>NF - MARCELO, MARMELO, MARTELO</v>
      </c>
      <c r="X178" t="s">
        <v>5591</v>
      </c>
    </row>
    <row r="179" spans="1:24" x14ac:dyDescent="0.25">
      <c r="A179" t="str">
        <f>CONCATENATE(D179,"_",TEXT(M179,"ddmmaaaa"),"_",COUNTIF($D$2:D179,D179))</f>
        <v>430482200001-06_19022026_1</v>
      </c>
      <c r="B179" t="str">
        <f>CONCATENATE(Analise!D179,"_",COUNTIF(Analise!$D$2:D179,Analise!D179))</f>
        <v>430482200001-06_1</v>
      </c>
      <c r="C179" s="34">
        <f>COUNTIF('Obras e Acervos'!$C:$C,CONCATENATE(LEFT(D179,12),RIGHT(D179,2)))</f>
        <v>2</v>
      </c>
      <c r="D179" s="35" t="s">
        <v>4602</v>
      </c>
      <c r="E179" t="str">
        <f>VLOOKUP($B179,'Obras e Acervos'!$B:$X,3,0)</f>
        <v>EDITORA PITANGUÁ LTDA-PITANGUÁ</v>
      </c>
      <c r="F179" t="str">
        <f>VLOOKUP($B179,'Obras e Acervos'!$B:$X,7,0)</f>
        <v>0890L23000030LE</v>
      </c>
      <c r="G179" t="str">
        <f>VLOOKUP($B179,'Obras e Acervos'!$B:$X,5,0)</f>
        <v>A MENINA QUE AMAVA FUTEBOL</v>
      </c>
      <c r="H179">
        <f>VLOOKUP($B179,'Obras e Acervos'!$B:$X,18,0)</f>
        <v>7</v>
      </c>
      <c r="I179">
        <f>VLOOKUP($B179,'Obras e Acervos'!$B:$X,19,0)</f>
        <v>50175</v>
      </c>
      <c r="J179" s="42">
        <f>VLOOKUP($B179,'Obras e Acervos'!$B:$X,20,0)</f>
        <v>5519.25</v>
      </c>
      <c r="K179" s="31">
        <f>VLOOKUP($B179,'Obras e Acervos'!$B:$X,21,0)</f>
        <v>4.21</v>
      </c>
      <c r="L179" s="31">
        <f t="shared" si="23"/>
        <v>211236.75</v>
      </c>
      <c r="M179" s="1">
        <v>46072</v>
      </c>
      <c r="N179" s="1">
        <f t="shared" si="20"/>
        <v>46305</v>
      </c>
      <c r="O179">
        <f t="shared" si="24"/>
        <v>234</v>
      </c>
      <c r="P179" s="49">
        <f t="shared" si="34"/>
        <v>7.8</v>
      </c>
      <c r="Q179" s="34">
        <f>VLOOKUP($G179,Agendamento!$B:$F,5,0)</f>
        <v>5</v>
      </c>
      <c r="R179" s="36">
        <f t="shared" si="25"/>
        <v>51</v>
      </c>
      <c r="S179" s="44">
        <v>2.5499999999999998</v>
      </c>
      <c r="T179" s="44">
        <f t="shared" si="26"/>
        <v>30431.699999999997</v>
      </c>
      <c r="U179" t="s">
        <v>5054</v>
      </c>
      <c r="V179" t="str">
        <f t="shared" si="27"/>
        <v>NF/64238035_20260219_nf_15.pdf</v>
      </c>
      <c r="W179" s="32" t="str">
        <f t="shared" si="35"/>
        <v>NF - A MENINA QUE AMAVA FUTEBOL</v>
      </c>
      <c r="X179" t="s">
        <v>5591</v>
      </c>
    </row>
    <row r="180" spans="1:24" x14ac:dyDescent="0.25">
      <c r="A180" t="str">
        <f>CONCATENATE(D180,"_",TEXT(M180,"ddmmaaaa"),"_",COUNTIF($D$2:D180,D180))</f>
        <v>143078900001-93_19022026_1</v>
      </c>
      <c r="B180" t="str">
        <f>CONCATENATE(Analise!D180,"_",COUNTIF(Analise!$D$2:D180,Analise!D180)+1)</f>
        <v>143078900001-93_2</v>
      </c>
      <c r="C180" s="34">
        <f>COUNTIF('Obras e Acervos'!$C:$C,CONCATENATE(LEFT(D180,12),RIGHT(D180,2)))</f>
        <v>2</v>
      </c>
      <c r="D180" s="35" t="s">
        <v>4601</v>
      </c>
      <c r="E180" t="str">
        <f>VLOOKUP($B180,'Obras e Acervos'!$B:$X,3,0)</f>
        <v>EDITORA VOLTA-E-MEIA LTDA-EDITORA VOLTA-E-MEIA</v>
      </c>
      <c r="F180" t="str">
        <f>VLOOKUP($B180,'Obras e Acervos'!$B:$X,7,0)</f>
        <v>1303L23000020LE</v>
      </c>
      <c r="G180" t="str">
        <f>VLOOKUP($B180,'Obras e Acervos'!$B:$X,5,0)</f>
        <v>A ILHA PERDIDA E OUTROS CONTOS DOS ESTADOS UNIDOS E CANADÁ</v>
      </c>
      <c r="H180">
        <f>VLOOKUP($B180,'Obras e Acervos'!$B:$X,18,0)</f>
        <v>15</v>
      </c>
      <c r="I180">
        <f>VLOOKUP($B180,'Obras e Acervos'!$B:$X,19,0)</f>
        <v>34125</v>
      </c>
      <c r="J180" s="42">
        <f>VLOOKUP($B180,'Obras e Acervos'!$B:$X,20,0)</f>
        <v>14673.75</v>
      </c>
      <c r="K180" s="31">
        <f>VLOOKUP($B180,'Obras e Acervos'!$B:$X,21,0)</f>
        <v>21.95</v>
      </c>
      <c r="L180" s="31">
        <f t="shared" si="23"/>
        <v>749043.75</v>
      </c>
      <c r="M180" s="1">
        <v>46072</v>
      </c>
      <c r="N180" s="1">
        <f t="shared" si="20"/>
        <v>46305</v>
      </c>
      <c r="O180">
        <f t="shared" si="24"/>
        <v>234</v>
      </c>
      <c r="P180" s="49">
        <f t="shared" si="34"/>
        <v>7.8</v>
      </c>
      <c r="Q180" s="34">
        <f>VLOOKUP($G180,Agendamento!$B:$F,5,0)</f>
        <v>19</v>
      </c>
      <c r="R180" s="36">
        <f t="shared" si="25"/>
        <v>35</v>
      </c>
      <c r="S180" s="44">
        <v>2.5499999999999998</v>
      </c>
      <c r="T180" s="44">
        <f t="shared" si="26"/>
        <v>20884.5</v>
      </c>
      <c r="U180" t="s">
        <v>5053</v>
      </c>
      <c r="V180" t="str">
        <f t="shared" si="27"/>
        <v>NF/64238035_20260219_nf_16.pdf</v>
      </c>
      <c r="W180" s="32" t="str">
        <f t="shared" si="35"/>
        <v>NF - A ILHA PERDIDA E OUTROS CONTOS DOS ESTADOS UNIDOS E CANADÁ</v>
      </c>
      <c r="X180" t="s">
        <v>5591</v>
      </c>
    </row>
    <row r="181" spans="1:24" x14ac:dyDescent="0.25">
      <c r="A181" t="str">
        <f>CONCATENATE(D181,"_",TEXT(M181,"ddmmaaaa"),"_",COUNTIF($D$2:D181,D181))</f>
        <v>143078900001-93_19022026_2</v>
      </c>
      <c r="B181" t="str">
        <f>CONCATENATE(Analise!D181,"_",COUNTIF(Analise!$D$2:D181,Analise!D181)-1)</f>
        <v>143078900001-93_1</v>
      </c>
      <c r="C181" s="34">
        <f>COUNTIF('Obras e Acervos'!$C:$C,CONCATENATE(LEFT(D181,12),RIGHT(D181,2)))</f>
        <v>2</v>
      </c>
      <c r="D181" s="35" t="s">
        <v>4601</v>
      </c>
      <c r="E181" t="str">
        <f>VLOOKUP($B181,'Obras e Acervos'!$B:$X,3,0)</f>
        <v>EDITORA VOLTA-E-MEIA LTDA-EDITORA VOLTA-E-MEIA</v>
      </c>
      <c r="F181" t="str">
        <f>VLOOKUP($B181,'Obras e Acervos'!$B:$X,7,0)</f>
        <v>1302L23000030LE</v>
      </c>
      <c r="G181" t="str">
        <f>VLOOKUP($B181,'Obras e Acervos'!$B:$X,5,0)</f>
        <v>MUNDO DOS BICHOS, MUNDO DA GENTE</v>
      </c>
      <c r="H181">
        <f>VLOOKUP($B181,'Obras e Acervos'!$B:$X,18,0)</f>
        <v>8</v>
      </c>
      <c r="I181">
        <f>VLOOKUP($B181,'Obras e Acervos'!$B:$X,19,0)</f>
        <v>34210</v>
      </c>
      <c r="J181" s="42">
        <f>VLOOKUP($B181,'Obras e Acervos'!$B:$X,20,0)</f>
        <v>6842</v>
      </c>
      <c r="K181" s="31">
        <f>VLOOKUP($B181,'Obras e Acervos'!$B:$X,21,0)</f>
        <v>10.38</v>
      </c>
      <c r="L181" s="31">
        <f t="shared" si="23"/>
        <v>355099.80000000005</v>
      </c>
      <c r="M181" s="1">
        <v>46072</v>
      </c>
      <c r="N181" s="1">
        <f t="shared" si="20"/>
        <v>46305</v>
      </c>
      <c r="O181">
        <f t="shared" si="24"/>
        <v>234</v>
      </c>
      <c r="P181" s="49">
        <f t="shared" si="34"/>
        <v>7.8</v>
      </c>
      <c r="Q181" s="34">
        <f>VLOOKUP($G181,Agendamento!$B:$F,5,0)</f>
        <v>9</v>
      </c>
      <c r="R181" s="36">
        <f t="shared" si="25"/>
        <v>35</v>
      </c>
      <c r="S181" s="44">
        <v>2.5499999999999998</v>
      </c>
      <c r="T181" s="44">
        <f t="shared" si="26"/>
        <v>20884.5</v>
      </c>
      <c r="U181" t="s">
        <v>5060</v>
      </c>
      <c r="V181" t="str">
        <f t="shared" si="27"/>
        <v>NF/64238035_20260219_nf_17.pdf</v>
      </c>
      <c r="W181" s="32" t="str">
        <f t="shared" si="35"/>
        <v>NF - MUNDO DOS BICHOS, MUNDO DA GENTE</v>
      </c>
      <c r="X181" t="s">
        <v>5591</v>
      </c>
    </row>
    <row r="182" spans="1:24" x14ac:dyDescent="0.25">
      <c r="A182" t="str">
        <f>CONCATENATE(D182,"_",TEXT(M182,"ddmmaaaa"),"_",COUNTIF($D$2:D182,D182))</f>
        <v>678802370001-85_19022026_1</v>
      </c>
      <c r="B182" t="str">
        <f>CONCATENATE(Analise!D182,"_",COUNTIF(Analise!$D$2:D182,Analise!D182))</f>
        <v>678802370001-85_1</v>
      </c>
      <c r="C182" s="34">
        <f>COUNTIF('Obras e Acervos'!$C:$C,CONCATENATE(LEFT(D182,12),RIGHT(D182,2)))</f>
        <v>1</v>
      </c>
      <c r="D182" s="35" t="s">
        <v>4603</v>
      </c>
      <c r="E182" t="str">
        <f>VLOOKUP($B182,'Obras e Acervos'!$B:$X,3,0)</f>
        <v>EDITORA NOVA ALEXANDRIA LTDA-EDITORA NOVA ALEXANDRIA</v>
      </c>
      <c r="F182" t="str">
        <f>VLOOKUP($B182,'Obras e Acervos'!$B:$X,7,0)</f>
        <v>1304L23000030LE</v>
      </c>
      <c r="G182" t="str">
        <f>VLOOKUP($B182,'Obras e Acervos'!$B:$X,5,0)</f>
        <v>CORDÉIS SHAKESPEARIANOS</v>
      </c>
      <c r="H182">
        <f>VLOOKUP($B182,'Obras e Acervos'!$B:$X,18,0)</f>
        <v>3</v>
      </c>
      <c r="I182">
        <f>VLOOKUP($B182,'Obras e Acervos'!$B:$X,19,0)</f>
        <v>50108</v>
      </c>
      <c r="J182" s="42">
        <f>VLOOKUP($B182,'Obras e Acervos'!$B:$X,20,0)</f>
        <v>17237.151999999998</v>
      </c>
      <c r="K182" s="31">
        <f>VLOOKUP($B182,'Obras e Acervos'!$B:$X,21,0)</f>
        <v>14.87</v>
      </c>
      <c r="L182" s="31">
        <f t="shared" si="23"/>
        <v>745105.96</v>
      </c>
      <c r="M182" s="1">
        <v>46072</v>
      </c>
      <c r="N182" s="1">
        <f t="shared" si="20"/>
        <v>46305</v>
      </c>
      <c r="O182">
        <f t="shared" si="24"/>
        <v>234</v>
      </c>
      <c r="P182" s="49">
        <f t="shared" si="34"/>
        <v>7.8</v>
      </c>
      <c r="Q182" s="34">
        <f>VLOOKUP($G182,Agendamento!$B:$F,5,0)</f>
        <v>23</v>
      </c>
      <c r="R182" s="36">
        <f t="shared" si="25"/>
        <v>51</v>
      </c>
      <c r="S182" s="44">
        <v>2.5499999999999998</v>
      </c>
      <c r="T182" s="44">
        <f t="shared" si="26"/>
        <v>30431.699999999997</v>
      </c>
      <c r="U182" t="s">
        <v>5055</v>
      </c>
      <c r="V182" t="str">
        <f t="shared" si="27"/>
        <v>NF/64238035_20260219_nf_18.pdf</v>
      </c>
      <c r="W182" s="32" t="str">
        <f t="shared" si="35"/>
        <v>NF - CORDÉIS SHAKESPEARIANOS</v>
      </c>
      <c r="X182" t="s">
        <v>5591</v>
      </c>
    </row>
    <row r="183" spans="1:24" x14ac:dyDescent="0.25">
      <c r="A183" t="str">
        <f>CONCATENATE(D183,"_",TEXT(M183,"ddmmaaaa"),"_",COUNTIF($D$2:D183,D183))</f>
        <v>621363040038-20_19022026_2</v>
      </c>
      <c r="B183" t="str">
        <f>CONCATENATE(Analise!D183,"_",COUNTIF(Analise!$D$2:D183,Analise!D183))</f>
        <v>621363040038-20_2</v>
      </c>
      <c r="C183" s="34">
        <f>COUNTIF('Obras e Acervos'!$C:$C,CONCATENATE(LEFT(D183,12),RIGHT(D183,2)))</f>
        <v>2</v>
      </c>
      <c r="D183" s="35" t="s">
        <v>4598</v>
      </c>
      <c r="E183" t="str">
        <f>VLOOKUP($B183,'Obras e Acervos'!$B:$X,3,0)</f>
        <v>EDITORA MODERNA LTDA-MODERNA</v>
      </c>
      <c r="F183" t="str">
        <f>VLOOKUP($B183,'Obras e Acervos'!$B:$X,7,0)</f>
        <v>0693L23000020LE</v>
      </c>
      <c r="G183" t="str">
        <f>VLOOKUP($B183,'Obras e Acervos'!$B:$X,5,0)</f>
        <v>O FANTÁSTICO MISTÉRIO DE FEIURINHA</v>
      </c>
      <c r="H183">
        <f>VLOOKUP($B183,'Obras e Acervos'!$B:$X,18,0)</f>
        <v>13</v>
      </c>
      <c r="I183">
        <f>VLOOKUP($B183,'Obras e Acervos'!$B:$X,19,0)</f>
        <v>47588</v>
      </c>
      <c r="J183" s="42">
        <f>VLOOKUP($B183,'Obras e Acervos'!$B:$X,20,0)</f>
        <v>8565.84</v>
      </c>
      <c r="K183" s="31">
        <f>VLOOKUP($B183,'Obras e Acervos'!$B:$X,21,0)</f>
        <v>7.55</v>
      </c>
      <c r="L183" s="31">
        <f t="shared" si="23"/>
        <v>359289.39999999997</v>
      </c>
      <c r="M183" s="1">
        <v>46072</v>
      </c>
      <c r="N183" s="1">
        <f t="shared" si="20"/>
        <v>46305</v>
      </c>
      <c r="O183">
        <f t="shared" si="24"/>
        <v>234</v>
      </c>
      <c r="P183" s="49">
        <f t="shared" si="34"/>
        <v>7.8</v>
      </c>
      <c r="Q183" s="34">
        <f>VLOOKUP($G183,Agendamento!$B:$F,5,0)</f>
        <v>9</v>
      </c>
      <c r="R183" s="36">
        <f t="shared" si="25"/>
        <v>48</v>
      </c>
      <c r="S183" s="44">
        <v>2.5499999999999998</v>
      </c>
      <c r="T183" s="44">
        <f t="shared" si="26"/>
        <v>28641.599999999999</v>
      </c>
      <c r="U183" t="s">
        <v>5057</v>
      </c>
      <c r="V183" t="str">
        <f t="shared" si="27"/>
        <v>NF/64238035_20260219_nf_19.pdf</v>
      </c>
      <c r="W183" s="32" t="str">
        <f t="shared" si="35"/>
        <v>NF - O FANTÁSTICO MISTÉRIO DE FEIURINHA</v>
      </c>
      <c r="X183" t="s">
        <v>5591</v>
      </c>
    </row>
    <row r="184" spans="1:24" x14ac:dyDescent="0.25">
      <c r="A184" t="str">
        <f>CONCATENATE(D184,"_",TEXT(M184,"ddmmaaaa"),"_",COUNTIF($D$2:D184,D184))</f>
        <v>102855190001-17_26012026_1</v>
      </c>
      <c r="B184" t="str">
        <f>CONCATENATE(Analise!D184,"_",COUNTIF(Analise!$D$2:D184,Analise!D184))</f>
        <v>102855190001-17_1</v>
      </c>
      <c r="C184" s="34">
        <f>COUNTIF('Obras e Acervos'!$C:$C,CONCATENATE(LEFT(D184,12),RIGHT(D184,2)))</f>
        <v>2</v>
      </c>
      <c r="D184" s="35" t="s">
        <v>4611</v>
      </c>
      <c r="E184" t="str">
        <f>VLOOKUP($B184,'Obras e Acervos'!$B:$X,3,0)</f>
        <v>PETRA EDITORIAL LTDA -NÃO HÁ</v>
      </c>
      <c r="F184" t="str">
        <f>VLOOKUP($B184,'Obras e Acervos'!$B:$X,7,0)</f>
        <v>0387L23000030LE</v>
      </c>
      <c r="G184" t="str">
        <f>VLOOKUP($B184,'Obras e Acervos'!$B:$X,5,0)</f>
        <v>SONHANDO SANTOS DUMONT</v>
      </c>
      <c r="H184">
        <f>VLOOKUP($B184,'Obras e Acervos'!$B:$X,18,0)</f>
        <v>5</v>
      </c>
      <c r="I184">
        <f>VLOOKUP($B184,'Obras e Acervos'!$B:$X,19,0)</f>
        <v>38892</v>
      </c>
      <c r="J184" s="42">
        <f>VLOOKUP($B184,'Obras e Acervos'!$B:$X,20,0)</f>
        <v>3733.6320000000001</v>
      </c>
      <c r="K184" s="31">
        <f>VLOOKUP($B184,'Obras e Acervos'!$B:$X,21,0)</f>
        <v>7.38</v>
      </c>
      <c r="L184" s="31">
        <f t="shared" si="23"/>
        <v>287022.96000000002</v>
      </c>
      <c r="M184" s="1">
        <v>46048</v>
      </c>
      <c r="N184" s="1">
        <f t="shared" si="20"/>
        <v>46305</v>
      </c>
      <c r="O184">
        <f t="shared" si="24"/>
        <v>258</v>
      </c>
      <c r="P184" s="49">
        <f t="shared" si="34"/>
        <v>8.6</v>
      </c>
      <c r="Q184" s="34">
        <f>VLOOKUP($G184,Agendamento!$B:$F,5,0)</f>
        <v>3</v>
      </c>
      <c r="R184" s="36">
        <f t="shared" si="25"/>
        <v>39</v>
      </c>
      <c r="S184" s="44">
        <v>2.5499999999999998</v>
      </c>
      <c r="T184" s="44">
        <f t="shared" si="26"/>
        <v>25658.1</v>
      </c>
      <c r="U184" t="s">
        <v>5066</v>
      </c>
      <c r="V184" t="str">
        <f t="shared" si="27"/>
        <v>NF/64238470_20260126_nf_01.pdf</v>
      </c>
      <c r="W184" s="32" t="str">
        <f t="shared" si="35"/>
        <v>NF - SONHANDO SANTOS DUMONT</v>
      </c>
      <c r="X184" t="s">
        <v>5591</v>
      </c>
    </row>
    <row r="185" spans="1:24" x14ac:dyDescent="0.25">
      <c r="A185" t="str">
        <f>CONCATENATE(D185,"_",TEXT(M185,"ddmmaaaa"),"_",COUNTIF($D$2:D185,D185))</f>
        <v>102855190001-17_26012026_2</v>
      </c>
      <c r="B185" t="str">
        <f>CONCATENATE(Analise!D185,"_",COUNTIF(Analise!$D$2:D185,Analise!D185))</f>
        <v>102855190001-17_2</v>
      </c>
      <c r="C185" s="34">
        <f>COUNTIF('Obras e Acervos'!$C:$C,CONCATENATE(LEFT(D185,12),RIGHT(D185,2)))</f>
        <v>2</v>
      </c>
      <c r="D185" s="35" t="s">
        <v>4611</v>
      </c>
      <c r="E185" t="str">
        <f>VLOOKUP($B185,'Obras e Acervos'!$B:$X,3,0)</f>
        <v>PETRA EDITORIAL LTDA -NÃO HÁ</v>
      </c>
      <c r="F185" t="str">
        <f>VLOOKUP($B185,'Obras e Acervos'!$B:$X,7,0)</f>
        <v>0388L23000020LE</v>
      </c>
      <c r="G185" t="str">
        <f>VLOOKUP($B185,'Obras e Acervos'!$B:$X,5,0)</f>
        <v>O ROUXINOL E OUTRAS HISTÓRIAS</v>
      </c>
      <c r="H185">
        <f>VLOOKUP($B185,'Obras e Acervos'!$B:$X,18,0)</f>
        <v>22</v>
      </c>
      <c r="I185">
        <f>VLOOKUP($B185,'Obras e Acervos'!$B:$X,19,0)</f>
        <v>23722</v>
      </c>
      <c r="J185" s="42">
        <f>VLOOKUP($B185,'Obras e Acervos'!$B:$X,20,0)</f>
        <v>3866.6860000000001</v>
      </c>
      <c r="K185" s="31">
        <f>VLOOKUP($B185,'Obras e Acervos'!$B:$X,21,0)</f>
        <v>5.07</v>
      </c>
      <c r="L185" s="31">
        <f t="shared" si="23"/>
        <v>120270.54000000001</v>
      </c>
      <c r="M185" s="1">
        <v>46048</v>
      </c>
      <c r="N185" s="1">
        <f t="shared" si="20"/>
        <v>46305</v>
      </c>
      <c r="O185">
        <f t="shared" si="24"/>
        <v>258</v>
      </c>
      <c r="P185" s="49">
        <f t="shared" si="34"/>
        <v>8.6</v>
      </c>
      <c r="Q185" s="34">
        <f>VLOOKUP($G185,Agendamento!$B:$F,5,0)</f>
        <v>5</v>
      </c>
      <c r="R185" s="36">
        <f t="shared" si="25"/>
        <v>24</v>
      </c>
      <c r="S185" s="44">
        <v>2.5499999999999998</v>
      </c>
      <c r="T185" s="44">
        <f t="shared" si="26"/>
        <v>15789.599999999999</v>
      </c>
      <c r="U185" t="s">
        <v>5066</v>
      </c>
      <c r="V185" t="str">
        <f t="shared" si="27"/>
        <v>NF/64238470_20260126_nf_01.pdf</v>
      </c>
      <c r="W185" s="32" t="str">
        <f t="shared" si="35"/>
        <v>NF - O ROUXINOL E OUTRAS HISTÓRIAS</v>
      </c>
      <c r="X185" t="s">
        <v>5591</v>
      </c>
    </row>
    <row r="186" spans="1:24" x14ac:dyDescent="0.25">
      <c r="A186" t="str">
        <f>CONCATENATE(D186,"_",TEXT(M186,"ddmmaaaa"),"_",COUNTIF($D$2:D186,D186))</f>
        <v>401507370001-05_26012026_1</v>
      </c>
      <c r="B186" t="str">
        <f>CONCATENATE(Analise!D186,"_",COUNTIF(Analise!$D$2:D186,Analise!D186))</f>
        <v>401507370001-05_1</v>
      </c>
      <c r="C186" s="34">
        <f>COUNTIF('Obras e Acervos'!$C:$C,CONCATENATE(LEFT(D186,12),RIGHT(D186,2)))</f>
        <v>2</v>
      </c>
      <c r="D186" s="35" t="s">
        <v>4612</v>
      </c>
      <c r="E186" t="str">
        <f>VLOOKUP($B186,'Obras e Acervos'!$B:$X,3,0)</f>
        <v>TRAMA EDITORA LTDA-NÃO HÁ</v>
      </c>
      <c r="F186" t="str">
        <f>VLOOKUP($B186,'Obras e Acervos'!$B:$X,7,0)</f>
        <v>0391L23000030LE</v>
      </c>
      <c r="G186" t="str">
        <f>VLOOKUP($B186,'Obras e Acervos'!$B:$X,5,0)</f>
        <v>FULUSTRECA</v>
      </c>
      <c r="H186">
        <f>VLOOKUP($B186,'Obras e Acervos'!$B:$X,18,0)</f>
        <v>4</v>
      </c>
      <c r="I186">
        <f>VLOOKUP($B186,'Obras e Acervos'!$B:$X,19,0)</f>
        <v>38581</v>
      </c>
      <c r="J186" s="42">
        <f>VLOOKUP($B186,'Obras e Acervos'!$B:$X,20,0)</f>
        <v>3703.7760000000003</v>
      </c>
      <c r="K186" s="31">
        <f>VLOOKUP($B186,'Obras e Acervos'!$B:$X,21,0)</f>
        <v>10.17</v>
      </c>
      <c r="L186" s="31">
        <f t="shared" si="23"/>
        <v>392368.77</v>
      </c>
      <c r="M186" s="1">
        <v>46048</v>
      </c>
      <c r="N186" s="1">
        <f t="shared" si="20"/>
        <v>46305</v>
      </c>
      <c r="O186">
        <f t="shared" si="24"/>
        <v>258</v>
      </c>
      <c r="P186" s="49">
        <f t="shared" si="34"/>
        <v>8.6</v>
      </c>
      <c r="Q186" s="34">
        <f>VLOOKUP($G186,Agendamento!$B:$F,5,0)</f>
        <v>4</v>
      </c>
      <c r="R186" s="36">
        <f t="shared" si="25"/>
        <v>39</v>
      </c>
      <c r="S186" s="44">
        <v>2.5499999999999998</v>
      </c>
      <c r="T186" s="44">
        <f t="shared" si="26"/>
        <v>25658.1</v>
      </c>
      <c r="U186" t="s">
        <v>5067</v>
      </c>
      <c r="V186" t="str">
        <f t="shared" si="27"/>
        <v>NF/64238470_20260126_nf_03.pdf</v>
      </c>
      <c r="W186" s="32" t="str">
        <f t="shared" si="35"/>
        <v>NF - FULUSTRECA</v>
      </c>
      <c r="X186" t="s">
        <v>5591</v>
      </c>
    </row>
    <row r="187" spans="1:24" x14ac:dyDescent="0.25">
      <c r="A187" t="str">
        <f>CONCATENATE(D187,"_",TEXT(M187,"ddmmaaaa"),"_",COUNTIF($D$2:D187,D187))</f>
        <v>401507370001-05_26012026_2</v>
      </c>
      <c r="B187" t="str">
        <f>CONCATENATE(Analise!D187,"_",COUNTIF(Analise!$D$2:D187,Analise!D187))</f>
        <v>401507370001-05_2</v>
      </c>
      <c r="C187" s="34">
        <f>COUNTIF('Obras e Acervos'!$C:$C,CONCATENATE(LEFT(D187,12),RIGHT(D187,2)))</f>
        <v>2</v>
      </c>
      <c r="D187" s="35" t="s">
        <v>4612</v>
      </c>
      <c r="E187" t="str">
        <f>VLOOKUP($B187,'Obras e Acervos'!$B:$X,3,0)</f>
        <v>TRAMA EDITORA LTDA-NÃO HÁ</v>
      </c>
      <c r="F187" t="str">
        <f>VLOOKUP($B187,'Obras e Acervos'!$B:$X,7,0)</f>
        <v>0392L23000020LE</v>
      </c>
      <c r="G187" t="str">
        <f>VLOOKUP($B187,'Obras e Acervos'!$B:$X,5,0)</f>
        <v>CANTIGAMENTE</v>
      </c>
      <c r="H187">
        <f>VLOOKUP($B187,'Obras e Acervos'!$B:$X,18,0)</f>
        <v>22</v>
      </c>
      <c r="I187">
        <f>VLOOKUP($B187,'Obras e Acervos'!$B:$X,19,0)</f>
        <v>23707</v>
      </c>
      <c r="J187" s="42">
        <f>VLOOKUP($B187,'Obras e Acervos'!$B:$X,20,0)</f>
        <v>2275.8719999999998</v>
      </c>
      <c r="K187" s="31">
        <f>VLOOKUP($B187,'Obras e Acervos'!$B:$X,21,0)</f>
        <v>6.5</v>
      </c>
      <c r="L187" s="31">
        <f t="shared" si="23"/>
        <v>154095.5</v>
      </c>
      <c r="M187" s="1">
        <v>46048</v>
      </c>
      <c r="N187" s="1">
        <f t="shared" si="20"/>
        <v>46305</v>
      </c>
      <c r="O187">
        <f t="shared" si="24"/>
        <v>258</v>
      </c>
      <c r="P187" s="49">
        <f t="shared" si="34"/>
        <v>8.6</v>
      </c>
      <c r="Q187" s="34">
        <f>VLOOKUP($G187,Agendamento!$B:$F,5,0)</f>
        <v>4</v>
      </c>
      <c r="R187" s="36">
        <f t="shared" si="25"/>
        <v>24</v>
      </c>
      <c r="S187" s="44">
        <v>2.5499999999999998</v>
      </c>
      <c r="T187" s="44">
        <f t="shared" si="26"/>
        <v>15789.599999999999</v>
      </c>
      <c r="U187" t="s">
        <v>5067</v>
      </c>
      <c r="V187" t="str">
        <f t="shared" si="27"/>
        <v>NF/64238470_20260126_nf_03.pdf</v>
      </c>
      <c r="W187" s="32" t="str">
        <f t="shared" si="35"/>
        <v>NF - CANTIGAMENTE</v>
      </c>
      <c r="X187" t="s">
        <v>5591</v>
      </c>
    </row>
    <row r="188" spans="1:24" x14ac:dyDescent="0.25">
      <c r="A188" t="str">
        <f>CONCATENATE(D188,"_",TEXT(M188,"ddmmaaaa"),"_",COUNTIF($D$2:D188,D188))</f>
        <v>420552250001-95_26012026_1</v>
      </c>
      <c r="B188" t="str">
        <f>CONCATENATE(Analise!D188,"_",COUNTIF(Analise!$D$2:D188,Analise!D188))</f>
        <v>420552250001-95_1</v>
      </c>
      <c r="C188" s="34">
        <f>COUNTIF('Obras e Acervos'!$C:$C,CONCATENATE(LEFT(D188,12),RIGHT(D188,2)))</f>
        <v>2</v>
      </c>
      <c r="D188" s="35" t="s">
        <v>4608</v>
      </c>
      <c r="E188" t="str">
        <f>VLOOKUP($B188,'Obras e Acervos'!$B:$X,3,0)</f>
        <v>PRESTIGIO EDITORIAL LTDA-PRESTIGIO EDITORIAL LTDA</v>
      </c>
      <c r="F188" t="str">
        <f>VLOOKUP($B188,'Obras e Acervos'!$B:$X,7,0)</f>
        <v>0355L23000030LE</v>
      </c>
      <c r="G188" t="str">
        <f>VLOOKUP($B188,'Obras e Acervos'!$B:$X,5,0)</f>
        <v>O AZULÃO E O SOL</v>
      </c>
      <c r="H188">
        <f>VLOOKUP($B188,'Obras e Acervos'!$B:$X,18,0)</f>
        <v>4</v>
      </c>
      <c r="I188">
        <f>VLOOKUP($B188,'Obras e Acervos'!$B:$X,19,0)</f>
        <v>38929</v>
      </c>
      <c r="J188" s="42">
        <f>VLOOKUP($B188,'Obras e Acervos'!$B:$X,20,0)</f>
        <v>3075.3910000000001</v>
      </c>
      <c r="K188" s="31">
        <f>VLOOKUP($B188,'Obras e Acervos'!$B:$X,21,0)</f>
        <v>3.66</v>
      </c>
      <c r="L188" s="31">
        <f t="shared" si="23"/>
        <v>142480.14000000001</v>
      </c>
      <c r="M188" s="1">
        <v>46048</v>
      </c>
      <c r="N188" s="1">
        <f t="shared" si="20"/>
        <v>46305</v>
      </c>
      <c r="O188">
        <f t="shared" si="24"/>
        <v>258</v>
      </c>
      <c r="P188" s="49">
        <f t="shared" si="34"/>
        <v>8.6</v>
      </c>
      <c r="Q188" s="34">
        <f>VLOOKUP($G188,Agendamento!$B:$F,5,0)</f>
        <v>4</v>
      </c>
      <c r="R188" s="36">
        <f t="shared" si="25"/>
        <v>39</v>
      </c>
      <c r="S188" s="44">
        <v>2.5499999999999998</v>
      </c>
      <c r="T188" s="44">
        <f t="shared" si="26"/>
        <v>25658.1</v>
      </c>
      <c r="U188" t="s">
        <v>5063</v>
      </c>
      <c r="V188" t="str">
        <f t="shared" si="27"/>
        <v>NF/64238470_20260126_nf_05.pdf</v>
      </c>
      <c r="W188" s="32" t="str">
        <f t="shared" si="35"/>
        <v>NF - O AZULÃO E O SOL</v>
      </c>
      <c r="X188" t="s">
        <v>5591</v>
      </c>
    </row>
    <row r="189" spans="1:24" x14ac:dyDescent="0.25">
      <c r="A189" t="str">
        <f>CONCATENATE(D189,"_",TEXT(M189,"ddmmaaaa"),"_",COUNTIF($D$2:D189,D189))</f>
        <v>420552250001-95_26012026_2</v>
      </c>
      <c r="B189" t="str">
        <f>CONCATENATE(Analise!D189,"_",COUNTIF(Analise!$D$2:D189,Analise!D189))</f>
        <v>420552250001-95_2</v>
      </c>
      <c r="C189" s="34">
        <f>COUNTIF('Obras e Acervos'!$C:$C,CONCATENATE(LEFT(D189,12),RIGHT(D189,2)))</f>
        <v>2</v>
      </c>
      <c r="D189" s="35" t="s">
        <v>4608</v>
      </c>
      <c r="E189" t="str">
        <f>VLOOKUP($B189,'Obras e Acervos'!$B:$X,3,0)</f>
        <v>PRESTIGIO EDITORIAL LTDA-PRESTIGIO EDITORIAL LTDA</v>
      </c>
      <c r="F189" t="str">
        <f>VLOOKUP($B189,'Obras e Acervos'!$B:$X,7,0)</f>
        <v>0356L23000020LE</v>
      </c>
      <c r="G189" t="str">
        <f>VLOOKUP($B189,'Obras e Acervos'!$B:$X,5,0)</f>
        <v>O GATO SEM BOTAS</v>
      </c>
      <c r="H189">
        <f>VLOOKUP($B189,'Obras e Acervos'!$B:$X,18,0)</f>
        <v>14</v>
      </c>
      <c r="I189">
        <f>VLOOKUP($B189,'Obras e Acervos'!$B:$X,19,0)</f>
        <v>27515</v>
      </c>
      <c r="J189" s="42">
        <f>VLOOKUP($B189,'Obras e Acervos'!$B:$X,20,0)</f>
        <v>2173.6849999999999</v>
      </c>
      <c r="K189" s="31">
        <f>VLOOKUP($B189,'Obras e Acervos'!$B:$X,21,0)</f>
        <v>4.18</v>
      </c>
      <c r="L189" s="31">
        <f t="shared" si="23"/>
        <v>115012.7</v>
      </c>
      <c r="M189" s="1">
        <v>46048</v>
      </c>
      <c r="N189" s="1">
        <f t="shared" si="20"/>
        <v>46305</v>
      </c>
      <c r="O189">
        <f t="shared" si="24"/>
        <v>258</v>
      </c>
      <c r="P189" s="49">
        <f t="shared" si="34"/>
        <v>8.6</v>
      </c>
      <c r="Q189" s="34">
        <f>VLOOKUP($G189,Agendamento!$B:$F,5,0)</f>
        <v>3</v>
      </c>
      <c r="R189" s="36">
        <f t="shared" si="25"/>
        <v>28</v>
      </c>
      <c r="S189" s="44">
        <v>2.5499999999999998</v>
      </c>
      <c r="T189" s="44">
        <f t="shared" si="26"/>
        <v>18421.199999999997</v>
      </c>
      <c r="U189" t="s">
        <v>5063</v>
      </c>
      <c r="V189" t="str">
        <f t="shared" si="27"/>
        <v>NF/64238470_20260126_nf_05.pdf</v>
      </c>
      <c r="W189" s="32" t="str">
        <f t="shared" si="35"/>
        <v>NF - O GATO SEM BOTAS</v>
      </c>
      <c r="X189" t="s">
        <v>5591</v>
      </c>
    </row>
    <row r="190" spans="1:24" x14ac:dyDescent="0.25">
      <c r="A190" t="str">
        <f>CONCATENATE(D190,"_",TEXT(M190,"ddmmaaaa"),"_",COUNTIF($D$2:D190,D190))</f>
        <v>401506850001-77_26012026_1</v>
      </c>
      <c r="B190" t="str">
        <f>CONCATENATE(Analise!D190,"_",COUNTIF(Analise!$D$2:D190,Analise!D190))</f>
        <v>401506850001-77_1</v>
      </c>
      <c r="C190" s="34">
        <f>COUNTIF('Obras e Acervos'!$C:$C,CONCATENATE(LEFT(D190,12),RIGHT(D190,2)))</f>
        <v>1</v>
      </c>
      <c r="D190" s="35" t="s">
        <v>4607</v>
      </c>
      <c r="E190" t="str">
        <f>VLOOKUP($B190,'Obras e Acervos'!$B:$X,3,0)</f>
        <v>EDITORA MAMUTE LTDA-NÃO HÁ</v>
      </c>
      <c r="F190" t="str">
        <f>VLOOKUP($B190,'Obras e Acervos'!$B:$X,7,0)</f>
        <v>0386L23000020LE</v>
      </c>
      <c r="G190" t="str">
        <f>VLOOKUP($B190,'Obras e Acervos'!$B:$X,5,0)</f>
        <v>O PEQUENO PRÍNCIPE PRETO</v>
      </c>
      <c r="H190">
        <f>VLOOKUP($B190,'Obras e Acervos'!$B:$X,18,0)</f>
        <v>20</v>
      </c>
      <c r="I190">
        <f>VLOOKUP($B190,'Obras e Acervos'!$B:$X,19,0)</f>
        <v>63210</v>
      </c>
      <c r="J190" s="42">
        <f>VLOOKUP($B190,'Obras e Acervos'!$B:$X,20,0)</f>
        <v>6068.16</v>
      </c>
      <c r="K190" s="31">
        <f>VLOOKUP($B190,'Obras e Acervos'!$B:$X,21,0)</f>
        <v>6.34</v>
      </c>
      <c r="L190" s="31">
        <f t="shared" si="23"/>
        <v>400751.39999999997</v>
      </c>
      <c r="M190" s="1">
        <v>46048</v>
      </c>
      <c r="N190" s="1">
        <f t="shared" si="20"/>
        <v>46305</v>
      </c>
      <c r="O190">
        <f t="shared" si="24"/>
        <v>258</v>
      </c>
      <c r="P190" s="49">
        <f t="shared" si="34"/>
        <v>8.6</v>
      </c>
      <c r="Q190" s="34">
        <f>VLOOKUP($G190,Agendamento!$B:$F,5,0)</f>
        <v>7</v>
      </c>
      <c r="R190" s="36">
        <f t="shared" si="25"/>
        <v>64</v>
      </c>
      <c r="S190" s="44">
        <v>2.5499999999999998</v>
      </c>
      <c r="T190" s="44">
        <f t="shared" si="26"/>
        <v>42105.599999999999</v>
      </c>
      <c r="U190" t="s">
        <v>5062</v>
      </c>
      <c r="V190" t="str">
        <f t="shared" si="27"/>
        <v>NF/64238470_20260126_nf_07.pdf</v>
      </c>
      <c r="W190" s="32" t="str">
        <f t="shared" si="35"/>
        <v>NF - O PEQUENO PRÍNCIPE PRETO</v>
      </c>
      <c r="X190" t="s">
        <v>5591</v>
      </c>
    </row>
    <row r="191" spans="1:24" x14ac:dyDescent="0.25">
      <c r="A191" t="str">
        <f>CONCATENATE(D191,"_",TEXT(M191,"ddmmaaaa"),"_",COUNTIF($D$2:D191,D191))</f>
        <v>133696980001-69_26012026_1</v>
      </c>
      <c r="B191" t="str">
        <f>CONCATENATE(Analise!D191,"_",COUNTIF(Analise!$D$2:D191,Analise!D191))</f>
        <v>133696980001-69_1</v>
      </c>
      <c r="C191" s="34">
        <f>COUNTIF('Obras e Acervos'!$C:$C,CONCATENATE(LEFT(D191,12),RIGHT(D191,2)))</f>
        <v>2</v>
      </c>
      <c r="D191" s="35" t="s">
        <v>4609</v>
      </c>
      <c r="E191" t="str">
        <f>VLOOKUP($B191,'Obras e Acervos'!$B:$X,3,0)</f>
        <v>EDITORA MOITARÁ LTDA-NÃO HÁ</v>
      </c>
      <c r="F191" t="str">
        <f>VLOOKUP($B191,'Obras e Acervos'!$B:$X,7,0)</f>
        <v>0564L23000030LE</v>
      </c>
      <c r="G191" t="str">
        <f>VLOOKUP($B191,'Obras e Acervos'!$B:$X,5,0)</f>
        <v>DAGMAR E LEONOR</v>
      </c>
      <c r="H191">
        <f>VLOOKUP($B191,'Obras e Acervos'!$B:$X,18,0)</f>
        <v>7</v>
      </c>
      <c r="I191">
        <f>VLOOKUP($B191,'Obras e Acervos'!$B:$X,19,0)</f>
        <v>33101</v>
      </c>
      <c r="J191" s="42">
        <f>VLOOKUP($B191,'Obras e Acervos'!$B:$X,20,0)</f>
        <v>4468.6350000000002</v>
      </c>
      <c r="K191" s="31">
        <f>VLOOKUP($B191,'Obras e Acervos'!$B:$X,21,0)</f>
        <v>4.5599999999999996</v>
      </c>
      <c r="L191" s="31">
        <f t="shared" si="23"/>
        <v>150940.56</v>
      </c>
      <c r="M191" s="1">
        <v>46048</v>
      </c>
      <c r="N191" s="1">
        <f t="shared" si="20"/>
        <v>46305</v>
      </c>
      <c r="O191">
        <f t="shared" si="24"/>
        <v>258</v>
      </c>
      <c r="P191" s="49">
        <f t="shared" si="34"/>
        <v>8.6</v>
      </c>
      <c r="Q191" s="34">
        <f>VLOOKUP($G191,Agendamento!$B:$F,5,0)</f>
        <v>6</v>
      </c>
      <c r="R191" s="36">
        <f t="shared" si="25"/>
        <v>34</v>
      </c>
      <c r="S191" s="44">
        <v>2.5499999999999998</v>
      </c>
      <c r="T191" s="44">
        <f t="shared" si="26"/>
        <v>22368.6</v>
      </c>
      <c r="U191" t="s">
        <v>5064</v>
      </c>
      <c r="V191" t="str">
        <f t="shared" si="27"/>
        <v>NF/64238470_20260126_nf_09.pdf</v>
      </c>
      <c r="W191" s="32" t="str">
        <f t="shared" si="35"/>
        <v>NF - DAGMAR E LEONOR</v>
      </c>
      <c r="X191" t="s">
        <v>5591</v>
      </c>
    </row>
    <row r="192" spans="1:24" x14ac:dyDescent="0.25">
      <c r="A192" t="str">
        <f>CONCATENATE(D192,"_",TEXT(M192,"ddmmaaaa"),"_",COUNTIF($D$2:D192,D192))</f>
        <v>133696980001-69_26012026_2</v>
      </c>
      <c r="B192" t="str">
        <f>CONCATENATE(Analise!D192,"_",COUNTIF(Analise!$D$2:D192,Analise!D192))</f>
        <v>133696980001-69_2</v>
      </c>
      <c r="C192" s="34">
        <f>COUNTIF('Obras e Acervos'!$C:$C,CONCATENATE(LEFT(D192,12),RIGHT(D192,2)))</f>
        <v>2</v>
      </c>
      <c r="D192" s="35" t="s">
        <v>4609</v>
      </c>
      <c r="E192" t="str">
        <f>VLOOKUP($B192,'Obras e Acervos'!$B:$X,3,0)</f>
        <v>EDITORA MOITARÁ LTDA-NÃO HÁ</v>
      </c>
      <c r="F192" t="str">
        <f>VLOOKUP($B192,'Obras e Acervos'!$B:$X,7,0)</f>
        <v>0565L23000020LE</v>
      </c>
      <c r="G192" t="str">
        <f>VLOOKUP($B192,'Obras e Acervos'!$B:$X,5,0)</f>
        <v>PLANTANDO AS ÁRVORES DO QUÊNIA: A HISTÓRIA DE WANGARI MAATHAI</v>
      </c>
      <c r="H192">
        <f>VLOOKUP($B192,'Obras e Acervos'!$B:$X,18,0)</f>
        <v>14</v>
      </c>
      <c r="I192">
        <f>VLOOKUP($B192,'Obras e Acervos'!$B:$X,19,0)</f>
        <v>26425</v>
      </c>
      <c r="J192" s="42">
        <f>VLOOKUP($B192,'Obras e Acervos'!$B:$X,20,0)</f>
        <v>3091.7250000000004</v>
      </c>
      <c r="K192" s="31">
        <f>VLOOKUP($B192,'Obras e Acervos'!$B:$X,21,0)</f>
        <v>5.38</v>
      </c>
      <c r="L192" s="31">
        <f t="shared" si="23"/>
        <v>142166.5</v>
      </c>
      <c r="M192" s="1">
        <v>46048</v>
      </c>
      <c r="N192" s="1">
        <f t="shared" si="20"/>
        <v>46305</v>
      </c>
      <c r="O192">
        <f t="shared" si="24"/>
        <v>258</v>
      </c>
      <c r="P192" s="49">
        <f t="shared" si="34"/>
        <v>8.6</v>
      </c>
      <c r="Q192" s="34">
        <f>VLOOKUP($G192,Agendamento!$B:$F,5,0)</f>
        <v>4</v>
      </c>
      <c r="R192" s="36">
        <f t="shared" si="25"/>
        <v>27</v>
      </c>
      <c r="S192" s="44">
        <v>2.5499999999999998</v>
      </c>
      <c r="T192" s="44">
        <f t="shared" si="26"/>
        <v>17763.3</v>
      </c>
      <c r="U192" t="s">
        <v>5064</v>
      </c>
      <c r="V192" t="str">
        <f t="shared" si="27"/>
        <v>NF/64238470_20260126_nf_09.pdf</v>
      </c>
      <c r="W192" s="32" t="str">
        <f t="shared" si="35"/>
        <v>NF - PLANTANDO AS ÁRVORES DO QUÊNIA: A HISTÓRIA DE WANGARI MAATHAI</v>
      </c>
      <c r="X192" t="s">
        <v>5591</v>
      </c>
    </row>
    <row r="193" spans="1:24" x14ac:dyDescent="0.25">
      <c r="A193" t="str">
        <f>CONCATENATE(D193,"_",TEXT(M193,"ddmmaaaa"),"_",COUNTIF($D$2:D193,D193))</f>
        <v>156941140001-56_26012026_1</v>
      </c>
      <c r="B193" t="str">
        <f>CONCATENATE(Analise!D193,"_",COUNTIF(Analise!$D$2:D193,Analise!D193))</f>
        <v>156941140001-56_1</v>
      </c>
      <c r="C193" s="34">
        <f>COUNTIF('Obras e Acervos'!$C:$C,CONCATENATE(LEFT(D193,12),RIGHT(D193,2)))</f>
        <v>2</v>
      </c>
      <c r="D193" s="35" t="s">
        <v>4610</v>
      </c>
      <c r="E193" t="str">
        <f>VLOOKUP($B193,'Obras e Acervos'!$B:$X,3,0)</f>
        <v>EDITORA RODOPIO LTDA-NÃO HÁ</v>
      </c>
      <c r="F193" t="str">
        <f>VLOOKUP($B193,'Obras e Acervos'!$B:$X,7,0)</f>
        <v>0359L23000030LE</v>
      </c>
      <c r="G193" t="str">
        <f>VLOOKUP($B193,'Obras e Acervos'!$B:$X,5,0)</f>
        <v>UM PASSEIO NA FLORESTA AMAZÔNICA</v>
      </c>
      <c r="H193">
        <f>VLOOKUP($B193,'Obras e Acervos'!$B:$X,18,0)</f>
        <v>1</v>
      </c>
      <c r="I193">
        <f>VLOOKUP($B193,'Obras e Acervos'!$B:$X,19,0)</f>
        <v>63912</v>
      </c>
      <c r="J193" s="42">
        <f>VLOOKUP($B193,'Obras e Acervos'!$B:$X,20,0)</f>
        <v>9778.5360000000001</v>
      </c>
      <c r="K193" s="31">
        <f>VLOOKUP($B193,'Obras e Acervos'!$B:$X,21,0)</f>
        <v>7.73</v>
      </c>
      <c r="L193" s="31">
        <f t="shared" si="23"/>
        <v>494039.76</v>
      </c>
      <c r="M193" s="1">
        <v>46048</v>
      </c>
      <c r="N193" s="1">
        <f t="shared" si="20"/>
        <v>46305</v>
      </c>
      <c r="O193">
        <f t="shared" si="24"/>
        <v>258</v>
      </c>
      <c r="P193" s="49">
        <f t="shared" si="34"/>
        <v>8.6</v>
      </c>
      <c r="Q193" s="34">
        <f>VLOOKUP($G193,Agendamento!$B:$F,5,0)</f>
        <v>8</v>
      </c>
      <c r="R193" s="36">
        <f t="shared" si="25"/>
        <v>64</v>
      </c>
      <c r="S193" s="44">
        <v>2.5499999999999998</v>
      </c>
      <c r="T193" s="44">
        <f t="shared" si="26"/>
        <v>42105.599999999999</v>
      </c>
      <c r="U193" t="s">
        <v>5065</v>
      </c>
      <c r="V193" t="str">
        <f t="shared" si="27"/>
        <v>NF/64238470_20260126_nf_11.pdf</v>
      </c>
      <c r="W193" s="32" t="str">
        <f t="shared" si="35"/>
        <v>NF - UM PASSEIO NA FLORESTA AMAZÔNICA</v>
      </c>
      <c r="X193" t="s">
        <v>5591</v>
      </c>
    </row>
    <row r="194" spans="1:24" x14ac:dyDescent="0.25">
      <c r="A194" t="str">
        <f>CONCATENATE(D194,"_",TEXT(M194,"ddmmaaaa"),"_",COUNTIF($D$2:D194,D194))</f>
        <v>156941140001-56_26012026_2</v>
      </c>
      <c r="B194" t="str">
        <f>CONCATENATE(Analise!D194,"_",COUNTIF(Analise!$D$2:D194,Analise!D194))</f>
        <v>156941140001-56_2</v>
      </c>
      <c r="C194" s="34">
        <f>COUNTIF('Obras e Acervos'!$C:$C,CONCATENATE(LEFT(D194,12),RIGHT(D194,2)))</f>
        <v>2</v>
      </c>
      <c r="D194" s="35" t="s">
        <v>4610</v>
      </c>
      <c r="E194" t="str">
        <f>VLOOKUP($B194,'Obras e Acervos'!$B:$X,3,0)</f>
        <v>EDITORA RODOPIO LTDA-NÃO HÁ</v>
      </c>
      <c r="F194" t="str">
        <f>VLOOKUP($B194,'Obras e Acervos'!$B:$X,7,0)</f>
        <v>0360L23000020LE</v>
      </c>
      <c r="G194" t="str">
        <f>VLOOKUP($B194,'Obras e Acervos'!$B:$X,5,0)</f>
        <v>A VACA PRESEPEIRA</v>
      </c>
      <c r="H194">
        <f>VLOOKUP($B194,'Obras e Acervos'!$B:$X,18,0)</f>
        <v>17</v>
      </c>
      <c r="I194">
        <f>VLOOKUP($B194,'Obras e Acervos'!$B:$X,19,0)</f>
        <v>103512</v>
      </c>
      <c r="J194" s="42">
        <f>VLOOKUP($B194,'Obras e Acervos'!$B:$X,20,0)</f>
        <v>6831.7920000000004</v>
      </c>
      <c r="K194" s="31">
        <f>VLOOKUP($B194,'Obras e Acervos'!$B:$X,21,0)</f>
        <v>10.11</v>
      </c>
      <c r="L194" s="31">
        <f t="shared" si="23"/>
        <v>1046506.32</v>
      </c>
      <c r="M194" s="1">
        <v>46048</v>
      </c>
      <c r="N194" s="1">
        <f t="shared" ref="N194:N257" si="36">$AB$2</f>
        <v>46305</v>
      </c>
      <c r="O194">
        <f t="shared" si="24"/>
        <v>258</v>
      </c>
      <c r="P194" s="49">
        <f t="shared" si="34"/>
        <v>8.6</v>
      </c>
      <c r="Q194" s="34">
        <f>VLOOKUP($G194,Agendamento!$B:$F,5,0)</f>
        <v>10</v>
      </c>
      <c r="R194" s="36">
        <f t="shared" si="25"/>
        <v>104</v>
      </c>
      <c r="S194" s="44">
        <v>2.5499999999999998</v>
      </c>
      <c r="T194" s="44">
        <f t="shared" si="26"/>
        <v>68421.599999999991</v>
      </c>
      <c r="U194" t="s">
        <v>5065</v>
      </c>
      <c r="V194" t="str">
        <f t="shared" si="27"/>
        <v>NF/64238470_20260126_nf_11.pdf</v>
      </c>
      <c r="W194" s="32" t="str">
        <f t="shared" si="35"/>
        <v>NF - A VACA PRESEPEIRA</v>
      </c>
      <c r="X194" t="s">
        <v>5591</v>
      </c>
    </row>
    <row r="195" spans="1:24" x14ac:dyDescent="0.25">
      <c r="A195" t="str">
        <f>CONCATENATE(D195,"_",TEXT(M195,"ddmmaaaa"),"_",COUNTIF($D$2:D195,D195))</f>
        <v>024258220001-40_27012026_1</v>
      </c>
      <c r="B195" t="str">
        <f>CONCATENATE(Analise!D195,"_",COUNTIF(Analise!$D$2:D195,Analise!D195))</f>
        <v>024258220001-40_1</v>
      </c>
      <c r="C195" s="34">
        <f>COUNTIF('Obras e Acervos'!$C:$C,CONCATENATE(LEFT(D195,12),RIGHT(D195,2)))</f>
        <v>2</v>
      </c>
      <c r="D195" s="35" t="s">
        <v>4617</v>
      </c>
      <c r="E195" t="str">
        <f>VLOOKUP($B195,'Obras e Acervos'!$B:$X,3,0)</f>
        <v>MVC EDITORA LTDA-MVC EDITORA</v>
      </c>
      <c r="F195" t="str">
        <f>VLOOKUP($B195,'Obras e Acervos'!$B:$X,7,0)</f>
        <v>1206L23000030LE</v>
      </c>
      <c r="G195" t="str">
        <f>VLOOKUP($B195,'Obras e Acervos'!$B:$X,5,0)</f>
        <v>BICHO QUE VAI, GENTE QUE VEM</v>
      </c>
      <c r="H195">
        <f>VLOOKUP($B195,'Obras e Acervos'!$B:$X,18,0)</f>
        <v>6</v>
      </c>
      <c r="I195">
        <f>VLOOKUP($B195,'Obras e Acervos'!$B:$X,19,0)</f>
        <v>37674</v>
      </c>
      <c r="J195" s="42">
        <f>VLOOKUP($B195,'Obras e Acervos'!$B:$X,20,0)</f>
        <v>3842.7479999999996</v>
      </c>
      <c r="K195" s="31">
        <f>VLOOKUP($B195,'Obras e Acervos'!$B:$X,21,0)</f>
        <v>5.86</v>
      </c>
      <c r="L195" s="31">
        <f t="shared" ref="L195:L258" si="37">K195*I195</f>
        <v>220769.64</v>
      </c>
      <c r="M195" s="1">
        <v>46049</v>
      </c>
      <c r="N195" s="1">
        <f t="shared" si="36"/>
        <v>46305</v>
      </c>
      <c r="O195">
        <f t="shared" ref="O195:O258" si="38">IF(M195="",0,(N195-M195)+1)</f>
        <v>257</v>
      </c>
      <c r="P195" s="49">
        <f t="shared" si="34"/>
        <v>8.5666666666666664</v>
      </c>
      <c r="Q195" s="34">
        <f>VLOOKUP($G195,Agendamento!$B:$F,5,0)</f>
        <v>6</v>
      </c>
      <c r="R195" s="36">
        <f t="shared" ref="R195:R258" si="39">IF(U195="",0,ROUNDUP($I195/1000,0))</f>
        <v>38</v>
      </c>
      <c r="S195" s="44">
        <v>2.5499999999999998</v>
      </c>
      <c r="T195" s="44">
        <f t="shared" ref="T195:T258" si="40">O195*R195*S195</f>
        <v>24903.3</v>
      </c>
      <c r="U195" t="s">
        <v>5075</v>
      </c>
      <c r="V195" t="str">
        <f t="shared" ref="V195:V258" si="41">CONCATENATE("NF/",U195)</f>
        <v>NF/64238470_20260127_nf_01.pdf</v>
      </c>
      <c r="W195" s="32" t="str">
        <f t="shared" si="35"/>
        <v>NF - BICHO QUE VAI, GENTE QUE VEM</v>
      </c>
      <c r="X195" t="s">
        <v>5591</v>
      </c>
    </row>
    <row r="196" spans="1:24" x14ac:dyDescent="0.25">
      <c r="A196" t="str">
        <f>CONCATENATE(D196,"_",TEXT(M196,"ddmmaaaa"),"_",COUNTIF($D$2:D196,D196))</f>
        <v>024258220001-40_27012026_2</v>
      </c>
      <c r="B196" t="str">
        <f>CONCATENATE(Analise!D196,"_",COUNTIF(Analise!$D$2:D196,Analise!D196))</f>
        <v>024258220001-40_2</v>
      </c>
      <c r="C196" s="34">
        <f>COUNTIF('Obras e Acervos'!$C:$C,CONCATENATE(LEFT(D196,12),RIGHT(D196,2)))</f>
        <v>2</v>
      </c>
      <c r="D196" s="35" t="s">
        <v>4617</v>
      </c>
      <c r="E196" t="str">
        <f>VLOOKUP($B196,'Obras e Acervos'!$B:$X,3,0)</f>
        <v>MVC EDITORA LTDA-MVC EDITORA</v>
      </c>
      <c r="F196" t="str">
        <f>VLOOKUP($B196,'Obras e Acervos'!$B:$X,7,0)</f>
        <v>1207L23000020LE</v>
      </c>
      <c r="G196" t="str">
        <f>VLOOKUP($B196,'Obras e Acervos'!$B:$X,5,0)</f>
        <v>SONHOS NO TELHADO</v>
      </c>
      <c r="H196">
        <f>VLOOKUP($B196,'Obras e Acervos'!$B:$X,18,0)</f>
        <v>18</v>
      </c>
      <c r="I196">
        <f>VLOOKUP($B196,'Obras e Acervos'!$B:$X,19,0)</f>
        <v>32623</v>
      </c>
      <c r="J196" s="42">
        <f>VLOOKUP($B196,'Obras e Acervos'!$B:$X,20,0)</f>
        <v>3327.5459999999998</v>
      </c>
      <c r="K196" s="31">
        <f>VLOOKUP($B196,'Obras e Acervos'!$B:$X,21,0)</f>
        <v>6.33</v>
      </c>
      <c r="L196" s="31">
        <f t="shared" si="37"/>
        <v>206503.59</v>
      </c>
      <c r="M196" s="1">
        <v>46049</v>
      </c>
      <c r="N196" s="1">
        <f t="shared" si="36"/>
        <v>46305</v>
      </c>
      <c r="O196">
        <f t="shared" si="38"/>
        <v>257</v>
      </c>
      <c r="P196" s="49">
        <f t="shared" si="34"/>
        <v>8.5666666666666664</v>
      </c>
      <c r="Q196" s="34">
        <f>VLOOKUP($G196,Agendamento!$B:$F,5,0)</f>
        <v>5</v>
      </c>
      <c r="R196" s="36">
        <f t="shared" si="39"/>
        <v>33</v>
      </c>
      <c r="S196" s="44">
        <v>2.5499999999999998</v>
      </c>
      <c r="T196" s="44">
        <f t="shared" si="40"/>
        <v>21626.55</v>
      </c>
      <c r="U196" t="s">
        <v>5075</v>
      </c>
      <c r="V196" t="str">
        <f t="shared" si="41"/>
        <v>NF/64238470_20260127_nf_01.pdf</v>
      </c>
      <c r="W196" s="32" t="str">
        <f t="shared" si="35"/>
        <v>NF - SONHOS NO TELHADO</v>
      </c>
      <c r="X196" t="s">
        <v>5591</v>
      </c>
    </row>
    <row r="197" spans="1:24" x14ac:dyDescent="0.25">
      <c r="A197" t="str">
        <f>CONCATENATE(D197,"_",TEXT(M197,"ddmmaaaa"),"_",COUNTIF($D$2:D197,D197))</f>
        <v>056993780001-49_27012026_1</v>
      </c>
      <c r="B197" t="str">
        <f>CONCATENATE(Analise!D197,"_",COUNTIF(Analise!$D$2:D197,Analise!D197))</f>
        <v>056993780001-49_1</v>
      </c>
      <c r="C197" s="34">
        <f>COUNTIF('Obras e Acervos'!$C:$C,CONCATENATE(LEFT(D197,12),RIGHT(D197,2)))</f>
        <v>2</v>
      </c>
      <c r="D197" s="35" t="s">
        <v>4613</v>
      </c>
      <c r="E197" t="str">
        <f>VLOOKUP($B197,'Obras e Acervos'!$B:$X,3,0)</f>
        <v>EDIÇÕES SM LTDA-SM EDUCAÇÃO</v>
      </c>
      <c r="F197" t="str">
        <f>VLOOKUP($B197,'Obras e Acervos'!$B:$X,7,0)</f>
        <v>0325L23000030LE</v>
      </c>
      <c r="G197" t="str">
        <f>VLOOKUP($B197,'Obras e Acervos'!$B:$X,5,0)</f>
        <v>ALICE NO TELHADO</v>
      </c>
      <c r="H197">
        <f>VLOOKUP($B197,'Obras e Acervos'!$B:$X,18,0)</f>
        <v>7</v>
      </c>
      <c r="I197">
        <f>VLOOKUP($B197,'Obras e Acervos'!$B:$X,19,0)</f>
        <v>33601</v>
      </c>
      <c r="J197" s="42">
        <f>VLOOKUP($B197,'Obras e Acervos'!$B:$X,20,0)</f>
        <v>3931.317</v>
      </c>
      <c r="K197" s="31">
        <f>VLOOKUP($B197,'Obras e Acervos'!$B:$X,21,0)</f>
        <v>5.49</v>
      </c>
      <c r="L197" s="31">
        <f t="shared" si="37"/>
        <v>184469.49000000002</v>
      </c>
      <c r="M197" s="1">
        <v>46049</v>
      </c>
      <c r="N197" s="1">
        <f t="shared" si="36"/>
        <v>46305</v>
      </c>
      <c r="O197">
        <f t="shared" si="38"/>
        <v>257</v>
      </c>
      <c r="P197" s="49">
        <f t="shared" si="34"/>
        <v>8.5666666666666664</v>
      </c>
      <c r="Q197" s="34">
        <f>VLOOKUP($G197,Agendamento!$B:$F,5,0)</f>
        <v>5</v>
      </c>
      <c r="R197" s="36">
        <f t="shared" si="39"/>
        <v>34</v>
      </c>
      <c r="S197" s="44">
        <v>2.5499999999999998</v>
      </c>
      <c r="T197" s="44">
        <f t="shared" si="40"/>
        <v>22281.899999999998</v>
      </c>
      <c r="U197" t="s">
        <v>5068</v>
      </c>
      <c r="V197" t="str">
        <f t="shared" si="41"/>
        <v>NF/64238470_20260127_nf_02.pdf</v>
      </c>
      <c r="W197" s="32" t="str">
        <f t="shared" si="35"/>
        <v>NF - ALICE NO TELHADO</v>
      </c>
      <c r="X197" t="s">
        <v>5591</v>
      </c>
    </row>
    <row r="198" spans="1:24" x14ac:dyDescent="0.25">
      <c r="A198" t="str">
        <f>CONCATENATE(D198,"_",TEXT(M198,"ddmmaaaa"),"_",COUNTIF($D$2:D198,D198))</f>
        <v>056993780001-49_27012026_2</v>
      </c>
      <c r="B198" t="str">
        <f>CONCATENATE(Analise!D198,"_",COUNTIF(Analise!$D$2:D198,Analise!D198))</f>
        <v>056993780001-49_2</v>
      </c>
      <c r="C198" s="34">
        <f>COUNTIF('Obras e Acervos'!$C:$C,CONCATENATE(LEFT(D198,12),RIGHT(D198,2)))</f>
        <v>2</v>
      </c>
      <c r="D198" s="35" t="s">
        <v>4613</v>
      </c>
      <c r="E198" t="str">
        <f>VLOOKUP($B198,'Obras e Acervos'!$B:$X,3,0)</f>
        <v>EDIÇÕES SM LTDA-SM EDUCAÇÃO</v>
      </c>
      <c r="F198" t="str">
        <f>VLOOKUP($B198,'Obras e Acervos'!$B:$X,7,0)</f>
        <v>0326L23000020LE</v>
      </c>
      <c r="G198" t="str">
        <f>VLOOKUP($B198,'Obras e Acervos'!$B:$X,5,0)</f>
        <v>O FABULOSO PROFESSOR FRITZ E A MENINA DAS PÉTALAS AMARELAS</v>
      </c>
      <c r="H198">
        <f>VLOOKUP($B198,'Obras e Acervos'!$B:$X,18,0)</f>
        <v>19</v>
      </c>
      <c r="I198">
        <f>VLOOKUP($B198,'Obras e Acervos'!$B:$X,19,0)</f>
        <v>102566</v>
      </c>
      <c r="J198" s="42">
        <f>VLOOKUP($B198,'Obras e Acervos'!$B:$X,20,0)</f>
        <v>10359.166000000001</v>
      </c>
      <c r="K198" s="31">
        <f>VLOOKUP($B198,'Obras e Acervos'!$B:$X,21,0)</f>
        <v>5.32</v>
      </c>
      <c r="L198" s="31">
        <f t="shared" si="37"/>
        <v>545651.12</v>
      </c>
      <c r="M198" s="1">
        <v>46049</v>
      </c>
      <c r="N198" s="1">
        <f t="shared" si="36"/>
        <v>46305</v>
      </c>
      <c r="O198">
        <f t="shared" si="38"/>
        <v>257</v>
      </c>
      <c r="P198" s="49">
        <f t="shared" si="34"/>
        <v>8.5666666666666664</v>
      </c>
      <c r="Q198" s="34">
        <f>VLOOKUP($G198,Agendamento!$B:$F,5,0)</f>
        <v>13</v>
      </c>
      <c r="R198" s="36">
        <f t="shared" si="39"/>
        <v>103</v>
      </c>
      <c r="S198" s="44">
        <v>2.5499999999999998</v>
      </c>
      <c r="T198" s="44">
        <f t="shared" si="40"/>
        <v>67501.049999999988</v>
      </c>
      <c r="U198" t="s">
        <v>5068</v>
      </c>
      <c r="V198" t="str">
        <f t="shared" si="41"/>
        <v>NF/64238470_20260127_nf_02.pdf</v>
      </c>
      <c r="W198" s="32" t="str">
        <f t="shared" si="35"/>
        <v>NF - O FABULOSO PROFESSOR FRITZ E A MENINA DAS PÉTALAS AMARELAS</v>
      </c>
      <c r="X198" t="s">
        <v>5591</v>
      </c>
    </row>
    <row r="199" spans="1:24" x14ac:dyDescent="0.25">
      <c r="A199" t="str">
        <f>CONCATENATE(D199,"_",TEXT(M199,"ddmmaaaa"),"_",COUNTIF($D$2:D199,D199))</f>
        <v>197707370001-11_27012026_1</v>
      </c>
      <c r="B199" t="str">
        <f>CONCATENATE(Analise!D199,"_",COUNTIF(Analise!$D$2:D199,Analise!D199)+1)</f>
        <v>197707370001-11_2</v>
      </c>
      <c r="C199" s="34">
        <f>COUNTIF('Obras e Acervos'!$C:$C,CONCATENATE(LEFT(D199,12),RIGHT(D199,2)))</f>
        <v>2</v>
      </c>
      <c r="D199" s="35" t="s">
        <v>4614</v>
      </c>
      <c r="E199" t="str">
        <f>VLOOKUP($B199,'Obras e Acervos'!$B:$X,3,0)</f>
        <v>PALAVRINHAS PROJETOS EDITORIAIS LTDA-PALAVRINHAS</v>
      </c>
      <c r="F199" t="str">
        <f>VLOOKUP($B199,'Obras e Acervos'!$B:$X,7,0)</f>
        <v>1099L23000020LE</v>
      </c>
      <c r="G199" t="str">
        <f>VLOOKUP($B199,'Obras e Acervos'!$B:$X,5,0)</f>
        <v>O RECICLADOR DE PALAVRAS</v>
      </c>
      <c r="H199">
        <f>VLOOKUP($B199,'Obras e Acervos'!$B:$X,18,0)</f>
        <v>20</v>
      </c>
      <c r="I199">
        <f>VLOOKUP($B199,'Obras e Acervos'!$B:$X,19,0)</f>
        <v>31228</v>
      </c>
      <c r="J199" s="42">
        <f>VLOOKUP($B199,'Obras e Acervos'!$B:$X,20,0)</f>
        <v>1467.7159999999999</v>
      </c>
      <c r="K199" s="31">
        <f>VLOOKUP($B199,'Obras e Acervos'!$B:$X,21,0)</f>
        <v>6.26</v>
      </c>
      <c r="L199" s="31">
        <f t="shared" si="37"/>
        <v>195487.28</v>
      </c>
      <c r="M199" s="1">
        <v>46049</v>
      </c>
      <c r="N199" s="1">
        <f t="shared" si="36"/>
        <v>46305</v>
      </c>
      <c r="O199">
        <f t="shared" si="38"/>
        <v>257</v>
      </c>
      <c r="P199" s="49">
        <f t="shared" si="34"/>
        <v>8.5666666666666664</v>
      </c>
      <c r="Q199" s="34">
        <f>VLOOKUP($G199,Agendamento!$B:$F,5,0)</f>
        <v>3</v>
      </c>
      <c r="R199" s="36">
        <f t="shared" si="39"/>
        <v>32</v>
      </c>
      <c r="S199" s="44">
        <v>2.5499999999999998</v>
      </c>
      <c r="T199" s="44">
        <f t="shared" si="40"/>
        <v>20971.199999999997</v>
      </c>
      <c r="U199" t="s">
        <v>5072</v>
      </c>
      <c r="V199" t="str">
        <f t="shared" si="41"/>
        <v>NF/64238470_20260127_nf_03.pdf</v>
      </c>
      <c r="W199" s="32" t="str">
        <f t="shared" si="35"/>
        <v>NF - O RECICLADOR DE PALAVRAS</v>
      </c>
      <c r="X199" t="s">
        <v>5591</v>
      </c>
    </row>
    <row r="200" spans="1:24" x14ac:dyDescent="0.25">
      <c r="A200" t="str">
        <f>CONCATENATE(D200,"_",TEXT(M200,"ddmmaaaa"),"_",COUNTIF($D$2:D200,D200))</f>
        <v>154717300001-48_27012026_1</v>
      </c>
      <c r="B200" t="str">
        <f>CONCATENATE(Analise!D200,"_",COUNTIF(Analise!$D$2:D200,Analise!D200))</f>
        <v>154717300001-48_1</v>
      </c>
      <c r="C200" s="34">
        <f>COUNTIF('Obras e Acervos'!$C:$C,CONCATENATE(LEFT(D200,12),RIGHT(D200,2)))</f>
        <v>2</v>
      </c>
      <c r="D200" s="35" t="s">
        <v>4620</v>
      </c>
      <c r="E200" t="str">
        <f>VLOOKUP($B200,'Obras e Acervos'!$B:$X,3,0)</f>
        <v>EDITORA TIMBÓ LTDA-NÃO HÁ</v>
      </c>
      <c r="F200" t="str">
        <f>VLOOKUP($B200,'Obras e Acervos'!$B:$X,7,0)</f>
        <v>0635L23000030LE</v>
      </c>
      <c r="G200" t="str">
        <f>VLOOKUP($B200,'Obras e Acervos'!$B:$X,5,0)</f>
        <v>FELICIDADE É UMA PALAVRA SIMPLES</v>
      </c>
      <c r="H200">
        <f>VLOOKUP($B200,'Obras e Acervos'!$B:$X,18,0)</f>
        <v>4</v>
      </c>
      <c r="I200">
        <f>VLOOKUP($B200,'Obras e Acervos'!$B:$X,19,0)</f>
        <v>44353</v>
      </c>
      <c r="J200" s="42">
        <f>VLOOKUP($B200,'Obras e Acervos'!$B:$X,20,0)</f>
        <v>4390.9470000000001</v>
      </c>
      <c r="K200" s="31">
        <f>VLOOKUP($B200,'Obras e Acervos'!$B:$X,21,0)</f>
        <v>5.41</v>
      </c>
      <c r="L200" s="31">
        <f t="shared" si="37"/>
        <v>239949.73</v>
      </c>
      <c r="M200" s="1">
        <v>46049</v>
      </c>
      <c r="N200" s="1">
        <f t="shared" si="36"/>
        <v>46305</v>
      </c>
      <c r="O200">
        <f t="shared" si="38"/>
        <v>257</v>
      </c>
      <c r="P200" s="49">
        <f t="shared" si="34"/>
        <v>8.5666666666666664</v>
      </c>
      <c r="Q200" s="34">
        <f>VLOOKUP($G200,Agendamento!$B:$F,5,0)</f>
        <v>5</v>
      </c>
      <c r="R200" s="36">
        <f t="shared" si="39"/>
        <v>45</v>
      </c>
      <c r="S200" s="44">
        <v>2.5499999999999998</v>
      </c>
      <c r="T200" s="44">
        <f t="shared" si="40"/>
        <v>29490.749999999996</v>
      </c>
      <c r="U200" t="s">
        <v>5078</v>
      </c>
      <c r="V200" t="str">
        <f t="shared" si="41"/>
        <v>NF/64238470_20260127_nf_04.pdf</v>
      </c>
      <c r="W200" s="32" t="str">
        <f t="shared" si="35"/>
        <v>NF - FELICIDADE É UMA PALAVRA SIMPLES</v>
      </c>
      <c r="X200" t="s">
        <v>5591</v>
      </c>
    </row>
    <row r="201" spans="1:24" x14ac:dyDescent="0.25">
      <c r="A201" t="str">
        <f>CONCATENATE(D201,"_",TEXT(M201,"ddmmaaaa"),"_",COUNTIF($D$2:D201,D201))</f>
        <v>154717300001-48_27012026_2</v>
      </c>
      <c r="B201" t="str">
        <f>CONCATENATE(Analise!D201,"_",COUNTIF(Analise!$D$2:D201,Analise!D201))</f>
        <v>154717300001-48_2</v>
      </c>
      <c r="C201" s="34">
        <f>COUNTIF('Obras e Acervos'!$C:$C,CONCATENATE(LEFT(D201,12),RIGHT(D201,2)))</f>
        <v>2</v>
      </c>
      <c r="D201" s="35" t="s">
        <v>4620</v>
      </c>
      <c r="E201" t="str">
        <f>VLOOKUP($B201,'Obras e Acervos'!$B:$X,3,0)</f>
        <v>EDITORA TIMBÓ LTDA-NÃO HÁ</v>
      </c>
      <c r="F201" t="str">
        <f>VLOOKUP($B201,'Obras e Acervos'!$B:$X,7,0)</f>
        <v>0636L23000020LE</v>
      </c>
      <c r="G201" t="str">
        <f>VLOOKUP($B201,'Obras e Acervos'!$B:$X,5,0)</f>
        <v>FABULOSOS E ASSUSTADORES! CRIATURAS E BICHOS DO FOLCLORE BRASILEIRO</v>
      </c>
      <c r="H201">
        <f>VLOOKUP($B201,'Obras e Acervos'!$B:$X,18,0)</f>
        <v>12</v>
      </c>
      <c r="I201">
        <f>VLOOKUP($B201,'Obras e Acervos'!$B:$X,19,0)</f>
        <v>46765</v>
      </c>
      <c r="J201" s="42">
        <f>VLOOKUP($B201,'Obras e Acervos'!$B:$X,20,0)</f>
        <v>6313.2750000000005</v>
      </c>
      <c r="K201" s="31">
        <f>VLOOKUP($B201,'Obras e Acervos'!$B:$X,21,0)</f>
        <v>6.73</v>
      </c>
      <c r="L201" s="31">
        <f t="shared" si="37"/>
        <v>314728.45</v>
      </c>
      <c r="M201" s="1">
        <v>46049</v>
      </c>
      <c r="N201" s="1">
        <f t="shared" si="36"/>
        <v>46305</v>
      </c>
      <c r="O201">
        <f t="shared" si="38"/>
        <v>257</v>
      </c>
      <c r="P201" s="49">
        <f t="shared" si="34"/>
        <v>8.5666666666666664</v>
      </c>
      <c r="Q201" s="34">
        <f>VLOOKUP($G201,Agendamento!$B:$F,5,0)</f>
        <v>8</v>
      </c>
      <c r="R201" s="36">
        <f t="shared" si="39"/>
        <v>47</v>
      </c>
      <c r="S201" s="44">
        <v>2.5499999999999998</v>
      </c>
      <c r="T201" s="44">
        <f t="shared" si="40"/>
        <v>30801.449999999997</v>
      </c>
      <c r="U201" t="s">
        <v>5078</v>
      </c>
      <c r="V201" t="str">
        <f t="shared" si="41"/>
        <v>NF/64238470_20260127_nf_04.pdf</v>
      </c>
      <c r="W201" s="32" t="str">
        <f t="shared" si="35"/>
        <v>NF - FABULOSOS E ASSUSTADORES! CRIATURAS E BICHOS DO FOLCLORE BRASILEIRO</v>
      </c>
      <c r="X201" t="s">
        <v>5591</v>
      </c>
    </row>
    <row r="202" spans="1:24" x14ac:dyDescent="0.25">
      <c r="A202" t="str">
        <f>CONCATENATE(D202,"_",TEXT(M202,"ddmmaaaa"),"_",COUNTIF($D$2:D202,D202))</f>
        <v>032422500001-26_27012026_1</v>
      </c>
      <c r="B202" t="str">
        <f>CONCATENATE(Analise!D202,"_",COUNTIF(Analise!$D$2:D202,Analise!D202))</f>
        <v>032422500001-26_1</v>
      </c>
      <c r="C202" s="34">
        <f>COUNTIF('Obras e Acervos'!$C:$C,CONCATENATE(LEFT(D202,12),RIGHT(D202,2)))</f>
        <v>1</v>
      </c>
      <c r="D202" s="35" t="s">
        <v>4619</v>
      </c>
      <c r="E202" t="str">
        <f>VLOOKUP($B202,'Obras e Acervos'!$B:$X,3,0)</f>
        <v>EDITORA GRAFSET LTDA-EDITORA GRAFSET</v>
      </c>
      <c r="F202" t="str">
        <f>VLOOKUP($B202,'Obras e Acervos'!$B:$X,7,0)</f>
        <v>1209L23000020LE</v>
      </c>
      <c r="G202" t="str">
        <f>VLOOKUP($B202,'Obras e Acervos'!$B:$X,5,0)</f>
        <v>TRÊS SEMENTES DIFERENTES</v>
      </c>
      <c r="H202">
        <f>VLOOKUP($B202,'Obras e Acervos'!$B:$X,18,0)</f>
        <v>14</v>
      </c>
      <c r="I202">
        <f>VLOOKUP($B202,'Obras e Acervos'!$B:$X,19,0)</f>
        <v>29030</v>
      </c>
      <c r="J202" s="42">
        <f>VLOOKUP($B202,'Obras e Acervos'!$B:$X,20,0)</f>
        <v>2961.06</v>
      </c>
      <c r="K202" s="31">
        <f>VLOOKUP($B202,'Obras e Acervos'!$B:$X,21,0)</f>
        <v>5.07</v>
      </c>
      <c r="L202" s="31">
        <f t="shared" si="37"/>
        <v>147182.1</v>
      </c>
      <c r="M202" s="1">
        <v>46049</v>
      </c>
      <c r="N202" s="1">
        <f t="shared" si="36"/>
        <v>46305</v>
      </c>
      <c r="O202">
        <f t="shared" si="38"/>
        <v>257</v>
      </c>
      <c r="P202" s="49">
        <f t="shared" si="34"/>
        <v>8.5666666666666664</v>
      </c>
      <c r="Q202" s="34">
        <f>VLOOKUP($G202,Agendamento!$B:$F,5,0)</f>
        <v>5</v>
      </c>
      <c r="R202" s="36">
        <f t="shared" si="39"/>
        <v>30</v>
      </c>
      <c r="S202" s="44">
        <v>2.5499999999999998</v>
      </c>
      <c r="T202" s="44">
        <f t="shared" si="40"/>
        <v>19660.5</v>
      </c>
      <c r="U202" t="s">
        <v>5077</v>
      </c>
      <c r="V202" t="str">
        <f t="shared" si="41"/>
        <v>NF/64238470_20260127_nf_05.pdf</v>
      </c>
      <c r="W202" s="32" t="str">
        <f t="shared" si="35"/>
        <v>NF - TRÊS SEMENTES DIFERENTES</v>
      </c>
      <c r="X202" t="s">
        <v>5591</v>
      </c>
    </row>
    <row r="203" spans="1:24" x14ac:dyDescent="0.25">
      <c r="A203" t="str">
        <f>CONCATENATE(D203,"_",TEXT(M203,"ddmmaaaa"),"_",COUNTIF($D$2:D203,D203))</f>
        <v>197707370001-11_27012026_2</v>
      </c>
      <c r="B203" t="str">
        <f>CONCATENATE(Analise!D203,"_",COUNTIF(Analise!$D$2:D203,Analise!D203)-1)</f>
        <v>197707370001-11_1</v>
      </c>
      <c r="C203" s="34">
        <f>COUNTIF('Obras e Acervos'!$C:$C,CONCATENATE(LEFT(D203,12),RIGHT(D203,2)))</f>
        <v>2</v>
      </c>
      <c r="D203" s="35" t="s">
        <v>4614</v>
      </c>
      <c r="E203" t="str">
        <f>VLOOKUP($B203,'Obras e Acervos'!$B:$X,3,0)</f>
        <v>PALAVRINHAS PROJETOS EDITORIAIS LTDA-PALAVRINHAS</v>
      </c>
      <c r="F203" t="str">
        <f>VLOOKUP($B203,'Obras e Acervos'!$B:$X,7,0)</f>
        <v>1036L23000030LE</v>
      </c>
      <c r="G203" t="str">
        <f>VLOOKUP($B203,'Obras e Acervos'!$B:$X,5,0)</f>
        <v>PARA ONDE ME LEVAM OS MEUS PÉS?</v>
      </c>
      <c r="H203">
        <f>VLOOKUP($B203,'Obras e Acervos'!$B:$X,18,0)</f>
        <v>2</v>
      </c>
      <c r="I203">
        <f>VLOOKUP($B203,'Obras e Acervos'!$B:$X,19,0)</f>
        <v>48043</v>
      </c>
      <c r="J203" s="42">
        <f>VLOOKUP($B203,'Obras e Acervos'!$B:$X,20,0)</f>
        <v>4612.1279999999997</v>
      </c>
      <c r="K203" s="31">
        <f>VLOOKUP($B203,'Obras e Acervos'!$B:$X,21,0)</f>
        <v>9.4700000000000006</v>
      </c>
      <c r="L203" s="31">
        <f t="shared" si="37"/>
        <v>454967.21</v>
      </c>
      <c r="M203" s="1">
        <v>46049</v>
      </c>
      <c r="N203" s="1">
        <f t="shared" si="36"/>
        <v>46305</v>
      </c>
      <c r="O203">
        <f t="shared" si="38"/>
        <v>257</v>
      </c>
      <c r="P203" s="49">
        <f t="shared" si="34"/>
        <v>8.5666666666666664</v>
      </c>
      <c r="Q203" s="34">
        <f>VLOOKUP($G203,Agendamento!$B:$F,5,0)</f>
        <v>7</v>
      </c>
      <c r="R203" s="36">
        <f t="shared" si="39"/>
        <v>49</v>
      </c>
      <c r="S203" s="44">
        <v>2.5499999999999998</v>
      </c>
      <c r="T203" s="44">
        <f t="shared" si="40"/>
        <v>32112.149999999998</v>
      </c>
      <c r="U203" t="s">
        <v>5069</v>
      </c>
      <c r="V203" t="str">
        <f t="shared" si="41"/>
        <v>NF/64238470_20260127_nf_06.pdf</v>
      </c>
      <c r="W203" s="32" t="str">
        <f t="shared" si="35"/>
        <v>NF - PARA ONDE ME LEVAM OS MEUS PÉS?</v>
      </c>
      <c r="X203" t="s">
        <v>5591</v>
      </c>
    </row>
    <row r="204" spans="1:24" x14ac:dyDescent="0.25">
      <c r="A204" t="str">
        <f>CONCATENATE(D204,"_",TEXT(M204,"ddmmaaaa"),"_",COUNTIF($D$2:D204,D204))</f>
        <v>056067940001-55_27012026_1</v>
      </c>
      <c r="B204" t="str">
        <f>CONCATENATE(Analise!D204,"_",COUNTIF(Analise!$D$2:D204,Analise!D204)+1)</f>
        <v>056067940001-55_2</v>
      </c>
      <c r="C204" s="34">
        <f>COUNTIF('Obras e Acervos'!$C:$C,CONCATENATE(LEFT(D204,12),RIGHT(D204,2)))</f>
        <v>2</v>
      </c>
      <c r="D204" s="35" t="s">
        <v>4615</v>
      </c>
      <c r="E204" t="str">
        <f>VLOOKUP($B204,'Obras e Acervos'!$B:$X,3,0)</f>
        <v>PALAVRAS PROJETOS EDITORIAIS LTDA-PALAVRAS</v>
      </c>
      <c r="F204" t="str">
        <f>VLOOKUP($B204,'Obras e Acervos'!$B:$X,7,0)</f>
        <v>1102L23000020LE</v>
      </c>
      <c r="G204" t="str">
        <f>VLOOKUP($B204,'Obras e Acervos'!$B:$X,5,0)</f>
        <v>SEM-NO E JORGE</v>
      </c>
      <c r="H204">
        <f>VLOOKUP($B204,'Obras e Acervos'!$B:$X,18,0)</f>
        <v>19</v>
      </c>
      <c r="I204">
        <f>VLOOKUP($B204,'Obras e Acervos'!$B:$X,19,0)</f>
        <v>24255</v>
      </c>
      <c r="J204" s="42">
        <f>VLOOKUP($B204,'Obras e Acervos'!$B:$X,20,0)</f>
        <v>1916.145</v>
      </c>
      <c r="K204" s="31">
        <f>VLOOKUP($B204,'Obras e Acervos'!$B:$X,21,0)</f>
        <v>5.43</v>
      </c>
      <c r="L204" s="31">
        <f t="shared" si="37"/>
        <v>131704.65</v>
      </c>
      <c r="M204" s="1">
        <v>46049</v>
      </c>
      <c r="N204" s="1">
        <f t="shared" si="36"/>
        <v>46305</v>
      </c>
      <c r="O204">
        <f t="shared" si="38"/>
        <v>257</v>
      </c>
      <c r="P204" s="49">
        <f t="shared" si="34"/>
        <v>8.5666666666666664</v>
      </c>
      <c r="Q204" s="34">
        <f>VLOOKUP($G204,Agendamento!$B:$F,5,0)</f>
        <v>3</v>
      </c>
      <c r="R204" s="36">
        <f t="shared" si="39"/>
        <v>25</v>
      </c>
      <c r="S204" s="44">
        <v>2.5499999999999998</v>
      </c>
      <c r="T204" s="44">
        <f t="shared" si="40"/>
        <v>16383.749999999998</v>
      </c>
      <c r="U204" t="s">
        <v>5070</v>
      </c>
      <c r="V204" t="str">
        <f t="shared" si="41"/>
        <v>NF/64238470_20260127_nf_07.pdf</v>
      </c>
      <c r="W204" s="32" t="str">
        <f t="shared" si="35"/>
        <v>NF - SEM-NO E JORGE</v>
      </c>
      <c r="X204" t="s">
        <v>5591</v>
      </c>
    </row>
    <row r="205" spans="1:24" x14ac:dyDescent="0.25">
      <c r="A205" t="str">
        <f>CONCATENATE(D205,"_",TEXT(M205,"ddmmaaaa"),"_",COUNTIF($D$2:D205,D205))</f>
        <v>056067940001-55_27012026_2</v>
      </c>
      <c r="B205" t="str">
        <f>CONCATENATE(Analise!D205,"_",COUNTIF(Analise!$D$2:D205,Analise!D205)-1)</f>
        <v>056067940001-55_1</v>
      </c>
      <c r="C205" s="34">
        <f>COUNTIF('Obras e Acervos'!$C:$C,CONCATENATE(LEFT(D205,12),RIGHT(D205,2)))</f>
        <v>2</v>
      </c>
      <c r="D205" s="35" t="s">
        <v>4615</v>
      </c>
      <c r="E205" t="str">
        <f>VLOOKUP($B205,'Obras e Acervos'!$B:$X,3,0)</f>
        <v>PALAVRAS PROJETOS EDITORIAIS LTDA-PALAVRAS</v>
      </c>
      <c r="F205" t="str">
        <f>VLOOKUP($B205,'Obras e Acervos'!$B:$X,7,0)</f>
        <v>1101L23000030LE</v>
      </c>
      <c r="G205" t="str">
        <f>VLOOKUP($B205,'Obras e Acervos'!$B:$X,5,0)</f>
        <v>SOU DE VERDADE</v>
      </c>
      <c r="H205">
        <f>VLOOKUP($B205,'Obras e Acervos'!$B:$X,18,0)</f>
        <v>6</v>
      </c>
      <c r="I205">
        <f>VLOOKUP($B205,'Obras e Acervos'!$B:$X,19,0)</f>
        <v>37023</v>
      </c>
      <c r="J205" s="42">
        <f>VLOOKUP($B205,'Obras e Acervos'!$B:$X,20,0)</f>
        <v>3554.2080000000001</v>
      </c>
      <c r="K205" s="31">
        <f>VLOOKUP($B205,'Obras e Acervos'!$B:$X,21,0)</f>
        <v>5.89</v>
      </c>
      <c r="L205" s="31">
        <f t="shared" si="37"/>
        <v>218065.47</v>
      </c>
      <c r="M205" s="1">
        <v>46049</v>
      </c>
      <c r="N205" s="1">
        <f t="shared" si="36"/>
        <v>46305</v>
      </c>
      <c r="O205">
        <f t="shared" si="38"/>
        <v>257</v>
      </c>
      <c r="P205" s="49">
        <f t="shared" si="34"/>
        <v>8.5666666666666664</v>
      </c>
      <c r="Q205" s="34">
        <f>VLOOKUP($G205,Agendamento!$B:$F,5,0)</f>
        <v>6</v>
      </c>
      <c r="R205" s="36">
        <f t="shared" si="39"/>
        <v>38</v>
      </c>
      <c r="S205" s="44">
        <v>2.5499999999999998</v>
      </c>
      <c r="T205" s="44">
        <f t="shared" si="40"/>
        <v>24903.3</v>
      </c>
      <c r="U205" t="s">
        <v>5071</v>
      </c>
      <c r="V205" t="str">
        <f t="shared" si="41"/>
        <v>NF/64238470_20260127_nf_08.pdf</v>
      </c>
      <c r="W205" s="32" t="str">
        <f t="shared" si="35"/>
        <v>NF - SOU DE VERDADE</v>
      </c>
      <c r="X205" t="s">
        <v>5591</v>
      </c>
    </row>
    <row r="206" spans="1:24" x14ac:dyDescent="0.25">
      <c r="A206" t="str">
        <f>CONCATENATE(D206,"_",TEXT(M206,"ddmmaaaa"),"_",COUNTIF($D$2:D206,D206))</f>
        <v>424366310001-06_27012026_1</v>
      </c>
      <c r="B206" t="str">
        <f>CONCATENATE(Analise!D206,"_",COUNTIF(Analise!$D$2:D206,Analise!D206))</f>
        <v>424366310001-06_1</v>
      </c>
      <c r="C206" s="34">
        <f>COUNTIF('Obras e Acervos'!$C:$C,CONCATENATE(LEFT(D206,12),RIGHT(D206,2)))</f>
        <v>1</v>
      </c>
      <c r="D206" s="35" t="s">
        <v>4618</v>
      </c>
      <c r="E206" t="str">
        <f>VLOOKUP($B206,'Obras e Acervos'!$B:$X,3,0)</f>
        <v>LUNIK SOLUCOES EDUCACIONAIS EIRELI-LUNIK EDUCACAO</v>
      </c>
      <c r="F206" t="str">
        <f>VLOOKUP($B206,'Obras e Acervos'!$B:$X,7,0)</f>
        <v>0332L23000020LE</v>
      </c>
      <c r="G206" t="str">
        <f>VLOOKUP($B206,'Obras e Acervos'!$B:$X,5,0)</f>
        <v>SOFIA</v>
      </c>
      <c r="H206">
        <f>VLOOKUP($B206,'Obras e Acervos'!$B:$X,18,0)</f>
        <v>17</v>
      </c>
      <c r="I206">
        <f>VLOOKUP($B206,'Obras e Acervos'!$B:$X,19,0)</f>
        <v>27065</v>
      </c>
      <c r="J206" s="42">
        <f>VLOOKUP($B206,'Obras e Acervos'!$B:$X,20,0)</f>
        <v>2760.6299999999997</v>
      </c>
      <c r="K206" s="31">
        <f>VLOOKUP($B206,'Obras e Acervos'!$B:$X,21,0)</f>
        <v>8.83</v>
      </c>
      <c r="L206" s="31">
        <f t="shared" si="37"/>
        <v>238983.95</v>
      </c>
      <c r="M206" s="1">
        <v>46049</v>
      </c>
      <c r="N206" s="1">
        <f t="shared" si="36"/>
        <v>46305</v>
      </c>
      <c r="O206">
        <f t="shared" si="38"/>
        <v>257</v>
      </c>
      <c r="P206" s="49">
        <f t="shared" si="34"/>
        <v>8.5666666666666664</v>
      </c>
      <c r="Q206" s="34">
        <f>VLOOKUP($G206,Agendamento!$B:$F,5,0)</f>
        <v>4</v>
      </c>
      <c r="R206" s="36">
        <f t="shared" si="39"/>
        <v>28</v>
      </c>
      <c r="S206" s="44">
        <v>2.5499999999999998</v>
      </c>
      <c r="T206" s="44">
        <f t="shared" si="40"/>
        <v>18349.8</v>
      </c>
      <c r="U206" t="s">
        <v>5076</v>
      </c>
      <c r="V206" t="str">
        <f t="shared" si="41"/>
        <v>NF/64238470_20260127_nf_09.pdf</v>
      </c>
      <c r="W206" s="32" t="str">
        <f t="shared" si="35"/>
        <v>NF - SOFIA</v>
      </c>
      <c r="X206" t="s">
        <v>5591</v>
      </c>
    </row>
    <row r="207" spans="1:24" x14ac:dyDescent="0.25">
      <c r="A207" t="str">
        <f>CONCATENATE(D207,"_",TEXT(M207,"ddmmaaaa"),"_",COUNTIF($D$2:D207,D207))</f>
        <v>640355610001-09_27012026_1</v>
      </c>
      <c r="B207" t="str">
        <f>CONCATENATE(Analise!D207,"_",COUNTIF(Analise!$D$2:D207,Analise!D207))</f>
        <v>640355610001-09_1</v>
      </c>
      <c r="C207" s="34">
        <f>COUNTIF('Obras e Acervos'!$C:$C,CONCATENATE(LEFT(D207,12),RIGHT(D207,2)))</f>
        <v>2</v>
      </c>
      <c r="D207" s="35" t="s">
        <v>4616</v>
      </c>
      <c r="E207" t="str">
        <f>VLOOKUP($B207,'Obras e Acervos'!$B:$X,3,0)</f>
        <v>ENQUETE EDITORA E COMUNICAÇÃO LTDA-POTENCIAL EDITORA</v>
      </c>
      <c r="F207" t="str">
        <f>VLOOKUP($B207,'Obras e Acervos'!$B:$X,7,0)</f>
        <v>0343L23000030LE</v>
      </c>
      <c r="G207" t="str">
        <f>VLOOKUP($B207,'Obras e Acervos'!$B:$X,5,0)</f>
        <v>ABC DAS EMOÇÕES</v>
      </c>
      <c r="H207">
        <f>VLOOKUP($B207,'Obras e Acervos'!$B:$X,18,0)</f>
        <v>3</v>
      </c>
      <c r="I207">
        <f>VLOOKUP($B207,'Obras e Acervos'!$B:$X,19,0)</f>
        <v>86938</v>
      </c>
      <c r="J207" s="42">
        <f>VLOOKUP($B207,'Obras e Acervos'!$B:$X,20,0)</f>
        <v>7998.2960000000003</v>
      </c>
      <c r="K207" s="31">
        <f>VLOOKUP($B207,'Obras e Acervos'!$B:$X,21,0)</f>
        <v>6.83</v>
      </c>
      <c r="L207" s="31">
        <f t="shared" si="37"/>
        <v>593786.54</v>
      </c>
      <c r="M207" s="1">
        <v>46049</v>
      </c>
      <c r="N207" s="1">
        <f t="shared" si="36"/>
        <v>46305</v>
      </c>
      <c r="O207">
        <f t="shared" si="38"/>
        <v>257</v>
      </c>
      <c r="P207" s="49">
        <f t="shared" si="34"/>
        <v>8.5666666666666664</v>
      </c>
      <c r="Q207" s="34">
        <f>VLOOKUP($G207,Agendamento!$B:$F,5,0)</f>
        <v>15</v>
      </c>
      <c r="R207" s="36">
        <f t="shared" si="39"/>
        <v>87</v>
      </c>
      <c r="S207" s="44">
        <v>2.5499999999999998</v>
      </c>
      <c r="T207" s="44">
        <f t="shared" si="40"/>
        <v>57015.45</v>
      </c>
      <c r="U207" t="s">
        <v>5073</v>
      </c>
      <c r="V207" t="str">
        <f t="shared" si="41"/>
        <v>NF/64238470_20260127_nf_10.pdf</v>
      </c>
      <c r="W207" s="32" t="str">
        <f t="shared" si="35"/>
        <v>NF - ABC DAS EMOÇÕES</v>
      </c>
      <c r="X207" t="s">
        <v>5591</v>
      </c>
    </row>
    <row r="208" spans="1:24" x14ac:dyDescent="0.25">
      <c r="A208" t="str">
        <f>CONCATENATE(D208,"_",TEXT(M208,"ddmmaaaa"),"_",COUNTIF($D$2:D208,D208))</f>
        <v>640355610001-09_27012026_2</v>
      </c>
      <c r="B208" t="str">
        <f>CONCATENATE(Analise!D208,"_",COUNTIF(Analise!$D$2:D208,Analise!D208))</f>
        <v>640355610001-09_2</v>
      </c>
      <c r="C208" s="34">
        <f>COUNTIF('Obras e Acervos'!$C:$C,CONCATENATE(LEFT(D208,12),RIGHT(D208,2)))</f>
        <v>2</v>
      </c>
      <c r="D208" s="35" t="s">
        <v>4616</v>
      </c>
      <c r="E208" t="str">
        <f>VLOOKUP($B208,'Obras e Acervos'!$B:$X,3,0)</f>
        <v>ENQUETE EDITORA E COMUNICAÇÃO LTDA-POTENCIAL EDITORA</v>
      </c>
      <c r="F208" t="str">
        <f>VLOOKUP($B208,'Obras e Acervos'!$B:$X,7,0)</f>
        <v>0344L23000020LE</v>
      </c>
      <c r="G208" t="str">
        <f>VLOOKUP($B208,'Obras e Acervos'!$B:$X,5,0)</f>
        <v>A MENINA E A HARPIA: LENDAS BRASILEIRAS</v>
      </c>
      <c r="H208">
        <f>VLOOKUP($B208,'Obras e Acervos'!$B:$X,18,0)</f>
        <v>12</v>
      </c>
      <c r="I208">
        <f>VLOOKUP($B208,'Obras e Acervos'!$B:$X,19,0)</f>
        <v>37781</v>
      </c>
      <c r="J208" s="42">
        <f>VLOOKUP($B208,'Obras e Acervos'!$B:$X,20,0)</f>
        <v>6800.58</v>
      </c>
      <c r="K208" s="31">
        <f>VLOOKUP($B208,'Obras e Acervos'!$B:$X,21,0)</f>
        <v>6.6</v>
      </c>
      <c r="L208" s="31">
        <f t="shared" si="37"/>
        <v>249354.59999999998</v>
      </c>
      <c r="M208" s="1">
        <v>46049</v>
      </c>
      <c r="N208" s="1">
        <f t="shared" si="36"/>
        <v>46305</v>
      </c>
      <c r="O208">
        <f t="shared" si="38"/>
        <v>257</v>
      </c>
      <c r="P208" s="49">
        <f t="shared" si="34"/>
        <v>8.5666666666666664</v>
      </c>
      <c r="Q208" s="34">
        <f>VLOOKUP($G208,Agendamento!$B:$F,5,0)</f>
        <v>15</v>
      </c>
      <c r="R208" s="36">
        <f t="shared" si="39"/>
        <v>38</v>
      </c>
      <c r="S208" s="44">
        <v>2.5499999999999998</v>
      </c>
      <c r="T208" s="44">
        <f t="shared" si="40"/>
        <v>24903.3</v>
      </c>
      <c r="U208" t="s">
        <v>5073</v>
      </c>
      <c r="V208" t="str">
        <f t="shared" si="41"/>
        <v>NF/64238470_20260127_nf_10.pdf</v>
      </c>
      <c r="W208" s="32" t="str">
        <f t="shared" si="35"/>
        <v>NF - A MENINA E A HARPIA: LENDAS BRASILEIRAS</v>
      </c>
      <c r="X208" t="s">
        <v>5591</v>
      </c>
    </row>
    <row r="209" spans="1:24" x14ac:dyDescent="0.25">
      <c r="A209" t="str">
        <f>CONCATENATE(D209,"_",TEXT(M209,"ddmmaaaa"),"_",COUNTIF($D$2:D209,D209))</f>
        <v>362221560001-64_18022026_2</v>
      </c>
      <c r="B209" t="str">
        <f>CONCATENATE(Analise!D209,"_",COUNTIF(Analise!$D$2:D209,Analise!D209))</f>
        <v>362221560001-64_2</v>
      </c>
      <c r="C209" s="34">
        <f>COUNTIF('Obras e Acervos'!$C:$C,CONCATENATE(LEFT(D209,12),RIGHT(D209,2)))</f>
        <v>2</v>
      </c>
      <c r="D209" s="35" t="s">
        <v>4553</v>
      </c>
      <c r="E209" t="str">
        <f>VLOOKUP($B209,'Obras e Acervos'!$B:$X,3,0)</f>
        <v>BRINQUE-BOOK EDITORA DE LIVROS LTDA-</v>
      </c>
      <c r="F209" t="str">
        <f>VLOOKUP($B209,'Obras e Acervos'!$B:$X,7,0)</f>
        <v>0654L23000020LE</v>
      </c>
      <c r="G209" t="str">
        <f>VLOOKUP($B209,'Obras e Acervos'!$B:$X,5,0)</f>
        <v>A QUEDA DOS MOAIS</v>
      </c>
      <c r="H209">
        <f>VLOOKUP($B209,'Obras e Acervos'!$B:$X,18,0)</f>
        <v>14</v>
      </c>
      <c r="I209">
        <f>VLOOKUP($B209,'Obras e Acervos'!$B:$X,19,0)</f>
        <v>24698</v>
      </c>
      <c r="J209" s="42">
        <f>VLOOKUP($B209,'Obras e Acervos'!$B:$X,20,0)</f>
        <v>4248.0559999999996</v>
      </c>
      <c r="K209" s="31">
        <f>VLOOKUP($B209,'Obras e Acervos'!$B:$X,21,0)</f>
        <v>10.29</v>
      </c>
      <c r="L209" s="31">
        <f t="shared" si="37"/>
        <v>254142.41999999998</v>
      </c>
      <c r="M209" s="1">
        <v>46071</v>
      </c>
      <c r="N209" s="1">
        <f t="shared" si="36"/>
        <v>46305</v>
      </c>
      <c r="O209">
        <f t="shared" si="38"/>
        <v>235</v>
      </c>
      <c r="P209" s="49">
        <f t="shared" si="34"/>
        <v>7.833333333333333</v>
      </c>
      <c r="Q209" s="34">
        <f>VLOOKUP($G209,Agendamento!$B:$F,5,0)</f>
        <v>5</v>
      </c>
      <c r="R209" s="36">
        <f t="shared" si="39"/>
        <v>25</v>
      </c>
      <c r="S209" s="44">
        <v>2.5499999999999998</v>
      </c>
      <c r="T209" s="44">
        <f t="shared" si="40"/>
        <v>14981.249999999998</v>
      </c>
      <c r="U209" t="s">
        <v>5092</v>
      </c>
      <c r="V209" t="str">
        <f t="shared" si="41"/>
        <v>NF/64238470_20260218_nf_01.pdf</v>
      </c>
      <c r="W209" s="32" t="str">
        <f t="shared" si="35"/>
        <v>NF - A QUEDA DOS MOAIS</v>
      </c>
      <c r="X209" t="s">
        <v>5591</v>
      </c>
    </row>
    <row r="210" spans="1:24" x14ac:dyDescent="0.25">
      <c r="A210" t="str">
        <f>CONCATENATE(D210,"_",TEXT(M210,"ddmmaaaa"),"_",COUNTIF($D$2:D210,D210))</f>
        <v>053346270001-00_18022026_1</v>
      </c>
      <c r="B210" t="str">
        <f>CONCATENATE(Analise!D210,"_",COUNTIF(Analise!$D$2:D210,Analise!D210)+1)</f>
        <v>053346270001-00_2</v>
      </c>
      <c r="C210" s="34">
        <f>COUNTIF('Obras e Acervos'!$C:$C,CONCATENATE(LEFT(D210,12),RIGHT(D210,2)))</f>
        <v>2</v>
      </c>
      <c r="D210" s="35" t="s">
        <v>4622</v>
      </c>
      <c r="E210" t="str">
        <f>VLOOKUP($B210,'Obras e Acervos'!$B:$X,3,0)</f>
        <v>CAPITAL DAS LETRAS DISTRIBUIDORA DE LIVROS LTDA-CAPITAL DAS LETRAS</v>
      </c>
      <c r="F210" t="str">
        <f>VLOOKUP($B210,'Obras e Acervos'!$B:$X,7,0)</f>
        <v>0804L23000020LE</v>
      </c>
      <c r="G210" t="str">
        <f>VLOOKUP($B210,'Obras e Acervos'!$B:$X,5,0)</f>
        <v>OS DETETIVES DO PRÉDIO AZUL: PRIMEIROS CASOS</v>
      </c>
      <c r="H210">
        <f>VLOOKUP($B210,'Obras e Acervos'!$B:$X,18,0)</f>
        <v>16</v>
      </c>
      <c r="I210">
        <f>VLOOKUP($B210,'Obras e Acervos'!$B:$X,19,0)</f>
        <v>44635</v>
      </c>
      <c r="J210" s="42">
        <f>VLOOKUP($B210,'Obras e Acervos'!$B:$X,20,0)</f>
        <v>6248.9000000000005</v>
      </c>
      <c r="K210" s="31">
        <f>VLOOKUP($B210,'Obras e Acervos'!$B:$X,21,0)</f>
        <v>10.66</v>
      </c>
      <c r="L210" s="31">
        <f t="shared" si="37"/>
        <v>475809.10000000003</v>
      </c>
      <c r="M210" s="1">
        <v>46071</v>
      </c>
      <c r="N210" s="1">
        <f t="shared" si="36"/>
        <v>46305</v>
      </c>
      <c r="O210">
        <f t="shared" si="38"/>
        <v>235</v>
      </c>
      <c r="P210" s="49">
        <f t="shared" si="34"/>
        <v>7.833333333333333</v>
      </c>
      <c r="Q210" s="34">
        <f>VLOOKUP($G210,Agendamento!$B:$F,5,0)</f>
        <v>7</v>
      </c>
      <c r="R210" s="36">
        <f t="shared" si="39"/>
        <v>45</v>
      </c>
      <c r="S210" s="44">
        <v>2.5499999999999998</v>
      </c>
      <c r="T210" s="44">
        <f t="shared" si="40"/>
        <v>26966.249999999996</v>
      </c>
      <c r="U210" t="s">
        <v>5080</v>
      </c>
      <c r="V210" t="str">
        <f t="shared" si="41"/>
        <v>NF/64238470_20260218_nf_02.pdf</v>
      </c>
      <c r="W210" s="32" t="str">
        <f t="shared" si="35"/>
        <v>NF - OS DETETIVES DO PRÉDIO AZUL: PRIMEIROS CASOS</v>
      </c>
      <c r="X210" t="s">
        <v>5591</v>
      </c>
    </row>
    <row r="211" spans="1:24" x14ac:dyDescent="0.25">
      <c r="A211" t="str">
        <f>CONCATENATE(D211,"_",TEXT(M211,"ddmmaaaa"),"_",COUNTIF($D$2:D211,D211))</f>
        <v>172241710001-05_18022026_1</v>
      </c>
      <c r="B211" t="str">
        <f>CONCATENATE(Analise!D211,"_",COUNTIF(Analise!$D$2:D211,Analise!D211)+1)</f>
        <v>172241710001-05_2</v>
      </c>
      <c r="C211" s="34">
        <f>COUNTIF('Obras e Acervos'!$C:$C,CONCATENATE(LEFT(D211,12),RIGHT(D211,2)))</f>
        <v>2</v>
      </c>
      <c r="D211" s="35" t="s">
        <v>4623</v>
      </c>
      <c r="E211" t="str">
        <f>VLOOKUP($B211,'Obras e Acervos'!$B:$X,3,0)</f>
        <v>FIMAC DISTRIBUIDORA DE LIVROS LTDA-</v>
      </c>
      <c r="F211" t="str">
        <f>VLOOKUP($B211,'Obras e Acervos'!$B:$X,7,0)</f>
        <v>0794L23000020LE</v>
      </c>
      <c r="G211" t="str">
        <f>VLOOKUP($B211,'Obras e Acervos'!$B:$X,5,0)</f>
        <v>PROCURA-SE O CURUPIRA</v>
      </c>
      <c r="H211">
        <f>VLOOKUP($B211,'Obras e Acervos'!$B:$X,18,0)</f>
        <v>21</v>
      </c>
      <c r="I211">
        <f>VLOOKUP($B211,'Obras e Acervos'!$B:$X,19,0)</f>
        <v>25677</v>
      </c>
      <c r="J211" s="42">
        <f>VLOOKUP($B211,'Obras e Acervos'!$B:$X,20,0)</f>
        <v>3543.4260000000004</v>
      </c>
      <c r="K211" s="31">
        <f>VLOOKUP($B211,'Obras e Acervos'!$B:$X,21,0)</f>
        <v>13.32</v>
      </c>
      <c r="L211" s="31">
        <f t="shared" si="37"/>
        <v>342017.64</v>
      </c>
      <c r="M211" s="1">
        <v>46071</v>
      </c>
      <c r="N211" s="1">
        <f t="shared" si="36"/>
        <v>46305</v>
      </c>
      <c r="O211">
        <f t="shared" si="38"/>
        <v>235</v>
      </c>
      <c r="P211" s="49">
        <f t="shared" si="34"/>
        <v>7.833333333333333</v>
      </c>
      <c r="Q211" s="34">
        <f>VLOOKUP($G211,Agendamento!$B:$F,5,0)</f>
        <v>4</v>
      </c>
      <c r="R211" s="36">
        <f t="shared" si="39"/>
        <v>26</v>
      </c>
      <c r="S211" s="44">
        <v>2.5499999999999998</v>
      </c>
      <c r="T211" s="44">
        <f t="shared" si="40"/>
        <v>15580.499999999998</v>
      </c>
      <c r="U211" t="s">
        <v>5081</v>
      </c>
      <c r="V211" t="str">
        <f t="shared" si="41"/>
        <v>NF/64238470_20260218_nf_04.pdf</v>
      </c>
      <c r="W211" s="32" t="str">
        <f t="shared" si="35"/>
        <v>NF - PROCURA-SE O CURUPIRA</v>
      </c>
      <c r="X211" t="s">
        <v>5591</v>
      </c>
    </row>
    <row r="212" spans="1:24" x14ac:dyDescent="0.25">
      <c r="A212" t="str">
        <f>CONCATENATE(D212,"_",TEXT(M212,"ddmmaaaa"),"_",COUNTIF($D$2:D212,D212))</f>
        <v>043815860001-32_18022026_1</v>
      </c>
      <c r="B212" t="str">
        <f>CONCATENATE(Analise!D212,"_",COUNTIF(Analise!$D$2:D212,Analise!D212))</f>
        <v>043815860001-32_1</v>
      </c>
      <c r="C212" s="34">
        <f>COUNTIF('Obras e Acervos'!$C:$C,CONCATENATE(LEFT(D212,12),RIGHT(D212,2)))</f>
        <v>1</v>
      </c>
      <c r="D212" s="35" t="s">
        <v>4625</v>
      </c>
      <c r="E212" t="str">
        <f>VLOOKUP($B212,'Obras e Acervos'!$B:$X,3,0)</f>
        <v>REAL EDITORA E DISTRIBUIDORA LTDA-REAL EDUCAÇÃO</v>
      </c>
      <c r="F212" t="str">
        <f>VLOOKUP($B212,'Obras e Acervos'!$B:$X,7,0)</f>
        <v>0597L23000030LE</v>
      </c>
      <c r="G212" t="str">
        <f>VLOOKUP($B212,'Obras e Acervos'!$B:$X,5,0)</f>
        <v>ZECA CATA TRECOS E O PLANETA ÁGUA</v>
      </c>
      <c r="H212">
        <f>VLOOKUP($B212,'Obras e Acervos'!$B:$X,18,0)</f>
        <v>1</v>
      </c>
      <c r="I212">
        <f>VLOOKUP($B212,'Obras e Acervos'!$B:$X,19,0)</f>
        <v>64897</v>
      </c>
      <c r="J212" s="42">
        <f>VLOOKUP($B212,'Obras e Acervos'!$B:$X,20,0)</f>
        <v>6489.7000000000007</v>
      </c>
      <c r="K212" s="31">
        <f>VLOOKUP($B212,'Obras e Acervos'!$B:$X,21,0)</f>
        <v>4.26</v>
      </c>
      <c r="L212" s="31">
        <f t="shared" si="37"/>
        <v>276461.21999999997</v>
      </c>
      <c r="M212" s="1">
        <v>46071</v>
      </c>
      <c r="N212" s="1">
        <f t="shared" si="36"/>
        <v>46305</v>
      </c>
      <c r="O212">
        <f t="shared" si="38"/>
        <v>235</v>
      </c>
      <c r="P212" s="49">
        <f t="shared" si="34"/>
        <v>7.833333333333333</v>
      </c>
      <c r="Q212" s="34">
        <f>VLOOKUP($G212,Agendamento!$B:$F,5,0)</f>
        <v>7</v>
      </c>
      <c r="R212" s="36">
        <f t="shared" si="39"/>
        <v>65</v>
      </c>
      <c r="S212" s="44">
        <v>2.5499999999999998</v>
      </c>
      <c r="T212" s="44">
        <f t="shared" si="40"/>
        <v>38951.25</v>
      </c>
      <c r="U212" t="s">
        <v>5083</v>
      </c>
      <c r="V212" t="str">
        <f t="shared" si="41"/>
        <v>NF/64238470_20260218_nf_05.pdf</v>
      </c>
      <c r="W212" s="32" t="str">
        <f t="shared" si="35"/>
        <v>NF - ZECA CATA TRECOS E O PLANETA ÁGUA</v>
      </c>
      <c r="X212" t="s">
        <v>5591</v>
      </c>
    </row>
    <row r="213" spans="1:24" x14ac:dyDescent="0.25">
      <c r="A213" t="str">
        <f>CONCATENATE(D213,"_",TEXT(M213,"ddmmaaaa"),"_",COUNTIF($D$2:D213,D213))</f>
        <v>062220050001-45_18022026_1</v>
      </c>
      <c r="B213" t="str">
        <f>CONCATENATE(Analise!D213,"_",COUNTIF(Analise!$D$2:D213,Analise!D213)+1)</f>
        <v>062220050001-45_2</v>
      </c>
      <c r="C213" s="34">
        <f>COUNTIF('Obras e Acervos'!$C:$C,CONCATENATE(LEFT(D213,12),RIGHT(D213,2)))</f>
        <v>2</v>
      </c>
      <c r="D213" s="35" t="s">
        <v>4626</v>
      </c>
      <c r="E213" t="str">
        <f>VLOOKUP($B213,'Obras e Acervos'!$B:$X,3,0)</f>
        <v>HSF COMERCIAL LTDA-LOGOS COMERCIAL</v>
      </c>
      <c r="F213" t="str">
        <f>VLOOKUP($B213,'Obras e Acervos'!$B:$X,7,0)</f>
        <v>0872L23000020LE</v>
      </c>
      <c r="G213" t="str">
        <f>VLOOKUP($B213,'Obras e Acervos'!$B:$X,5,0)</f>
        <v>OLI PROCURA UMA (NOVA) MELHOR AMIGA</v>
      </c>
      <c r="H213">
        <f>VLOOKUP($B213,'Obras e Acervos'!$B:$X,18,0)</f>
        <v>12</v>
      </c>
      <c r="I213">
        <f>VLOOKUP($B213,'Obras e Acervos'!$B:$X,19,0)</f>
        <v>30797</v>
      </c>
      <c r="J213" s="42">
        <f>VLOOKUP($B213,'Obras e Acervos'!$B:$X,20,0)</f>
        <v>4311.5800000000008</v>
      </c>
      <c r="K213" s="31">
        <f>VLOOKUP($B213,'Obras e Acervos'!$B:$X,21,0)</f>
        <v>13.76</v>
      </c>
      <c r="L213" s="31">
        <f t="shared" si="37"/>
        <v>423766.72</v>
      </c>
      <c r="M213" s="1">
        <v>46071</v>
      </c>
      <c r="N213" s="1">
        <f t="shared" si="36"/>
        <v>46305</v>
      </c>
      <c r="O213">
        <f t="shared" si="38"/>
        <v>235</v>
      </c>
      <c r="P213" s="49">
        <f t="shared" si="34"/>
        <v>7.833333333333333</v>
      </c>
      <c r="Q213" s="34">
        <f>VLOOKUP($G213,Agendamento!$B:$F,5,0)</f>
        <v>6</v>
      </c>
      <c r="R213" s="36">
        <f t="shared" si="39"/>
        <v>31</v>
      </c>
      <c r="S213" s="44">
        <v>2.5499999999999998</v>
      </c>
      <c r="T213" s="44">
        <f t="shared" si="40"/>
        <v>18576.75</v>
      </c>
      <c r="U213" t="s">
        <v>5084</v>
      </c>
      <c r="V213" t="str">
        <f t="shared" si="41"/>
        <v>NF/64238470_20260218_nf_06.pdf</v>
      </c>
      <c r="W213" s="32" t="str">
        <f t="shared" si="35"/>
        <v>NF - OLI PROCURA UMA (NOVA) MELHOR AMIGA</v>
      </c>
      <c r="X213" t="s">
        <v>5591</v>
      </c>
    </row>
    <row r="214" spans="1:24" x14ac:dyDescent="0.25">
      <c r="A214" t="str">
        <f>CONCATENATE(D214,"_",TEXT(M214,"ddmmaaaa"),"_",COUNTIF($D$2:D214,D214))</f>
        <v>106211080001-55_18022026_1</v>
      </c>
      <c r="B214" t="str">
        <f>CONCATENATE(Analise!D214,"_",COUNTIF(Analise!$D$2:D214,Analise!D214))</f>
        <v>106211080001-55_1</v>
      </c>
      <c r="C214" s="34">
        <f>COUNTIF('Obras e Acervos'!$C:$C,CONCATENATE(LEFT(D214,12),RIGHT(D214,2)))</f>
        <v>2</v>
      </c>
      <c r="D214" s="35" t="s">
        <v>4629</v>
      </c>
      <c r="E214" t="str">
        <f>VLOOKUP($B214,'Obras e Acervos'!$B:$X,3,0)</f>
        <v>EDITORA VIA LÁCTEA LTDA.-VIA LÁCTEA</v>
      </c>
      <c r="F214" t="str">
        <f>VLOOKUP($B214,'Obras e Acervos'!$B:$X,7,0)</f>
        <v>0423L23000030LE</v>
      </c>
      <c r="G214" t="str">
        <f>VLOOKUP($B214,'Obras e Acervos'!$B:$X,5,0)</f>
        <v>ALICE NO PAÍS DAS MARAVILHAS</v>
      </c>
      <c r="H214">
        <f>VLOOKUP($B214,'Obras e Acervos'!$B:$X,18,0)</f>
        <v>8</v>
      </c>
      <c r="I214">
        <f>VLOOKUP($B214,'Obras e Acervos'!$B:$X,19,0)</f>
        <v>41270</v>
      </c>
      <c r="J214" s="42">
        <f>VLOOKUP($B214,'Obras e Acervos'!$B:$X,20,0)</f>
        <v>8171.46</v>
      </c>
      <c r="K214" s="31">
        <f>VLOOKUP($B214,'Obras e Acervos'!$B:$X,21,0)</f>
        <v>10.43</v>
      </c>
      <c r="L214" s="31">
        <f t="shared" si="37"/>
        <v>430446.1</v>
      </c>
      <c r="M214" s="1">
        <v>46071</v>
      </c>
      <c r="N214" s="1">
        <f t="shared" si="36"/>
        <v>46305</v>
      </c>
      <c r="O214">
        <f t="shared" si="38"/>
        <v>235</v>
      </c>
      <c r="P214" s="49">
        <f t="shared" si="34"/>
        <v>7.833333333333333</v>
      </c>
      <c r="Q214" s="34">
        <f>VLOOKUP($G214,Agendamento!$B:$F,5,0)</f>
        <v>11</v>
      </c>
      <c r="R214" s="36">
        <f t="shared" si="39"/>
        <v>42</v>
      </c>
      <c r="S214" s="44">
        <v>2.5499999999999998</v>
      </c>
      <c r="T214" s="44">
        <f t="shared" si="40"/>
        <v>25168.5</v>
      </c>
      <c r="U214" t="s">
        <v>5088</v>
      </c>
      <c r="V214" t="str">
        <f t="shared" si="41"/>
        <v>NF/64238470_20260218_nf_07.pdf</v>
      </c>
      <c r="W214" s="32" t="str">
        <f t="shared" si="35"/>
        <v>NF - ALICE NO PAÍS DAS MARAVILHAS</v>
      </c>
      <c r="X214" t="s">
        <v>5591</v>
      </c>
    </row>
    <row r="215" spans="1:24" x14ac:dyDescent="0.25">
      <c r="A215" t="str">
        <f>CONCATENATE(D215,"_",TEXT(M215,"ddmmaaaa"),"_",COUNTIF($D$2:D215,D215))</f>
        <v>106211080001-55_18022026_2</v>
      </c>
      <c r="B215" t="str">
        <f>CONCATENATE(Analise!D215,"_",COUNTIF(Analise!$D$2:D215,Analise!D215))</f>
        <v>106211080001-55_2</v>
      </c>
      <c r="C215" s="34">
        <f>COUNTIF('Obras e Acervos'!$C:$C,CONCATENATE(LEFT(D215,12),RIGHT(D215,2)))</f>
        <v>2</v>
      </c>
      <c r="D215" s="35" t="s">
        <v>4629</v>
      </c>
      <c r="E215" t="str">
        <f>VLOOKUP($B215,'Obras e Acervos'!$B:$X,3,0)</f>
        <v>EDITORA VIA LÁCTEA LTDA.-VIA LÁCTEA</v>
      </c>
      <c r="F215" t="str">
        <f>VLOOKUP($B215,'Obras e Acervos'!$B:$X,7,0)</f>
        <v>0422L23000020LE</v>
      </c>
      <c r="G215" t="str">
        <f>VLOOKUP($B215,'Obras e Acervos'!$B:$X,5,0)</f>
        <v>111 POEMAS PARA CRIANÇAS</v>
      </c>
      <c r="H215">
        <f>VLOOKUP($B215,'Obras e Acervos'!$B:$X,18,0)</f>
        <v>13</v>
      </c>
      <c r="I215">
        <f>VLOOKUP($B215,'Obras e Acervos'!$B:$X,19,0)</f>
        <v>75298</v>
      </c>
      <c r="J215" s="42">
        <f>VLOOKUP($B215,'Obras e Acervos'!$B:$X,20,0)</f>
        <v>12348.872000000001</v>
      </c>
      <c r="K215" s="31">
        <f>VLOOKUP($B215,'Obras e Acervos'!$B:$X,21,0)</f>
        <v>10.31</v>
      </c>
      <c r="L215" s="31">
        <f t="shared" si="37"/>
        <v>776322.38</v>
      </c>
      <c r="M215" s="1">
        <v>46071</v>
      </c>
      <c r="N215" s="1">
        <f t="shared" si="36"/>
        <v>46305</v>
      </c>
      <c r="O215">
        <f t="shared" si="38"/>
        <v>235</v>
      </c>
      <c r="P215" s="49">
        <f t="shared" si="34"/>
        <v>7.833333333333333</v>
      </c>
      <c r="Q215" s="34">
        <f>VLOOKUP($G215,Agendamento!$B:$F,5,0)</f>
        <v>16</v>
      </c>
      <c r="R215" s="36">
        <f t="shared" si="39"/>
        <v>76</v>
      </c>
      <c r="S215" s="44">
        <v>2.5499999999999998</v>
      </c>
      <c r="T215" s="44">
        <f t="shared" si="40"/>
        <v>45543</v>
      </c>
      <c r="U215" t="s">
        <v>5088</v>
      </c>
      <c r="V215" t="str">
        <f t="shared" si="41"/>
        <v>NF/64238470_20260218_nf_07.pdf</v>
      </c>
      <c r="W215" s="32" t="str">
        <f t="shared" si="35"/>
        <v>NF - 111 POEMAS PARA CRIANÇAS</v>
      </c>
      <c r="X215" t="s">
        <v>5591</v>
      </c>
    </row>
    <row r="216" spans="1:24" x14ac:dyDescent="0.25">
      <c r="A216" t="str">
        <f>CONCATENATE(D216,"_",TEXT(M216,"ddmmaaaa"),"_",COUNTIF($D$2:D216,D216))</f>
        <v>220572610001-80_18022026_1</v>
      </c>
      <c r="B216" t="str">
        <f>CONCATENATE(Analise!D216,"_",COUNTIF(Analise!$D$2:D216,Analise!D216)+1)</f>
        <v>220572610001-80_2</v>
      </c>
      <c r="C216" s="34">
        <f>COUNTIF('Obras e Acervos'!$C:$C,CONCATENATE(LEFT(D216,12),RIGHT(D216,2)))</f>
        <v>2</v>
      </c>
      <c r="D216" s="35" t="s">
        <v>4630</v>
      </c>
      <c r="E216" t="str">
        <f>VLOOKUP($B216,'Obras e Acervos'!$B:$X,3,0)</f>
        <v>EDITORA BONIFÁCIO LTDA-</v>
      </c>
      <c r="F216" t="str">
        <f>VLOOKUP($B216,'Obras e Acervos'!$B:$X,7,0)</f>
        <v>0828L23000020LE</v>
      </c>
      <c r="G216" t="str">
        <f>VLOOKUP($B216,'Obras e Acervos'!$B:$X,5,0)</f>
        <v>ROBINSON</v>
      </c>
      <c r="H216">
        <f>VLOOKUP($B216,'Obras e Acervos'!$B:$X,18,0)</f>
        <v>22</v>
      </c>
      <c r="I216">
        <f>VLOOKUP($B216,'Obras e Acervos'!$B:$X,19,0)</f>
        <v>23889</v>
      </c>
      <c r="J216" s="42">
        <f>VLOOKUP($B216,'Obras e Acervos'!$B:$X,20,0)</f>
        <v>3702.7950000000001</v>
      </c>
      <c r="K216" s="31">
        <f>VLOOKUP($B216,'Obras e Acervos'!$B:$X,21,0)</f>
        <v>9.4</v>
      </c>
      <c r="L216" s="31">
        <f t="shared" si="37"/>
        <v>224556.6</v>
      </c>
      <c r="M216" s="1">
        <v>46071</v>
      </c>
      <c r="N216" s="1">
        <f t="shared" si="36"/>
        <v>46305</v>
      </c>
      <c r="O216">
        <f t="shared" si="38"/>
        <v>235</v>
      </c>
      <c r="P216" s="49">
        <f t="shared" si="34"/>
        <v>7.833333333333333</v>
      </c>
      <c r="Q216" s="34">
        <f>VLOOKUP($G216,Agendamento!$B:$F,5,0)</f>
        <v>6</v>
      </c>
      <c r="R216" s="36">
        <f t="shared" si="39"/>
        <v>24</v>
      </c>
      <c r="S216" s="44">
        <v>2.5499999999999998</v>
      </c>
      <c r="T216" s="44">
        <f t="shared" si="40"/>
        <v>14381.999999999998</v>
      </c>
      <c r="U216" t="s">
        <v>5089</v>
      </c>
      <c r="V216" t="str">
        <f t="shared" si="41"/>
        <v>NF/64238470_20260218_nf_08.pdf</v>
      </c>
      <c r="W216" s="32" t="str">
        <f t="shared" si="35"/>
        <v>NF - ROBINSON</v>
      </c>
      <c r="X216" t="s">
        <v>5591</v>
      </c>
    </row>
    <row r="217" spans="1:24" x14ac:dyDescent="0.25">
      <c r="A217" t="str">
        <f>CONCATENATE(D217,"_",TEXT(M217,"ddmmaaaa"),"_",COUNTIF($D$2:D217,D217))</f>
        <v>074274340001-11_18022026_1</v>
      </c>
      <c r="B217" t="str">
        <f>CONCATENATE(Analise!D217,"_",COUNTIF(Analise!$D$2:D217,Analise!D217)+1)</f>
        <v>074274340001-11_2</v>
      </c>
      <c r="C217" s="34">
        <f>COUNTIF('Obras e Acervos'!$C:$C,CONCATENATE(LEFT(D217,12),RIGHT(D217,2)))</f>
        <v>2</v>
      </c>
      <c r="D217" s="35" t="s">
        <v>4633</v>
      </c>
      <c r="E217" t="str">
        <f>VLOOKUP($B217,'Obras e Acervos'!$B:$X,3,0)</f>
        <v>EDITORA CLARO ENIGMA LTDA-</v>
      </c>
      <c r="F217" t="str">
        <f>VLOOKUP($B217,'Obras e Acervos'!$B:$X,7,0)</f>
        <v>0475L23000020LE</v>
      </c>
      <c r="G217" t="str">
        <f>VLOOKUP($B217,'Obras e Acervos'!$B:$X,5,0)</f>
        <v>MORTINA: UMA HISTÓRIA QUE VAI FAZER VOCÊ MORRER... DE RIR!</v>
      </c>
      <c r="H217">
        <f>VLOOKUP($B217,'Obras e Acervos'!$B:$X,18,0)</f>
        <v>18</v>
      </c>
      <c r="I217">
        <f>VLOOKUP($B217,'Obras e Acervos'!$B:$X,19,0)</f>
        <v>28123</v>
      </c>
      <c r="J217" s="42">
        <f>VLOOKUP($B217,'Obras e Acervos'!$B:$X,20,0)</f>
        <v>2137.348</v>
      </c>
      <c r="K217" s="31">
        <f>VLOOKUP($B217,'Obras e Acervos'!$B:$X,21,0)</f>
        <v>7.28</v>
      </c>
      <c r="L217" s="31">
        <f t="shared" si="37"/>
        <v>204735.44</v>
      </c>
      <c r="M217" s="1">
        <v>46071</v>
      </c>
      <c r="N217" s="1">
        <f t="shared" si="36"/>
        <v>46305</v>
      </c>
      <c r="O217">
        <f t="shared" si="38"/>
        <v>235</v>
      </c>
      <c r="P217" s="49">
        <f t="shared" si="34"/>
        <v>7.833333333333333</v>
      </c>
      <c r="Q217" s="34">
        <f>VLOOKUP($G217,Agendamento!$B:$F,5,0)</f>
        <v>3</v>
      </c>
      <c r="R217" s="36">
        <f t="shared" si="39"/>
        <v>29</v>
      </c>
      <c r="S217" s="44">
        <v>2.5499999999999998</v>
      </c>
      <c r="T217" s="44">
        <f t="shared" si="40"/>
        <v>17378.25</v>
      </c>
      <c r="U217" t="s">
        <v>5094</v>
      </c>
      <c r="V217" t="str">
        <f t="shared" si="41"/>
        <v>NF/64238470_20260218_nf_09.pdf</v>
      </c>
      <c r="W217" s="32" t="str">
        <f t="shared" si="35"/>
        <v>NF - MORTINA: UMA HISTÓRIA QUE VAI FAZER VOCÊ MORRER... DE RIR!</v>
      </c>
      <c r="X217" t="s">
        <v>5591</v>
      </c>
    </row>
    <row r="218" spans="1:24" x14ac:dyDescent="0.25">
      <c r="A218" t="str">
        <f>CONCATENATE(D218,"_",TEXT(M218,"ddmmaaaa"),"_",COUNTIF($D$2:D218,D218))</f>
        <v>089816910001-63_18022026_1</v>
      </c>
      <c r="B218" t="str">
        <f>CONCATENATE(Analise!D218,"_",COUNTIF(Analise!$D$2:D218,Analise!D218))</f>
        <v>089816910001-63_1</v>
      </c>
      <c r="C218" s="34">
        <f>COUNTIF('Obras e Acervos'!$C:$C,CONCATENATE(LEFT(D218,12),RIGHT(D218,2)))</f>
        <v>2</v>
      </c>
      <c r="D218" s="35" t="s">
        <v>4627</v>
      </c>
      <c r="E218" t="str">
        <f>VLOOKUP($B218,'Obras e Acervos'!$B:$X,3,0)</f>
        <v>LIVRARIA CORTEZ LTDA-LIVRARIA CORTEZ</v>
      </c>
      <c r="F218" t="str">
        <f>VLOOKUP($B218,'Obras e Acervos'!$B:$X,7,0)</f>
        <v>0310L23000030LE</v>
      </c>
      <c r="G218" t="str">
        <f>VLOOKUP($B218,'Obras e Acervos'!$B:$X,5,0)</f>
        <v>BRINCADEIRAS DE LETRINHAS</v>
      </c>
      <c r="H218">
        <f>VLOOKUP($B218,'Obras e Acervos'!$B:$X,18,0)</f>
        <v>8</v>
      </c>
      <c r="I218">
        <f>VLOOKUP($B218,'Obras e Acervos'!$B:$X,19,0)</f>
        <v>35240</v>
      </c>
      <c r="J218" s="42">
        <f>VLOOKUP($B218,'Obras e Acervos'!$B:$X,20,0)</f>
        <v>3524</v>
      </c>
      <c r="K218" s="31">
        <f>VLOOKUP($B218,'Obras e Acervos'!$B:$X,21,0)</f>
        <v>5.89</v>
      </c>
      <c r="L218" s="31">
        <f t="shared" si="37"/>
        <v>207563.59999999998</v>
      </c>
      <c r="M218" s="1">
        <v>46071</v>
      </c>
      <c r="N218" s="1">
        <f t="shared" si="36"/>
        <v>46305</v>
      </c>
      <c r="O218">
        <f t="shared" si="38"/>
        <v>235</v>
      </c>
      <c r="P218" s="49">
        <f t="shared" si="34"/>
        <v>7.833333333333333</v>
      </c>
      <c r="Q218" s="34">
        <f>VLOOKUP($G218,Agendamento!$B:$F,5,0)</f>
        <v>5</v>
      </c>
      <c r="R218" s="36">
        <f t="shared" si="39"/>
        <v>36</v>
      </c>
      <c r="S218" s="44">
        <v>2.5499999999999998</v>
      </c>
      <c r="T218" s="44">
        <f t="shared" si="40"/>
        <v>21573</v>
      </c>
      <c r="U218" t="s">
        <v>5085</v>
      </c>
      <c r="V218" t="str">
        <f t="shared" si="41"/>
        <v>NF/64238470_20260218_nf_10.pdf</v>
      </c>
      <c r="W218" s="32" t="str">
        <f t="shared" si="35"/>
        <v>NF - BRINCADEIRAS DE LETRINHAS</v>
      </c>
      <c r="X218" t="s">
        <v>5591</v>
      </c>
    </row>
    <row r="219" spans="1:24" x14ac:dyDescent="0.25">
      <c r="A219" t="str">
        <f>CONCATENATE(D219,"_",TEXT(M219,"ddmmaaaa"),"_",COUNTIF($D$2:D219,D219))</f>
        <v>089816910001-63_18022026_2</v>
      </c>
      <c r="B219" t="str">
        <f>CONCATENATE(Analise!D219,"_",COUNTIF(Analise!$D$2:D219,Analise!D219))</f>
        <v>089816910001-63_2</v>
      </c>
      <c r="C219" s="34">
        <f>COUNTIF('Obras e Acervos'!$C:$C,CONCATENATE(LEFT(D219,12),RIGHT(D219,2)))</f>
        <v>2</v>
      </c>
      <c r="D219" s="35" t="s">
        <v>4627</v>
      </c>
      <c r="E219" t="str">
        <f>VLOOKUP($B219,'Obras e Acervos'!$B:$X,3,0)</f>
        <v>LIVRARIA CORTEZ LTDA-LIVRARIA CORTEZ</v>
      </c>
      <c r="F219" t="str">
        <f>VLOOKUP($B219,'Obras e Acervos'!$B:$X,7,0)</f>
        <v>0311L23000020LE</v>
      </c>
      <c r="G219" t="str">
        <f>VLOOKUP($B219,'Obras e Acervos'!$B:$X,5,0)</f>
        <v>LÁPIS NOVOS PARA TODOS OS POVOS</v>
      </c>
      <c r="H219">
        <f>VLOOKUP($B219,'Obras e Acervos'!$B:$X,18,0)</f>
        <v>14</v>
      </c>
      <c r="I219">
        <f>VLOOKUP($B219,'Obras e Acervos'!$B:$X,19,0)</f>
        <v>32894</v>
      </c>
      <c r="J219" s="42">
        <f>VLOOKUP($B219,'Obras e Acervos'!$B:$X,20,0)</f>
        <v>2960.46</v>
      </c>
      <c r="K219" s="31">
        <f>VLOOKUP($B219,'Obras e Acervos'!$B:$X,21,0)</f>
        <v>5.52</v>
      </c>
      <c r="L219" s="31">
        <f t="shared" si="37"/>
        <v>181574.87999999998</v>
      </c>
      <c r="M219" s="1">
        <v>46071</v>
      </c>
      <c r="N219" s="1">
        <f t="shared" si="36"/>
        <v>46305</v>
      </c>
      <c r="O219">
        <f t="shared" si="38"/>
        <v>235</v>
      </c>
      <c r="P219" s="49">
        <f t="shared" si="34"/>
        <v>7.833333333333333</v>
      </c>
      <c r="Q219" s="34">
        <f>VLOOKUP($G219,Agendamento!$B:$F,5,0)</f>
        <v>4</v>
      </c>
      <c r="R219" s="36">
        <f t="shared" si="39"/>
        <v>33</v>
      </c>
      <c r="S219" s="44">
        <v>2.5499999999999998</v>
      </c>
      <c r="T219" s="44">
        <f t="shared" si="40"/>
        <v>19775.25</v>
      </c>
      <c r="U219" t="s">
        <v>5085</v>
      </c>
      <c r="V219" t="str">
        <f t="shared" si="41"/>
        <v>NF/64238470_20260218_nf_10.pdf</v>
      </c>
      <c r="W219" s="32" t="str">
        <f t="shared" si="35"/>
        <v>NF - LÁPIS NOVOS PARA TODOS OS POVOS</v>
      </c>
      <c r="X219" t="s">
        <v>5591</v>
      </c>
    </row>
    <row r="220" spans="1:24" x14ac:dyDescent="0.25">
      <c r="A220" t="str">
        <f>CONCATENATE(D220,"_",TEXT(M220,"ddmmaaaa"),"_",COUNTIF($D$2:D220,D220))</f>
        <v>505879300001-61_18022026_1</v>
      </c>
      <c r="B220" t="str">
        <f>CONCATENATE(Analise!D220,"_",COUNTIF(Analise!$D$2:D220,Analise!D220)+1)</f>
        <v>505879300001-61_2</v>
      </c>
      <c r="C220" s="34">
        <f>COUNTIF('Obras e Acervos'!$C:$C,CONCATENATE(LEFT(D220,12),RIGHT(D220,2)))</f>
        <v>2</v>
      </c>
      <c r="D220" s="35" t="s">
        <v>4621</v>
      </c>
      <c r="E220" t="str">
        <f>VLOOKUP($B220,'Obras e Acervos'!$B:$X,3,0)</f>
        <v>EDITORA DE CULTURA LTDA-EDITORA DE CULTURA LTDA</v>
      </c>
      <c r="F220" t="str">
        <f>VLOOKUP($B220,'Obras e Acervos'!$B:$X,7,0)</f>
        <v>1127L23000020LE</v>
      </c>
      <c r="G220" t="str">
        <f>VLOOKUP($B220,'Obras e Acervos'!$B:$X,5,0)</f>
        <v>O CAVALEIRO DE PRATA</v>
      </c>
      <c r="H220">
        <f>VLOOKUP($B220,'Obras e Acervos'!$B:$X,18,0)</f>
        <v>19</v>
      </c>
      <c r="I220">
        <f>VLOOKUP($B220,'Obras e Acervos'!$B:$X,19,0)</f>
        <v>24331</v>
      </c>
      <c r="J220" s="42">
        <f>VLOOKUP($B220,'Obras e Acervos'!$B:$X,20,0)</f>
        <v>4379.58</v>
      </c>
      <c r="K220" s="31">
        <f>VLOOKUP($B220,'Obras e Acervos'!$B:$X,21,0)</f>
        <v>9.5</v>
      </c>
      <c r="L220" s="31">
        <f t="shared" si="37"/>
        <v>231144.5</v>
      </c>
      <c r="M220" s="1">
        <v>46071</v>
      </c>
      <c r="N220" s="1">
        <f t="shared" si="36"/>
        <v>46305</v>
      </c>
      <c r="O220">
        <f t="shared" si="38"/>
        <v>235</v>
      </c>
      <c r="P220" s="49">
        <f t="shared" si="34"/>
        <v>7.833333333333333</v>
      </c>
      <c r="Q220" s="34">
        <f>VLOOKUP($G220,Agendamento!$B:$F,5,0)</f>
        <v>7</v>
      </c>
      <c r="R220" s="36">
        <f t="shared" si="39"/>
        <v>25</v>
      </c>
      <c r="S220" s="44">
        <v>2.5499999999999998</v>
      </c>
      <c r="T220" s="44">
        <f t="shared" si="40"/>
        <v>14981.249999999998</v>
      </c>
      <c r="U220" t="s">
        <v>5079</v>
      </c>
      <c r="V220" t="str">
        <f t="shared" si="41"/>
        <v>NF/64238470_20260218_nf_11.pdf</v>
      </c>
      <c r="W220" s="32" t="str">
        <f t="shared" si="35"/>
        <v>NF - O CAVALEIRO DE PRATA</v>
      </c>
      <c r="X220" t="s">
        <v>5591</v>
      </c>
    </row>
    <row r="221" spans="1:24" x14ac:dyDescent="0.25">
      <c r="A221" t="str">
        <f>CONCATENATE(D221,"_",TEXT(M221,"ddmmaaaa"),"_",COUNTIF($D$2:D221,D221))</f>
        <v>275669510001-89_18022026_1</v>
      </c>
      <c r="B221" t="str">
        <f>CONCATENATE(Analise!D221,"_",COUNTIF(Analise!$D$2:D221,Analise!D221))</f>
        <v>275669510001-89_1</v>
      </c>
      <c r="C221" s="34">
        <f>COUNTIF('Obras e Acervos'!$C:$C,CONCATENATE(LEFT(D221,12),RIGHT(D221,2)))</f>
        <v>2</v>
      </c>
      <c r="D221" s="35" t="s">
        <v>4628</v>
      </c>
      <c r="E221" t="str">
        <f>VLOOKUP($B221,'Obras e Acervos'!$B:$X,3,0)</f>
        <v>DOCES HISTÓRIAS LTDA - ME-DOCES HISTÓRIAS</v>
      </c>
      <c r="F221" t="str">
        <f>VLOOKUP($B221,'Obras e Acervos'!$B:$X,7,0)</f>
        <v>1085L23000030LE</v>
      </c>
      <c r="G221" t="str">
        <f>VLOOKUP($B221,'Obras e Acervos'!$B:$X,5,0)</f>
        <v>A RAPOSA E AS UVAS</v>
      </c>
      <c r="H221">
        <f>VLOOKUP($B221,'Obras e Acervos'!$B:$X,18,0)</f>
        <v>9</v>
      </c>
      <c r="I221">
        <f>VLOOKUP($B221,'Obras e Acervos'!$B:$X,19,0)</f>
        <v>36431</v>
      </c>
      <c r="J221" s="42">
        <f>VLOOKUP($B221,'Obras e Acervos'!$B:$X,20,0)</f>
        <v>3643.1000000000004</v>
      </c>
      <c r="K221" s="31">
        <f>VLOOKUP($B221,'Obras e Acervos'!$B:$X,21,0)</f>
        <v>5.85</v>
      </c>
      <c r="L221" s="31">
        <f t="shared" si="37"/>
        <v>213121.34999999998</v>
      </c>
      <c r="M221" s="1">
        <v>46071</v>
      </c>
      <c r="N221" s="1">
        <f t="shared" si="36"/>
        <v>46305</v>
      </c>
      <c r="O221">
        <f t="shared" si="38"/>
        <v>235</v>
      </c>
      <c r="P221" s="49">
        <f t="shared" si="34"/>
        <v>7.833333333333333</v>
      </c>
      <c r="Q221" s="34">
        <f>VLOOKUP($G221,Agendamento!$B:$F,5,0)</f>
        <v>5</v>
      </c>
      <c r="R221" s="36">
        <f t="shared" si="39"/>
        <v>37</v>
      </c>
      <c r="S221" s="44">
        <v>2.5499999999999998</v>
      </c>
      <c r="T221" s="44">
        <f t="shared" si="40"/>
        <v>22172.25</v>
      </c>
      <c r="U221" t="s">
        <v>5087</v>
      </c>
      <c r="V221" t="str">
        <f t="shared" si="41"/>
        <v>NF/64238470_20260218_nf_12.pdf</v>
      </c>
      <c r="W221" s="32" t="str">
        <f t="shared" si="35"/>
        <v>NF - A RAPOSA E AS UVAS</v>
      </c>
      <c r="X221" t="s">
        <v>5591</v>
      </c>
    </row>
    <row r="222" spans="1:24" x14ac:dyDescent="0.25">
      <c r="A222" t="str">
        <f>CONCATENATE(D222,"_",TEXT(M222,"ddmmaaaa"),"_",COUNTIF($D$2:D222,D222))</f>
        <v>275669510001-89_18022026_2</v>
      </c>
      <c r="B222" t="str">
        <f>CONCATENATE(Analise!D222,"_",COUNTIF(Analise!$D$2:D222,Analise!D222))</f>
        <v>275669510001-89_2</v>
      </c>
      <c r="C222" s="34">
        <f>COUNTIF('Obras e Acervos'!$C:$C,CONCATENATE(LEFT(D222,12),RIGHT(D222,2)))</f>
        <v>2</v>
      </c>
      <c r="D222" s="35" t="s">
        <v>4628</v>
      </c>
      <c r="E222" t="str">
        <f>VLOOKUP($B222,'Obras e Acervos'!$B:$X,3,0)</f>
        <v>DOCES HISTÓRIAS LTDA - ME-DOCES HISTÓRIAS</v>
      </c>
      <c r="F222" t="str">
        <f>VLOOKUP($B222,'Obras e Acervos'!$B:$X,7,0)</f>
        <v>1086L23000020LE</v>
      </c>
      <c r="G222" t="str">
        <f>VLOOKUP($B222,'Obras e Acervos'!$B:$X,5,0)</f>
        <v>O LIXO QUE VIRA LUXO</v>
      </c>
      <c r="H222">
        <f>VLOOKUP($B222,'Obras e Acervos'!$B:$X,18,0)</f>
        <v>12</v>
      </c>
      <c r="I222">
        <f>VLOOKUP($B222,'Obras e Acervos'!$B:$X,19,0)</f>
        <v>52628</v>
      </c>
      <c r="J222" s="42">
        <f>VLOOKUP($B222,'Obras e Acervos'!$B:$X,20,0)</f>
        <v>5262.8</v>
      </c>
      <c r="K222" s="31">
        <f>VLOOKUP($B222,'Obras e Acervos'!$B:$X,21,0)</f>
        <v>4.6100000000000003</v>
      </c>
      <c r="L222" s="31">
        <f t="shared" si="37"/>
        <v>242615.08000000002</v>
      </c>
      <c r="M222" s="1">
        <v>46071</v>
      </c>
      <c r="N222" s="1">
        <f t="shared" si="36"/>
        <v>46305</v>
      </c>
      <c r="O222">
        <f t="shared" si="38"/>
        <v>235</v>
      </c>
      <c r="P222" s="49">
        <f t="shared" si="34"/>
        <v>7.833333333333333</v>
      </c>
      <c r="Q222" s="34">
        <f>VLOOKUP($G222,Agendamento!$B:$F,5,0)</f>
        <v>7</v>
      </c>
      <c r="R222" s="36">
        <f t="shared" si="39"/>
        <v>53</v>
      </c>
      <c r="S222" s="44">
        <v>2.5499999999999998</v>
      </c>
      <c r="T222" s="44">
        <f t="shared" si="40"/>
        <v>31760.249999999996</v>
      </c>
      <c r="U222" t="s">
        <v>5087</v>
      </c>
      <c r="V222" t="str">
        <f t="shared" si="41"/>
        <v>NF/64238470_20260218_nf_12.pdf</v>
      </c>
      <c r="W222" s="32" t="str">
        <f t="shared" si="35"/>
        <v>NF - O LIXO QUE VIRA LUXO</v>
      </c>
      <c r="X222" t="s">
        <v>5591</v>
      </c>
    </row>
    <row r="223" spans="1:24" x14ac:dyDescent="0.25">
      <c r="A223" t="str">
        <f>CONCATENATE(D223,"_",TEXT(M223,"ddmmaaaa"),"_",COUNTIF($D$2:D223,D223))</f>
        <v>421713730001-75_18022026_1</v>
      </c>
      <c r="B223" t="str">
        <f>CONCATENATE(Analise!D223,"_",COUNTIF(Analise!$D$2:D223,Analise!D223))</f>
        <v>421713730001-75_1</v>
      </c>
      <c r="C223" s="34">
        <f>COUNTIF('Obras e Acervos'!$C:$C,CONCATENATE(LEFT(D223,12),RIGHT(D223,2)))</f>
        <v>1</v>
      </c>
      <c r="D223" s="35" t="s">
        <v>5753</v>
      </c>
      <c r="E223" t="str">
        <f>VLOOKUP($B223,'Obras e Acervos'!$B:$X,3,0)</f>
        <v>EDITORA IMMANUEL KANT LTDA-KANT EDITORIAL</v>
      </c>
      <c r="F223" t="str">
        <f>VLOOKUP($B223,'Obras e Acervos'!$B:$X,7,0)</f>
        <v>0430L23000020LE</v>
      </c>
      <c r="G223" t="str">
        <f>VLOOKUP($B223,'Obras e Acervos'!$B:$X,5,0)</f>
        <v>HUGO GÊ - OS GUARDIÕES DE ASTERION</v>
      </c>
      <c r="H223">
        <f>VLOOKUP($B223,'Obras e Acervos'!$B:$X,18,0)</f>
        <v>20</v>
      </c>
      <c r="I223">
        <f>VLOOKUP($B223,'Obras e Acervos'!$B:$X,19,0)</f>
        <v>26244</v>
      </c>
      <c r="J223" s="42">
        <f>VLOOKUP($B223,'Obras e Acervos'!$B:$X,20,0)</f>
        <v>7873.2</v>
      </c>
      <c r="K223" s="31">
        <f>VLOOKUP($B223,'Obras e Acervos'!$B:$X,21,0)</f>
        <v>11.15</v>
      </c>
      <c r="L223" s="31">
        <f t="shared" si="37"/>
        <v>292620.60000000003</v>
      </c>
      <c r="M223" s="1">
        <v>46071</v>
      </c>
      <c r="N223" s="1">
        <f t="shared" si="36"/>
        <v>46305</v>
      </c>
      <c r="O223">
        <f t="shared" si="38"/>
        <v>235</v>
      </c>
      <c r="P223" s="49">
        <f t="shared" si="34"/>
        <v>7.833333333333333</v>
      </c>
      <c r="Q223" s="34">
        <f>VLOOKUP($G223,Agendamento!$B:$F,5,0)</f>
        <v>18</v>
      </c>
      <c r="R223" s="36">
        <f t="shared" si="39"/>
        <v>27</v>
      </c>
      <c r="S223" s="44">
        <v>2.5499999999999998</v>
      </c>
      <c r="T223" s="44">
        <f t="shared" si="40"/>
        <v>16179.749999999998</v>
      </c>
      <c r="U223" t="s">
        <v>5086</v>
      </c>
      <c r="V223" t="str">
        <f t="shared" si="41"/>
        <v>NF/64238470_20260218_nf_13.pdf</v>
      </c>
      <c r="W223" s="32" t="str">
        <f t="shared" si="35"/>
        <v>NF - HUGO GÊ - OS GUARDIÕES DE ASTERION</v>
      </c>
      <c r="X223" t="s">
        <v>5591</v>
      </c>
    </row>
    <row r="224" spans="1:24" x14ac:dyDescent="0.25">
      <c r="A224" t="str">
        <f>CONCATENATE(D224,"_",TEXT(M224,"ddmmaaaa"),"_",COUNTIF($D$2:D224,D224))</f>
        <v>284343540001-63_18022026_1</v>
      </c>
      <c r="B224" t="str">
        <f>CONCATENATE(Analise!D224,"_",COUNTIF(Analise!$D$2:D224,Analise!D224))</f>
        <v>284343540001-63_1</v>
      </c>
      <c r="C224" s="34">
        <f>COUNTIF('Obras e Acervos'!$C:$C,CONCATENATE(LEFT(D224,12),RIGHT(D224,2)))</f>
        <v>1</v>
      </c>
      <c r="D224" s="35" t="s">
        <v>4624</v>
      </c>
      <c r="E224" t="str">
        <f>VLOOKUP($B224,'Obras e Acervos'!$B:$X,3,0)</f>
        <v>EDITORA SALTO GRANDE LTDA-EDIÇÕES RONIN LTDA</v>
      </c>
      <c r="F224" t="str">
        <f>VLOOKUP($B224,'Obras e Acervos'!$B:$X,7,0)</f>
        <v>0300L23000020LE</v>
      </c>
      <c r="G224" t="str">
        <f>VLOOKUP($B224,'Obras e Acervos'!$B:$X,5,0)</f>
        <v>LUTZ E GANDALINA CONTRA O CROCODILO ALADO DE SALONE</v>
      </c>
      <c r="H224">
        <f>VLOOKUP($B224,'Obras e Acervos'!$B:$X,18,0)</f>
        <v>18</v>
      </c>
      <c r="I224">
        <f>VLOOKUP($B224,'Obras e Acervos'!$B:$X,19,0)</f>
        <v>45849</v>
      </c>
      <c r="J224" s="42">
        <f>VLOOKUP($B224,'Obras e Acervos'!$B:$X,20,0)</f>
        <v>13754.699999999999</v>
      </c>
      <c r="K224" s="31">
        <f>VLOOKUP($B224,'Obras e Acervos'!$B:$X,21,0)</f>
        <v>8.9700000000000006</v>
      </c>
      <c r="L224" s="31">
        <f t="shared" si="37"/>
        <v>411265.53</v>
      </c>
      <c r="M224" s="1">
        <v>46071</v>
      </c>
      <c r="N224" s="1">
        <f t="shared" si="36"/>
        <v>46305</v>
      </c>
      <c r="O224">
        <f t="shared" si="38"/>
        <v>235</v>
      </c>
      <c r="P224" s="49">
        <f t="shared" si="34"/>
        <v>7.833333333333333</v>
      </c>
      <c r="Q224" s="34">
        <f>VLOOKUP($G224,Agendamento!$B:$F,5,0)</f>
        <v>15</v>
      </c>
      <c r="R224" s="36">
        <f t="shared" si="39"/>
        <v>46</v>
      </c>
      <c r="S224" s="44">
        <v>2.5499999999999998</v>
      </c>
      <c r="T224" s="44">
        <f t="shared" si="40"/>
        <v>27565.499999999996</v>
      </c>
      <c r="U224" t="s">
        <v>5082</v>
      </c>
      <c r="V224" t="str">
        <f t="shared" si="41"/>
        <v>NF/64238470_20260218_nf_14.pdf</v>
      </c>
      <c r="W224" s="32" t="str">
        <f t="shared" si="35"/>
        <v>NF - LUTZ E GANDALINA CONTRA O CROCODILO ALADO DE SALONE</v>
      </c>
      <c r="X224" t="s">
        <v>5591</v>
      </c>
    </row>
    <row r="225" spans="1:24" x14ac:dyDescent="0.25">
      <c r="A225" t="str">
        <f>CONCATENATE(D225,"_",TEXT(M225,"ddmmaaaa"),"_",COUNTIF($D$2:D225,D225))</f>
        <v>038785170001-76_18022026_1</v>
      </c>
      <c r="B225" t="str">
        <f>CONCATENATE(Analise!D225,"_",COUNTIF(Analise!$D$2:D225,Analise!D225))</f>
        <v>038785170001-76_1</v>
      </c>
      <c r="C225" s="34">
        <f>COUNTIF('Obras e Acervos'!$C:$C,CONCATENATE(LEFT(D225,12),RIGHT(D225,2)))</f>
        <v>1</v>
      </c>
      <c r="D225" s="35" t="s">
        <v>4635</v>
      </c>
      <c r="E225" t="str">
        <f>VLOOKUP($B225,'Obras e Acervos'!$B:$X,3,0)</f>
        <v>ARTLIVROS DISTRIBUIÇÃO EDITORIAL LTDA-</v>
      </c>
      <c r="F225" t="str">
        <f>VLOOKUP($B225,'Obras e Acervos'!$B:$X,7,0)</f>
        <v>0914L23000030LE</v>
      </c>
      <c r="G225" t="str">
        <f>VLOOKUP($B225,'Obras e Acervos'!$B:$X,5,0)</f>
        <v>O MENINO QUE VENDIA PALAVRAS</v>
      </c>
      <c r="H225">
        <f>VLOOKUP($B225,'Obras e Acervos'!$B:$X,18,0)</f>
        <v>7</v>
      </c>
      <c r="I225">
        <f>VLOOKUP($B225,'Obras e Acervos'!$B:$X,19,0)</f>
        <v>43145</v>
      </c>
      <c r="J225" s="42">
        <f>VLOOKUP($B225,'Obras e Acervos'!$B:$X,20,0)</f>
        <v>7464.0849999999991</v>
      </c>
      <c r="K225" s="31">
        <f>VLOOKUP($B225,'Obras e Acervos'!$B:$X,21,0)</f>
        <v>8.23</v>
      </c>
      <c r="L225" s="31">
        <f t="shared" si="37"/>
        <v>355083.35000000003</v>
      </c>
      <c r="M225" s="1">
        <v>46071</v>
      </c>
      <c r="N225" s="1">
        <f t="shared" si="36"/>
        <v>46305</v>
      </c>
      <c r="O225">
        <f t="shared" si="38"/>
        <v>235</v>
      </c>
      <c r="P225" s="49">
        <f t="shared" si="34"/>
        <v>7.833333333333333</v>
      </c>
      <c r="Q225" s="34">
        <f>VLOOKUP($G225,Agendamento!$B:$F,5,0)</f>
        <v>9</v>
      </c>
      <c r="R225" s="36">
        <f t="shared" si="39"/>
        <v>44</v>
      </c>
      <c r="S225" s="44">
        <v>2.5499999999999998</v>
      </c>
      <c r="T225" s="44">
        <f t="shared" si="40"/>
        <v>26366.999999999996</v>
      </c>
      <c r="U225" t="s">
        <v>5096</v>
      </c>
      <c r="V225" t="str">
        <f t="shared" si="41"/>
        <v>NF/64238470_20260218_nf_16.pdf</v>
      </c>
      <c r="W225" s="32" t="str">
        <f t="shared" si="35"/>
        <v>NF - O MENINO QUE VENDIA PALAVRAS</v>
      </c>
      <c r="X225" t="s">
        <v>5591</v>
      </c>
    </row>
    <row r="226" spans="1:24" x14ac:dyDescent="0.25">
      <c r="A226" t="str">
        <f>CONCATENATE(D226,"_",TEXT(M226,"ddmmaaaa"),"_",COUNTIF($D$2:D226,D226))</f>
        <v>505879300001-61_18022026_2</v>
      </c>
      <c r="B226" t="str">
        <f>CONCATENATE(Analise!D226,"_",COUNTIF(Analise!$D$2:D226,Analise!D226)-1)</f>
        <v>505879300001-61_1</v>
      </c>
      <c r="C226" s="34">
        <f>COUNTIF('Obras e Acervos'!$C:$C,CONCATENATE(LEFT(D226,12),RIGHT(D226,2)))</f>
        <v>2</v>
      </c>
      <c r="D226" s="35" t="s">
        <v>4621</v>
      </c>
      <c r="E226" t="str">
        <f>VLOOKUP($B226,'Obras e Acervos'!$B:$X,3,0)</f>
        <v>EDITORA DE CULTURA LTDA-EDITORA DE CULTURA LTDA</v>
      </c>
      <c r="F226" t="str">
        <f>VLOOKUP($B226,'Obras e Acervos'!$B:$X,7,0)</f>
        <v>1126L23000030LE</v>
      </c>
      <c r="G226" t="str">
        <f>VLOOKUP($B226,'Obras e Acervos'!$B:$X,5,0)</f>
        <v>O BLACK POWER DE AKIN</v>
      </c>
      <c r="H226">
        <f>VLOOKUP($B226,'Obras e Acervos'!$B:$X,18,0)</f>
        <v>5</v>
      </c>
      <c r="I226">
        <f>VLOOKUP($B226,'Obras e Acervos'!$B:$X,19,0)</f>
        <v>48770</v>
      </c>
      <c r="J226" s="42">
        <f>VLOOKUP($B226,'Obras e Acervos'!$B:$X,20,0)</f>
        <v>4681.92</v>
      </c>
      <c r="K226" s="31">
        <f>VLOOKUP($B226,'Obras e Acervos'!$B:$X,21,0)</f>
        <v>5.33</v>
      </c>
      <c r="L226" s="31">
        <f t="shared" si="37"/>
        <v>259944.1</v>
      </c>
      <c r="M226" s="1">
        <v>46071</v>
      </c>
      <c r="N226" s="1">
        <f t="shared" si="36"/>
        <v>46305</v>
      </c>
      <c r="O226">
        <f t="shared" si="38"/>
        <v>235</v>
      </c>
      <c r="P226" s="49">
        <f t="shared" si="34"/>
        <v>7.833333333333333</v>
      </c>
      <c r="Q226" s="34">
        <f>VLOOKUP($G226,Agendamento!$B:$F,5,0)</f>
        <v>8</v>
      </c>
      <c r="R226" s="36">
        <f t="shared" si="39"/>
        <v>49</v>
      </c>
      <c r="S226" s="44">
        <v>2.5499999999999998</v>
      </c>
      <c r="T226" s="44">
        <f t="shared" si="40"/>
        <v>29363.249999999996</v>
      </c>
      <c r="U226" t="s">
        <v>5090</v>
      </c>
      <c r="V226" t="str">
        <f t="shared" si="41"/>
        <v>NF/64238470_20260218_nf_17.pdf</v>
      </c>
      <c r="W226" s="32" t="str">
        <f t="shared" si="35"/>
        <v>NF - O BLACK POWER DE AKIN</v>
      </c>
      <c r="X226" t="s">
        <v>5591</v>
      </c>
    </row>
    <row r="227" spans="1:24" x14ac:dyDescent="0.25">
      <c r="A227" t="str">
        <f>CONCATENATE(D227,"_",TEXT(M227,"ddmmaaaa"),"_",COUNTIF($D$2:D227,D227))</f>
        <v>263107240001-25_18022026_1</v>
      </c>
      <c r="B227" t="str">
        <f>CONCATENATE(Analise!D227,"_",COUNTIF(Analise!$D$2:D227,Analise!D227))</f>
        <v>263107240001-25_1</v>
      </c>
      <c r="C227" s="34">
        <f>COUNTIF('Obras e Acervos'!$C:$C,CONCATENATE(LEFT(D227,12),RIGHT(D227,2)))</f>
        <v>2</v>
      </c>
      <c r="D227" s="35" t="s">
        <v>4634</v>
      </c>
      <c r="E227" t="str">
        <f>VLOOKUP($B227,'Obras e Acervos'!$B:$X,3,0)</f>
        <v>SERGIO RICARDO ALVES PRODUÇÃO EDITORIAL - EIRELI ME-CARAMINHOCA</v>
      </c>
      <c r="F227" t="str">
        <f>VLOOKUP($B227,'Obras e Acervos'!$B:$X,7,0)</f>
        <v>0932L23000030LE</v>
      </c>
      <c r="G227" t="str">
        <f>VLOOKUP($B227,'Obras e Acervos'!$B:$X,5,0)</f>
        <v>MARIA QUE RIA</v>
      </c>
      <c r="H227">
        <f>VLOOKUP($B227,'Obras e Acervos'!$B:$X,18,0)</f>
        <v>9</v>
      </c>
      <c r="I227">
        <f>VLOOKUP($B227,'Obras e Acervos'!$B:$X,19,0)</f>
        <v>33446</v>
      </c>
      <c r="J227" s="42">
        <f>VLOOKUP($B227,'Obras e Acervos'!$B:$X,20,0)</f>
        <v>3344.6000000000004</v>
      </c>
      <c r="K227" s="31">
        <f>VLOOKUP($B227,'Obras e Acervos'!$B:$X,21,0)</f>
        <v>5.94</v>
      </c>
      <c r="L227" s="31">
        <f t="shared" si="37"/>
        <v>198669.24000000002</v>
      </c>
      <c r="M227" s="1">
        <v>46071</v>
      </c>
      <c r="N227" s="1">
        <f t="shared" si="36"/>
        <v>46305</v>
      </c>
      <c r="O227">
        <f t="shared" si="38"/>
        <v>235</v>
      </c>
      <c r="P227" s="49">
        <f t="shared" si="34"/>
        <v>7.833333333333333</v>
      </c>
      <c r="Q227" s="34">
        <f>VLOOKUP($G227,Agendamento!$B:$F,5,0)</f>
        <v>4</v>
      </c>
      <c r="R227" s="36">
        <f t="shared" si="39"/>
        <v>34</v>
      </c>
      <c r="S227" s="44">
        <v>2.5499999999999998</v>
      </c>
      <c r="T227" s="44">
        <f t="shared" si="40"/>
        <v>20374.5</v>
      </c>
      <c r="U227" t="s">
        <v>5095</v>
      </c>
      <c r="V227" t="str">
        <f t="shared" si="41"/>
        <v>NF/64238470_20260218_nf_18.pdf</v>
      </c>
      <c r="W227" s="32" t="str">
        <f t="shared" si="35"/>
        <v>NF - MARIA QUE RIA</v>
      </c>
      <c r="X227" t="s">
        <v>5591</v>
      </c>
    </row>
    <row r="228" spans="1:24" x14ac:dyDescent="0.25">
      <c r="A228" t="str">
        <f>CONCATENATE(D228,"_",TEXT(M228,"ddmmaaaa"),"_",COUNTIF($D$2:D228,D228))</f>
        <v>263107240001-25_18022026_2</v>
      </c>
      <c r="B228" t="str">
        <f>CONCATENATE(Analise!D228,"_",COUNTIF(Analise!$D$2:D228,Analise!D228))</f>
        <v>263107240001-25_2</v>
      </c>
      <c r="C228" s="34">
        <f>COUNTIF('Obras e Acervos'!$C:$C,CONCATENATE(LEFT(D228,12),RIGHT(D228,2)))</f>
        <v>2</v>
      </c>
      <c r="D228" s="35" t="s">
        <v>4634</v>
      </c>
      <c r="E228" t="str">
        <f>VLOOKUP($B228,'Obras e Acervos'!$B:$X,3,0)</f>
        <v>SERGIO RICARDO ALVES PRODUÇÃO EDITORIAL - EIRELI ME-CARAMINHOCA</v>
      </c>
      <c r="F228" t="str">
        <f>VLOOKUP($B228,'Obras e Acervos'!$B:$X,7,0)</f>
        <v>0933L23000020LE</v>
      </c>
      <c r="G228" t="str">
        <f>VLOOKUP($B228,'Obras e Acervos'!$B:$X,5,0)</f>
        <v>CÉU VERMELHO</v>
      </c>
      <c r="H228">
        <f>VLOOKUP($B228,'Obras e Acervos'!$B:$X,18,0)</f>
        <v>14</v>
      </c>
      <c r="I228">
        <f>VLOOKUP($B228,'Obras e Acervos'!$B:$X,19,0)</f>
        <v>24152</v>
      </c>
      <c r="J228" s="42">
        <f>VLOOKUP($B228,'Obras e Acervos'!$B:$X,20,0)</f>
        <v>2849.9359999999997</v>
      </c>
      <c r="K228" s="31">
        <f>VLOOKUP($B228,'Obras e Acervos'!$B:$X,21,0)</f>
        <v>7.51</v>
      </c>
      <c r="L228" s="31">
        <f t="shared" si="37"/>
        <v>181381.52</v>
      </c>
      <c r="M228" s="1">
        <v>46071</v>
      </c>
      <c r="N228" s="1">
        <f t="shared" si="36"/>
        <v>46305</v>
      </c>
      <c r="O228">
        <f t="shared" si="38"/>
        <v>235</v>
      </c>
      <c r="P228" s="49">
        <f t="shared" si="34"/>
        <v>7.833333333333333</v>
      </c>
      <c r="Q228" s="34">
        <f>VLOOKUP($G228,Agendamento!$B:$F,5,0)</f>
        <v>4</v>
      </c>
      <c r="R228" s="36">
        <f t="shared" si="39"/>
        <v>25</v>
      </c>
      <c r="S228" s="44">
        <v>2.5499999999999998</v>
      </c>
      <c r="T228" s="44">
        <f t="shared" si="40"/>
        <v>14981.249999999998</v>
      </c>
      <c r="U228" t="s">
        <v>5095</v>
      </c>
      <c r="V228" t="str">
        <f t="shared" si="41"/>
        <v>NF/64238470_20260218_nf_18.pdf</v>
      </c>
      <c r="W228" s="32" t="str">
        <f t="shared" si="35"/>
        <v>NF - CÉU VERMELHO</v>
      </c>
      <c r="X228" t="s">
        <v>5591</v>
      </c>
    </row>
    <row r="229" spans="1:24" x14ac:dyDescent="0.25">
      <c r="A229" t="str">
        <f>CONCATENATE(D229,"_",TEXT(M229,"ddmmaaaa"),"_",COUNTIF($D$2:D229,D229))</f>
        <v>320815800001-85_18022026_1</v>
      </c>
      <c r="B229" t="str">
        <f>CONCATENATE(Analise!D229,"_",COUNTIF(Analise!$D$2:D229,Analise!D229))</f>
        <v>320815800001-85_1</v>
      </c>
      <c r="C229" s="34">
        <f>COUNTIF('Obras e Acervos'!$C:$C,CONCATENATE(LEFT(D229,12),RIGHT(D229,2)))</f>
        <v>2</v>
      </c>
      <c r="D229" s="35" t="s">
        <v>4632</v>
      </c>
      <c r="E229" t="str">
        <f>VLOOKUP($B229,'Obras e Acervos'!$B:$X,3,0)</f>
        <v>EDITORA 34 LTDA-EDITORA 34</v>
      </c>
      <c r="F229" t="str">
        <f>VLOOKUP($B229,'Obras e Acervos'!$B:$X,7,0)</f>
        <v>0352L23000030LE</v>
      </c>
      <c r="G229" t="str">
        <f>VLOOKUP($B229,'Obras e Acervos'!$B:$X,5,0)</f>
        <v>QUADRINHAS</v>
      </c>
      <c r="H229">
        <f>VLOOKUP($B229,'Obras e Acervos'!$B:$X,18,0)</f>
        <v>10</v>
      </c>
      <c r="I229">
        <f>VLOOKUP($B229,'Obras e Acervos'!$B:$X,19,0)</f>
        <v>33207</v>
      </c>
      <c r="J229" s="42">
        <f>VLOOKUP($B229,'Obras e Acervos'!$B:$X,20,0)</f>
        <v>3918.4259999999999</v>
      </c>
      <c r="K229" s="31">
        <f>VLOOKUP($B229,'Obras e Acervos'!$B:$X,21,0)</f>
        <v>6.83</v>
      </c>
      <c r="L229" s="31">
        <f t="shared" si="37"/>
        <v>226803.81</v>
      </c>
      <c r="M229" s="1">
        <v>46071</v>
      </c>
      <c r="N229" s="1">
        <f t="shared" si="36"/>
        <v>46305</v>
      </c>
      <c r="O229">
        <f t="shared" si="38"/>
        <v>235</v>
      </c>
      <c r="P229" s="49">
        <f t="shared" si="34"/>
        <v>7.833333333333333</v>
      </c>
      <c r="Q229" s="34">
        <f>VLOOKUP($G229,Agendamento!$B:$F,5,0)</f>
        <v>5</v>
      </c>
      <c r="R229" s="36">
        <f t="shared" si="39"/>
        <v>34</v>
      </c>
      <c r="S229" s="44">
        <v>2.5499999999999998</v>
      </c>
      <c r="T229" s="44">
        <f t="shared" si="40"/>
        <v>20374.5</v>
      </c>
      <c r="U229" t="s">
        <v>5093</v>
      </c>
      <c r="V229" t="str">
        <f t="shared" si="41"/>
        <v>NF/64238470_20260218_nf_19.pdf</v>
      </c>
      <c r="W229" s="32" t="str">
        <f t="shared" si="35"/>
        <v>NF - QUADRINHAS</v>
      </c>
      <c r="X229" t="s">
        <v>5591</v>
      </c>
    </row>
    <row r="230" spans="1:24" x14ac:dyDescent="0.25">
      <c r="A230" t="str">
        <f>CONCATENATE(D230,"_",TEXT(M230,"ddmmaaaa"),"_",COUNTIF($D$2:D230,D230))</f>
        <v>320815800001-85_18022026_2</v>
      </c>
      <c r="B230" t="str">
        <f>CONCATENATE(Analise!D230,"_",COUNTIF(Analise!$D$2:D230,Analise!D230))</f>
        <v>320815800001-85_2</v>
      </c>
      <c r="C230" s="34">
        <f>COUNTIF('Obras e Acervos'!$C:$C,CONCATENATE(LEFT(D230,12),RIGHT(D230,2)))</f>
        <v>2</v>
      </c>
      <c r="D230" s="35" t="s">
        <v>4632</v>
      </c>
      <c r="E230" t="str">
        <f>VLOOKUP($B230,'Obras e Acervos'!$B:$X,3,0)</f>
        <v>EDITORA 34 LTDA-EDITORA 34</v>
      </c>
      <c r="F230" t="str">
        <f>VLOOKUP($B230,'Obras e Acervos'!$B:$X,7,0)</f>
        <v>0353L23000020LE</v>
      </c>
      <c r="G230" t="str">
        <f>VLOOKUP($B230,'Obras e Acervos'!$B:$X,5,0)</f>
        <v>MARTA E A BICICLETA</v>
      </c>
      <c r="H230">
        <f>VLOOKUP($B230,'Obras e Acervos'!$B:$X,18,0)</f>
        <v>12</v>
      </c>
      <c r="I230">
        <f>VLOOKUP($B230,'Obras e Acervos'!$B:$X,19,0)</f>
        <v>30645</v>
      </c>
      <c r="J230" s="42">
        <f>VLOOKUP($B230,'Obras e Acervos'!$B:$X,20,0)</f>
        <v>3064.5</v>
      </c>
      <c r="K230" s="31">
        <f>VLOOKUP($B230,'Obras e Acervos'!$B:$X,21,0)</f>
        <v>6.4</v>
      </c>
      <c r="L230" s="31">
        <f t="shared" si="37"/>
        <v>196128</v>
      </c>
      <c r="M230" s="1">
        <v>46071</v>
      </c>
      <c r="N230" s="1">
        <f t="shared" si="36"/>
        <v>46305</v>
      </c>
      <c r="O230">
        <f t="shared" si="38"/>
        <v>235</v>
      </c>
      <c r="P230" s="49">
        <f t="shared" si="34"/>
        <v>7.833333333333333</v>
      </c>
      <c r="Q230" s="34">
        <f>VLOOKUP($G230,Agendamento!$B:$F,5,0)</f>
        <v>5</v>
      </c>
      <c r="R230" s="36">
        <f t="shared" si="39"/>
        <v>31</v>
      </c>
      <c r="S230" s="44">
        <v>2.5499999999999998</v>
      </c>
      <c r="T230" s="44">
        <f t="shared" si="40"/>
        <v>18576.75</v>
      </c>
      <c r="U230" t="s">
        <v>5093</v>
      </c>
      <c r="V230" t="str">
        <f t="shared" si="41"/>
        <v>NF/64238470_20260218_nf_19.pdf</v>
      </c>
      <c r="W230" s="32" t="str">
        <f t="shared" si="35"/>
        <v>NF - MARTA E A BICICLETA</v>
      </c>
      <c r="X230" t="s">
        <v>5591</v>
      </c>
    </row>
    <row r="231" spans="1:24" x14ac:dyDescent="0.25">
      <c r="A231" t="str">
        <f>CONCATENATE(D231,"_",TEXT(M231,"ddmmaaaa"),"_",COUNTIF($D$2:D231,D231))</f>
        <v>026161240001-21_18022026_1</v>
      </c>
      <c r="B231" t="str">
        <f>CONCATENATE(Analise!D231,"_",COUNTIF(Analise!$D$2:D231,Analise!D231))</f>
        <v>026161240001-21_1</v>
      </c>
      <c r="C231" s="34">
        <f>COUNTIF('Obras e Acervos'!$C:$C,CONCATENATE(LEFT(D231,12),RIGHT(D231,2)))</f>
        <v>2</v>
      </c>
      <c r="D231" s="35" t="s">
        <v>4631</v>
      </c>
      <c r="E231" t="str">
        <f>VLOOKUP($B231,'Obras e Acervos'!$B:$X,3,0)</f>
        <v>NEWTEC EDITORES LTDA-NEWTEC</v>
      </c>
      <c r="F231" t="str">
        <f>VLOOKUP($B231,'Obras e Acervos'!$B:$X,7,0)</f>
        <v>0707L23000030LE</v>
      </c>
      <c r="G231" t="str">
        <f>VLOOKUP($B231,'Obras e Acervos'!$B:$X,5,0)</f>
        <v>MINHA SOMBRA</v>
      </c>
      <c r="H231">
        <f>VLOOKUP($B231,'Obras e Acervos'!$B:$X,18,0)</f>
        <v>8</v>
      </c>
      <c r="I231">
        <f>VLOOKUP($B231,'Obras e Acervos'!$B:$X,19,0)</f>
        <v>35361</v>
      </c>
      <c r="J231" s="42">
        <f>VLOOKUP($B231,'Obras e Acervos'!$B:$X,20,0)</f>
        <v>4207.9589999999998</v>
      </c>
      <c r="K231" s="31">
        <f>VLOOKUP($B231,'Obras e Acervos'!$B:$X,21,0)</f>
        <v>7.68</v>
      </c>
      <c r="L231" s="31">
        <f t="shared" si="37"/>
        <v>271572.47999999998</v>
      </c>
      <c r="M231" s="1">
        <v>46071</v>
      </c>
      <c r="N231" s="1">
        <f t="shared" si="36"/>
        <v>46305</v>
      </c>
      <c r="O231">
        <f t="shared" si="38"/>
        <v>235</v>
      </c>
      <c r="P231" s="49">
        <f t="shared" si="34"/>
        <v>7.833333333333333</v>
      </c>
      <c r="Q231" s="34">
        <f>VLOOKUP($G231,Agendamento!$B:$F,5,0)</f>
        <v>7</v>
      </c>
      <c r="R231" s="36">
        <f t="shared" si="39"/>
        <v>36</v>
      </c>
      <c r="S231" s="44">
        <v>2.5499999999999998</v>
      </c>
      <c r="T231" s="44">
        <f t="shared" si="40"/>
        <v>21573</v>
      </c>
      <c r="U231" t="s">
        <v>5091</v>
      </c>
      <c r="V231" t="str">
        <f t="shared" si="41"/>
        <v>NF/64238470_20260218_nf_20.pdf</v>
      </c>
      <c r="W231" s="32" t="str">
        <f t="shared" si="35"/>
        <v>NF - MINHA SOMBRA</v>
      </c>
      <c r="X231" t="s">
        <v>5591</v>
      </c>
    </row>
    <row r="232" spans="1:24" x14ac:dyDescent="0.25">
      <c r="A232" t="str">
        <f>CONCATENATE(D232,"_",TEXT(M232,"ddmmaaaa"),"_",COUNTIF($D$2:D232,D232))</f>
        <v>026161240001-21_18022026_2</v>
      </c>
      <c r="B232" t="str">
        <f>CONCATENATE(Analise!D232,"_",COUNTIF(Analise!$D$2:D232,Analise!D232))</f>
        <v>026161240001-21_2</v>
      </c>
      <c r="C232" s="34">
        <f>COUNTIF('Obras e Acervos'!$C:$C,CONCATENATE(LEFT(D232,12),RIGHT(D232,2)))</f>
        <v>2</v>
      </c>
      <c r="D232" s="35" t="s">
        <v>4631</v>
      </c>
      <c r="E232" t="str">
        <f>VLOOKUP($B232,'Obras e Acervos'!$B:$X,3,0)</f>
        <v>NEWTEC EDITORES LTDA-NEWTEC</v>
      </c>
      <c r="F232" t="str">
        <f>VLOOKUP($B232,'Obras e Acervos'!$B:$X,7,0)</f>
        <v>0708L23000020LE</v>
      </c>
      <c r="G232" t="str">
        <f>VLOOKUP($B232,'Obras e Acervos'!$B:$X,5,0)</f>
        <v>DEUSES, HERÓIS E MONSTROS: HISTÓRIAS DA MITOLOGIA GRECO-ROMANA PARA CRIANÇAS</v>
      </c>
      <c r="H232">
        <f>VLOOKUP($B232,'Obras e Acervos'!$B:$X,18,0)</f>
        <v>21</v>
      </c>
      <c r="I232">
        <f>VLOOKUP($B232,'Obras e Acervos'!$B:$X,19,0)</f>
        <v>26753</v>
      </c>
      <c r="J232" s="42">
        <f>VLOOKUP($B232,'Obras e Acervos'!$B:$X,20,0)</f>
        <v>4146.7150000000001</v>
      </c>
      <c r="K232" s="31">
        <f>VLOOKUP($B232,'Obras e Acervos'!$B:$X,21,0)</f>
        <v>13.32</v>
      </c>
      <c r="L232" s="31">
        <f t="shared" si="37"/>
        <v>356349.96</v>
      </c>
      <c r="M232" s="1">
        <v>46071</v>
      </c>
      <c r="N232" s="1">
        <f t="shared" si="36"/>
        <v>46305</v>
      </c>
      <c r="O232">
        <f t="shared" si="38"/>
        <v>235</v>
      </c>
      <c r="P232" s="49">
        <f t="shared" si="34"/>
        <v>7.833333333333333</v>
      </c>
      <c r="Q232" s="34">
        <f>VLOOKUP($G232,Agendamento!$B:$F,5,0)</f>
        <v>6</v>
      </c>
      <c r="R232" s="36">
        <f t="shared" si="39"/>
        <v>27</v>
      </c>
      <c r="S232" s="44">
        <v>2.5499999999999998</v>
      </c>
      <c r="T232" s="44">
        <f t="shared" si="40"/>
        <v>16179.749999999998</v>
      </c>
      <c r="U232" t="s">
        <v>5091</v>
      </c>
      <c r="V232" t="str">
        <f t="shared" si="41"/>
        <v>NF/64238470_20260218_nf_20.pdf</v>
      </c>
      <c r="W232" s="32" t="str">
        <f t="shared" si="35"/>
        <v>NF - DEUSES, HERÓIS E MONSTROS: HISTÓRIAS DA MITOLOGIA GRECO-ROMANA PARA CRIANÇAS</v>
      </c>
      <c r="X232" t="s">
        <v>5591</v>
      </c>
    </row>
    <row r="233" spans="1:24" x14ac:dyDescent="0.25">
      <c r="A233" t="str">
        <f>CONCATENATE(D233,"_",TEXT(M233,"ddmmaaaa"),"_",COUNTIF($D$2:D233,D233))</f>
        <v>236229070001-98_20022026_2</v>
      </c>
      <c r="B233" t="str">
        <f>CONCATENATE(Analise!D233,"_",COUNTIF(Analise!$D$2:D233,Analise!D233))</f>
        <v>236229070001-98_2</v>
      </c>
      <c r="C233" s="34">
        <f>COUNTIF('Obras e Acervos'!$C:$C,CONCATENATE(LEFT(D233,12),RIGHT(D233,2)))</f>
        <v>2</v>
      </c>
      <c r="D233" s="35" t="s">
        <v>4501</v>
      </c>
      <c r="E233" t="str">
        <f>VLOOKUP($B233,'Obras e Acervos'!$B:$X,3,0)</f>
        <v>CAPITU EDITORA LTDA.-CAPITU</v>
      </c>
      <c r="F233" t="str">
        <f>VLOOKUP($B233,'Obras e Acervos'!$B:$X,7,0)</f>
        <v>1235L23000020LE</v>
      </c>
      <c r="G233" t="str">
        <f>VLOOKUP($B233,'Obras e Acervos'!$B:$X,5,0)</f>
        <v>BENTO BEIJA-NUVEM</v>
      </c>
      <c r="H233">
        <f>VLOOKUP($B233,'Obras e Acervos'!$B:$X,18,0)</f>
        <v>17</v>
      </c>
      <c r="I233">
        <f>VLOOKUP($B233,'Obras e Acervos'!$B:$X,19,0)</f>
        <v>26989</v>
      </c>
      <c r="J233" s="42">
        <f>VLOOKUP($B233,'Obras e Acervos'!$B:$X,20,0)</f>
        <v>3103.7350000000001</v>
      </c>
      <c r="K233" s="31">
        <f>VLOOKUP($B233,'Obras e Acervos'!$B:$X,21,0)</f>
        <v>8.2899999999999991</v>
      </c>
      <c r="L233" s="31">
        <f t="shared" si="37"/>
        <v>223738.80999999997</v>
      </c>
      <c r="M233" s="1">
        <v>46073</v>
      </c>
      <c r="N233" s="1">
        <f t="shared" si="36"/>
        <v>46305</v>
      </c>
      <c r="O233">
        <f t="shared" si="38"/>
        <v>233</v>
      </c>
      <c r="P233" s="49">
        <f t="shared" si="34"/>
        <v>7.7666666666666666</v>
      </c>
      <c r="Q233" s="34">
        <f>VLOOKUP($G233,Agendamento!$B:$F,5,0)</f>
        <v>5</v>
      </c>
      <c r="R233" s="36">
        <f t="shared" si="39"/>
        <v>27</v>
      </c>
      <c r="S233" s="44">
        <v>2.5499999999999998</v>
      </c>
      <c r="T233" s="44">
        <f t="shared" si="40"/>
        <v>16042.05</v>
      </c>
      <c r="U233" t="s">
        <v>5098</v>
      </c>
      <c r="V233" t="str">
        <f t="shared" si="41"/>
        <v>NF/64238582_20260220_nf_01.pdf</v>
      </c>
      <c r="W233" s="32" t="str">
        <f t="shared" si="35"/>
        <v>NF - BENTO BEIJA-NUVEM</v>
      </c>
      <c r="X233" t="s">
        <v>5591</v>
      </c>
    </row>
    <row r="234" spans="1:24" x14ac:dyDescent="0.25">
      <c r="A234" t="str">
        <f>CONCATENATE(D234,"_",TEXT(M234,"ddmmaaaa"),"_",COUNTIF($D$2:D234,D234))</f>
        <v>199080820001-03_20022026_2</v>
      </c>
      <c r="B234" t="str">
        <f>CONCATENATE(Analise!D234,"_",COUNTIF(Analise!$D$2:D234,Analise!D234))</f>
        <v>199080820001-03_2</v>
      </c>
      <c r="C234" s="34">
        <f>COUNTIF('Obras e Acervos'!$C:$C,CONCATENATE(LEFT(D234,12),RIGHT(D234,2)))</f>
        <v>2</v>
      </c>
      <c r="D234" s="35" t="s">
        <v>4543</v>
      </c>
      <c r="E234" t="str">
        <f>VLOOKUP($B234,'Obras e Acervos'!$B:$X,3,0)</f>
        <v>VALOR CRUCIAL TREINAMENTO LTDA-VALOR CRUCIAL</v>
      </c>
      <c r="F234" t="str">
        <f>VLOOKUP($B234,'Obras e Acervos'!$B:$X,7,0)</f>
        <v>1172L23000020LE</v>
      </c>
      <c r="G234" t="str">
        <f>VLOOKUP($B234,'Obras e Acervos'!$B:$X,5,0)</f>
        <v>O GATO NA GOTA</v>
      </c>
      <c r="H234">
        <f>VLOOKUP($B234,'Obras e Acervos'!$B:$X,18,0)</f>
        <v>16</v>
      </c>
      <c r="I234">
        <f>VLOOKUP($B234,'Obras e Acervos'!$B:$X,19,0)</f>
        <v>29712</v>
      </c>
      <c r="J234" s="42">
        <f>VLOOKUP($B234,'Obras e Acervos'!$B:$X,20,0)</f>
        <v>4308.24</v>
      </c>
      <c r="K234" s="31">
        <f>VLOOKUP($B234,'Obras e Acervos'!$B:$X,21,0)</f>
        <v>7.73</v>
      </c>
      <c r="L234" s="31">
        <f t="shared" si="37"/>
        <v>229673.76</v>
      </c>
      <c r="M234" s="1">
        <v>46073</v>
      </c>
      <c r="N234" s="1">
        <f t="shared" si="36"/>
        <v>46305</v>
      </c>
      <c r="O234">
        <f t="shared" si="38"/>
        <v>233</v>
      </c>
      <c r="P234" s="49">
        <f t="shared" si="34"/>
        <v>7.7666666666666666</v>
      </c>
      <c r="Q234" s="34">
        <f>VLOOKUP($G234,Agendamento!$B:$F,5,0)</f>
        <v>6</v>
      </c>
      <c r="R234" s="36">
        <f t="shared" si="39"/>
        <v>30</v>
      </c>
      <c r="S234" s="44">
        <v>2.5499999999999998</v>
      </c>
      <c r="T234" s="44">
        <f t="shared" si="40"/>
        <v>17824.5</v>
      </c>
      <c r="U234" t="s">
        <v>5102</v>
      </c>
      <c r="V234" t="str">
        <f t="shared" si="41"/>
        <v>NF/64238582_20260220_nf_02.pdf</v>
      </c>
      <c r="W234" s="32" t="str">
        <f t="shared" si="35"/>
        <v>NF - O GATO NA GOTA</v>
      </c>
      <c r="X234" t="s">
        <v>5591</v>
      </c>
    </row>
    <row r="235" spans="1:24" x14ac:dyDescent="0.25">
      <c r="A235" t="str">
        <f>CONCATENATE(D235,"_",TEXT(M235,"ddmmaaaa"),"_",COUNTIF($D$2:D235,D235))</f>
        <v>026325580001-15_20022026_1</v>
      </c>
      <c r="B235" t="str">
        <f>CONCATENATE(Analise!D235,"_",COUNTIF(Analise!$D$2:D235,Analise!D235))</f>
        <v>026325580001-15_1</v>
      </c>
      <c r="C235" s="34">
        <f>COUNTIF('Obras e Acervos'!$C:$C,CONCATENATE(LEFT(D235,12),RIGHT(D235,2)))</f>
        <v>2</v>
      </c>
      <c r="D235" s="35" t="s">
        <v>4639</v>
      </c>
      <c r="E235" t="str">
        <f>VLOOKUP($B235,'Obras e Acervos'!$B:$X,3,0)</f>
        <v>FBF CULTURAL LTDA-EDITORA EVOLUIR</v>
      </c>
      <c r="F235" t="str">
        <f>VLOOKUP($B235,'Obras e Acervos'!$B:$X,7,0)</f>
        <v>0662L23000030LE</v>
      </c>
      <c r="G235" t="str">
        <f>VLOOKUP($B235,'Obras e Acervos'!$B:$X,5,0)</f>
        <v>GIGI E SUA TESOURA MÁGICA</v>
      </c>
      <c r="H235">
        <f>VLOOKUP($B235,'Obras e Acervos'!$B:$X,18,0)</f>
        <v>9</v>
      </c>
      <c r="I235">
        <f>VLOOKUP($B235,'Obras e Acervos'!$B:$X,19,0)</f>
        <v>33264</v>
      </c>
      <c r="J235" s="42">
        <f>VLOOKUP($B235,'Obras e Acervos'!$B:$X,20,0)</f>
        <v>4523.9040000000005</v>
      </c>
      <c r="K235" s="31">
        <f>VLOOKUP($B235,'Obras e Acervos'!$B:$X,21,0)</f>
        <v>6</v>
      </c>
      <c r="L235" s="31">
        <f t="shared" si="37"/>
        <v>199584</v>
      </c>
      <c r="M235" s="1">
        <v>46073</v>
      </c>
      <c r="N235" s="1">
        <f t="shared" si="36"/>
        <v>46305</v>
      </c>
      <c r="O235">
        <f t="shared" si="38"/>
        <v>233</v>
      </c>
      <c r="P235" s="49">
        <f t="shared" ref="P235:P298" si="42">O235/30</f>
        <v>7.7666666666666666</v>
      </c>
      <c r="Q235" s="34">
        <f>VLOOKUP($G235,Agendamento!$B:$F,5,0)</f>
        <v>5</v>
      </c>
      <c r="R235" s="36">
        <f t="shared" si="39"/>
        <v>34</v>
      </c>
      <c r="S235" s="44">
        <v>2.5499999999999998</v>
      </c>
      <c r="T235" s="44">
        <f t="shared" si="40"/>
        <v>20201.099999999999</v>
      </c>
      <c r="U235" t="s">
        <v>5103</v>
      </c>
      <c r="V235" t="str">
        <f t="shared" si="41"/>
        <v>NF/64238582_20260220_nf_04.pdf</v>
      </c>
      <c r="W235" s="32" t="str">
        <f t="shared" ref="W235:W298" si="43">HYPERLINK(CONCATENATE("saida/",U235),CONCATENATE("NF - ",G235))</f>
        <v>NF - GIGI E SUA TESOURA MÁGICA</v>
      </c>
      <c r="X235" t="s">
        <v>5591</v>
      </c>
    </row>
    <row r="236" spans="1:24" x14ac:dyDescent="0.25">
      <c r="A236" t="str">
        <f>CONCATENATE(D236,"_",TEXT(M236,"ddmmaaaa"),"_",COUNTIF($D$2:D236,D236))</f>
        <v>130421920001-40_20022026_1</v>
      </c>
      <c r="B236" t="str">
        <f>CONCATENATE(Analise!D236,"_",COUNTIF(Analise!$D$2:D236,Analise!D236)+1)</f>
        <v>130421920001-40_2</v>
      </c>
      <c r="C236" s="34">
        <f>COUNTIF('Obras e Acervos'!$C:$C,CONCATENATE(LEFT(D236,12),RIGHT(D236,2)))</f>
        <v>2</v>
      </c>
      <c r="D236" s="35" t="s">
        <v>4651</v>
      </c>
      <c r="E236" t="str">
        <f>VLOOKUP($B236,'Obras e Acervos'!$B:$X,3,0)</f>
        <v>PROMOBOOK EDITORIAL DE LIVROS E PRODUTOS EDUCATIVOS EIRELI-PROMOBOOK</v>
      </c>
      <c r="F236" t="str">
        <f>VLOOKUP($B236,'Obras e Acervos'!$B:$X,7,0)</f>
        <v>0714L23000020LE</v>
      </c>
      <c r="G236" t="str">
        <f>VLOOKUP($B236,'Obras e Acervos'!$B:$X,5,0)</f>
        <v>OLHA AQUI O HAITI!</v>
      </c>
      <c r="H236">
        <f>VLOOKUP($B236,'Obras e Acervos'!$B:$X,18,0)</f>
        <v>15</v>
      </c>
      <c r="I236">
        <f>VLOOKUP($B236,'Obras e Acervos'!$B:$X,19,0)</f>
        <v>34882</v>
      </c>
      <c r="J236" s="42">
        <f>VLOOKUP($B236,'Obras e Acervos'!$B:$X,20,0)</f>
        <v>4011.4300000000003</v>
      </c>
      <c r="K236" s="31">
        <f>VLOOKUP($B236,'Obras e Acervos'!$B:$X,21,0)</f>
        <v>7.69</v>
      </c>
      <c r="L236" s="31">
        <f t="shared" si="37"/>
        <v>268242.58</v>
      </c>
      <c r="M236" s="1">
        <v>46073</v>
      </c>
      <c r="N236" s="1">
        <f t="shared" si="36"/>
        <v>46305</v>
      </c>
      <c r="O236">
        <f t="shared" si="38"/>
        <v>233</v>
      </c>
      <c r="P236" s="49">
        <f t="shared" si="42"/>
        <v>7.7666666666666666</v>
      </c>
      <c r="Q236" s="34">
        <f>VLOOKUP($G236,Agendamento!$B:$F,5,0)</f>
        <v>6</v>
      </c>
      <c r="R236" s="36">
        <f t="shared" si="39"/>
        <v>35</v>
      </c>
      <c r="S236" s="44">
        <v>2.5499999999999998</v>
      </c>
      <c r="T236" s="44">
        <f t="shared" si="40"/>
        <v>20795.25</v>
      </c>
      <c r="U236" t="s">
        <v>5116</v>
      </c>
      <c r="V236" t="str">
        <f t="shared" si="41"/>
        <v>NF/64238582_20260220_nf_05.pdf</v>
      </c>
      <c r="W236" s="32" t="str">
        <f t="shared" si="43"/>
        <v>NF - OLHA AQUI O HAITI!</v>
      </c>
      <c r="X236" t="s">
        <v>5591</v>
      </c>
    </row>
    <row r="237" spans="1:24" x14ac:dyDescent="0.25">
      <c r="A237" t="str">
        <f>CONCATENATE(D237,"_",TEXT(M237,"ddmmaaaa"),"_",COUNTIF($D$2:D237,D237))</f>
        <v>016001240001-70_20022026_1</v>
      </c>
      <c r="B237" t="str">
        <f>CONCATENATE(Analise!D237,"_",COUNTIF(Analise!$D$2:D237,Analise!D237)+1)</f>
        <v>016001240001-70_2</v>
      </c>
      <c r="C237" s="34">
        <f>COUNTIF('Obras e Acervos'!$C:$C,CONCATENATE(LEFT(D237,12),RIGHT(D237,2)))</f>
        <v>2</v>
      </c>
      <c r="D237" s="35" t="s">
        <v>4640</v>
      </c>
      <c r="E237" t="str">
        <f>VLOOKUP($B237,'Obras e Acervos'!$B:$X,3,0)</f>
        <v>ALUMBRE PRODUÇÕES DIDÁTICAS E LITERÁRIAS LTDA.-EDITORA ALUMBRE</v>
      </c>
      <c r="F237" t="str">
        <f>VLOOKUP($B237,'Obras e Acervos'!$B:$X,7,0)</f>
        <v>0641L23000020LE</v>
      </c>
      <c r="G237" t="str">
        <f>VLOOKUP($B237,'Obras e Acervos'!$B:$X,5,0)</f>
        <v>A MENINA E A PLANTA</v>
      </c>
      <c r="H237">
        <f>VLOOKUP($B237,'Obras e Acervos'!$B:$X,18,0)</f>
        <v>12</v>
      </c>
      <c r="I237">
        <f>VLOOKUP($B237,'Obras e Acervos'!$B:$X,19,0)</f>
        <v>33327</v>
      </c>
      <c r="J237" s="42">
        <f>VLOOKUP($B237,'Obras e Acervos'!$B:$X,20,0)</f>
        <v>4765.7609999999995</v>
      </c>
      <c r="K237" s="31">
        <f>VLOOKUP($B237,'Obras e Acervos'!$B:$X,21,0)</f>
        <v>7.73</v>
      </c>
      <c r="L237" s="31">
        <f t="shared" si="37"/>
        <v>257617.71000000002</v>
      </c>
      <c r="M237" s="1">
        <v>46073</v>
      </c>
      <c r="N237" s="1">
        <f t="shared" si="36"/>
        <v>46305</v>
      </c>
      <c r="O237">
        <f t="shared" si="38"/>
        <v>233</v>
      </c>
      <c r="P237" s="49">
        <f t="shared" si="42"/>
        <v>7.7666666666666666</v>
      </c>
      <c r="Q237" s="34">
        <f>VLOOKUP($G237,Agendamento!$B:$F,5,0)</f>
        <v>6</v>
      </c>
      <c r="R237" s="36">
        <f t="shared" si="39"/>
        <v>34</v>
      </c>
      <c r="S237" s="44">
        <v>2.5499999999999998</v>
      </c>
      <c r="T237" s="44">
        <f t="shared" si="40"/>
        <v>20201.099999999999</v>
      </c>
      <c r="U237" t="s">
        <v>5104</v>
      </c>
      <c r="V237" t="str">
        <f t="shared" si="41"/>
        <v>NF/64238582_20260220_nf_06.pdf</v>
      </c>
      <c r="W237" s="32" t="str">
        <f t="shared" si="43"/>
        <v>NF - A MENINA E A PLANTA</v>
      </c>
      <c r="X237" t="s">
        <v>5591</v>
      </c>
    </row>
    <row r="238" spans="1:24" x14ac:dyDescent="0.25">
      <c r="A238" t="str">
        <f>CONCATENATE(D238,"_",TEXT(M238,"ddmmaaaa"),"_",COUNTIF($D$2:D238,D238))</f>
        <v>103587830001-33_20022026_1</v>
      </c>
      <c r="B238" t="str">
        <f>CONCATENATE(Analise!D238,"_",COUNTIF(Analise!$D$2:D238,Analise!D238))</f>
        <v>103587830001-33_1</v>
      </c>
      <c r="C238" s="34">
        <f>COUNTIF('Obras e Acervos'!$C:$C,CONCATENATE(LEFT(D238,12),RIGHT(D238,2)))</f>
        <v>1</v>
      </c>
      <c r="D238" s="35" t="s">
        <v>4645</v>
      </c>
      <c r="E238" t="str">
        <f>VLOOKUP($B238,'Obras e Acervos'!$B:$X,3,0)</f>
        <v>ROTA IMAGINÁRIA COMUNICAÇÃO E COMÉRCIO DE LIVROS LTDA. -ROTA IMAGINÁRIA</v>
      </c>
      <c r="F238" t="str">
        <f>VLOOKUP($B238,'Obras e Acervos'!$B:$X,7,0)</f>
        <v>1205L23000020LE</v>
      </c>
      <c r="G238" t="str">
        <f>VLOOKUP($B238,'Obras e Acervos'!$B:$X,5,0)</f>
        <v>SOM DE AZUL</v>
      </c>
      <c r="H238">
        <f>VLOOKUP($B238,'Obras e Acervos'!$B:$X,18,0)</f>
        <v>12</v>
      </c>
      <c r="I238">
        <f>VLOOKUP($B238,'Obras e Acervos'!$B:$X,19,0)</f>
        <v>29327</v>
      </c>
      <c r="J238" s="42">
        <f>VLOOKUP($B238,'Obras e Acervos'!$B:$X,20,0)</f>
        <v>6158.67</v>
      </c>
      <c r="K238" s="31">
        <f>VLOOKUP($B238,'Obras e Acervos'!$B:$X,21,0)</f>
        <v>8.56</v>
      </c>
      <c r="L238" s="31">
        <f t="shared" si="37"/>
        <v>251039.12000000002</v>
      </c>
      <c r="M238" s="1">
        <v>46073</v>
      </c>
      <c r="N238" s="1">
        <f t="shared" si="36"/>
        <v>46305</v>
      </c>
      <c r="O238">
        <f t="shared" si="38"/>
        <v>233</v>
      </c>
      <c r="P238" s="49">
        <f t="shared" si="42"/>
        <v>7.7666666666666666</v>
      </c>
      <c r="Q238" s="34">
        <f>VLOOKUP($G238,Agendamento!$B:$F,5,0)</f>
        <v>6</v>
      </c>
      <c r="R238" s="36">
        <f t="shared" si="39"/>
        <v>30</v>
      </c>
      <c r="S238" s="44">
        <v>2.5499999999999998</v>
      </c>
      <c r="T238" s="44">
        <f t="shared" si="40"/>
        <v>17824.5</v>
      </c>
      <c r="U238" t="s">
        <v>5110</v>
      </c>
      <c r="V238" t="str">
        <f t="shared" si="41"/>
        <v>NF/64238582_20260220_nf_07.pdf</v>
      </c>
      <c r="W238" s="32" t="str">
        <f t="shared" si="43"/>
        <v>NF - SOM DE AZUL</v>
      </c>
      <c r="X238" t="s">
        <v>5591</v>
      </c>
    </row>
    <row r="239" spans="1:24" x14ac:dyDescent="0.25">
      <c r="A239" t="str">
        <f>CONCATENATE(D239,"_",TEXT(M239,"ddmmaaaa"),"_",COUNTIF($D$2:D239,D239))</f>
        <v>086750340001-98_20022026_1</v>
      </c>
      <c r="B239" t="str">
        <f>CONCATENATE(Analise!D239,"_",COUNTIF(Analise!$D$2:D239,Analise!D239))</f>
        <v>086750340001-98_1</v>
      </c>
      <c r="C239" s="34">
        <f>COUNTIF('Obras e Acervos'!$C:$C,CONCATENATE(LEFT(D239,12),RIGHT(D239,2)))</f>
        <v>1</v>
      </c>
      <c r="D239" s="35" t="s">
        <v>4648</v>
      </c>
      <c r="E239" t="str">
        <f>VLOOKUP($B239,'Obras e Acervos'!$B:$X,3,0)</f>
        <v>SCOPPIO EDITORA LTDA-</v>
      </c>
      <c r="F239" t="str">
        <f>VLOOKUP($B239,'Obras e Acervos'!$B:$X,7,0)</f>
        <v>0974L23000020LE</v>
      </c>
      <c r="G239" t="str">
        <f>VLOOKUP($B239,'Obras e Acervos'!$B:$X,5,0)</f>
        <v>A PEDRA NO CAMINHO</v>
      </c>
      <c r="H239">
        <f>VLOOKUP($B239,'Obras e Acervos'!$B:$X,18,0)</f>
        <v>19</v>
      </c>
      <c r="I239">
        <f>VLOOKUP($B239,'Obras e Acervos'!$B:$X,19,0)</f>
        <v>30361</v>
      </c>
      <c r="J239" s="42">
        <f>VLOOKUP($B239,'Obras e Acervos'!$B:$X,20,0)</f>
        <v>2914.6559999999999</v>
      </c>
      <c r="K239" s="31">
        <f>VLOOKUP($B239,'Obras e Acervos'!$B:$X,21,0)</f>
        <v>5.93</v>
      </c>
      <c r="L239" s="31">
        <f t="shared" si="37"/>
        <v>180040.72999999998</v>
      </c>
      <c r="M239" s="1">
        <v>46073</v>
      </c>
      <c r="N239" s="1">
        <f t="shared" si="36"/>
        <v>46305</v>
      </c>
      <c r="O239">
        <f t="shared" si="38"/>
        <v>233</v>
      </c>
      <c r="P239" s="49">
        <f t="shared" si="42"/>
        <v>7.7666666666666666</v>
      </c>
      <c r="Q239" s="34">
        <f>VLOOKUP($G239,Agendamento!$B:$F,5,0)</f>
        <v>4</v>
      </c>
      <c r="R239" s="36">
        <f t="shared" si="39"/>
        <v>31</v>
      </c>
      <c r="S239" s="44">
        <v>2.5499999999999998</v>
      </c>
      <c r="T239" s="44">
        <f t="shared" si="40"/>
        <v>18418.649999999998</v>
      </c>
      <c r="U239" t="s">
        <v>5113</v>
      </c>
      <c r="V239" t="str">
        <f t="shared" si="41"/>
        <v>NF/64238582_20260220_nf_09.pdf</v>
      </c>
      <c r="W239" s="32" t="str">
        <f t="shared" si="43"/>
        <v>NF - A PEDRA NO CAMINHO</v>
      </c>
      <c r="X239" t="s">
        <v>5591</v>
      </c>
    </row>
    <row r="240" spans="1:24" x14ac:dyDescent="0.25">
      <c r="A240" t="str">
        <f>CONCATENATE(D240,"_",TEXT(M240,"ddmmaaaa"),"_",COUNTIF($D$2:D240,D240))</f>
        <v>324554550001-98_20022026_1</v>
      </c>
      <c r="B240" t="str">
        <f>CONCATENATE(Analise!D240,"_",COUNTIF(Analise!$D$2:D240,Analise!D240))</f>
        <v>324554550001-98_1</v>
      </c>
      <c r="C240" s="34">
        <f>COUNTIF('Obras e Acervos'!$C:$C,CONCATENATE(LEFT(D240,12),RIGHT(D240,2)))</f>
        <v>2</v>
      </c>
      <c r="D240" s="35" t="s">
        <v>4642</v>
      </c>
      <c r="E240" t="str">
        <f>VLOOKUP($B240,'Obras e Acervos'!$B:$X,3,0)</f>
        <v>GODOYS SERVICOS E COMERCIO LTDA-</v>
      </c>
      <c r="F240" t="str">
        <f>VLOOKUP($B240,'Obras e Acervos'!$B:$X,7,0)</f>
        <v>0769L23000030LE</v>
      </c>
      <c r="G240" t="str">
        <f>VLOOKUP($B240,'Obras e Acervos'!$B:$X,5,0)</f>
        <v>AMIZADE DESENHADA</v>
      </c>
      <c r="H240">
        <f>VLOOKUP($B240,'Obras e Acervos'!$B:$X,18,0)</f>
        <v>2</v>
      </c>
      <c r="I240">
        <f>VLOOKUP($B240,'Obras e Acervos'!$B:$X,19,0)</f>
        <v>50588</v>
      </c>
      <c r="J240" s="42">
        <f>VLOOKUP($B240,'Obras e Acervos'!$B:$X,20,0)</f>
        <v>8701.1359999999986</v>
      </c>
      <c r="K240" s="31">
        <f>VLOOKUP($B240,'Obras e Acervos'!$B:$X,21,0)</f>
        <v>7.19</v>
      </c>
      <c r="L240" s="31">
        <f t="shared" si="37"/>
        <v>363727.72000000003</v>
      </c>
      <c r="M240" s="1">
        <v>46073</v>
      </c>
      <c r="N240" s="1">
        <f t="shared" si="36"/>
        <v>46305</v>
      </c>
      <c r="O240">
        <f t="shared" si="38"/>
        <v>233</v>
      </c>
      <c r="P240" s="49">
        <f t="shared" si="42"/>
        <v>7.7666666666666666</v>
      </c>
      <c r="Q240" s="34">
        <f>VLOOKUP($G240,Agendamento!$B:$F,5,0)</f>
        <v>10</v>
      </c>
      <c r="R240" s="36">
        <f t="shared" si="39"/>
        <v>51</v>
      </c>
      <c r="S240" s="44">
        <v>2.5499999999999998</v>
      </c>
      <c r="T240" s="44">
        <f t="shared" si="40"/>
        <v>30301.649999999998</v>
      </c>
      <c r="U240" t="s">
        <v>5106</v>
      </c>
      <c r="V240" t="str">
        <f t="shared" si="41"/>
        <v>NF/64238582_20260220_nf_10.pdf</v>
      </c>
      <c r="W240" s="32" t="str">
        <f t="shared" si="43"/>
        <v>NF - AMIZADE DESENHADA</v>
      </c>
      <c r="X240" t="s">
        <v>5591</v>
      </c>
    </row>
    <row r="241" spans="1:24" x14ac:dyDescent="0.25">
      <c r="A241" t="str">
        <f>CONCATENATE(D241,"_",TEXT(M241,"ddmmaaaa"),"_",COUNTIF($D$2:D241,D241))</f>
        <v>339554360001-93_20022026_1</v>
      </c>
      <c r="B241" t="str">
        <f>CONCATENATE(Analise!D241,"_",COUNTIF(Analise!$D$2:D241,Analise!D241)+1)</f>
        <v>339554360001-93_2</v>
      </c>
      <c r="C241" s="34">
        <f>COUNTIF('Obras e Acervos'!$C:$C,CONCATENATE(LEFT(D241,12),RIGHT(D241,2)))</f>
        <v>2</v>
      </c>
      <c r="D241" s="35" t="s">
        <v>4649</v>
      </c>
      <c r="E241" t="str">
        <f>VLOOKUP($B241,'Obras e Acervos'!$B:$X,3,0)</f>
        <v>ZIT GRAFICA E EDITORA LTDA-</v>
      </c>
      <c r="F241" t="str">
        <f>VLOOKUP($B241,'Obras e Acervos'!$B:$X,7,0)</f>
        <v>0675L23000020LE</v>
      </c>
      <c r="G241" t="str">
        <f>VLOOKUP($B241,'Obras e Acervos'!$B:$X,5,0)</f>
        <v>A LOURA DO BANHEIRO E MAIS 10 LENDAS URBANAS</v>
      </c>
      <c r="H241">
        <f>VLOOKUP($B241,'Obras e Acervos'!$B:$X,18,0)</f>
        <v>19</v>
      </c>
      <c r="I241">
        <f>VLOOKUP($B241,'Obras e Acervos'!$B:$X,19,0)</f>
        <v>52692</v>
      </c>
      <c r="J241" s="42">
        <f>VLOOKUP($B241,'Obras e Acervos'!$B:$X,20,0)</f>
        <v>7534.9559999999992</v>
      </c>
      <c r="K241" s="31">
        <f>VLOOKUP($B241,'Obras e Acervos'!$B:$X,21,0)</f>
        <v>6.07</v>
      </c>
      <c r="L241" s="31">
        <f t="shared" si="37"/>
        <v>319840.44</v>
      </c>
      <c r="M241" s="1">
        <v>46073</v>
      </c>
      <c r="N241" s="1">
        <f t="shared" si="36"/>
        <v>46305</v>
      </c>
      <c r="O241">
        <f t="shared" si="38"/>
        <v>233</v>
      </c>
      <c r="P241" s="49">
        <f t="shared" si="42"/>
        <v>7.7666666666666666</v>
      </c>
      <c r="Q241" s="34">
        <f>VLOOKUP($G241,Agendamento!$B:$F,5,0)</f>
        <v>8</v>
      </c>
      <c r="R241" s="36">
        <f t="shared" si="39"/>
        <v>53</v>
      </c>
      <c r="S241" s="44">
        <v>2.5499999999999998</v>
      </c>
      <c r="T241" s="44">
        <f t="shared" si="40"/>
        <v>31489.949999999997</v>
      </c>
      <c r="U241" t="s">
        <v>5114</v>
      </c>
      <c r="V241" t="str">
        <f t="shared" si="41"/>
        <v>NF/64238582_20260220_nf_11.pdf</v>
      </c>
      <c r="W241" s="32" t="str">
        <f t="shared" si="43"/>
        <v>NF - A LOURA DO BANHEIRO E MAIS 10 LENDAS URBANAS</v>
      </c>
      <c r="X241" t="s">
        <v>5591</v>
      </c>
    </row>
    <row r="242" spans="1:24" x14ac:dyDescent="0.25">
      <c r="A242" t="str">
        <f>CONCATENATE(D242,"_",TEXT(M242,"ddmmaaaa"),"_",COUNTIF($D$2:D242,D242))</f>
        <v>165092620001-16_20022026_1</v>
      </c>
      <c r="B242" t="str">
        <f>CONCATENATE(Analise!D242,"_",COUNTIF(Analise!$D$2:D242,Analise!D242))</f>
        <v>165092620001-16_1</v>
      </c>
      <c r="C242" s="34">
        <f>COUNTIF('Obras e Acervos'!$C:$C,CONCATENATE(LEFT(D242,12),RIGHT(D242,2)))</f>
        <v>2</v>
      </c>
      <c r="D242" s="35" t="s">
        <v>4650</v>
      </c>
      <c r="E242" t="str">
        <f>VLOOKUP($B242,'Obras e Acervos'!$B:$X,3,0)</f>
        <v>OVERVIEW SERVICOS GRAFICOS LTDA-OVERVIEW</v>
      </c>
      <c r="F242" t="str">
        <f>VLOOKUP($B242,'Obras e Acervos'!$B:$X,7,0)</f>
        <v>0980L23000030LE</v>
      </c>
      <c r="G242" t="str">
        <f>VLOOKUP($B242,'Obras e Acervos'!$B:$X,5,0)</f>
        <v>A BALEIA QUE CARREGOU O OCEANO</v>
      </c>
      <c r="H242">
        <f>VLOOKUP($B242,'Obras e Acervos'!$B:$X,18,0)</f>
        <v>7</v>
      </c>
      <c r="I242">
        <f>VLOOKUP($B242,'Obras e Acervos'!$B:$X,19,0)</f>
        <v>40615</v>
      </c>
      <c r="J242" s="42">
        <f>VLOOKUP($B242,'Obras e Acervos'!$B:$X,20,0)</f>
        <v>5442.4100000000008</v>
      </c>
      <c r="K242" s="31">
        <f>VLOOKUP($B242,'Obras e Acervos'!$B:$X,21,0)</f>
        <v>6.68</v>
      </c>
      <c r="L242" s="31">
        <f t="shared" si="37"/>
        <v>271308.2</v>
      </c>
      <c r="M242" s="1">
        <v>46073</v>
      </c>
      <c r="N242" s="1">
        <f t="shared" si="36"/>
        <v>46305</v>
      </c>
      <c r="O242">
        <f t="shared" si="38"/>
        <v>233</v>
      </c>
      <c r="P242" s="49">
        <f t="shared" si="42"/>
        <v>7.7666666666666666</v>
      </c>
      <c r="Q242" s="34">
        <f>VLOOKUP($G242,Agendamento!$B:$F,5,0)</f>
        <v>6</v>
      </c>
      <c r="R242" s="36">
        <f t="shared" si="39"/>
        <v>41</v>
      </c>
      <c r="S242" s="44">
        <v>2.5499999999999998</v>
      </c>
      <c r="T242" s="44">
        <f t="shared" si="40"/>
        <v>24360.149999999998</v>
      </c>
      <c r="U242" t="s">
        <v>5115</v>
      </c>
      <c r="V242" t="str">
        <f t="shared" si="41"/>
        <v>NF/64238582_20260220_nf_12.pdf</v>
      </c>
      <c r="W242" s="32" t="str">
        <f t="shared" si="43"/>
        <v>NF - A BALEIA QUE CARREGOU O OCEANO</v>
      </c>
      <c r="X242" t="s">
        <v>5591</v>
      </c>
    </row>
    <row r="243" spans="1:24" x14ac:dyDescent="0.25">
      <c r="A243" t="str">
        <f>CONCATENATE(D243,"_",TEXT(M243,"ddmmaaaa"),"_",COUNTIF($D$2:D243,D243))</f>
        <v>341072830001-97_20022026_1</v>
      </c>
      <c r="B243" t="str">
        <f>CONCATENATE(Analise!D243,"_",COUNTIF(Analise!$D$2:D243,Analise!D243))</f>
        <v>341072830001-97_1</v>
      </c>
      <c r="C243" s="34">
        <f>COUNTIF('Obras e Acervos'!$C:$C,CONCATENATE(LEFT(D243,12),RIGHT(D243,2)))</f>
        <v>2</v>
      </c>
      <c r="D243" s="35" t="s">
        <v>4644</v>
      </c>
      <c r="E243" t="str">
        <f>VLOOKUP($B243,'Obras e Acervos'!$B:$X,3,0)</f>
        <v>MIOLO MOLE PRODUÇÕES LITERÁRIAS LTDA-MIOLO MOLE PRODUÇÕES LITERÁRIAS</v>
      </c>
      <c r="F243" t="str">
        <f>VLOOKUP($B243,'Obras e Acervos'!$B:$X,7,0)</f>
        <v>0751L23000030LE</v>
      </c>
      <c r="G243" t="str">
        <f>VLOOKUP($B243,'Obras e Acervos'!$B:$X,5,0)</f>
        <v>A NUVEM</v>
      </c>
      <c r="H243">
        <f>VLOOKUP($B243,'Obras e Acervos'!$B:$X,18,0)</f>
        <v>4</v>
      </c>
      <c r="I243">
        <f>VLOOKUP($B243,'Obras e Acervos'!$B:$X,19,0)</f>
        <v>38914</v>
      </c>
      <c r="J243" s="42">
        <f>VLOOKUP($B243,'Obras e Acervos'!$B:$X,20,0)</f>
        <v>2218.098</v>
      </c>
      <c r="K243" s="31">
        <f>VLOOKUP($B243,'Obras e Acervos'!$B:$X,21,0)</f>
        <v>4.47</v>
      </c>
      <c r="L243" s="31">
        <f t="shared" si="37"/>
        <v>173945.58</v>
      </c>
      <c r="M243" s="1">
        <v>46073</v>
      </c>
      <c r="N243" s="1">
        <f t="shared" si="36"/>
        <v>46305</v>
      </c>
      <c r="O243">
        <f t="shared" si="38"/>
        <v>233</v>
      </c>
      <c r="P243" s="49">
        <f t="shared" si="42"/>
        <v>7.7666666666666666</v>
      </c>
      <c r="Q243" s="34">
        <f>VLOOKUP($G243,Agendamento!$B:$F,5,0)</f>
        <v>8</v>
      </c>
      <c r="R243" s="36">
        <f t="shared" si="39"/>
        <v>39</v>
      </c>
      <c r="S243" s="44">
        <v>2.5499999999999998</v>
      </c>
      <c r="T243" s="44">
        <f t="shared" si="40"/>
        <v>23171.85</v>
      </c>
      <c r="U243" t="s">
        <v>5109</v>
      </c>
      <c r="V243" t="str">
        <f t="shared" si="41"/>
        <v>NF/64238582_20260220_nf_13.pdf</v>
      </c>
      <c r="W243" s="32" t="str">
        <f t="shared" si="43"/>
        <v>NF - A NUVEM</v>
      </c>
      <c r="X243" t="s">
        <v>5591</v>
      </c>
    </row>
    <row r="244" spans="1:24" x14ac:dyDescent="0.25">
      <c r="A244" t="str">
        <f>CONCATENATE(D244,"_",TEXT(M244,"ddmmaaaa"),"_",COUNTIF($D$2:D244,D244))</f>
        <v>341072830001-97_20022026_2</v>
      </c>
      <c r="B244" t="str">
        <f>CONCATENATE(Analise!D244,"_",COUNTIF(Analise!$D$2:D244,Analise!D244))</f>
        <v>341072830001-97_2</v>
      </c>
      <c r="C244" s="34">
        <f>COUNTIF('Obras e Acervos'!$C:$C,CONCATENATE(LEFT(D244,12),RIGHT(D244,2)))</f>
        <v>2</v>
      </c>
      <c r="D244" s="35" t="s">
        <v>4644</v>
      </c>
      <c r="E244" t="str">
        <f>VLOOKUP($B244,'Obras e Acervos'!$B:$X,3,0)</f>
        <v>MIOLO MOLE PRODUÇÕES LITERÁRIAS LTDA-MIOLO MOLE PRODUÇÕES LITERÁRIAS</v>
      </c>
      <c r="F244" t="str">
        <f>VLOOKUP($B244,'Obras e Acervos'!$B:$X,7,0)</f>
        <v>0752L23000020LE</v>
      </c>
      <c r="G244" t="str">
        <f>VLOOKUP($B244,'Obras e Acervos'!$B:$X,5,0)</f>
        <v>O MEDO QUE A GENTE TEM</v>
      </c>
      <c r="H244">
        <f>VLOOKUP($B244,'Obras e Acervos'!$B:$X,18,0)</f>
        <v>15</v>
      </c>
      <c r="I244">
        <f>VLOOKUP($B244,'Obras e Acervos'!$B:$X,19,0)</f>
        <v>37428</v>
      </c>
      <c r="J244" s="42">
        <f>VLOOKUP($B244,'Obras e Acervos'!$B:$X,20,0)</f>
        <v>2133.3960000000002</v>
      </c>
      <c r="K244" s="31">
        <f>VLOOKUP($B244,'Obras e Acervos'!$B:$X,21,0)</f>
        <v>4.78</v>
      </c>
      <c r="L244" s="31">
        <f t="shared" si="37"/>
        <v>178905.84</v>
      </c>
      <c r="M244" s="1">
        <v>46073</v>
      </c>
      <c r="N244" s="1">
        <f t="shared" si="36"/>
        <v>46305</v>
      </c>
      <c r="O244">
        <f t="shared" si="38"/>
        <v>233</v>
      </c>
      <c r="P244" s="49">
        <f t="shared" si="42"/>
        <v>7.7666666666666666</v>
      </c>
      <c r="Q244" s="34">
        <f>VLOOKUP($G244,Agendamento!$B:$F,5,0)</f>
        <v>8</v>
      </c>
      <c r="R244" s="36">
        <f t="shared" si="39"/>
        <v>38</v>
      </c>
      <c r="S244" s="44">
        <v>2.5499999999999998</v>
      </c>
      <c r="T244" s="44">
        <f t="shared" si="40"/>
        <v>22577.699999999997</v>
      </c>
      <c r="U244" t="s">
        <v>5109</v>
      </c>
      <c r="V244" t="str">
        <f t="shared" si="41"/>
        <v>NF/64238582_20260220_nf_13.pdf</v>
      </c>
      <c r="W244" s="32" t="str">
        <f t="shared" si="43"/>
        <v>NF - O MEDO QUE A GENTE TEM</v>
      </c>
      <c r="X244" t="s">
        <v>5591</v>
      </c>
    </row>
    <row r="245" spans="1:24" x14ac:dyDescent="0.25">
      <c r="A245" t="str">
        <f>CONCATENATE(D245,"_",TEXT(M245,"ddmmaaaa"),"_",COUNTIF($D$2:D245,D245))</f>
        <v>413248950001-05_20022026_1</v>
      </c>
      <c r="B245" t="str">
        <f>CONCATENATE(Analise!D245,"_",COUNTIF(Analise!$D$2:D245,Analise!D245))</f>
        <v>413248950001-05_1</v>
      </c>
      <c r="C245" s="34">
        <f>COUNTIF('Obras e Acervos'!$C:$C,CONCATENATE(LEFT(D245,12),RIGHT(D245,2)))</f>
        <v>1</v>
      </c>
      <c r="D245" s="35" t="s">
        <v>4652</v>
      </c>
      <c r="E245" t="str">
        <f>VLOOKUP($B245,'Obras e Acervos'!$B:$X,3,0)</f>
        <v>EDITORA MACS SERVIÇOS LTDA-EDITORA MACS SERVIÇOS LTDA</v>
      </c>
      <c r="F245" t="str">
        <f>VLOOKUP($B245,'Obras e Acervos'!$B:$X,7,0)</f>
        <v>0621L23000030LE</v>
      </c>
      <c r="G245" t="str">
        <f>VLOOKUP($B245,'Obras e Acervos'!$B:$X,5,0)</f>
        <v>NAMARAMA</v>
      </c>
      <c r="H245">
        <f>VLOOKUP($B245,'Obras e Acervos'!$B:$X,18,0)</f>
        <v>2</v>
      </c>
      <c r="I245">
        <f>VLOOKUP($B245,'Obras e Acervos'!$B:$X,19,0)</f>
        <v>45058</v>
      </c>
      <c r="J245" s="42">
        <f>VLOOKUP($B245,'Obras e Acervos'!$B:$X,20,0)</f>
        <v>5542.134</v>
      </c>
      <c r="K245" s="31">
        <f>VLOOKUP($B245,'Obras e Acervos'!$B:$X,21,0)</f>
        <v>4.47</v>
      </c>
      <c r="L245" s="31">
        <f t="shared" si="37"/>
        <v>201409.25999999998</v>
      </c>
      <c r="M245" s="1">
        <v>46073</v>
      </c>
      <c r="N245" s="1">
        <f t="shared" si="36"/>
        <v>46305</v>
      </c>
      <c r="O245">
        <f t="shared" si="38"/>
        <v>233</v>
      </c>
      <c r="P245" s="49">
        <f t="shared" si="42"/>
        <v>7.7666666666666666</v>
      </c>
      <c r="Q245" s="34">
        <f>VLOOKUP($G245,Agendamento!$B:$F,5,0)</f>
        <v>10</v>
      </c>
      <c r="R245" s="36">
        <f t="shared" si="39"/>
        <v>46</v>
      </c>
      <c r="S245" s="44">
        <v>2.5499999999999998</v>
      </c>
      <c r="T245" s="44">
        <f t="shared" si="40"/>
        <v>27330.899999999998</v>
      </c>
      <c r="U245" t="s">
        <v>5117</v>
      </c>
      <c r="V245" t="str">
        <f t="shared" si="41"/>
        <v>NF/64238582_20260220_nf_14.pdf</v>
      </c>
      <c r="W245" s="32" t="str">
        <f t="shared" si="43"/>
        <v>NF - NAMARAMA</v>
      </c>
      <c r="X245" t="s">
        <v>5591</v>
      </c>
    </row>
    <row r="246" spans="1:24" x14ac:dyDescent="0.25">
      <c r="A246" t="str">
        <f>CONCATENATE(D246,"_",TEXT(M246,"ddmmaaaa"),"_",COUNTIF($D$2:D246,D246))</f>
        <v>069828730001-23_20022026_1</v>
      </c>
      <c r="B246" t="str">
        <f>CONCATENATE(Analise!D246,"_",COUNTIF(Analise!$D$2:D246,Analise!D246))</f>
        <v>069828730001-23_1</v>
      </c>
      <c r="C246" s="34">
        <f>COUNTIF('Obras e Acervos'!$C:$C,CONCATENATE(LEFT(D246,12),RIGHT(D246,2)))</f>
        <v>2</v>
      </c>
      <c r="D246" s="35" t="s">
        <v>4646</v>
      </c>
      <c r="E246" t="str">
        <f>VLOOKUP($B246,'Obras e Acervos'!$B:$X,3,0)</f>
        <v>EUREKA - SOLUÇÕES PEDAGÓGICAS LTDA-EUREKA - SOLUÇÕES PEDAGÓGICAS LTDA</v>
      </c>
      <c r="F246" t="str">
        <f>VLOOKUP($B246,'Obras e Acervos'!$B:$X,7,0)</f>
        <v>0586L23000030LE</v>
      </c>
      <c r="G246" t="str">
        <f>VLOOKUP($B246,'Obras e Acervos'!$B:$X,5,0)</f>
        <v>FOLHINHAS</v>
      </c>
      <c r="H246">
        <f>VLOOKUP($B246,'Obras e Acervos'!$B:$X,18,0)</f>
        <v>5</v>
      </c>
      <c r="I246">
        <f>VLOOKUP($B246,'Obras e Acervos'!$B:$X,19,0)</f>
        <v>37726</v>
      </c>
      <c r="J246" s="42">
        <f>VLOOKUP($B246,'Obras e Acervos'!$B:$X,20,0)</f>
        <v>1358.136</v>
      </c>
      <c r="K246" s="31">
        <f>VLOOKUP($B246,'Obras e Acervos'!$B:$X,21,0)</f>
        <v>4.47</v>
      </c>
      <c r="L246" s="31">
        <f t="shared" si="37"/>
        <v>168635.22</v>
      </c>
      <c r="M246" s="1">
        <v>46073</v>
      </c>
      <c r="N246" s="1">
        <f t="shared" si="36"/>
        <v>46305</v>
      </c>
      <c r="O246">
        <f t="shared" si="38"/>
        <v>233</v>
      </c>
      <c r="P246" s="49">
        <f t="shared" si="42"/>
        <v>7.7666666666666666</v>
      </c>
      <c r="Q246" s="34">
        <f>VLOOKUP($G246,Agendamento!$B:$F,5,0)</f>
        <v>8</v>
      </c>
      <c r="R246" s="36">
        <f t="shared" si="39"/>
        <v>38</v>
      </c>
      <c r="S246" s="44">
        <v>2.5499999999999998</v>
      </c>
      <c r="T246" s="44">
        <f t="shared" si="40"/>
        <v>22577.699999999997</v>
      </c>
      <c r="U246" t="s">
        <v>5111</v>
      </c>
      <c r="V246" t="str">
        <f t="shared" si="41"/>
        <v>NF/64238582_20260220_nf_15.pdf</v>
      </c>
      <c r="W246" s="32" t="str">
        <f t="shared" si="43"/>
        <v>NF - FOLHINHAS</v>
      </c>
      <c r="X246" t="s">
        <v>5591</v>
      </c>
    </row>
    <row r="247" spans="1:24" x14ac:dyDescent="0.25">
      <c r="A247" t="str">
        <f>CONCATENATE(D247,"_",TEXT(M247,"ddmmaaaa"),"_",COUNTIF($D$2:D247,D247))</f>
        <v>069828730001-23_20022026_2</v>
      </c>
      <c r="B247" t="str">
        <f>CONCATENATE(Analise!D247,"_",COUNTIF(Analise!$D$2:D247,Analise!D247))</f>
        <v>069828730001-23_2</v>
      </c>
      <c r="C247" s="34">
        <f>COUNTIF('Obras e Acervos'!$C:$C,CONCATENATE(LEFT(D247,12),RIGHT(D247,2)))</f>
        <v>2</v>
      </c>
      <c r="D247" s="35" t="s">
        <v>4646</v>
      </c>
      <c r="E247" t="str">
        <f>VLOOKUP($B247,'Obras e Acervos'!$B:$X,3,0)</f>
        <v>EUREKA - SOLUÇÕES PEDAGÓGICAS LTDA-EUREKA - SOLUÇÕES PEDAGÓGICAS LTDA</v>
      </c>
      <c r="F247" t="str">
        <f>VLOOKUP($B247,'Obras e Acervos'!$B:$X,7,0)</f>
        <v>0587L23000020LE</v>
      </c>
      <c r="G247" t="str">
        <f>VLOOKUP($B247,'Obras e Acervos'!$B:$X,5,0)</f>
        <v>Ô, SEU MENINO!</v>
      </c>
      <c r="H247">
        <f>VLOOKUP($B247,'Obras e Acervos'!$B:$X,18,0)</f>
        <v>17</v>
      </c>
      <c r="I247">
        <f>VLOOKUP($B247,'Obras e Acervos'!$B:$X,19,0)</f>
        <v>27974</v>
      </c>
      <c r="J247" s="42">
        <f>VLOOKUP($B247,'Obras e Acervos'!$B:$X,20,0)</f>
        <v>2657.53</v>
      </c>
      <c r="K247" s="31">
        <f>VLOOKUP($B247,'Obras e Acervos'!$B:$X,21,0)</f>
        <v>6.87</v>
      </c>
      <c r="L247" s="31">
        <f t="shared" si="37"/>
        <v>192181.38</v>
      </c>
      <c r="M247" s="1">
        <v>46073</v>
      </c>
      <c r="N247" s="1">
        <f t="shared" si="36"/>
        <v>46305</v>
      </c>
      <c r="O247">
        <f t="shared" si="38"/>
        <v>233</v>
      </c>
      <c r="P247" s="49">
        <f t="shared" si="42"/>
        <v>7.7666666666666666</v>
      </c>
      <c r="Q247" s="34">
        <f>VLOOKUP($G247,Agendamento!$B:$F,5,0)</f>
        <v>6</v>
      </c>
      <c r="R247" s="36">
        <f t="shared" si="39"/>
        <v>28</v>
      </c>
      <c r="S247" s="44">
        <v>2.5499999999999998</v>
      </c>
      <c r="T247" s="44">
        <f t="shared" si="40"/>
        <v>16636.199999999997</v>
      </c>
      <c r="U247" t="s">
        <v>5111</v>
      </c>
      <c r="V247" t="str">
        <f t="shared" si="41"/>
        <v>NF/64238582_20260220_nf_15.pdf</v>
      </c>
      <c r="W247" s="32" t="str">
        <f t="shared" si="43"/>
        <v>NF - Ô, SEU MENINO!</v>
      </c>
      <c r="X247" t="s">
        <v>5591</v>
      </c>
    </row>
    <row r="248" spans="1:24" x14ac:dyDescent="0.25">
      <c r="A248" t="str">
        <f>CONCATENATE(D248,"_",TEXT(M248,"ddmmaaaa"),"_",COUNTIF($D$2:D248,D248))</f>
        <v>399595710001-93_20022026_1</v>
      </c>
      <c r="B248" t="str">
        <f>CONCATENATE(Analise!D248,"_",COUNTIF(Analise!$D$2:D248,Analise!D248))</f>
        <v>399595710001-93_1</v>
      </c>
      <c r="C248" s="34">
        <f>COUNTIF('Obras e Acervos'!$C:$C,CONCATENATE(LEFT(D248,12),RIGHT(D248,2)))</f>
        <v>2</v>
      </c>
      <c r="D248" s="35" t="s">
        <v>4647</v>
      </c>
      <c r="E248" t="str">
        <f>VLOOKUP($B248,'Obras e Acervos'!$B:$X,3,0)</f>
        <v>EDITORA CARIRI LTDA-EDITORA CARIRI</v>
      </c>
      <c r="F248" t="str">
        <f>VLOOKUP($B248,'Obras e Acervos'!$B:$X,7,0)</f>
        <v>1198L23000030LE</v>
      </c>
      <c r="G248" t="str">
        <f>VLOOKUP($B248,'Obras e Acervos'!$B:$X,5,0)</f>
        <v>O QUE AMANDA DESCOBRIU?</v>
      </c>
      <c r="H248">
        <f>VLOOKUP($B248,'Obras e Acervos'!$B:$X,18,0)</f>
        <v>10</v>
      </c>
      <c r="I248">
        <f>VLOOKUP($B248,'Obras e Acervos'!$B:$X,19,0)</f>
        <v>33358</v>
      </c>
      <c r="J248" s="42">
        <f>VLOOKUP($B248,'Obras e Acervos'!$B:$X,20,0)</f>
        <v>2802.0720000000001</v>
      </c>
      <c r="K248" s="31">
        <f>VLOOKUP($B248,'Obras e Acervos'!$B:$X,21,0)</f>
        <v>5.05</v>
      </c>
      <c r="L248" s="31">
        <f t="shared" si="37"/>
        <v>168457.9</v>
      </c>
      <c r="M248" s="1">
        <v>46073</v>
      </c>
      <c r="N248" s="1">
        <f t="shared" si="36"/>
        <v>46305</v>
      </c>
      <c r="O248">
        <f t="shared" si="38"/>
        <v>233</v>
      </c>
      <c r="P248" s="49">
        <f t="shared" si="42"/>
        <v>7.7666666666666666</v>
      </c>
      <c r="Q248" s="34">
        <f>VLOOKUP($G248,Agendamento!$B:$F,5,0)</f>
        <v>4</v>
      </c>
      <c r="R248" s="36">
        <f t="shared" si="39"/>
        <v>34</v>
      </c>
      <c r="S248" s="44">
        <v>2.5499999999999998</v>
      </c>
      <c r="T248" s="44">
        <f t="shared" si="40"/>
        <v>20201.099999999999</v>
      </c>
      <c r="U248" t="s">
        <v>5112</v>
      </c>
      <c r="V248" t="str">
        <f t="shared" si="41"/>
        <v>NF/64238582_20260220_nf_16.pdf</v>
      </c>
      <c r="W248" s="32" t="str">
        <f t="shared" si="43"/>
        <v>NF - O QUE AMANDA DESCOBRIU?</v>
      </c>
      <c r="X248" t="s">
        <v>5591</v>
      </c>
    </row>
    <row r="249" spans="1:24" x14ac:dyDescent="0.25">
      <c r="A249" t="str">
        <f>CONCATENATE(D249,"_",TEXT(M249,"ddmmaaaa"),"_",COUNTIF($D$2:D249,D249))</f>
        <v>399595710001-93_20022026_2</v>
      </c>
      <c r="B249" t="str">
        <f>CONCATENATE(Analise!D249,"_",COUNTIF(Analise!$D$2:D249,Analise!D249))</f>
        <v>399595710001-93_2</v>
      </c>
      <c r="C249" s="34">
        <f>COUNTIF('Obras e Acervos'!$C:$C,CONCATENATE(LEFT(D249,12),RIGHT(D249,2)))</f>
        <v>2</v>
      </c>
      <c r="D249" s="35" t="s">
        <v>4647</v>
      </c>
      <c r="E249" t="str">
        <f>VLOOKUP($B249,'Obras e Acervos'!$B:$X,3,0)</f>
        <v>EDITORA CARIRI LTDA-EDITORA CARIRI</v>
      </c>
      <c r="F249" t="str">
        <f>VLOOKUP($B249,'Obras e Acervos'!$B:$X,7,0)</f>
        <v>1199L23000020LE</v>
      </c>
      <c r="G249" t="str">
        <f>VLOOKUP($B249,'Obras e Acervos'!$B:$X,5,0)</f>
        <v>POEMINHAS SABIDOS</v>
      </c>
      <c r="H249">
        <f>VLOOKUP($B249,'Obras e Acervos'!$B:$X,18,0)</f>
        <v>13</v>
      </c>
      <c r="I249">
        <f>VLOOKUP($B249,'Obras e Acervos'!$B:$X,19,0)</f>
        <v>31832</v>
      </c>
      <c r="J249" s="42">
        <f>VLOOKUP($B249,'Obras e Acervos'!$B:$X,20,0)</f>
        <v>2673.8880000000004</v>
      </c>
      <c r="K249" s="31">
        <f>VLOOKUP($B249,'Obras e Acervos'!$B:$X,21,0)</f>
        <v>5.41</v>
      </c>
      <c r="L249" s="31">
        <f t="shared" si="37"/>
        <v>172211.12</v>
      </c>
      <c r="M249" s="1">
        <v>46073</v>
      </c>
      <c r="N249" s="1">
        <f t="shared" si="36"/>
        <v>46305</v>
      </c>
      <c r="O249">
        <f t="shared" si="38"/>
        <v>233</v>
      </c>
      <c r="P249" s="49">
        <f t="shared" si="42"/>
        <v>7.7666666666666666</v>
      </c>
      <c r="Q249" s="34">
        <f>VLOOKUP($G249,Agendamento!$B:$F,5,0)</f>
        <v>4</v>
      </c>
      <c r="R249" s="36">
        <f t="shared" si="39"/>
        <v>32</v>
      </c>
      <c r="S249" s="44">
        <v>2.5499999999999998</v>
      </c>
      <c r="T249" s="44">
        <f t="shared" si="40"/>
        <v>19012.8</v>
      </c>
      <c r="U249" t="s">
        <v>5112</v>
      </c>
      <c r="V249" t="str">
        <f t="shared" si="41"/>
        <v>NF/64238582_20260220_nf_16.pdf</v>
      </c>
      <c r="W249" s="32" t="str">
        <f t="shared" si="43"/>
        <v>NF - POEMINHAS SABIDOS</v>
      </c>
      <c r="X249" t="s">
        <v>5591</v>
      </c>
    </row>
    <row r="250" spans="1:24" x14ac:dyDescent="0.25">
      <c r="A250" t="str">
        <f>CONCATENATE(D250,"_",TEXT(M250,"ddmmaaaa"),"_",COUNTIF($D$2:D250,D250))</f>
        <v>071016460001-04_20022026_1</v>
      </c>
      <c r="B250" t="str">
        <f>CONCATENATE(Analise!D250,"_",COUNTIF(Analise!$D$2:D250,Analise!D250)+1)</f>
        <v>071016460001-04_2</v>
      </c>
      <c r="C250" s="34">
        <f>COUNTIF('Obras e Acervos'!$C:$C,CONCATENATE(LEFT(D250,12),RIGHT(D250,2)))</f>
        <v>2</v>
      </c>
      <c r="D250" s="35" t="s">
        <v>4641</v>
      </c>
      <c r="E250" t="str">
        <f>VLOOKUP($B250,'Obras e Acervos'!$B:$X,3,0)</f>
        <v>TSP EDITORIAL EIRELI-BLACK BIRD</v>
      </c>
      <c r="F250" t="str">
        <f>VLOOKUP($B250,'Obras e Acervos'!$B:$X,7,0)</f>
        <v>1179L23000020LE</v>
      </c>
      <c r="G250" t="str">
        <f>VLOOKUP($B250,'Obras e Acervos'!$B:$X,5,0)</f>
        <v>O JARDIM ASSOMBRADO</v>
      </c>
      <c r="H250">
        <f>VLOOKUP($B250,'Obras e Acervos'!$B:$X,18,0)</f>
        <v>12</v>
      </c>
      <c r="I250">
        <f>VLOOKUP($B250,'Obras e Acervos'!$B:$X,19,0)</f>
        <v>33312</v>
      </c>
      <c r="J250" s="42">
        <f>VLOOKUP($B250,'Obras e Acervos'!$B:$X,20,0)</f>
        <v>2798.2080000000001</v>
      </c>
      <c r="K250" s="31">
        <f>VLOOKUP($B250,'Obras e Acervos'!$B:$X,21,0)</f>
        <v>5.05</v>
      </c>
      <c r="L250" s="31">
        <f t="shared" si="37"/>
        <v>168225.6</v>
      </c>
      <c r="M250" s="1">
        <v>46073</v>
      </c>
      <c r="N250" s="1">
        <f t="shared" si="36"/>
        <v>46305</v>
      </c>
      <c r="O250">
        <f t="shared" si="38"/>
        <v>233</v>
      </c>
      <c r="P250" s="49">
        <f t="shared" si="42"/>
        <v>7.7666666666666666</v>
      </c>
      <c r="Q250" s="34">
        <f>VLOOKUP($G250,Agendamento!$B:$F,5,0)</f>
        <v>4</v>
      </c>
      <c r="R250" s="36">
        <f t="shared" si="39"/>
        <v>34</v>
      </c>
      <c r="S250" s="44">
        <v>2.5499999999999998</v>
      </c>
      <c r="T250" s="44">
        <f t="shared" si="40"/>
        <v>20201.099999999999</v>
      </c>
      <c r="U250" t="s">
        <v>5105</v>
      </c>
      <c r="V250" t="str">
        <f t="shared" si="41"/>
        <v>NF/64238582_20260220_nf_17.pdf</v>
      </c>
      <c r="W250" s="32" t="str">
        <f t="shared" si="43"/>
        <v>NF - O JARDIM ASSOMBRADO</v>
      </c>
      <c r="X250" t="s">
        <v>5591</v>
      </c>
    </row>
    <row r="251" spans="1:24" x14ac:dyDescent="0.25">
      <c r="A251" t="str">
        <f>CONCATENATE(D251,"_",TEXT(M251,"ddmmaaaa"),"_",COUNTIF($D$2:D251,D251))</f>
        <v>071016460001-04_20022026_2</v>
      </c>
      <c r="B251" t="str">
        <f>CONCATENATE(Analise!D251,"_",COUNTIF(Analise!$D$2:D251,Analise!D251)-1)</f>
        <v>071016460001-04_1</v>
      </c>
      <c r="C251" s="34">
        <f>COUNTIF('Obras e Acervos'!$C:$C,CONCATENATE(LEFT(D251,12),RIGHT(D251,2)))</f>
        <v>2</v>
      </c>
      <c r="D251" s="35" t="s">
        <v>4641</v>
      </c>
      <c r="E251" t="str">
        <f>VLOOKUP($B251,'Obras e Acervos'!$B:$X,3,0)</f>
        <v>TSP EDITORIAL EIRELI-BLACK BIRD</v>
      </c>
      <c r="F251" t="str">
        <f>VLOOKUP($B251,'Obras e Acervos'!$B:$X,7,0)</f>
        <v>1202L23000030LE</v>
      </c>
      <c r="G251" t="str">
        <f>VLOOKUP($B251,'Obras e Acervos'!$B:$X,5,0)</f>
        <v>A MAGIA DA AMIZADE</v>
      </c>
      <c r="H251">
        <f>VLOOKUP($B251,'Obras e Acervos'!$B:$X,18,0)</f>
        <v>6</v>
      </c>
      <c r="I251">
        <f>VLOOKUP($B251,'Obras e Acervos'!$B:$X,19,0)</f>
        <v>56778</v>
      </c>
      <c r="J251" s="42">
        <f>VLOOKUP($B251,'Obras e Acervos'!$B:$X,20,0)</f>
        <v>4769.3519999999999</v>
      </c>
      <c r="K251" s="31">
        <f>VLOOKUP($B251,'Obras e Acervos'!$B:$X,21,0)</f>
        <v>3.83</v>
      </c>
      <c r="L251" s="31">
        <f t="shared" si="37"/>
        <v>217459.74</v>
      </c>
      <c r="M251" s="1">
        <v>46073</v>
      </c>
      <c r="N251" s="1">
        <f t="shared" si="36"/>
        <v>46305</v>
      </c>
      <c r="O251">
        <f t="shared" si="38"/>
        <v>233</v>
      </c>
      <c r="P251" s="49">
        <f t="shared" si="42"/>
        <v>7.7666666666666666</v>
      </c>
      <c r="Q251" s="34">
        <f>VLOOKUP($G251,Agendamento!$B:$F,5,0)</f>
        <v>7</v>
      </c>
      <c r="R251" s="36">
        <f t="shared" si="39"/>
        <v>57</v>
      </c>
      <c r="S251" s="44">
        <v>2.5499999999999998</v>
      </c>
      <c r="T251" s="44">
        <f t="shared" si="40"/>
        <v>33866.549999999996</v>
      </c>
      <c r="U251" t="s">
        <v>5107</v>
      </c>
      <c r="V251" t="str">
        <f t="shared" si="41"/>
        <v>NF/64238582_20260220_nf_18.pdf</v>
      </c>
      <c r="W251" s="32" t="str">
        <f t="shared" si="43"/>
        <v>NF - A MAGIA DA AMIZADE</v>
      </c>
      <c r="X251" t="s">
        <v>5591</v>
      </c>
    </row>
    <row r="252" spans="1:24" x14ac:dyDescent="0.25">
      <c r="A252" t="str">
        <f>CONCATENATE(D252,"_",TEXT(M252,"ddmmaaaa"),"_",COUNTIF($D$2:D252,D252))</f>
        <v>297566970001-07_20022026_1</v>
      </c>
      <c r="B252" t="str">
        <f>CONCATENATE(Analise!D252,"_",COUNTIF(Analise!$D$2:D252,Analise!D252))</f>
        <v>297566970001-07_1</v>
      </c>
      <c r="C252" s="34">
        <f>COUNTIF('Obras e Acervos'!$C:$C,CONCATENATE(LEFT(D252,12),RIGHT(D252,2)))</f>
        <v>1</v>
      </c>
      <c r="D252" s="35" t="s">
        <v>4643</v>
      </c>
      <c r="E252" t="str">
        <f>VLOOKUP($B252,'Obras e Acervos'!$B:$X,3,0)</f>
        <v>FARO EDITORIAL EIRELI-FARO EDITORIAL</v>
      </c>
      <c r="F252" t="str">
        <f>VLOOKUP($B252,'Obras e Acervos'!$B:$X,7,0)</f>
        <v>0695L23000030LE</v>
      </c>
      <c r="G252" t="str">
        <f>VLOOKUP($B252,'Obras e Acervos'!$B:$X,5,0)</f>
        <v>RATINHA DE LIVRARIA</v>
      </c>
      <c r="H252">
        <f>VLOOKUP($B252,'Obras e Acervos'!$B:$X,18,0)</f>
        <v>7</v>
      </c>
      <c r="I252">
        <f>VLOOKUP($B252,'Obras e Acervos'!$B:$X,19,0)</f>
        <v>33692</v>
      </c>
      <c r="J252" s="42">
        <f>VLOOKUP($B252,'Obras e Acervos'!$B:$X,20,0)</f>
        <v>2897.5119999999997</v>
      </c>
      <c r="K252" s="31">
        <f>VLOOKUP($B252,'Obras e Acervos'!$B:$X,21,0)</f>
        <v>6.39</v>
      </c>
      <c r="L252" s="31">
        <f t="shared" si="37"/>
        <v>215291.87999999998</v>
      </c>
      <c r="M252" s="1">
        <v>46073</v>
      </c>
      <c r="N252" s="1">
        <f t="shared" si="36"/>
        <v>46305</v>
      </c>
      <c r="O252">
        <f t="shared" si="38"/>
        <v>233</v>
      </c>
      <c r="P252" s="49">
        <f t="shared" si="42"/>
        <v>7.7666666666666666</v>
      </c>
      <c r="Q252" s="34">
        <f>VLOOKUP($G252,Agendamento!$B:$F,5,0)</f>
        <v>6</v>
      </c>
      <c r="R252" s="36">
        <f t="shared" si="39"/>
        <v>34</v>
      </c>
      <c r="S252" s="44">
        <v>2.5499999999999998</v>
      </c>
      <c r="T252" s="44">
        <f t="shared" si="40"/>
        <v>20201.099999999999</v>
      </c>
      <c r="U252" t="s">
        <v>5108</v>
      </c>
      <c r="V252" t="str">
        <f t="shared" si="41"/>
        <v>NF/64238582_20260220_nf_19.pdf</v>
      </c>
      <c r="W252" s="32" t="str">
        <f t="shared" si="43"/>
        <v>NF - RATINHA DE LIVRARIA</v>
      </c>
      <c r="X252" t="s">
        <v>5591</v>
      </c>
    </row>
    <row r="253" spans="1:24" x14ac:dyDescent="0.25">
      <c r="A253" t="str">
        <f>CONCATENATE(D253,"_",TEXT(M253,"ddmmaaaa"),"_",COUNTIF($D$2:D253,D253))</f>
        <v>205132880001-05_20022026_1</v>
      </c>
      <c r="B253" t="str">
        <f>CONCATENATE(Analise!D253,"_",COUNTIF(Analise!$D$2:D253,Analise!D253))</f>
        <v>205132880001-05_1</v>
      </c>
      <c r="C253" s="34">
        <f>COUNTIF('Obras e Acervos'!$C:$C,CONCATENATE(LEFT(D253,12),RIGHT(D253,2)))</f>
        <v>2</v>
      </c>
      <c r="D253" s="35" t="s">
        <v>4636</v>
      </c>
      <c r="E253" t="str">
        <f>VLOOKUP($B253,'Obras e Acervos'!$B:$X,3,0)</f>
        <v>L.A.G. NEIRA -NEIRA EDITORIAL</v>
      </c>
      <c r="F253" t="str">
        <f>VLOOKUP($B253,'Obras e Acervos'!$B:$X,7,0)</f>
        <v>1019L23000030LE</v>
      </c>
      <c r="G253" t="str">
        <f>VLOOKUP($B253,'Obras e Acervos'!$B:$X,5,0)</f>
        <v>O MENINO NO BECO DA PIPA</v>
      </c>
      <c r="H253">
        <f>VLOOKUP($B253,'Obras e Acervos'!$B:$X,18,0)</f>
        <v>2</v>
      </c>
      <c r="I253">
        <f>VLOOKUP($B253,'Obras e Acervos'!$B:$X,19,0)</f>
        <v>43558</v>
      </c>
      <c r="J253" s="42">
        <f>VLOOKUP($B253,'Obras e Acervos'!$B:$X,20,0)</f>
        <v>4486.4740000000002</v>
      </c>
      <c r="K253" s="31">
        <f>VLOOKUP($B253,'Obras e Acervos'!$B:$X,21,0)</f>
        <v>5.08</v>
      </c>
      <c r="L253" s="31">
        <f t="shared" si="37"/>
        <v>221274.64</v>
      </c>
      <c r="M253" s="1">
        <v>46073</v>
      </c>
      <c r="N253" s="1">
        <f t="shared" si="36"/>
        <v>46305</v>
      </c>
      <c r="O253">
        <f t="shared" si="38"/>
        <v>233</v>
      </c>
      <c r="P253" s="49">
        <f t="shared" si="42"/>
        <v>7.7666666666666666</v>
      </c>
      <c r="Q253" s="34">
        <f>VLOOKUP($G253,Agendamento!$B:$F,5,0)</f>
        <v>6</v>
      </c>
      <c r="R253" s="36">
        <f t="shared" si="39"/>
        <v>44</v>
      </c>
      <c r="S253" s="44">
        <v>2.5499999999999998</v>
      </c>
      <c r="T253" s="44">
        <f t="shared" si="40"/>
        <v>26142.6</v>
      </c>
      <c r="U253" t="s">
        <v>5099</v>
      </c>
      <c r="V253" t="str">
        <f t="shared" si="41"/>
        <v>NF/64238582_20260220_nf_20.pdf</v>
      </c>
      <c r="W253" s="32" t="str">
        <f t="shared" si="43"/>
        <v>NF - O MENINO NO BECO DA PIPA</v>
      </c>
      <c r="X253" t="s">
        <v>5591</v>
      </c>
    </row>
    <row r="254" spans="1:24" x14ac:dyDescent="0.25">
      <c r="A254" t="str">
        <f>CONCATENATE(D254,"_",TEXT(M254,"ddmmaaaa"),"_",COUNTIF($D$2:D254,D254))</f>
        <v>205132880001-05_20022026_2</v>
      </c>
      <c r="B254" t="str">
        <f>CONCATENATE(Analise!D254,"_",COUNTIF(Analise!$D$2:D254,Analise!D254))</f>
        <v>205132880001-05_2</v>
      </c>
      <c r="C254" s="34">
        <f>COUNTIF('Obras e Acervos'!$C:$C,CONCATENATE(LEFT(D254,12),RIGHT(D254,2)))</f>
        <v>2</v>
      </c>
      <c r="D254" s="35" t="s">
        <v>4636</v>
      </c>
      <c r="E254" t="str">
        <f>VLOOKUP($B254,'Obras e Acervos'!$B:$X,3,0)</f>
        <v>L.A.G. NEIRA -NEIRA EDITORIAL</v>
      </c>
      <c r="F254" t="str">
        <f>VLOOKUP($B254,'Obras e Acervos'!$B:$X,7,0)</f>
        <v>1020L23000020LE</v>
      </c>
      <c r="G254" t="str">
        <f>VLOOKUP($B254,'Obras e Acervos'!$B:$X,5,0)</f>
        <v>DO GATO ULISSES AS SETE HISTÓRIAS</v>
      </c>
      <c r="H254">
        <f>VLOOKUP($B254,'Obras e Acervos'!$B:$X,18,0)</f>
        <v>11</v>
      </c>
      <c r="I254">
        <f>VLOOKUP($B254,'Obras e Acervos'!$B:$X,19,0)</f>
        <v>32104</v>
      </c>
      <c r="J254" s="42">
        <f>VLOOKUP($B254,'Obras e Acervos'!$B:$X,20,0)</f>
        <v>3178.2960000000003</v>
      </c>
      <c r="K254" s="31">
        <f>VLOOKUP($B254,'Obras e Acervos'!$B:$X,21,0)</f>
        <v>9.9600000000000009</v>
      </c>
      <c r="L254" s="31">
        <f t="shared" si="37"/>
        <v>319755.84000000003</v>
      </c>
      <c r="M254" s="1">
        <v>46073</v>
      </c>
      <c r="N254" s="1">
        <f t="shared" si="36"/>
        <v>46305</v>
      </c>
      <c r="O254">
        <f t="shared" si="38"/>
        <v>233</v>
      </c>
      <c r="P254" s="49">
        <f t="shared" si="42"/>
        <v>7.7666666666666666</v>
      </c>
      <c r="Q254" s="34">
        <f>VLOOKUP($G254,Agendamento!$B:$F,5,0)</f>
        <v>4</v>
      </c>
      <c r="R254" s="36">
        <f t="shared" si="39"/>
        <v>33</v>
      </c>
      <c r="S254" s="44">
        <v>2.5499999999999998</v>
      </c>
      <c r="T254" s="44">
        <f t="shared" si="40"/>
        <v>19606.949999999997</v>
      </c>
      <c r="U254" t="s">
        <v>5097</v>
      </c>
      <c r="V254" t="str">
        <f t="shared" si="41"/>
        <v>NF/64238582_20260220_nf_21.pdf</v>
      </c>
      <c r="W254" s="32" t="str">
        <f t="shared" si="43"/>
        <v>NF - DO GATO ULISSES AS SETE HISTÓRIAS</v>
      </c>
      <c r="X254" t="s">
        <v>5591</v>
      </c>
    </row>
    <row r="255" spans="1:24" x14ac:dyDescent="0.25">
      <c r="A255" t="str">
        <f>CONCATENATE(D255,"_",TEXT(M255,"ddmmaaaa"),"_",COUNTIF($D$2:D255,D255))</f>
        <v>413250260001-97_20022026_1</v>
      </c>
      <c r="B255" t="str">
        <f>CONCATENATE(Analise!D255,"_",COUNTIF(Analise!$D$2:D255,Analise!D255))</f>
        <v>413250260001-97_1</v>
      </c>
      <c r="C255" s="34">
        <f>COUNTIF('Obras e Acervos'!$C:$C,CONCATENATE(LEFT(D255,12),RIGHT(D255,2)))</f>
        <v>2</v>
      </c>
      <c r="D255" s="35" t="s">
        <v>4637</v>
      </c>
      <c r="E255" t="str">
        <f>VLOOKUP($B255,'Obras e Acervos'!$B:$X,3,0)</f>
        <v>EDIÇÕES HÍBRIDAS LTDA-EDIÇÕES HÍBRIDAS LTDA</v>
      </c>
      <c r="F255" t="str">
        <f>VLOOKUP($B255,'Obras e Acervos'!$B:$X,7,0)</f>
        <v>0647L23000030LE</v>
      </c>
      <c r="G255" t="str">
        <f>VLOOKUP($B255,'Obras e Acervos'!$B:$X,5,0)</f>
        <v>AS AVENTURAS DE RALF E CARLOS NO MUNDO DA LUA</v>
      </c>
      <c r="H255">
        <f>VLOOKUP($B255,'Obras e Acervos'!$B:$X,18,0)</f>
        <v>6</v>
      </c>
      <c r="I255">
        <f>VLOOKUP($B255,'Obras e Acervos'!$B:$X,19,0)</f>
        <v>36856</v>
      </c>
      <c r="J255" s="42">
        <f>VLOOKUP($B255,'Obras e Acervos'!$B:$X,20,0)</f>
        <v>2100.7919999999999</v>
      </c>
      <c r="K255" s="31">
        <f>VLOOKUP($B255,'Obras e Acervos'!$B:$X,21,0)</f>
        <v>4.79</v>
      </c>
      <c r="L255" s="31">
        <f t="shared" si="37"/>
        <v>176540.24</v>
      </c>
      <c r="M255" s="1">
        <v>46073</v>
      </c>
      <c r="N255" s="1">
        <f t="shared" si="36"/>
        <v>46305</v>
      </c>
      <c r="O255">
        <f t="shared" si="38"/>
        <v>233</v>
      </c>
      <c r="P255" s="49">
        <f t="shared" si="42"/>
        <v>7.7666666666666666</v>
      </c>
      <c r="Q255" s="34">
        <f>VLOOKUP($G255,Agendamento!$B:$F,5,0)</f>
        <v>8</v>
      </c>
      <c r="R255" s="36">
        <f t="shared" si="39"/>
        <v>37</v>
      </c>
      <c r="S255" s="44">
        <v>2.5499999999999998</v>
      </c>
      <c r="T255" s="44">
        <f t="shared" si="40"/>
        <v>21983.55</v>
      </c>
      <c r="U255" t="s">
        <v>5100</v>
      </c>
      <c r="V255" t="str">
        <f t="shared" si="41"/>
        <v>NF/64238582_20260220_nf_22.pdf</v>
      </c>
      <c r="W255" s="32" t="str">
        <f t="shared" si="43"/>
        <v>NF - AS AVENTURAS DE RALF E CARLOS NO MUNDO DA LUA</v>
      </c>
      <c r="X255" t="s">
        <v>5591</v>
      </c>
    </row>
    <row r="256" spans="1:24" x14ac:dyDescent="0.25">
      <c r="A256" t="str">
        <f>CONCATENATE(D256,"_",TEXT(M256,"ddmmaaaa"),"_",COUNTIF($D$2:D256,D256))</f>
        <v>413250260001-97_20022026_2</v>
      </c>
      <c r="B256" t="str">
        <f>CONCATENATE(Analise!D256,"_",COUNTIF(Analise!$D$2:D256,Analise!D256))</f>
        <v>413250260001-97_2</v>
      </c>
      <c r="C256" s="34">
        <f>COUNTIF('Obras e Acervos'!$C:$C,CONCATENATE(LEFT(D256,12),RIGHT(D256,2)))</f>
        <v>2</v>
      </c>
      <c r="D256" s="35" t="s">
        <v>4637</v>
      </c>
      <c r="E256" t="str">
        <f>VLOOKUP($B256,'Obras e Acervos'!$B:$X,3,0)</f>
        <v>EDIÇÕES HÍBRIDAS LTDA-EDIÇÕES HÍBRIDAS LTDA</v>
      </c>
      <c r="F256" t="str">
        <f>VLOOKUP($B256,'Obras e Acervos'!$B:$X,7,0)</f>
        <v>0648L23000020LE</v>
      </c>
      <c r="G256" t="str">
        <f>VLOOKUP($B256,'Obras e Acervos'!$B:$X,5,0)</f>
        <v>BHADRA - O PRÍNCIPE E O CONSELHEIRO</v>
      </c>
      <c r="H256">
        <f>VLOOKUP($B256,'Obras e Acervos'!$B:$X,18,0)</f>
        <v>18</v>
      </c>
      <c r="I256">
        <f>VLOOKUP($B256,'Obras e Acervos'!$B:$X,19,0)</f>
        <v>24412</v>
      </c>
      <c r="J256" s="42">
        <f>VLOOKUP($B256,'Obras e Acervos'!$B:$X,20,0)</f>
        <v>2319.14</v>
      </c>
      <c r="K256" s="31">
        <f>VLOOKUP($B256,'Obras e Acervos'!$B:$X,21,0)</f>
        <v>7.49</v>
      </c>
      <c r="L256" s="31">
        <f t="shared" si="37"/>
        <v>182845.88</v>
      </c>
      <c r="M256" s="1">
        <v>46073</v>
      </c>
      <c r="N256" s="1">
        <f t="shared" si="36"/>
        <v>46305</v>
      </c>
      <c r="O256">
        <f t="shared" si="38"/>
        <v>233</v>
      </c>
      <c r="P256" s="49">
        <f t="shared" si="42"/>
        <v>7.7666666666666666</v>
      </c>
      <c r="Q256" s="34">
        <f>VLOOKUP($G256,Agendamento!$B:$F,5,0)</f>
        <v>6</v>
      </c>
      <c r="R256" s="36">
        <f t="shared" si="39"/>
        <v>25</v>
      </c>
      <c r="S256" s="44">
        <v>2.5499999999999998</v>
      </c>
      <c r="T256" s="44">
        <f t="shared" si="40"/>
        <v>14853.749999999998</v>
      </c>
      <c r="U256" t="s">
        <v>5100</v>
      </c>
      <c r="V256" t="str">
        <f t="shared" si="41"/>
        <v>NF/64238582_20260220_nf_22.pdf</v>
      </c>
      <c r="W256" s="32" t="str">
        <f t="shared" si="43"/>
        <v>NF - BHADRA - O PRÍNCIPE E O CONSELHEIRO</v>
      </c>
      <c r="X256" t="s">
        <v>5591</v>
      </c>
    </row>
    <row r="257" spans="1:24" x14ac:dyDescent="0.25">
      <c r="A257" t="str">
        <f>CONCATENATE(D257,"_",TEXT(M257,"ddmmaaaa"),"_",COUNTIF($D$2:D257,D257))</f>
        <v>343019640001-91_20022026_1</v>
      </c>
      <c r="B257" t="str">
        <f>CONCATENATE(Analise!D257,"_",COUNTIF(Analise!$D$2:D257,Analise!D257))</f>
        <v>343019640001-91_1</v>
      </c>
      <c r="C257" s="34">
        <f>COUNTIF('Obras e Acervos'!$C:$C,CONCATENATE(LEFT(D257,12),RIGHT(D257,2)))</f>
        <v>2</v>
      </c>
      <c r="D257" s="35" t="s">
        <v>4638</v>
      </c>
      <c r="E257" t="str">
        <f>VLOOKUP($B257,'Obras e Acervos'!$B:$X,3,0)</f>
        <v>EUREKA DIGITAL EDIÇÃO DE LIVROS LTDA-EUREKA DIGITAL</v>
      </c>
      <c r="F257" t="str">
        <f>VLOOKUP($B257,'Obras e Acervos'!$B:$X,7,0)</f>
        <v>0303L23000030LE</v>
      </c>
      <c r="G257" t="str">
        <f>VLOOKUP($B257,'Obras e Acervos'!$B:$X,5,0)</f>
        <v>LOURENÇO, UM BICHO QUASE PAPÃO</v>
      </c>
      <c r="H257">
        <f>VLOOKUP($B257,'Obras e Acervos'!$B:$X,18,0)</f>
        <v>6</v>
      </c>
      <c r="I257">
        <f>VLOOKUP($B257,'Obras e Acervos'!$B:$X,19,0)</f>
        <v>36841</v>
      </c>
      <c r="J257" s="42">
        <f>VLOOKUP($B257,'Obras e Acervos'!$B:$X,20,0)</f>
        <v>4236.7150000000001</v>
      </c>
      <c r="K257" s="31">
        <f>VLOOKUP($B257,'Obras e Acervos'!$B:$X,21,0)</f>
        <v>5.64</v>
      </c>
      <c r="L257" s="31">
        <f t="shared" si="37"/>
        <v>207783.24</v>
      </c>
      <c r="M257" s="1">
        <v>46073</v>
      </c>
      <c r="N257" s="1">
        <f t="shared" si="36"/>
        <v>46305</v>
      </c>
      <c r="O257">
        <f t="shared" si="38"/>
        <v>233</v>
      </c>
      <c r="P257" s="49">
        <f t="shared" si="42"/>
        <v>7.7666666666666666</v>
      </c>
      <c r="Q257" s="34">
        <f>VLOOKUP($G257,Agendamento!$B:$F,5,0)</f>
        <v>8</v>
      </c>
      <c r="R257" s="36">
        <f t="shared" si="39"/>
        <v>37</v>
      </c>
      <c r="S257" s="44">
        <v>2.5499999999999998</v>
      </c>
      <c r="T257" s="44">
        <f t="shared" si="40"/>
        <v>21983.55</v>
      </c>
      <c r="U257" t="s">
        <v>5101</v>
      </c>
      <c r="V257" t="str">
        <f t="shared" si="41"/>
        <v>NF/64238582_20260220_nf_23.pdf</v>
      </c>
      <c r="W257" s="32" t="str">
        <f t="shared" si="43"/>
        <v>NF - LOURENÇO, UM BICHO QUASE PAPÃO</v>
      </c>
      <c r="X257" t="s">
        <v>5591</v>
      </c>
    </row>
    <row r="258" spans="1:24" x14ac:dyDescent="0.25">
      <c r="A258" t="str">
        <f>CONCATENATE(D258,"_",TEXT(M258,"ddmmaaaa"),"_",COUNTIF($D$2:D258,D258))</f>
        <v>343019640001-91_20022026_2</v>
      </c>
      <c r="B258" t="str">
        <f>CONCATENATE(Analise!D258,"_",COUNTIF(Analise!$D$2:D258,Analise!D258))</f>
        <v>343019640001-91_2</v>
      </c>
      <c r="C258" s="34">
        <f>COUNTIF('Obras e Acervos'!$C:$C,CONCATENATE(LEFT(D258,12),RIGHT(D258,2)))</f>
        <v>2</v>
      </c>
      <c r="D258" s="35" t="s">
        <v>4638</v>
      </c>
      <c r="E258" t="str">
        <f>VLOOKUP($B258,'Obras e Acervos'!$B:$X,3,0)</f>
        <v>EUREKA DIGITAL EDIÇÃO DE LIVROS LTDA-EUREKA DIGITAL</v>
      </c>
      <c r="F258" t="str">
        <f>VLOOKUP($B258,'Obras e Acervos'!$B:$X,7,0)</f>
        <v>0304L23000020LE</v>
      </c>
      <c r="G258" t="str">
        <f>VLOOKUP($B258,'Obras e Acervos'!$B:$X,5,0)</f>
        <v>O SONHO DA BUYA-WASÚ</v>
      </c>
      <c r="H258">
        <f>VLOOKUP($B258,'Obras e Acervos'!$B:$X,18,0)</f>
        <v>18</v>
      </c>
      <c r="I258">
        <f>VLOOKUP($B258,'Obras e Acervos'!$B:$X,19,0)</f>
        <v>23957</v>
      </c>
      <c r="J258" s="42">
        <f>VLOOKUP($B258,'Obras e Acervos'!$B:$X,20,0)</f>
        <v>3162.3240000000001</v>
      </c>
      <c r="K258" s="31">
        <f>VLOOKUP($B258,'Obras e Acervos'!$B:$X,21,0)</f>
        <v>9.4</v>
      </c>
      <c r="L258" s="31">
        <f t="shared" si="37"/>
        <v>225195.80000000002</v>
      </c>
      <c r="M258" s="1">
        <v>46073</v>
      </c>
      <c r="N258" s="1">
        <f t="shared" ref="N258:N321" si="44">$AB$2</f>
        <v>46305</v>
      </c>
      <c r="O258">
        <f t="shared" si="38"/>
        <v>233</v>
      </c>
      <c r="P258" s="49">
        <f t="shared" si="42"/>
        <v>7.7666666666666666</v>
      </c>
      <c r="Q258" s="34">
        <f>VLOOKUP($G258,Agendamento!$B:$F,5,0)</f>
        <v>6</v>
      </c>
      <c r="R258" s="36">
        <f t="shared" si="39"/>
        <v>24</v>
      </c>
      <c r="S258" s="44">
        <v>2.5499999999999998</v>
      </c>
      <c r="T258" s="44">
        <f t="shared" si="40"/>
        <v>14259.599999999999</v>
      </c>
      <c r="U258" t="s">
        <v>5101</v>
      </c>
      <c r="V258" t="str">
        <f t="shared" si="41"/>
        <v>NF/64238582_20260220_nf_23.pdf</v>
      </c>
      <c r="W258" s="32" t="str">
        <f t="shared" si="43"/>
        <v>NF - O SONHO DA BUYA-WASÚ</v>
      </c>
      <c r="X258" t="s">
        <v>5591</v>
      </c>
    </row>
    <row r="259" spans="1:24" x14ac:dyDescent="0.25">
      <c r="A259" t="str">
        <f>CONCATENATE(D259,"_",TEXT(M259,"ddmmaaaa"),"_",COUNTIF($D$2:D259,D259))</f>
        <v>330363230001-94_28012026_1</v>
      </c>
      <c r="B259" t="str">
        <f>CONCATENATE(Analise!D259,"_",COUNTIF(Analise!$D$2:D259,Analise!D259))</f>
        <v>330363230001-94_1</v>
      </c>
      <c r="C259" s="34">
        <f>COUNTIF('Obras e Acervos'!$C:$C,CONCATENATE(LEFT(D259,12),RIGHT(D259,2)))</f>
        <v>2</v>
      </c>
      <c r="D259" s="35" t="s">
        <v>4665</v>
      </c>
      <c r="E259" t="str">
        <f>VLOOKUP($B259,'Obras e Acervos'!$B:$X,3,0)</f>
        <v>AKPALÔ EDITORA LTDA-AKPALÔ</v>
      </c>
      <c r="F259" t="str">
        <f>VLOOKUP($B259,'Obras e Acervos'!$B:$X,7,0)</f>
        <v>0562L23000030LE</v>
      </c>
      <c r="G259" t="str">
        <f>VLOOKUP($B259,'Obras e Acervos'!$B:$X,5,0)</f>
        <v>DE BEM COM A VIDA</v>
      </c>
      <c r="H259">
        <f>VLOOKUP($B259,'Obras e Acervos'!$B:$X,18,0)</f>
        <v>1</v>
      </c>
      <c r="I259">
        <f>VLOOKUP($B259,'Obras e Acervos'!$B:$X,19,0)</f>
        <v>60776</v>
      </c>
      <c r="J259" s="42">
        <f>VLOOKUP($B259,'Obras e Acervos'!$B:$X,20,0)</f>
        <v>5834.4960000000001</v>
      </c>
      <c r="K259" s="31">
        <f>VLOOKUP($B259,'Obras e Acervos'!$B:$X,21,0)</f>
        <v>4.4400000000000004</v>
      </c>
      <c r="L259" s="31">
        <f t="shared" ref="L259:L322" si="45">K259*I259</f>
        <v>269845.44</v>
      </c>
      <c r="M259" s="1">
        <v>46050</v>
      </c>
      <c r="N259" s="1">
        <f t="shared" si="44"/>
        <v>46305</v>
      </c>
      <c r="O259">
        <f t="shared" ref="O259:O322" si="46">IF(M259="",0,(N259-M259)+1)</f>
        <v>256</v>
      </c>
      <c r="P259" s="49">
        <f t="shared" si="42"/>
        <v>8.5333333333333332</v>
      </c>
      <c r="Q259" s="34">
        <f>VLOOKUP($G259,Agendamento!$B:$F,5,0)</f>
        <v>7</v>
      </c>
      <c r="R259" s="36">
        <f t="shared" ref="R259:R322" si="47">IF(U259="",0,ROUNDUP($I259/1000,0))</f>
        <v>61</v>
      </c>
      <c r="S259" s="44">
        <v>2.5499999999999998</v>
      </c>
      <c r="T259" s="44">
        <f t="shared" ref="T259:T322" si="48">O259*R259*S259</f>
        <v>39820.799999999996</v>
      </c>
      <c r="U259" t="s">
        <v>5125</v>
      </c>
      <c r="V259" t="str">
        <f t="shared" ref="V259:V322" si="49">CONCATENATE("NF/",U259)</f>
        <v>NF/64238767_20260128_nf_01.pdf</v>
      </c>
      <c r="W259" s="32" t="str">
        <f t="shared" si="43"/>
        <v>NF - DE BEM COM A VIDA</v>
      </c>
      <c r="X259" t="s">
        <v>5591</v>
      </c>
    </row>
    <row r="260" spans="1:24" x14ac:dyDescent="0.25">
      <c r="A260" t="str">
        <f>CONCATENATE(D260,"_",TEXT(M260,"ddmmaaaa"),"_",COUNTIF($D$2:D260,D260))</f>
        <v>739376820001-37_28012026_1</v>
      </c>
      <c r="B260" t="str">
        <f>CONCATENATE(Analise!D260,"_",COUNTIF(Analise!$D$2:D260,Analise!D260))</f>
        <v>739376820001-37_1</v>
      </c>
      <c r="C260" s="34">
        <f>COUNTIF('Obras e Acervos'!$C:$C,CONCATENATE(LEFT(D260,12),RIGHT(D260,2)))</f>
        <v>2</v>
      </c>
      <c r="D260" s="35" t="s">
        <v>4654</v>
      </c>
      <c r="E260" t="str">
        <f>VLOOKUP($B260,'Obras e Acervos'!$B:$X,3,0)</f>
        <v>ZAPT EDITORA LTDA.-ZAPT EDITORA</v>
      </c>
      <c r="F260" t="str">
        <f>VLOOKUP($B260,'Obras e Acervos'!$B:$X,7,0)</f>
        <v>1285L23000030LE</v>
      </c>
      <c r="G260" t="str">
        <f>VLOOKUP($B260,'Obras e Acervos'!$B:$X,5,0)</f>
        <v>VIU?</v>
      </c>
      <c r="H260">
        <f>VLOOKUP($B260,'Obras e Acervos'!$B:$X,18,0)</f>
        <v>9</v>
      </c>
      <c r="I260">
        <f>VLOOKUP($B260,'Obras e Acervos'!$B:$X,19,0)</f>
        <v>33264</v>
      </c>
      <c r="J260" s="42">
        <f>VLOOKUP($B260,'Obras e Acervos'!$B:$X,20,0)</f>
        <v>2361.7439999999997</v>
      </c>
      <c r="K260" s="31">
        <f>VLOOKUP($B260,'Obras e Acervos'!$B:$X,21,0)</f>
        <v>9.14</v>
      </c>
      <c r="L260" s="31">
        <f t="shared" si="45"/>
        <v>304032.96000000002</v>
      </c>
      <c r="M260" s="1">
        <v>46050</v>
      </c>
      <c r="N260" s="1">
        <f t="shared" si="44"/>
        <v>46305</v>
      </c>
      <c r="O260">
        <f t="shared" si="46"/>
        <v>256</v>
      </c>
      <c r="P260" s="49">
        <f t="shared" si="42"/>
        <v>8.5333333333333332</v>
      </c>
      <c r="Q260" s="34">
        <f>VLOOKUP($G260,Agendamento!$B:$F,5,0)</f>
        <v>5</v>
      </c>
      <c r="R260" s="36">
        <f t="shared" si="47"/>
        <v>34</v>
      </c>
      <c r="S260" s="44">
        <v>2.5499999999999998</v>
      </c>
      <c r="T260" s="44">
        <f t="shared" si="48"/>
        <v>22195.199999999997</v>
      </c>
      <c r="U260" t="s">
        <v>5120</v>
      </c>
      <c r="V260" t="str">
        <f t="shared" si="49"/>
        <v>NF/64238767_20260128_nf_02.pdf</v>
      </c>
      <c r="W260" s="32" t="str">
        <f t="shared" si="43"/>
        <v>NF - VIU?</v>
      </c>
      <c r="X260" t="s">
        <v>5591</v>
      </c>
    </row>
    <row r="261" spans="1:24" x14ac:dyDescent="0.25">
      <c r="A261" t="str">
        <f>CONCATENATE(D261,"_",TEXT(M261,"ddmmaaaa"),"_",COUNTIF($D$2:D261,D261))</f>
        <v>739376820001-37_28012026_2</v>
      </c>
      <c r="B261" t="str">
        <f>CONCATENATE(Analise!D261,"_",COUNTIF(Analise!$D$2:D261,Analise!D261))</f>
        <v>739376820001-37_2</v>
      </c>
      <c r="C261" s="34">
        <f>COUNTIF('Obras e Acervos'!$C:$C,CONCATENATE(LEFT(D261,12),RIGHT(D261,2)))</f>
        <v>2</v>
      </c>
      <c r="D261" s="35" t="s">
        <v>4654</v>
      </c>
      <c r="E261" t="str">
        <f>VLOOKUP($B261,'Obras e Acervos'!$B:$X,3,0)</f>
        <v>ZAPT EDITORA LTDA.-ZAPT EDITORA</v>
      </c>
      <c r="F261" t="str">
        <f>VLOOKUP($B261,'Obras e Acervos'!$B:$X,7,0)</f>
        <v>1286L23000020LE</v>
      </c>
      <c r="G261" t="str">
        <f>VLOOKUP($B261,'Obras e Acervos'!$B:$X,5,0)</f>
        <v>E AGORA? UMA FOLHA DO DICIONÁRIO SUMIU!</v>
      </c>
      <c r="H261">
        <f>VLOOKUP($B261,'Obras e Acervos'!$B:$X,18,0)</f>
        <v>12</v>
      </c>
      <c r="I261">
        <f>VLOOKUP($B261,'Obras e Acervos'!$B:$X,19,0)</f>
        <v>35736</v>
      </c>
      <c r="J261" s="42">
        <f>VLOOKUP($B261,'Obras e Acervos'!$B:$X,20,0)</f>
        <v>6432.48</v>
      </c>
      <c r="K261" s="31">
        <f>VLOOKUP($B261,'Obras e Acervos'!$B:$X,21,0)</f>
        <v>5.75</v>
      </c>
      <c r="L261" s="31">
        <f t="shared" si="45"/>
        <v>205482</v>
      </c>
      <c r="M261" s="1">
        <v>46050</v>
      </c>
      <c r="N261" s="1">
        <f t="shared" si="44"/>
        <v>46305</v>
      </c>
      <c r="O261">
        <f t="shared" si="46"/>
        <v>256</v>
      </c>
      <c r="P261" s="49">
        <f t="shared" si="42"/>
        <v>8.5333333333333332</v>
      </c>
      <c r="Q261" s="34">
        <f>VLOOKUP($G261,Agendamento!$B:$F,5,0)</f>
        <v>6</v>
      </c>
      <c r="R261" s="36">
        <f t="shared" si="47"/>
        <v>36</v>
      </c>
      <c r="S261" s="44">
        <v>2.5499999999999998</v>
      </c>
      <c r="T261" s="44">
        <f t="shared" si="48"/>
        <v>23500.799999999999</v>
      </c>
      <c r="U261" t="s">
        <v>5121</v>
      </c>
      <c r="V261" t="str">
        <f t="shared" si="49"/>
        <v>NF/64238767_20260128_nf_03.pdf</v>
      </c>
      <c r="W261" s="32" t="str">
        <f t="shared" si="43"/>
        <v>NF - E AGORA? UMA FOLHA DO DICIONÁRIO SUMIU!</v>
      </c>
      <c r="X261" t="s">
        <v>5591</v>
      </c>
    </row>
    <row r="262" spans="1:24" x14ac:dyDescent="0.25">
      <c r="A262" t="str">
        <f>CONCATENATE(D262,"_",TEXT(M262,"ddmmaaaa"),"_",COUNTIF($D$2:D262,D262))</f>
        <v>401507120001-01_28012026_1</v>
      </c>
      <c r="B262" t="str">
        <f>CONCATENATE(Analise!D262,"_",COUNTIF(Analise!$D$2:D262,Analise!D262))</f>
        <v>401507120001-01_1</v>
      </c>
      <c r="C262" s="34">
        <f>COUNTIF('Obras e Acervos'!$C:$C,CONCATENATE(LEFT(D262,12),RIGHT(D262,2)))</f>
        <v>2</v>
      </c>
      <c r="D262" s="35" t="s">
        <v>4659</v>
      </c>
      <c r="E262" t="str">
        <f>VLOOKUP($B262,'Obras e Acervos'!$B:$X,3,0)</f>
        <v>EDITORA ONCA-PINTADA LTDA-NÃO HÁ</v>
      </c>
      <c r="F262" t="str">
        <f>VLOOKUP($B262,'Obras e Acervos'!$B:$X,7,0)</f>
        <v>0379L23000030LE</v>
      </c>
      <c r="G262" t="str">
        <f>VLOOKUP($B262,'Obras e Acervos'!$B:$X,5,0)</f>
        <v>O PREFEITO PERFEITO</v>
      </c>
      <c r="H262">
        <f>VLOOKUP($B262,'Obras e Acervos'!$B:$X,18,0)</f>
        <v>7</v>
      </c>
      <c r="I262">
        <f>VLOOKUP($B262,'Obras e Acervos'!$B:$X,19,0)</f>
        <v>34964</v>
      </c>
      <c r="J262" s="42">
        <f>VLOOKUP($B262,'Obras e Acervos'!$B:$X,20,0)</f>
        <v>3356.5439999999999</v>
      </c>
      <c r="K262" s="31">
        <f>VLOOKUP($B262,'Obras e Acervos'!$B:$X,21,0)</f>
        <v>5.94</v>
      </c>
      <c r="L262" s="31">
        <f t="shared" si="45"/>
        <v>207686.16</v>
      </c>
      <c r="M262" s="1">
        <v>46050</v>
      </c>
      <c r="N262" s="1">
        <f t="shared" si="44"/>
        <v>46305</v>
      </c>
      <c r="O262">
        <f t="shared" si="46"/>
        <v>256</v>
      </c>
      <c r="P262" s="49">
        <f t="shared" si="42"/>
        <v>8.5333333333333332</v>
      </c>
      <c r="Q262" s="34">
        <f>VLOOKUP($G262,Agendamento!$B:$F,5,0)</f>
        <v>4</v>
      </c>
      <c r="R262" s="36">
        <f t="shared" si="47"/>
        <v>35</v>
      </c>
      <c r="S262" s="44">
        <v>2.5499999999999998</v>
      </c>
      <c r="T262" s="44">
        <f t="shared" si="48"/>
        <v>22848</v>
      </c>
      <c r="U262" t="s">
        <v>5130</v>
      </c>
      <c r="V262" t="str">
        <f t="shared" si="49"/>
        <v>NF/64238767_20260128_nf_04.pdf</v>
      </c>
      <c r="W262" s="32" t="str">
        <f t="shared" si="43"/>
        <v>NF - O PREFEITO PERFEITO</v>
      </c>
      <c r="X262" t="s">
        <v>5591</v>
      </c>
    </row>
    <row r="263" spans="1:24" x14ac:dyDescent="0.25">
      <c r="A263" t="str">
        <f>CONCATENATE(D263,"_",TEXT(M263,"ddmmaaaa"),"_",COUNTIF($D$2:D263,D263))</f>
        <v>401507120001-01_28012026_2</v>
      </c>
      <c r="B263" t="str">
        <f>CONCATENATE(Analise!D263,"_",COUNTIF(Analise!$D$2:D263,Analise!D263))</f>
        <v>401507120001-01_2</v>
      </c>
      <c r="C263" s="34">
        <f>COUNTIF('Obras e Acervos'!$C:$C,CONCATENATE(LEFT(D263,12),RIGHT(D263,2)))</f>
        <v>2</v>
      </c>
      <c r="D263" s="35" t="s">
        <v>4659</v>
      </c>
      <c r="E263" t="str">
        <f>VLOOKUP($B263,'Obras e Acervos'!$B:$X,3,0)</f>
        <v>EDITORA ONCA-PINTADA LTDA-NÃO HÁ</v>
      </c>
      <c r="F263" t="str">
        <f>VLOOKUP($B263,'Obras e Acervos'!$B:$X,7,0)</f>
        <v>0380L23000020LE</v>
      </c>
      <c r="G263" t="str">
        <f>VLOOKUP($B263,'Obras e Acervos'!$B:$X,5,0)</f>
        <v>GERTRUDES TRUDES TUTUDES</v>
      </c>
      <c r="H263">
        <f>VLOOKUP($B263,'Obras e Acervos'!$B:$X,18,0)</f>
        <v>17</v>
      </c>
      <c r="I263">
        <f>VLOOKUP($B263,'Obras e Acervos'!$B:$X,19,0)</f>
        <v>27080</v>
      </c>
      <c r="J263" s="42">
        <f>VLOOKUP($B263,'Obras e Acervos'!$B:$X,20,0)</f>
        <v>2139.3200000000002</v>
      </c>
      <c r="K263" s="31">
        <f>VLOOKUP($B263,'Obras e Acervos'!$B:$X,21,0)</f>
        <v>4.45</v>
      </c>
      <c r="L263" s="31">
        <f t="shared" si="45"/>
        <v>120506</v>
      </c>
      <c r="M263" s="1">
        <v>46050</v>
      </c>
      <c r="N263" s="1">
        <f t="shared" si="44"/>
        <v>46305</v>
      </c>
      <c r="O263">
        <f t="shared" si="46"/>
        <v>256</v>
      </c>
      <c r="P263" s="49">
        <f t="shared" si="42"/>
        <v>8.5333333333333332</v>
      </c>
      <c r="Q263" s="34">
        <f>VLOOKUP($G263,Agendamento!$B:$F,5,0)</f>
        <v>3</v>
      </c>
      <c r="R263" s="36">
        <f t="shared" si="47"/>
        <v>28</v>
      </c>
      <c r="S263" s="44">
        <v>2.5499999999999998</v>
      </c>
      <c r="T263" s="44">
        <f t="shared" si="48"/>
        <v>18278.399999999998</v>
      </c>
      <c r="U263" t="s">
        <v>5130</v>
      </c>
      <c r="V263" t="str">
        <f t="shared" si="49"/>
        <v>NF/64238767_20260128_nf_04.pdf</v>
      </c>
      <c r="W263" s="32" t="str">
        <f t="shared" si="43"/>
        <v>NF - GERTRUDES TRUDES TUTUDES</v>
      </c>
      <c r="X263" t="s">
        <v>5591</v>
      </c>
    </row>
    <row r="264" spans="1:24" x14ac:dyDescent="0.25">
      <c r="A264" t="str">
        <f>CONCATENATE(D264,"_",TEXT(M264,"ddmmaaaa"),"_",COUNTIF($D$2:D264,D264))</f>
        <v>356250060001-39_28012026_1</v>
      </c>
      <c r="B264" t="str">
        <f>CONCATENATE(Analise!D264,"_",COUNTIF(Analise!$D$2:D264,Analise!D264))</f>
        <v>356250060001-39_1</v>
      </c>
      <c r="C264" s="34">
        <f>COUNTIF('Obras e Acervos'!$C:$C,CONCATENATE(LEFT(D264,12),RIGHT(D264,2)))</f>
        <v>2</v>
      </c>
      <c r="D264" s="35" t="s">
        <v>4663</v>
      </c>
      <c r="E264" t="str">
        <f>VLOOKUP($B264,'Obras e Acervos'!$B:$X,3,0)</f>
        <v>ARCO 43 EDITORA LTDA-ARCO 43</v>
      </c>
      <c r="F264" t="str">
        <f>VLOOKUP($B264,'Obras e Acervos'!$B:$X,7,0)</f>
        <v>0568L23000030LE</v>
      </c>
      <c r="G264" t="str">
        <f>VLOOKUP($B264,'Obras e Acervos'!$B:$X,5,0)</f>
        <v>O ENCONTRO DA CIDADE CRIANÇA COM O SERTÃO MENINO</v>
      </c>
      <c r="H264">
        <f>VLOOKUP($B264,'Obras e Acervos'!$B:$X,18,0)</f>
        <v>1</v>
      </c>
      <c r="I264">
        <f>VLOOKUP($B264,'Obras e Acervos'!$B:$X,19,0)</f>
        <v>58821</v>
      </c>
      <c r="J264" s="42">
        <f>VLOOKUP($B264,'Obras e Acervos'!$B:$X,20,0)</f>
        <v>5646.8159999999998</v>
      </c>
      <c r="K264" s="31">
        <f>VLOOKUP($B264,'Obras e Acervos'!$B:$X,21,0)</f>
        <v>5.05</v>
      </c>
      <c r="L264" s="31">
        <f t="shared" si="45"/>
        <v>297046.05</v>
      </c>
      <c r="M264" s="1">
        <v>46050</v>
      </c>
      <c r="N264" s="1">
        <f t="shared" si="44"/>
        <v>46305</v>
      </c>
      <c r="O264">
        <f t="shared" si="46"/>
        <v>256</v>
      </c>
      <c r="P264" s="49">
        <f t="shared" si="42"/>
        <v>8.5333333333333332</v>
      </c>
      <c r="Q264" s="34">
        <f>VLOOKUP($G264,Agendamento!$B:$F,5,0)</f>
        <v>7</v>
      </c>
      <c r="R264" s="36">
        <f t="shared" si="47"/>
        <v>59</v>
      </c>
      <c r="S264" s="44">
        <v>2.5499999999999998</v>
      </c>
      <c r="T264" s="44">
        <f t="shared" si="48"/>
        <v>38515.199999999997</v>
      </c>
      <c r="U264" t="s">
        <v>5118</v>
      </c>
      <c r="V264" t="str">
        <f t="shared" si="49"/>
        <v>NF/64238767_20260128_nf_05.pdf</v>
      </c>
      <c r="W264" s="32" t="str">
        <f t="shared" si="43"/>
        <v>NF - O ENCONTRO DA CIDADE CRIANÇA COM O SERTÃO MENINO</v>
      </c>
      <c r="X264" t="s">
        <v>5591</v>
      </c>
    </row>
    <row r="265" spans="1:24" x14ac:dyDescent="0.25">
      <c r="A265" t="str">
        <f>CONCATENATE(D265,"_",TEXT(M265,"ddmmaaaa"),"_",COUNTIF($D$2:D265,D265))</f>
        <v>606575740001-69_28012026_1</v>
      </c>
      <c r="B265" t="str">
        <f>CONCATENATE(Analise!D265,"_",COUNTIF(Analise!$D$2:D265,Analise!D265))</f>
        <v>606575740001-69_1</v>
      </c>
      <c r="C265" s="34">
        <f>COUNTIF('Obras e Acervos'!$C:$C,CONCATENATE(LEFT(D265,12),RIGHT(D265,2)))</f>
        <v>1</v>
      </c>
      <c r="D265" s="35" t="s">
        <v>4658</v>
      </c>
      <c r="E265" t="str">
        <f>VLOOKUP($B265,'Obras e Acervos'!$B:$X,3,0)</f>
        <v>EDITORA DO BRASIL S/A-EDITORA DO BRASIL</v>
      </c>
      <c r="F265" t="str">
        <f>VLOOKUP($B265,'Obras e Acervos'!$B:$X,7,0)</f>
        <v>0574L23000030LE</v>
      </c>
      <c r="G265" t="str">
        <f>VLOOKUP($B265,'Obras e Acervos'!$B:$X,5,0)</f>
        <v>VÁRIAS MANEIRAS DE AMAR</v>
      </c>
      <c r="H265">
        <f>VLOOKUP($B265,'Obras e Acervos'!$B:$X,18,0)</f>
        <v>5</v>
      </c>
      <c r="I265">
        <f>VLOOKUP($B265,'Obras e Acervos'!$B:$X,19,0)</f>
        <v>44982</v>
      </c>
      <c r="J265" s="42">
        <f>VLOOKUP($B265,'Obras e Acervos'!$B:$X,20,0)</f>
        <v>5082.9660000000003</v>
      </c>
      <c r="K265" s="31">
        <f>VLOOKUP($B265,'Obras e Acervos'!$B:$X,21,0)</f>
        <v>4.24</v>
      </c>
      <c r="L265" s="31">
        <f t="shared" si="45"/>
        <v>190723.68000000002</v>
      </c>
      <c r="M265" s="1">
        <v>46050</v>
      </c>
      <c r="N265" s="1">
        <f t="shared" si="44"/>
        <v>46305</v>
      </c>
      <c r="O265">
        <f t="shared" si="46"/>
        <v>256</v>
      </c>
      <c r="P265" s="49">
        <f t="shared" si="42"/>
        <v>8.5333333333333332</v>
      </c>
      <c r="Q265" s="34">
        <f>VLOOKUP($G265,Agendamento!$B:$F,5,0)</f>
        <v>7</v>
      </c>
      <c r="R265" s="36">
        <f t="shared" si="47"/>
        <v>45</v>
      </c>
      <c r="S265" s="44">
        <v>2.5499999999999998</v>
      </c>
      <c r="T265" s="44">
        <f t="shared" si="48"/>
        <v>29375.999999999996</v>
      </c>
      <c r="U265" t="s">
        <v>5127</v>
      </c>
      <c r="V265" t="str">
        <f t="shared" si="49"/>
        <v>NF/64238767_20260128_nf_06.pdf</v>
      </c>
      <c r="W265" s="32" t="str">
        <f t="shared" si="43"/>
        <v>NF - VÁRIAS MANEIRAS DE AMAR</v>
      </c>
      <c r="X265" t="s">
        <v>5591</v>
      </c>
    </row>
    <row r="266" spans="1:24" x14ac:dyDescent="0.25">
      <c r="A266" t="str">
        <f>CONCATENATE(D266,"_",TEXT(M266,"ddmmaaaa"),"_",COUNTIF($D$2:D266,D266))</f>
        <v>435978090001-55_28012026_1</v>
      </c>
      <c r="B266" t="str">
        <f>CONCATENATE(Analise!D266,"_",COUNTIF(Analise!$D$2:D266,Analise!D266))</f>
        <v>435978090001-55_1</v>
      </c>
      <c r="C266" s="34">
        <f>COUNTIF('Obras e Acervos'!$C:$C,CONCATENATE(LEFT(D266,12),RIGHT(D266,2)))</f>
        <v>2</v>
      </c>
      <c r="D266" s="35" t="s">
        <v>4655</v>
      </c>
      <c r="E266" t="str">
        <f>VLOOKUP($B266,'Obras e Acervos'!$B:$X,3,0)</f>
        <v>EDITORA ENSINO E CONHECIMENTO LTDA-ENSINO E CONHECIMENTO</v>
      </c>
      <c r="F266" t="str">
        <f>VLOOKUP($B266,'Obras e Acervos'!$B:$X,7,0)</f>
        <v>0875L23000030LE</v>
      </c>
      <c r="G266" t="str">
        <f>VLOOKUP($B266,'Obras e Acervos'!$B:$X,5,0)</f>
        <v>O PLANETA DISTANTE</v>
      </c>
      <c r="H266">
        <f>VLOOKUP($B266,'Obras e Acervos'!$B:$X,18,0)</f>
        <v>2</v>
      </c>
      <c r="I266">
        <f>VLOOKUP($B266,'Obras e Acervos'!$B:$X,19,0)</f>
        <v>44922</v>
      </c>
      <c r="J266" s="42">
        <f>VLOOKUP($B266,'Obras e Acervos'!$B:$X,20,0)</f>
        <v>4716.8099999999995</v>
      </c>
      <c r="K266" s="31">
        <f>VLOOKUP($B266,'Obras e Acervos'!$B:$X,21,0)</f>
        <v>5.73</v>
      </c>
      <c r="L266" s="31">
        <f t="shared" si="45"/>
        <v>257403.06000000003</v>
      </c>
      <c r="M266" s="1">
        <v>46050</v>
      </c>
      <c r="N266" s="1">
        <f t="shared" si="44"/>
        <v>46305</v>
      </c>
      <c r="O266">
        <f t="shared" si="46"/>
        <v>256</v>
      </c>
      <c r="P266" s="49">
        <f t="shared" si="42"/>
        <v>8.5333333333333332</v>
      </c>
      <c r="Q266" s="34">
        <f>VLOOKUP($G266,Agendamento!$B:$F,5,0)</f>
        <v>5</v>
      </c>
      <c r="R266" s="36">
        <f t="shared" si="47"/>
        <v>45</v>
      </c>
      <c r="S266" s="44">
        <v>2.5499999999999998</v>
      </c>
      <c r="T266" s="44">
        <f t="shared" si="48"/>
        <v>29375.999999999996</v>
      </c>
      <c r="U266" t="s">
        <v>5128</v>
      </c>
      <c r="V266" t="str">
        <f t="shared" si="49"/>
        <v>NF/64238767_20260128_nf_07.pdf</v>
      </c>
      <c r="W266" s="32" t="str">
        <f t="shared" si="43"/>
        <v>NF - O PLANETA DISTANTE</v>
      </c>
      <c r="X266" t="s">
        <v>5591</v>
      </c>
    </row>
    <row r="267" spans="1:24" x14ac:dyDescent="0.25">
      <c r="A267" t="str">
        <f>CONCATENATE(D267,"_",TEXT(M267,"ddmmaaaa"),"_",COUNTIF($D$2:D267,D267))</f>
        <v>435978090001-55_28012026_2</v>
      </c>
      <c r="B267" t="str">
        <f>CONCATENATE(Analise!D267,"_",COUNTIF(Analise!$D$2:D267,Analise!D267))</f>
        <v>435978090001-55_2</v>
      </c>
      <c r="C267" s="34">
        <f>COUNTIF('Obras e Acervos'!$C:$C,CONCATENATE(LEFT(D267,12),RIGHT(D267,2)))</f>
        <v>2</v>
      </c>
      <c r="D267" s="35" t="s">
        <v>4655</v>
      </c>
      <c r="E267" t="str">
        <f>VLOOKUP($B267,'Obras e Acervos'!$B:$X,3,0)</f>
        <v>EDITORA ENSINO E CONHECIMENTO LTDA-ENSINO E CONHECIMENTO</v>
      </c>
      <c r="F267" t="str">
        <f>VLOOKUP($B267,'Obras e Acervos'!$B:$X,7,0)</f>
        <v>1142L23000020LE</v>
      </c>
      <c r="G267" t="str">
        <f>VLOOKUP($B267,'Obras e Acervos'!$B:$X,5,0)</f>
        <v>O HERÓI IMÓVEL</v>
      </c>
      <c r="H267">
        <f>VLOOKUP($B267,'Obras e Acervos'!$B:$X,18,0)</f>
        <v>12</v>
      </c>
      <c r="I267">
        <f>VLOOKUP($B267,'Obras e Acervos'!$B:$X,19,0)</f>
        <v>29115</v>
      </c>
      <c r="J267" s="42">
        <f>VLOOKUP($B267,'Obras e Acervos'!$B:$X,20,0)</f>
        <v>3057.0749999999998</v>
      </c>
      <c r="K267" s="31">
        <f>VLOOKUP($B267,'Obras e Acervos'!$B:$X,21,0)</f>
        <v>5.8</v>
      </c>
      <c r="L267" s="31">
        <f t="shared" si="45"/>
        <v>168867</v>
      </c>
      <c r="M267" s="1">
        <v>46050</v>
      </c>
      <c r="N267" s="1">
        <f t="shared" si="44"/>
        <v>46305</v>
      </c>
      <c r="O267">
        <f t="shared" si="46"/>
        <v>256</v>
      </c>
      <c r="P267" s="49">
        <f t="shared" si="42"/>
        <v>8.5333333333333332</v>
      </c>
      <c r="Q267" s="34">
        <f>VLOOKUP($G267,Agendamento!$B:$F,5,0)</f>
        <v>4</v>
      </c>
      <c r="R267" s="36">
        <f t="shared" si="47"/>
        <v>30</v>
      </c>
      <c r="S267" s="44">
        <v>2.5499999999999998</v>
      </c>
      <c r="T267" s="44">
        <f t="shared" si="48"/>
        <v>19584</v>
      </c>
      <c r="U267" t="s">
        <v>5129</v>
      </c>
      <c r="V267" t="str">
        <f t="shared" si="49"/>
        <v>NF/64238767_20260128_nf_09.pdf</v>
      </c>
      <c r="W267" s="32" t="str">
        <f t="shared" si="43"/>
        <v>NF - O HERÓI IMÓVEL</v>
      </c>
      <c r="X267" t="s">
        <v>5591</v>
      </c>
    </row>
    <row r="268" spans="1:24" x14ac:dyDescent="0.25">
      <c r="A268" t="str">
        <f>CONCATENATE(D268,"_",TEXT(M268,"ddmmaaaa"),"_",COUNTIF($D$2:D268,D268))</f>
        <v>222433840001-06_28012026_1</v>
      </c>
      <c r="B268" t="str">
        <f>CONCATENATE(Analise!D268,"_",COUNTIF(Analise!$D$2:D268,Analise!D268))</f>
        <v>222433840001-06_1</v>
      </c>
      <c r="C268" s="34">
        <f>COUNTIF('Obras e Acervos'!$C:$C,CONCATENATE(LEFT(D268,12),RIGHT(D268,2)))</f>
        <v>2</v>
      </c>
      <c r="D268" s="35" t="s">
        <v>4653</v>
      </c>
      <c r="E268" t="str">
        <f>VLOOKUP($B268,'Obras e Acervos'!$B:$X,3,0)</f>
        <v>ESTANTE DE LIVROS EDITORA LTDA-NÃO HÁ</v>
      </c>
      <c r="F268" t="str">
        <f>VLOOKUP($B268,'Obras e Acervos'!$B:$X,7,0)</f>
        <v>0383L23000030LE</v>
      </c>
      <c r="G268" t="str">
        <f>VLOOKUP($B268,'Obras e Acervos'!$B:$X,5,0)</f>
        <v>A CANOA QUE VIROU COISA</v>
      </c>
      <c r="H268">
        <f>VLOOKUP($B268,'Obras e Acervos'!$B:$X,18,0)</f>
        <v>4</v>
      </c>
      <c r="I268">
        <f>VLOOKUP($B268,'Obras e Acervos'!$B:$X,19,0)</f>
        <v>43187</v>
      </c>
      <c r="J268" s="42">
        <f>VLOOKUP($B268,'Obras e Acervos'!$B:$X,20,0)</f>
        <v>3411.7730000000001</v>
      </c>
      <c r="K268" s="31">
        <f>VLOOKUP($B268,'Obras e Acervos'!$B:$X,21,0)</f>
        <v>5.94</v>
      </c>
      <c r="L268" s="31">
        <f t="shared" si="45"/>
        <v>256530.78000000003</v>
      </c>
      <c r="M268" s="1">
        <v>46050</v>
      </c>
      <c r="N268" s="1">
        <f t="shared" si="44"/>
        <v>46305</v>
      </c>
      <c r="O268">
        <f t="shared" si="46"/>
        <v>256</v>
      </c>
      <c r="P268" s="49">
        <f t="shared" si="42"/>
        <v>8.5333333333333332</v>
      </c>
      <c r="Q268" s="34">
        <f>VLOOKUP($G268,Agendamento!$B:$F,5,0)</f>
        <v>4</v>
      </c>
      <c r="R268" s="36">
        <f t="shared" si="47"/>
        <v>44</v>
      </c>
      <c r="S268" s="44">
        <v>2.5499999999999998</v>
      </c>
      <c r="T268" s="44">
        <f t="shared" si="48"/>
        <v>28723.199999999997</v>
      </c>
      <c r="U268" t="s">
        <v>5119</v>
      </c>
      <c r="V268" t="str">
        <f t="shared" si="49"/>
        <v>NF/64238767_20260128_nf_11.pdf</v>
      </c>
      <c r="W268" s="32" t="str">
        <f t="shared" si="43"/>
        <v>NF - A CANOA QUE VIROU COISA</v>
      </c>
      <c r="X268" t="s">
        <v>5591</v>
      </c>
    </row>
    <row r="269" spans="1:24" x14ac:dyDescent="0.25">
      <c r="A269" t="str">
        <f>CONCATENATE(D269,"_",TEXT(M269,"ddmmaaaa"),"_",COUNTIF($D$2:D269,D269))</f>
        <v>222433840001-06_28012026_2</v>
      </c>
      <c r="B269" t="str">
        <f>CONCATENATE(Analise!D269,"_",COUNTIF(Analise!$D$2:D269,Analise!D269))</f>
        <v>222433840001-06_2</v>
      </c>
      <c r="C269" s="34">
        <f>COUNTIF('Obras e Acervos'!$C:$C,CONCATENATE(LEFT(D269,12),RIGHT(D269,2)))</f>
        <v>2</v>
      </c>
      <c r="D269" s="35" t="s">
        <v>4653</v>
      </c>
      <c r="E269" t="str">
        <f>VLOOKUP($B269,'Obras e Acervos'!$B:$X,3,0)</f>
        <v>ESTANTE DE LIVROS EDITORA LTDA-NÃO HÁ</v>
      </c>
      <c r="F269" t="str">
        <f>VLOOKUP($B269,'Obras e Acervos'!$B:$X,7,0)</f>
        <v>0384L23000020LE</v>
      </c>
      <c r="G269" t="str">
        <f>VLOOKUP($B269,'Obras e Acervos'!$B:$X,5,0)</f>
        <v>SOU UM RIO</v>
      </c>
      <c r="H269">
        <f>VLOOKUP($B269,'Obras e Acervos'!$B:$X,18,0)</f>
        <v>15</v>
      </c>
      <c r="I269">
        <f>VLOOKUP($B269,'Obras e Acervos'!$B:$X,19,0)</f>
        <v>34549</v>
      </c>
      <c r="J269" s="42">
        <f>VLOOKUP($B269,'Obras e Acervos'!$B:$X,20,0)</f>
        <v>3593.096</v>
      </c>
      <c r="K269" s="31">
        <f>VLOOKUP($B269,'Obras e Acervos'!$B:$X,21,0)</f>
        <v>9.1300000000000008</v>
      </c>
      <c r="L269" s="31">
        <f t="shared" si="45"/>
        <v>315432.37000000005</v>
      </c>
      <c r="M269" s="1">
        <v>46050</v>
      </c>
      <c r="N269" s="1">
        <f t="shared" si="44"/>
        <v>46305</v>
      </c>
      <c r="O269">
        <f t="shared" si="46"/>
        <v>256</v>
      </c>
      <c r="P269" s="49">
        <f t="shared" si="42"/>
        <v>8.5333333333333332</v>
      </c>
      <c r="Q269" s="34">
        <f>VLOOKUP($G269,Agendamento!$B:$F,5,0)</f>
        <v>4</v>
      </c>
      <c r="R269" s="36">
        <f t="shared" si="47"/>
        <v>35</v>
      </c>
      <c r="S269" s="44">
        <v>2.5499999999999998</v>
      </c>
      <c r="T269" s="44">
        <f t="shared" si="48"/>
        <v>22848</v>
      </c>
      <c r="U269" t="s">
        <v>5119</v>
      </c>
      <c r="V269" t="str">
        <f t="shared" si="49"/>
        <v>NF/64238767_20260128_nf_11.pdf</v>
      </c>
      <c r="W269" s="32" t="str">
        <f t="shared" si="43"/>
        <v>NF - SOU UM RIO</v>
      </c>
      <c r="X269" t="s">
        <v>5591</v>
      </c>
    </row>
    <row r="270" spans="1:24" x14ac:dyDescent="0.25">
      <c r="A270" t="str">
        <f>CONCATENATE(D270,"_",TEXT(M270,"ddmmaaaa"),"_",COUNTIF($D$2:D270,D270))</f>
        <v>441390930001-05_28012026_1</v>
      </c>
      <c r="B270" t="str">
        <f>CONCATENATE(Analise!D270,"_",COUNTIF(Analise!$D$2:D270,Analise!D270))</f>
        <v>441390930001-05_1</v>
      </c>
      <c r="C270" s="34">
        <f>COUNTIF('Obras e Acervos'!$C:$C,CONCATENATE(LEFT(D270,12),RIGHT(D270,2)))</f>
        <v>2</v>
      </c>
      <c r="D270" s="35" t="s">
        <v>4656</v>
      </c>
      <c r="E270" t="str">
        <f>VLOOKUP($B270,'Obras e Acervos'!$B:$X,3,0)</f>
        <v>LIVRISSIMO EDITORA LTDA-LIVRISSIMO EDITORA</v>
      </c>
      <c r="F270" t="str">
        <f>VLOOKUP($B270,'Obras e Acervos'!$B:$X,7,0)</f>
        <v>0468L23000030LE</v>
      </c>
      <c r="G270" t="str">
        <f>VLOOKUP($B270,'Obras e Acervos'!$B:$X,5,0)</f>
        <v>IGUAL OU DIFERENTE, DEPENDE DO OLHAR DA GENTE</v>
      </c>
      <c r="H270">
        <f>VLOOKUP($B270,'Obras e Acervos'!$B:$X,18,0)</f>
        <v>10</v>
      </c>
      <c r="I270">
        <f>VLOOKUP($B270,'Obras e Acervos'!$B:$X,19,0)</f>
        <v>59325</v>
      </c>
      <c r="J270" s="42">
        <f>VLOOKUP($B270,'Obras e Acervos'!$B:$X,20,0)</f>
        <v>5695.2</v>
      </c>
      <c r="K270" s="31">
        <f>VLOOKUP($B270,'Obras e Acervos'!$B:$X,21,0)</f>
        <v>6.26</v>
      </c>
      <c r="L270" s="31">
        <f t="shared" si="45"/>
        <v>371374.5</v>
      </c>
      <c r="M270" s="1">
        <v>46050</v>
      </c>
      <c r="N270" s="1">
        <f t="shared" si="44"/>
        <v>46305</v>
      </c>
      <c r="O270">
        <f t="shared" si="46"/>
        <v>256</v>
      </c>
      <c r="P270" s="49">
        <f t="shared" si="42"/>
        <v>8.5333333333333332</v>
      </c>
      <c r="Q270" s="34">
        <f>VLOOKUP($G270,Agendamento!$B:$F,5,0)</f>
        <v>7</v>
      </c>
      <c r="R270" s="36">
        <f t="shared" si="47"/>
        <v>60</v>
      </c>
      <c r="S270" s="44">
        <v>2.5499999999999998</v>
      </c>
      <c r="T270" s="44">
        <f t="shared" si="48"/>
        <v>39168</v>
      </c>
      <c r="U270" t="s">
        <v>5124</v>
      </c>
      <c r="V270" t="str">
        <f t="shared" si="49"/>
        <v>NF/64238767_20260128_nf_12.pdf</v>
      </c>
      <c r="W270" s="32" t="str">
        <f t="shared" si="43"/>
        <v>NF - IGUAL OU DIFERENTE, DEPENDE DO OLHAR DA GENTE</v>
      </c>
      <c r="X270" t="s">
        <v>5591</v>
      </c>
    </row>
    <row r="271" spans="1:24" x14ac:dyDescent="0.25">
      <c r="A271" t="str">
        <f>CONCATENATE(D271,"_",TEXT(M271,"ddmmaaaa"),"_",COUNTIF($D$2:D271,D271))</f>
        <v>222433750001-15_28012026_1</v>
      </c>
      <c r="B271" t="str">
        <f>CONCATENATE(Analise!D271,"_",COUNTIF(Analise!$D$2:D271,Analise!D271))</f>
        <v>222433750001-15_1</v>
      </c>
      <c r="C271" s="34">
        <f>COUNTIF('Obras e Acervos'!$C:$C,CONCATENATE(LEFT(D271,12),RIGHT(D271,2)))</f>
        <v>2</v>
      </c>
      <c r="D271" s="35" t="s">
        <v>4657</v>
      </c>
      <c r="E271" t="str">
        <f>VLOOKUP($B271,'Obras e Acervos'!$B:$X,3,0)</f>
        <v>VITRINE EDITORA LTDA-NÃO HÁ</v>
      </c>
      <c r="F271" t="str">
        <f>VLOOKUP($B271,'Obras e Acervos'!$B:$X,7,0)</f>
        <v>0341L23000030LE</v>
      </c>
      <c r="G271" t="str">
        <f>VLOOKUP($B271,'Obras e Acervos'!$B:$X,5,0)</f>
        <v>A OBRA</v>
      </c>
      <c r="H271">
        <f>VLOOKUP($B271,'Obras e Acervos'!$B:$X,18,0)</f>
        <v>3</v>
      </c>
      <c r="I271">
        <f>VLOOKUP($B271,'Obras e Acervos'!$B:$X,19,0)</f>
        <v>46215</v>
      </c>
      <c r="J271" s="42">
        <f>VLOOKUP($B271,'Obras e Acervos'!$B:$X,20,0)</f>
        <v>4436.6400000000003</v>
      </c>
      <c r="K271" s="31">
        <f>VLOOKUP($B271,'Obras e Acervos'!$B:$X,21,0)</f>
        <v>5.41</v>
      </c>
      <c r="L271" s="31">
        <f t="shared" si="45"/>
        <v>250023.15</v>
      </c>
      <c r="M271" s="1">
        <v>46050</v>
      </c>
      <c r="N271" s="1">
        <f t="shared" si="44"/>
        <v>46305</v>
      </c>
      <c r="O271">
        <f t="shared" si="46"/>
        <v>256</v>
      </c>
      <c r="P271" s="49">
        <f t="shared" si="42"/>
        <v>8.5333333333333332</v>
      </c>
      <c r="Q271" s="34">
        <f>VLOOKUP($G271,Agendamento!$B:$F,5,0)</f>
        <v>6</v>
      </c>
      <c r="R271" s="36">
        <f t="shared" si="47"/>
        <v>47</v>
      </c>
      <c r="S271" s="44">
        <v>2.5499999999999998</v>
      </c>
      <c r="T271" s="44">
        <f t="shared" si="48"/>
        <v>30681.599999999999</v>
      </c>
      <c r="U271" t="s">
        <v>5126</v>
      </c>
      <c r="V271" t="str">
        <f t="shared" si="49"/>
        <v>NF/64238767_20260128_nf_13.pdf</v>
      </c>
      <c r="W271" s="32" t="str">
        <f t="shared" si="43"/>
        <v>NF - A OBRA</v>
      </c>
      <c r="X271" t="s">
        <v>5591</v>
      </c>
    </row>
    <row r="272" spans="1:24" x14ac:dyDescent="0.25">
      <c r="A272" t="str">
        <f>CONCATENATE(D272,"_",TEXT(M272,"ddmmaaaa"),"_",COUNTIF($D$2:D272,D272))</f>
        <v>222433750001-15_28012026_2</v>
      </c>
      <c r="B272" t="str">
        <f>CONCATENATE(Analise!D272,"_",COUNTIF(Analise!$D$2:D272,Analise!D272))</f>
        <v>222433750001-15_2</v>
      </c>
      <c r="C272" s="34">
        <f>COUNTIF('Obras e Acervos'!$C:$C,CONCATENATE(LEFT(D272,12),RIGHT(D272,2)))</f>
        <v>2</v>
      </c>
      <c r="D272" s="35" t="s">
        <v>4657</v>
      </c>
      <c r="E272" t="str">
        <f>VLOOKUP($B272,'Obras e Acervos'!$B:$X,3,0)</f>
        <v>VITRINE EDITORA LTDA-NÃO HÁ</v>
      </c>
      <c r="F272" t="str">
        <f>VLOOKUP($B272,'Obras e Acervos'!$B:$X,7,0)</f>
        <v>0342L23000020LE</v>
      </c>
      <c r="G272" t="str">
        <f>VLOOKUP($B272,'Obras e Acervos'!$B:$X,5,0)</f>
        <v>ÁGUA, GAIA, FOGO E AR</v>
      </c>
      <c r="H272">
        <f>VLOOKUP($B272,'Obras e Acervos'!$B:$X,18,0)</f>
        <v>21</v>
      </c>
      <c r="I272">
        <f>VLOOKUP($B272,'Obras e Acervos'!$B:$X,19,0)</f>
        <v>37358</v>
      </c>
      <c r="J272" s="42">
        <f>VLOOKUP($B272,'Obras e Acervos'!$B:$X,20,0)</f>
        <v>3586.3679999999999</v>
      </c>
      <c r="K272" s="31">
        <f>VLOOKUP($B272,'Obras e Acervos'!$B:$X,21,0)</f>
        <v>7.23</v>
      </c>
      <c r="L272" s="31">
        <f t="shared" si="45"/>
        <v>270098.34000000003</v>
      </c>
      <c r="M272" s="1">
        <v>46050</v>
      </c>
      <c r="N272" s="1">
        <f t="shared" si="44"/>
        <v>46305</v>
      </c>
      <c r="O272">
        <f t="shared" si="46"/>
        <v>256</v>
      </c>
      <c r="P272" s="49">
        <f t="shared" si="42"/>
        <v>8.5333333333333332</v>
      </c>
      <c r="Q272" s="34">
        <f>VLOOKUP($G272,Agendamento!$B:$F,5,0)</f>
        <v>4</v>
      </c>
      <c r="R272" s="36">
        <f t="shared" si="47"/>
        <v>38</v>
      </c>
      <c r="S272" s="44">
        <v>2.5499999999999998</v>
      </c>
      <c r="T272" s="44">
        <f t="shared" si="48"/>
        <v>24806.399999999998</v>
      </c>
      <c r="U272" t="s">
        <v>5126</v>
      </c>
      <c r="V272" t="str">
        <f t="shared" si="49"/>
        <v>NF/64238767_20260128_nf_13.pdf</v>
      </c>
      <c r="W272" s="32" t="str">
        <f t="shared" si="43"/>
        <v>NF - ÁGUA, GAIA, FOGO E AR</v>
      </c>
      <c r="X272" t="s">
        <v>5591</v>
      </c>
    </row>
    <row r="273" spans="1:24" x14ac:dyDescent="0.25">
      <c r="A273" t="str">
        <f>CONCATENATE(D273,"_",TEXT(M273,"ddmmaaaa"),"_",COUNTIF($D$2:D273,D273))</f>
        <v>345959230001-55_29012026_1</v>
      </c>
      <c r="B273" t="str">
        <f>CONCATENATE(Analise!D273,"_",COUNTIF(Analise!$D$2:D273,Analise!D273))</f>
        <v>345959230001-55_1</v>
      </c>
      <c r="C273" s="34">
        <f>COUNTIF('Obras e Acervos'!$C:$C,CONCATENATE(LEFT(D273,12),RIGHT(D273,2)))</f>
        <v>2</v>
      </c>
      <c r="D273" s="35" t="s">
        <v>4660</v>
      </c>
      <c r="E273" t="str">
        <f>VLOOKUP($B273,'Obras e Acervos'!$B:$X,3,0)</f>
        <v>FENIX TECNOLOGIAS EDUCACIONAIS LTDA-FENIX TECNOLOGIAS EDUCACIONAIS</v>
      </c>
      <c r="F273" t="str">
        <f>VLOOKUP($B273,'Obras e Acervos'!$B:$X,7,0)</f>
        <v>0684L23000030LE</v>
      </c>
      <c r="G273" t="str">
        <f>VLOOKUP($B273,'Obras e Acervos'!$B:$X,5,0)</f>
        <v>BICHOS</v>
      </c>
      <c r="H273">
        <f>VLOOKUP($B273,'Obras e Acervos'!$B:$X,18,0)</f>
        <v>10</v>
      </c>
      <c r="I273">
        <f>VLOOKUP($B273,'Obras e Acervos'!$B:$X,19,0)</f>
        <v>33389</v>
      </c>
      <c r="J273" s="42">
        <f>VLOOKUP($B273,'Obras e Acervos'!$B:$X,20,0)</f>
        <v>2537.5639999999999</v>
      </c>
      <c r="K273" s="31">
        <f>VLOOKUP($B273,'Obras e Acervos'!$B:$X,21,0)</f>
        <v>5.94</v>
      </c>
      <c r="L273" s="31">
        <f t="shared" si="45"/>
        <v>198330.66</v>
      </c>
      <c r="M273" s="1">
        <v>46051</v>
      </c>
      <c r="N273" s="1">
        <f t="shared" si="44"/>
        <v>46305</v>
      </c>
      <c r="O273">
        <f t="shared" si="46"/>
        <v>255</v>
      </c>
      <c r="P273" s="49">
        <f t="shared" si="42"/>
        <v>8.5</v>
      </c>
      <c r="Q273" s="34">
        <f>VLOOKUP($G273,Agendamento!$B:$F,5,0)</f>
        <v>4</v>
      </c>
      <c r="R273" s="36">
        <f t="shared" si="47"/>
        <v>34</v>
      </c>
      <c r="S273" s="44">
        <v>2.5499999999999998</v>
      </c>
      <c r="T273" s="44">
        <f t="shared" si="48"/>
        <v>22108.5</v>
      </c>
      <c r="U273" t="s">
        <v>5131</v>
      </c>
      <c r="V273" t="str">
        <f t="shared" si="49"/>
        <v>NF/64238767_20260129_nf_01.pdf</v>
      </c>
      <c r="W273" s="32" t="str">
        <f t="shared" si="43"/>
        <v>NF - BICHOS</v>
      </c>
      <c r="X273" t="s">
        <v>5591</v>
      </c>
    </row>
    <row r="274" spans="1:24" x14ac:dyDescent="0.25">
      <c r="A274" t="str">
        <f>CONCATENATE(D274,"_",TEXT(M274,"ddmmaaaa"),"_",COUNTIF($D$2:D274,D274))</f>
        <v>410757770001-00_29012026_1</v>
      </c>
      <c r="B274" t="str">
        <f>CONCATENATE(Analise!D274,"_",COUNTIF(Analise!$D$2:D274,Analise!D274))</f>
        <v>410757770001-00_1</v>
      </c>
      <c r="C274" s="34">
        <f>COUNTIF('Obras e Acervos'!$C:$C,CONCATENATE(LEFT(D274,12),RIGHT(D274,2)))</f>
        <v>2</v>
      </c>
      <c r="D274" s="35" t="s">
        <v>4661</v>
      </c>
      <c r="E274" t="str">
        <f>VLOOKUP($B274,'Obras e Acervos'!$B:$X,3,0)</f>
        <v>BENNU EDITORA E PROJETOS EDUCACIONAIS LTDA-BENNU EDITORA</v>
      </c>
      <c r="F274" t="str">
        <f>VLOOKUP($B274,'Obras e Acervos'!$B:$X,7,0)</f>
        <v>0683L23000030LE</v>
      </c>
      <c r="G274" t="str">
        <f>VLOOKUP($B274,'Obras e Acervos'!$B:$X,5,0)</f>
        <v>FÁBULAS DE ESOPO</v>
      </c>
      <c r="H274">
        <f>VLOOKUP($B274,'Obras e Acervos'!$B:$X,18,0)</f>
        <v>1</v>
      </c>
      <c r="I274">
        <f>VLOOKUP($B274,'Obras e Acervos'!$B:$X,19,0)</f>
        <v>76774</v>
      </c>
      <c r="J274" s="42">
        <f>VLOOKUP($B274,'Obras e Acervos'!$B:$X,20,0)</f>
        <v>8829.01</v>
      </c>
      <c r="K274" s="31">
        <f>VLOOKUP($B274,'Obras e Acervos'!$B:$X,21,0)</f>
        <v>5.56</v>
      </c>
      <c r="L274" s="31">
        <f t="shared" si="45"/>
        <v>426863.43999999994</v>
      </c>
      <c r="M274" s="1">
        <v>46051</v>
      </c>
      <c r="N274" s="1">
        <f t="shared" si="44"/>
        <v>46305</v>
      </c>
      <c r="O274">
        <f t="shared" si="46"/>
        <v>255</v>
      </c>
      <c r="P274" s="49">
        <f t="shared" si="42"/>
        <v>8.5</v>
      </c>
      <c r="Q274" s="34">
        <f>VLOOKUP($G274,Agendamento!$B:$F,5,0)</f>
        <v>11</v>
      </c>
      <c r="R274" s="36">
        <f t="shared" si="47"/>
        <v>77</v>
      </c>
      <c r="S274" s="44">
        <v>2.5499999999999998</v>
      </c>
      <c r="T274" s="44">
        <f t="shared" si="48"/>
        <v>50069.25</v>
      </c>
      <c r="U274" t="s">
        <v>5133</v>
      </c>
      <c r="V274" t="str">
        <f t="shared" si="49"/>
        <v>NF/64238767_20260129_nf_02.pdf</v>
      </c>
      <c r="W274" s="32" t="str">
        <f t="shared" si="43"/>
        <v>NF - FÁBULAS DE ESOPO</v>
      </c>
      <c r="X274" t="s">
        <v>5591</v>
      </c>
    </row>
    <row r="275" spans="1:24" x14ac:dyDescent="0.25">
      <c r="A275" t="str">
        <f>CONCATENATE(D275,"_",TEXT(M275,"ddmmaaaa"),"_",COUNTIF($D$2:D275,D275))</f>
        <v>410757770001-00_29012026_2</v>
      </c>
      <c r="B275" t="str">
        <f>CONCATENATE(Analise!D275,"_",COUNTIF(Analise!$D$2:D275,Analise!D275))</f>
        <v>410757770001-00_2</v>
      </c>
      <c r="C275" s="34">
        <f>COUNTIF('Obras e Acervos'!$C:$C,CONCATENATE(LEFT(D275,12),RIGHT(D275,2)))</f>
        <v>2</v>
      </c>
      <c r="D275" s="35" t="s">
        <v>4661</v>
      </c>
      <c r="E275" t="str">
        <f>VLOOKUP($B275,'Obras e Acervos'!$B:$X,3,0)</f>
        <v>BENNU EDITORA E PROJETOS EDUCACIONAIS LTDA-BENNU EDITORA</v>
      </c>
      <c r="F275" t="str">
        <f>VLOOKUP($B275,'Obras e Acervos'!$B:$X,7,0)</f>
        <v>0678L23000020LE</v>
      </c>
      <c r="G275" t="str">
        <f>VLOOKUP($B275,'Obras e Acervos'!$B:$X,5,0)</f>
        <v>A BRUXA DO BATOM BORRADO</v>
      </c>
      <c r="H275">
        <f>VLOOKUP($B275,'Obras e Acervos'!$B:$X,18,0)</f>
        <v>17</v>
      </c>
      <c r="I275">
        <f>VLOOKUP($B275,'Obras e Acervos'!$B:$X,19,0)</f>
        <v>34867</v>
      </c>
      <c r="J275" s="42">
        <f>VLOOKUP($B275,'Obras e Acervos'!$B:$X,20,0)</f>
        <v>2649.8919999999998</v>
      </c>
      <c r="K275" s="31">
        <f>VLOOKUP($B275,'Obras e Acervos'!$B:$X,21,0)</f>
        <v>5.9</v>
      </c>
      <c r="L275" s="31">
        <f t="shared" si="45"/>
        <v>205715.30000000002</v>
      </c>
      <c r="M275" s="1">
        <v>46051</v>
      </c>
      <c r="N275" s="1">
        <f t="shared" si="44"/>
        <v>46305</v>
      </c>
      <c r="O275">
        <f t="shared" si="46"/>
        <v>255</v>
      </c>
      <c r="P275" s="49">
        <f t="shared" si="42"/>
        <v>8.5</v>
      </c>
      <c r="Q275" s="34">
        <f>VLOOKUP($G275,Agendamento!$B:$F,5,0)</f>
        <v>4</v>
      </c>
      <c r="R275" s="36">
        <f t="shared" si="47"/>
        <v>35</v>
      </c>
      <c r="S275" s="44">
        <v>2.5499999999999998</v>
      </c>
      <c r="T275" s="44">
        <f t="shared" si="48"/>
        <v>22758.75</v>
      </c>
      <c r="U275" t="s">
        <v>5132</v>
      </c>
      <c r="V275" t="str">
        <f t="shared" si="49"/>
        <v>NF/64238767_20260129_nf_03.pdf</v>
      </c>
      <c r="W275" s="32" t="str">
        <f t="shared" si="43"/>
        <v>NF - A BRUXA DO BATOM BORRADO</v>
      </c>
      <c r="X275" t="s">
        <v>5591</v>
      </c>
    </row>
    <row r="276" spans="1:24" x14ac:dyDescent="0.25">
      <c r="A276" t="str">
        <f>CONCATENATE(D276,"_",TEXT(M276,"ddmmaaaa"),"_",COUNTIF($D$2:D276,D276))</f>
        <v>265720740001-96_29012026_1</v>
      </c>
      <c r="B276" t="str">
        <f>CONCATENATE(Analise!D276,"_",COUNTIF(Analise!$D$2:D276,Analise!D276)+1)</f>
        <v>265720740001-96_2</v>
      </c>
      <c r="C276" s="34">
        <f>COUNTIF('Obras e Acervos'!$C:$C,CONCATENATE(LEFT(D276,12),RIGHT(D276,2)))</f>
        <v>2</v>
      </c>
      <c r="D276" s="35" t="s">
        <v>4662</v>
      </c>
      <c r="E276" t="str">
        <f>VLOOKUP($B276,'Obras e Acervos'!$B:$X,3,0)</f>
        <v>DIAN &amp; SILVA EMPREENDIMENTOS EDUCACIONAIS E EDITORIAIS LTDA-NADIANE SANTOS OLIVEIRA</v>
      </c>
      <c r="F276" t="str">
        <f>VLOOKUP($B276,'Obras e Acervos'!$B:$X,7,0)</f>
        <v>0792L23000020LE</v>
      </c>
      <c r="G276" t="str">
        <f>VLOOKUP($B276,'Obras e Acervos'!$B:$X,5,0)</f>
        <v>FLORIS E BRANCAFLOR, A JORNADA DO AMOR</v>
      </c>
      <c r="H276">
        <f>VLOOKUP($B276,'Obras e Acervos'!$B:$X,18,0)</f>
        <v>11</v>
      </c>
      <c r="I276">
        <f>VLOOKUP($B276,'Obras e Acervos'!$B:$X,19,0)</f>
        <v>31089</v>
      </c>
      <c r="J276" s="42">
        <f>VLOOKUP($B276,'Obras e Acervos'!$B:$X,20,0)</f>
        <v>3575.2350000000001</v>
      </c>
      <c r="K276" s="31">
        <f>VLOOKUP($B276,'Obras e Acervos'!$B:$X,21,0)</f>
        <v>8.3000000000000007</v>
      </c>
      <c r="L276" s="31">
        <f t="shared" si="45"/>
        <v>258038.7</v>
      </c>
      <c r="M276" s="1">
        <v>46051</v>
      </c>
      <c r="N276" s="1">
        <f t="shared" si="44"/>
        <v>46305</v>
      </c>
      <c r="O276">
        <f t="shared" si="46"/>
        <v>255</v>
      </c>
      <c r="P276" s="49">
        <f t="shared" si="42"/>
        <v>8.5</v>
      </c>
      <c r="Q276" s="34">
        <f>VLOOKUP($G276,Agendamento!$B:$F,5,0)</f>
        <v>5</v>
      </c>
      <c r="R276" s="36">
        <f t="shared" si="47"/>
        <v>32</v>
      </c>
      <c r="S276" s="44">
        <v>2.5499999999999998</v>
      </c>
      <c r="T276" s="44">
        <f t="shared" si="48"/>
        <v>20808</v>
      </c>
      <c r="U276" t="s">
        <v>5134</v>
      </c>
      <c r="V276" t="str">
        <f t="shared" si="49"/>
        <v>NF/64238767_20260129_nf_04.pdf</v>
      </c>
      <c r="W276" s="32" t="str">
        <f t="shared" si="43"/>
        <v>NF - FLORIS E BRANCAFLOR, A JORNADA DO AMOR</v>
      </c>
      <c r="X276" t="s">
        <v>5591</v>
      </c>
    </row>
    <row r="277" spans="1:24" x14ac:dyDescent="0.25">
      <c r="A277" t="str">
        <f>CONCATENATE(D277,"_",TEXT(M277,"ddmmaaaa"),"_",COUNTIF($D$2:D277,D277))</f>
        <v>265720740001-96_29012026_2</v>
      </c>
      <c r="B277" t="str">
        <f>CONCATENATE(Analise!D277,"_",COUNTIF(Analise!$D$2:D277,Analise!D277)-1)</f>
        <v>265720740001-96_1</v>
      </c>
      <c r="C277" s="34">
        <f>COUNTIF('Obras e Acervos'!$C:$C,CONCATENATE(LEFT(D277,12),RIGHT(D277,2)))</f>
        <v>2</v>
      </c>
      <c r="D277" s="35" t="s">
        <v>4662</v>
      </c>
      <c r="E277" t="str">
        <f>VLOOKUP($B277,'Obras e Acervos'!$B:$X,3,0)</f>
        <v>DIAN &amp; SILVA EMPREENDIMENTOS EDUCACIONAIS E EDITORIAIS LTDA-NADIANE SANTOS OLIVEIRA</v>
      </c>
      <c r="F277" t="str">
        <f>VLOOKUP($B277,'Obras e Acervos'!$B:$X,7,0)</f>
        <v>0791L23000030LE</v>
      </c>
      <c r="G277" t="str">
        <f>VLOOKUP($B277,'Obras e Acervos'!$B:$X,5,0)</f>
        <v>LÁ VAI JOÃO</v>
      </c>
      <c r="H277">
        <f>VLOOKUP($B277,'Obras e Acervos'!$B:$X,18,0)</f>
        <v>3</v>
      </c>
      <c r="I277">
        <f>VLOOKUP($B277,'Obras e Acervos'!$B:$X,19,0)</f>
        <v>46412</v>
      </c>
      <c r="J277" s="42">
        <f>VLOOKUP($B277,'Obras e Acervos'!$B:$X,20,0)</f>
        <v>2645.4839999999999</v>
      </c>
      <c r="K277" s="31">
        <f>VLOOKUP($B277,'Obras e Acervos'!$B:$X,21,0)</f>
        <v>4.25</v>
      </c>
      <c r="L277" s="31">
        <f t="shared" si="45"/>
        <v>197251</v>
      </c>
      <c r="M277" s="1">
        <v>46051</v>
      </c>
      <c r="N277" s="1">
        <f t="shared" si="44"/>
        <v>46305</v>
      </c>
      <c r="O277">
        <f t="shared" si="46"/>
        <v>255</v>
      </c>
      <c r="P277" s="49">
        <f t="shared" si="42"/>
        <v>8.5</v>
      </c>
      <c r="Q277" s="34">
        <f>VLOOKUP($G277,Agendamento!$B:$F,5,0)</f>
        <v>4</v>
      </c>
      <c r="R277" s="36">
        <f t="shared" si="47"/>
        <v>47</v>
      </c>
      <c r="S277" s="44">
        <v>2.5499999999999998</v>
      </c>
      <c r="T277" s="44">
        <f t="shared" si="48"/>
        <v>30561.749999999996</v>
      </c>
      <c r="U277" t="s">
        <v>5136</v>
      </c>
      <c r="V277" t="str">
        <f t="shared" si="49"/>
        <v>NF/64238767_20260129_nf_05.pdf</v>
      </c>
      <c r="W277" s="32" t="str">
        <f t="shared" si="43"/>
        <v>NF - LÁ VAI JOÃO</v>
      </c>
      <c r="X277" t="s">
        <v>5591</v>
      </c>
    </row>
    <row r="278" spans="1:24" x14ac:dyDescent="0.25">
      <c r="A278" t="str">
        <f>CONCATENATE(D278,"_",TEXT(M278,"ddmmaaaa"),"_",COUNTIF($D$2:D278,D278))</f>
        <v>345959230001-55_29012026_2</v>
      </c>
      <c r="B278" t="str">
        <f>CONCATENATE(Analise!D278,"_",COUNTIF(Analise!$D$2:D278,Analise!D278))</f>
        <v>345959230001-55_2</v>
      </c>
      <c r="C278" s="34">
        <f>COUNTIF('Obras e Acervos'!$C:$C,CONCATENATE(LEFT(D278,12),RIGHT(D278,2)))</f>
        <v>2</v>
      </c>
      <c r="D278" s="35" t="s">
        <v>4660</v>
      </c>
      <c r="E278" t="str">
        <f>VLOOKUP($B278,'Obras e Acervos'!$B:$X,3,0)</f>
        <v>FENIX TECNOLOGIAS EDUCACIONAIS LTDA-FENIX TECNOLOGIAS EDUCACIONAIS</v>
      </c>
      <c r="F278" t="str">
        <f>VLOOKUP($B278,'Obras e Acervos'!$B:$X,7,0)</f>
        <v>0685L23000020LE</v>
      </c>
      <c r="G278" t="str">
        <f>VLOOKUP($B278,'Obras e Acervos'!$B:$X,5,0)</f>
        <v>O COMPADRE DA MORTE</v>
      </c>
      <c r="H278">
        <f>VLOOKUP($B278,'Obras e Acervos'!$B:$X,18,0)</f>
        <v>14</v>
      </c>
      <c r="I278">
        <f>VLOOKUP($B278,'Obras e Acervos'!$B:$X,19,0)</f>
        <v>24955</v>
      </c>
      <c r="J278" s="42">
        <f>VLOOKUP($B278,'Obras e Acervos'!$B:$X,20,0)</f>
        <v>1896.58</v>
      </c>
      <c r="K278" s="31">
        <f>VLOOKUP($B278,'Obras e Acervos'!$B:$X,21,0)</f>
        <v>6.52</v>
      </c>
      <c r="L278" s="31">
        <f t="shared" si="45"/>
        <v>162706.59999999998</v>
      </c>
      <c r="M278" s="1">
        <v>46051</v>
      </c>
      <c r="N278" s="1">
        <f t="shared" si="44"/>
        <v>46305</v>
      </c>
      <c r="O278">
        <f t="shared" si="46"/>
        <v>255</v>
      </c>
      <c r="P278" s="49">
        <f t="shared" si="42"/>
        <v>8.5</v>
      </c>
      <c r="Q278" s="34">
        <f>VLOOKUP($G278,Agendamento!$B:$F,5,0)</f>
        <v>3</v>
      </c>
      <c r="R278" s="36">
        <f t="shared" si="47"/>
        <v>25</v>
      </c>
      <c r="S278" s="44">
        <v>2.5499999999999998</v>
      </c>
      <c r="T278" s="44">
        <f t="shared" si="48"/>
        <v>16256.249999999998</v>
      </c>
      <c r="U278" t="s">
        <v>5135</v>
      </c>
      <c r="V278" t="str">
        <f t="shared" si="49"/>
        <v>NF/64238767_20260129_nf_06.pdf</v>
      </c>
      <c r="W278" s="32" t="str">
        <f t="shared" si="43"/>
        <v>NF - O COMPADRE DA MORTE</v>
      </c>
      <c r="X278" t="s">
        <v>5591</v>
      </c>
    </row>
    <row r="279" spans="1:24" x14ac:dyDescent="0.25">
      <c r="A279" t="str">
        <f>CONCATENATE(D279,"_",TEXT(M279,"ddmmaaaa"),"_",COUNTIF($D$2:D279,D279))</f>
        <v>421506520001-52_30012026_1</v>
      </c>
      <c r="B279" t="str">
        <f>CONCATENATE(Analise!D279,"_",COUNTIF(Analise!$D$2:D279,Analise!D279))</f>
        <v>421506520001-52_1</v>
      </c>
      <c r="C279" s="34">
        <f>COUNTIF('Obras e Acervos'!$C:$C,CONCATENATE(LEFT(D279,12),RIGHT(D279,2)))</f>
        <v>2</v>
      </c>
      <c r="D279" s="35" t="s">
        <v>4664</v>
      </c>
      <c r="E279" t="str">
        <f>VLOOKUP($B279,'Obras e Acervos'!$B:$X,3,0)</f>
        <v>EDITORA TERRA BRASILIS LTDA-NÃO HÁ</v>
      </c>
      <c r="F279" t="str">
        <f>VLOOKUP($B279,'Obras e Acervos'!$B:$X,7,0)</f>
        <v>0396L23000030LE</v>
      </c>
      <c r="G279" t="str">
        <f>VLOOKUP($B279,'Obras e Acervos'!$B:$X,5,0)</f>
        <v>NO FUNDO DO FUNDO-FUNDO LÁ VAI O TATU RAIMUNDO</v>
      </c>
      <c r="H279">
        <f>VLOOKUP($B279,'Obras e Acervos'!$B:$X,18,0)</f>
        <v>9</v>
      </c>
      <c r="I279">
        <f>VLOOKUP($B279,'Obras e Acervos'!$B:$X,19,0)</f>
        <v>33052</v>
      </c>
      <c r="J279" s="42">
        <f>VLOOKUP($B279,'Obras e Acervos'!$B:$X,20,0)</f>
        <v>3734.8760000000002</v>
      </c>
      <c r="K279" s="31">
        <f>VLOOKUP($B279,'Obras e Acervos'!$B:$X,21,0)</f>
        <v>6.73</v>
      </c>
      <c r="L279" s="31">
        <f t="shared" si="45"/>
        <v>222439.96000000002</v>
      </c>
      <c r="M279" s="1">
        <v>46052</v>
      </c>
      <c r="N279" s="1">
        <f t="shared" si="44"/>
        <v>46305</v>
      </c>
      <c r="O279">
        <f t="shared" si="46"/>
        <v>254</v>
      </c>
      <c r="P279" s="49">
        <f t="shared" si="42"/>
        <v>8.4666666666666668</v>
      </c>
      <c r="Q279" s="34">
        <f>VLOOKUP($G279,Agendamento!$B:$F,5,0)</f>
        <v>4</v>
      </c>
      <c r="R279" s="36">
        <f t="shared" si="47"/>
        <v>34</v>
      </c>
      <c r="S279" s="44">
        <v>2.5499999999999998</v>
      </c>
      <c r="T279" s="44">
        <f t="shared" si="48"/>
        <v>22021.8</v>
      </c>
      <c r="U279" t="s">
        <v>5139</v>
      </c>
      <c r="V279" t="str">
        <f t="shared" si="49"/>
        <v>NF/64238767_20260130_nf_01.pdf</v>
      </c>
      <c r="W279" s="32" t="str">
        <f t="shared" si="43"/>
        <v>NF - NO FUNDO DO FUNDO-FUNDO LÁ VAI O TATU RAIMUNDO</v>
      </c>
      <c r="X279" t="s">
        <v>5591</v>
      </c>
    </row>
    <row r="280" spans="1:24" x14ac:dyDescent="0.25">
      <c r="A280" t="str">
        <f>CONCATENATE(D280,"_",TEXT(M280,"ddmmaaaa"),"_",COUNTIF($D$2:D280,D280))</f>
        <v>421506520001-52_30012026_2</v>
      </c>
      <c r="B280" t="str">
        <f>CONCATENATE(Analise!D280,"_",COUNTIF(Analise!$D$2:D280,Analise!D280))</f>
        <v>421506520001-52_2</v>
      </c>
      <c r="C280" s="34">
        <f>COUNTIF('Obras e Acervos'!$C:$C,CONCATENATE(LEFT(D280,12),RIGHT(D280,2)))</f>
        <v>2</v>
      </c>
      <c r="D280" s="35" t="s">
        <v>4664</v>
      </c>
      <c r="E280" t="str">
        <f>VLOOKUP($B280,'Obras e Acervos'!$B:$X,3,0)</f>
        <v>EDITORA TERRA BRASILIS LTDA-NÃO HÁ</v>
      </c>
      <c r="F280" t="str">
        <f>VLOOKUP($B280,'Obras e Acervos'!$B:$X,7,0)</f>
        <v>0397L23000020LE</v>
      </c>
      <c r="G280" t="str">
        <f>VLOOKUP($B280,'Obras e Acervos'!$B:$X,5,0)</f>
        <v>A ONÇA E O BODE E A BANDA DA MATA</v>
      </c>
      <c r="H280">
        <f>VLOOKUP($B280,'Obras e Acervos'!$B:$X,18,0)</f>
        <v>22</v>
      </c>
      <c r="I280">
        <f>VLOOKUP($B280,'Obras e Acervos'!$B:$X,19,0)</f>
        <v>23676</v>
      </c>
      <c r="J280" s="42">
        <f>VLOOKUP($B280,'Obras e Acervos'!$B:$X,20,0)</f>
        <v>2272.8960000000002</v>
      </c>
      <c r="K280" s="31">
        <f>VLOOKUP($B280,'Obras e Acervos'!$B:$X,21,0)</f>
        <v>6.5</v>
      </c>
      <c r="L280" s="31">
        <f t="shared" si="45"/>
        <v>153894</v>
      </c>
      <c r="M280" s="1">
        <v>46052</v>
      </c>
      <c r="N280" s="1">
        <f t="shared" si="44"/>
        <v>46305</v>
      </c>
      <c r="O280">
        <f t="shared" si="46"/>
        <v>254</v>
      </c>
      <c r="P280" s="49">
        <f t="shared" si="42"/>
        <v>8.4666666666666668</v>
      </c>
      <c r="Q280" s="34">
        <f>VLOOKUP($G280,Agendamento!$B:$F,5,0)</f>
        <v>3</v>
      </c>
      <c r="R280" s="36">
        <f t="shared" si="47"/>
        <v>24</v>
      </c>
      <c r="S280" s="44">
        <v>2.5499999999999998</v>
      </c>
      <c r="T280" s="44">
        <f t="shared" si="48"/>
        <v>15544.8</v>
      </c>
      <c r="U280" t="s">
        <v>5139</v>
      </c>
      <c r="V280" t="str">
        <f t="shared" si="49"/>
        <v>NF/64238767_20260130_nf_01.pdf</v>
      </c>
      <c r="W280" s="32" t="str">
        <f t="shared" si="43"/>
        <v>NF - A ONÇA E O BODE E A BANDA DA MATA</v>
      </c>
      <c r="X280" t="s">
        <v>5591</v>
      </c>
    </row>
    <row r="281" spans="1:24" x14ac:dyDescent="0.25">
      <c r="A281" t="str">
        <f>CONCATENATE(D281,"_",TEXT(M281,"ddmmaaaa"),"_",COUNTIF($D$2:D281,D281))</f>
        <v>421504930001-96_30012026_1</v>
      </c>
      <c r="B281" t="str">
        <f>CONCATENATE(Analise!D281,"_",COUNTIF(Analise!$D$2:D281,Analise!D281))</f>
        <v>421504930001-96_1</v>
      </c>
      <c r="C281" s="34">
        <f>COUNTIF('Obras e Acervos'!$C:$C,CONCATENATE(LEFT(D281,12),RIGHT(D281,2)))</f>
        <v>2</v>
      </c>
      <c r="D281" s="35" t="s">
        <v>4666</v>
      </c>
      <c r="E281" t="str">
        <f>VLOOKUP($B281,'Obras e Acervos'!$B:$X,3,0)</f>
        <v>EDITORA RELUME-DUMARA LTDA-NÃO HÁ</v>
      </c>
      <c r="F281" t="str">
        <f>VLOOKUP($B281,'Obras e Acervos'!$B:$X,7,0)</f>
        <v>0365L23000030LE</v>
      </c>
      <c r="G281" t="str">
        <f>VLOOKUP($B281,'Obras e Acervos'!$B:$X,5,0)</f>
        <v>O DESENHO DO MUNDO</v>
      </c>
      <c r="H281">
        <f>VLOOKUP($B281,'Obras e Acervos'!$B:$X,18,0)</f>
        <v>2</v>
      </c>
      <c r="I281">
        <f>VLOOKUP($B281,'Obras e Acervos'!$B:$X,19,0)</f>
        <v>44785</v>
      </c>
      <c r="J281" s="42">
        <f>VLOOKUP($B281,'Obras e Acervos'!$B:$X,20,0)</f>
        <v>5418.9849999999997</v>
      </c>
      <c r="K281" s="31">
        <f>VLOOKUP($B281,'Obras e Acervos'!$B:$X,21,0)</f>
        <v>6.11</v>
      </c>
      <c r="L281" s="31">
        <f t="shared" si="45"/>
        <v>273636.35000000003</v>
      </c>
      <c r="M281" s="1">
        <v>46052</v>
      </c>
      <c r="N281" s="1">
        <f t="shared" si="44"/>
        <v>46305</v>
      </c>
      <c r="O281">
        <f t="shared" si="46"/>
        <v>254</v>
      </c>
      <c r="P281" s="49">
        <f t="shared" si="42"/>
        <v>8.4666666666666668</v>
      </c>
      <c r="Q281" s="34">
        <f>VLOOKUP($G281,Agendamento!$B:$F,5,0)</f>
        <v>6</v>
      </c>
      <c r="R281" s="36">
        <f t="shared" si="47"/>
        <v>45</v>
      </c>
      <c r="S281" s="44">
        <v>2.5499999999999998</v>
      </c>
      <c r="T281" s="44">
        <f t="shared" si="48"/>
        <v>29146.499999999996</v>
      </c>
      <c r="U281" t="s">
        <v>5141</v>
      </c>
      <c r="V281" t="str">
        <f t="shared" si="49"/>
        <v>NF/64238767_20260130_nf_02.pdf</v>
      </c>
      <c r="W281" s="32" t="str">
        <f t="shared" si="43"/>
        <v>NF - O DESENHO DO MUNDO</v>
      </c>
      <c r="X281" t="s">
        <v>5591</v>
      </c>
    </row>
    <row r="282" spans="1:24" x14ac:dyDescent="0.25">
      <c r="A282" t="str">
        <f>CONCATENATE(D282,"_",TEXT(M282,"ddmmaaaa"),"_",COUNTIF($D$2:D282,D282))</f>
        <v>421504930001-96_30012026_2</v>
      </c>
      <c r="B282" t="str">
        <f>CONCATENATE(Analise!D282,"_",COUNTIF(Analise!$D$2:D282,Analise!D282))</f>
        <v>421504930001-96_2</v>
      </c>
      <c r="C282" s="34">
        <f>COUNTIF('Obras e Acervos'!$C:$C,CONCATENATE(LEFT(D282,12),RIGHT(D282,2)))</f>
        <v>2</v>
      </c>
      <c r="D282" s="35" t="s">
        <v>4666</v>
      </c>
      <c r="E282" t="str">
        <f>VLOOKUP($B282,'Obras e Acervos'!$B:$X,3,0)</f>
        <v>EDITORA RELUME-DUMARA LTDA-NÃO HÁ</v>
      </c>
      <c r="F282" t="str">
        <f>VLOOKUP($B282,'Obras e Acervos'!$B:$X,7,0)</f>
        <v>0366L23000020LE</v>
      </c>
      <c r="G282" t="str">
        <f>VLOOKUP($B282,'Obras e Acervos'!$B:$X,5,0)</f>
        <v>CONVERSA DE TARTARUGA</v>
      </c>
      <c r="H282">
        <f>VLOOKUP($B282,'Obras e Acervos'!$B:$X,18,0)</f>
        <v>15</v>
      </c>
      <c r="I282">
        <f>VLOOKUP($B282,'Obras e Acervos'!$B:$X,19,0)</f>
        <v>33095</v>
      </c>
      <c r="J282" s="42">
        <f>VLOOKUP($B282,'Obras e Acervos'!$B:$X,20,0)</f>
        <v>3739.7350000000001</v>
      </c>
      <c r="K282" s="31">
        <f>VLOOKUP($B282,'Obras e Acervos'!$B:$X,21,0)</f>
        <v>6.73</v>
      </c>
      <c r="L282" s="31">
        <f t="shared" si="45"/>
        <v>222729.35</v>
      </c>
      <c r="M282" s="1">
        <v>46052</v>
      </c>
      <c r="N282" s="1">
        <f t="shared" si="44"/>
        <v>46305</v>
      </c>
      <c r="O282">
        <f t="shared" si="46"/>
        <v>254</v>
      </c>
      <c r="P282" s="49">
        <f t="shared" si="42"/>
        <v>8.4666666666666668</v>
      </c>
      <c r="Q282" s="34">
        <f>VLOOKUP($G282,Agendamento!$B:$F,5,0)</f>
        <v>4</v>
      </c>
      <c r="R282" s="36">
        <f t="shared" si="47"/>
        <v>34</v>
      </c>
      <c r="S282" s="44">
        <v>2.5499999999999998</v>
      </c>
      <c r="T282" s="44">
        <f t="shared" si="48"/>
        <v>22021.8</v>
      </c>
      <c r="U282" t="s">
        <v>5141</v>
      </c>
      <c r="V282" t="str">
        <f t="shared" si="49"/>
        <v>NF/64238767_20260130_nf_02.pdf</v>
      </c>
      <c r="W282" s="32" t="str">
        <f t="shared" si="43"/>
        <v>NF - CONVERSA DE TARTARUGA</v>
      </c>
      <c r="X282" t="s">
        <v>5591</v>
      </c>
    </row>
    <row r="283" spans="1:24" x14ac:dyDescent="0.25">
      <c r="A283" t="str">
        <f>CONCATENATE(D283,"_",TEXT(M283,"ddmmaaaa"),"_",COUNTIF($D$2:D283,D283))</f>
        <v>537814230001-52_30012026_1</v>
      </c>
      <c r="B283" t="str">
        <f>CONCATENATE(Analise!D283,"_",COUNTIF(Analise!$D$2:D283,Analise!D283))</f>
        <v>537814230001-52_1</v>
      </c>
      <c r="C283" s="34">
        <f>COUNTIF('Obras e Acervos'!$C:$C,CONCATENATE(LEFT(D283,12),RIGHT(D283,2)))</f>
        <v>1</v>
      </c>
      <c r="D283" s="35" t="s">
        <v>4668</v>
      </c>
      <c r="E283" t="str">
        <f>VLOOKUP($B283,'Obras e Acervos'!$B:$X,3,0)</f>
        <v>INSTITUTO ALBERIONE-SABERES E LETRAS</v>
      </c>
      <c r="F283" t="str">
        <f>VLOOKUP($B283,'Obras e Acervos'!$B:$X,7,0)</f>
        <v>0651L23000030LE</v>
      </c>
      <c r="G283" t="str">
        <f>VLOOKUP($B283,'Obras e Acervos'!$B:$X,5,0)</f>
        <v>SE EU PUDESSE NASCER DE NOVO</v>
      </c>
      <c r="H283">
        <f>VLOOKUP($B283,'Obras e Acervos'!$B:$X,18,0)</f>
        <v>1</v>
      </c>
      <c r="I283">
        <f>VLOOKUP($B283,'Obras e Acervos'!$B:$X,19,0)</f>
        <v>53413</v>
      </c>
      <c r="J283" s="42">
        <f>VLOOKUP($B283,'Obras e Acervos'!$B:$X,20,0)</f>
        <v>9881.4050000000007</v>
      </c>
      <c r="K283" s="31">
        <f>VLOOKUP($B283,'Obras e Acervos'!$B:$X,21,0)</f>
        <v>5.33</v>
      </c>
      <c r="L283" s="31">
        <f t="shared" si="45"/>
        <v>284691.28999999998</v>
      </c>
      <c r="M283" s="1">
        <v>46052</v>
      </c>
      <c r="N283" s="1">
        <f t="shared" si="44"/>
        <v>46305</v>
      </c>
      <c r="O283">
        <f t="shared" si="46"/>
        <v>254</v>
      </c>
      <c r="P283" s="49">
        <f t="shared" si="42"/>
        <v>8.4666666666666668</v>
      </c>
      <c r="Q283" s="34">
        <f>VLOOKUP($G283,Agendamento!$B:$F,5,0)</f>
        <v>9</v>
      </c>
      <c r="R283" s="36">
        <f t="shared" si="47"/>
        <v>54</v>
      </c>
      <c r="S283" s="44">
        <v>2.5499999999999998</v>
      </c>
      <c r="T283" s="44">
        <f t="shared" si="48"/>
        <v>34975.799999999996</v>
      </c>
      <c r="U283" t="s">
        <v>5143</v>
      </c>
      <c r="V283" t="str">
        <f t="shared" si="49"/>
        <v>NF/64238767_20260130_nf_03.pdf</v>
      </c>
      <c r="W283" s="32" t="str">
        <f t="shared" si="43"/>
        <v>NF - SE EU PUDESSE NASCER DE NOVO</v>
      </c>
      <c r="X283" t="s">
        <v>5591</v>
      </c>
    </row>
    <row r="284" spans="1:24" x14ac:dyDescent="0.25">
      <c r="A284" t="str">
        <f>CONCATENATE(D284,"_",TEXT(M284,"ddmmaaaa"),"_",COUNTIF($D$2:D284,D284))</f>
        <v>441390930001-05_30012026_2</v>
      </c>
      <c r="B284" t="str">
        <f>CONCATENATE(Analise!D284,"_",COUNTIF(Analise!$D$2:D284,Analise!D284))</f>
        <v>441390930001-05_2</v>
      </c>
      <c r="C284" s="34">
        <f>COUNTIF('Obras e Acervos'!$C:$C,CONCATENATE(LEFT(D284,12),RIGHT(D284,2)))</f>
        <v>2</v>
      </c>
      <c r="D284" s="35" t="s">
        <v>4656</v>
      </c>
      <c r="E284" t="str">
        <f>VLOOKUP($B284,'Obras e Acervos'!$B:$X,3,0)</f>
        <v>LIVRISSIMO EDITORA LTDA-LIVRISSIMO EDITORA</v>
      </c>
      <c r="F284" t="str">
        <f>VLOOKUP($B284,'Obras e Acervos'!$B:$X,7,0)</f>
        <v>0469L23000020LE</v>
      </c>
      <c r="G284" t="str">
        <f>VLOOKUP($B284,'Obras e Acervos'!$B:$X,5,0)</f>
        <v>UM BELO DIA...</v>
      </c>
      <c r="H284">
        <f>VLOOKUP($B284,'Obras e Acervos'!$B:$X,18,0)</f>
        <v>15</v>
      </c>
      <c r="I284">
        <f>VLOOKUP($B284,'Obras e Acervos'!$B:$X,19,0)</f>
        <v>33761</v>
      </c>
      <c r="J284" s="42">
        <f>VLOOKUP($B284,'Obras e Acervos'!$B:$X,20,0)</f>
        <v>4388.93</v>
      </c>
      <c r="K284" s="31">
        <f>VLOOKUP($B284,'Obras e Acervos'!$B:$X,21,0)</f>
        <v>7.58</v>
      </c>
      <c r="L284" s="31">
        <f t="shared" si="45"/>
        <v>255908.38</v>
      </c>
      <c r="M284" s="1">
        <v>46052</v>
      </c>
      <c r="N284" s="1">
        <f t="shared" si="44"/>
        <v>46305</v>
      </c>
      <c r="O284">
        <f t="shared" si="46"/>
        <v>254</v>
      </c>
      <c r="P284" s="49">
        <f t="shared" si="42"/>
        <v>8.4666666666666668</v>
      </c>
      <c r="Q284" s="34">
        <f>VLOOKUP($G284,Agendamento!$B:$F,5,0)</f>
        <v>6</v>
      </c>
      <c r="R284" s="36">
        <f t="shared" si="47"/>
        <v>34</v>
      </c>
      <c r="S284" s="44">
        <v>2.5499999999999998</v>
      </c>
      <c r="T284" s="44">
        <f t="shared" si="48"/>
        <v>22021.8</v>
      </c>
      <c r="U284" t="s">
        <v>5137</v>
      </c>
      <c r="V284" t="str">
        <f t="shared" si="49"/>
        <v>NF/64238767_20260130_nf_04.pdf</v>
      </c>
      <c r="W284" s="32" t="str">
        <f t="shared" si="43"/>
        <v>NF - UM BELO DIA...</v>
      </c>
      <c r="X284" t="s">
        <v>5591</v>
      </c>
    </row>
    <row r="285" spans="1:24" x14ac:dyDescent="0.25">
      <c r="A285" t="str">
        <f>CONCATENATE(D285,"_",TEXT(M285,"ddmmaaaa"),"_",COUNTIF($D$2:D285,D285))</f>
        <v>330363230001-94_30012026_2</v>
      </c>
      <c r="B285" t="str">
        <f>CONCATENATE(Analise!D285,"_",COUNTIF(Analise!$D$2:D285,Analise!D285))</f>
        <v>330363230001-94_2</v>
      </c>
      <c r="C285" s="34">
        <f>COUNTIF('Obras e Acervos'!$C:$C,CONCATENATE(LEFT(D285,12),RIGHT(D285,2)))</f>
        <v>2</v>
      </c>
      <c r="D285" s="35" t="s">
        <v>4665</v>
      </c>
      <c r="E285" t="str">
        <f>VLOOKUP($B285,'Obras e Acervos'!$B:$X,3,0)</f>
        <v>AKPALÔ EDITORA LTDA-AKPALÔ</v>
      </c>
      <c r="F285" t="str">
        <f>VLOOKUP($B285,'Obras e Acervos'!$B:$X,7,0)</f>
        <v>0563L23000020LE</v>
      </c>
      <c r="G285" t="str">
        <f>VLOOKUP($B285,'Obras e Acervos'!$B:$X,5,0)</f>
        <v>TRÊS HISTÓRIAS DE ENCANTO</v>
      </c>
      <c r="H285">
        <f>VLOOKUP($B285,'Obras e Acervos'!$B:$X,18,0)</f>
        <v>19</v>
      </c>
      <c r="I285">
        <f>VLOOKUP($B285,'Obras e Acervos'!$B:$X,19,0)</f>
        <v>25861</v>
      </c>
      <c r="J285" s="42">
        <f>VLOOKUP($B285,'Obras e Acervos'!$B:$X,20,0)</f>
        <v>3801.567</v>
      </c>
      <c r="K285" s="31">
        <f>VLOOKUP($B285,'Obras e Acervos'!$B:$X,21,0)</f>
        <v>4.45</v>
      </c>
      <c r="L285" s="31">
        <f t="shared" si="45"/>
        <v>115081.45000000001</v>
      </c>
      <c r="M285" s="1">
        <v>46052</v>
      </c>
      <c r="N285" s="1">
        <f t="shared" si="44"/>
        <v>46305</v>
      </c>
      <c r="O285">
        <f t="shared" si="46"/>
        <v>254</v>
      </c>
      <c r="P285" s="49">
        <f t="shared" si="42"/>
        <v>8.4666666666666668</v>
      </c>
      <c r="Q285" s="34">
        <f>VLOOKUP($G285,Agendamento!$B:$F,5,0)</f>
        <v>5</v>
      </c>
      <c r="R285" s="36">
        <f t="shared" si="47"/>
        <v>26</v>
      </c>
      <c r="S285" s="44">
        <v>2.5499999999999998</v>
      </c>
      <c r="T285" s="44">
        <f t="shared" si="48"/>
        <v>16840.199999999997</v>
      </c>
      <c r="U285" t="s">
        <v>5140</v>
      </c>
      <c r="V285" t="str">
        <f t="shared" si="49"/>
        <v>NF/64238767_20260130_nf_05.pdf</v>
      </c>
      <c r="W285" s="32" t="str">
        <f t="shared" si="43"/>
        <v>NF - TRÊS HISTÓRIAS DE ENCANTO</v>
      </c>
      <c r="X285" t="s">
        <v>5591</v>
      </c>
    </row>
    <row r="286" spans="1:24" x14ac:dyDescent="0.25">
      <c r="A286" t="str">
        <f>CONCATENATE(D286,"_",TEXT(M286,"ddmmaaaa"),"_",COUNTIF($D$2:D286,D286))</f>
        <v>356250060001-39_30012026_2</v>
      </c>
      <c r="B286" t="str">
        <f>CONCATENATE(Analise!D286,"_",COUNTIF(Analise!$D$2:D286,Analise!D286))</f>
        <v>356250060001-39_2</v>
      </c>
      <c r="C286" s="34">
        <f>COUNTIF('Obras e Acervos'!$C:$C,CONCATENATE(LEFT(D286,12),RIGHT(D286,2)))</f>
        <v>2</v>
      </c>
      <c r="D286" s="35" t="s">
        <v>4663</v>
      </c>
      <c r="E286" t="str">
        <f>VLOOKUP($B286,'Obras e Acervos'!$B:$X,3,0)</f>
        <v>ARCO 43 EDITORA LTDA-ARCO 43</v>
      </c>
      <c r="F286" t="str">
        <f>VLOOKUP($B286,'Obras e Acervos'!$B:$X,7,0)</f>
        <v>0569L23000020LE</v>
      </c>
      <c r="G286" t="str">
        <f>VLOOKUP($B286,'Obras e Acervos'!$B:$X,5,0)</f>
        <v>ADIVINHA QUEM FOI O MIOLO DO BOI</v>
      </c>
      <c r="H286">
        <f>VLOOKUP($B286,'Obras e Acervos'!$B:$X,18,0)</f>
        <v>18</v>
      </c>
      <c r="I286">
        <f>VLOOKUP($B286,'Obras e Acervos'!$B:$X,19,0)</f>
        <v>27442</v>
      </c>
      <c r="J286" s="42">
        <f>VLOOKUP($B286,'Obras e Acervos'!$B:$X,20,0)</f>
        <v>3100.9459999999999</v>
      </c>
      <c r="K286" s="31">
        <f>VLOOKUP($B286,'Obras e Acervos'!$B:$X,21,0)</f>
        <v>4.95</v>
      </c>
      <c r="L286" s="31">
        <f t="shared" si="45"/>
        <v>135837.9</v>
      </c>
      <c r="M286" s="1">
        <v>46052</v>
      </c>
      <c r="N286" s="1">
        <f t="shared" si="44"/>
        <v>46305</v>
      </c>
      <c r="O286">
        <f t="shared" si="46"/>
        <v>254</v>
      </c>
      <c r="P286" s="49">
        <f t="shared" si="42"/>
        <v>8.4666666666666668</v>
      </c>
      <c r="Q286" s="34">
        <f>VLOOKUP($G286,Agendamento!$B:$F,5,0)</f>
        <v>4</v>
      </c>
      <c r="R286" s="36">
        <f t="shared" si="47"/>
        <v>28</v>
      </c>
      <c r="S286" s="44">
        <v>2.5499999999999998</v>
      </c>
      <c r="T286" s="44">
        <f t="shared" si="48"/>
        <v>18135.599999999999</v>
      </c>
      <c r="U286" t="s">
        <v>5138</v>
      </c>
      <c r="V286" t="str">
        <f t="shared" si="49"/>
        <v>NF/64238767_20260130_nf_06.pdf</v>
      </c>
      <c r="W286" s="32" t="str">
        <f t="shared" si="43"/>
        <v>NF - ADIVINHA QUEM FOI O MIOLO DO BOI</v>
      </c>
      <c r="X286" t="s">
        <v>5591</v>
      </c>
    </row>
    <row r="287" spans="1:24" x14ac:dyDescent="0.25">
      <c r="A287" t="str">
        <f>CONCATENATE(D287,"_",TEXT(M287,"ddmmaaaa"),"_",COUNTIF($D$2:D287,D287))</f>
        <v>336416630036-74_30012026_1</v>
      </c>
      <c r="B287" t="str">
        <f>CONCATENATE(Analise!D287,"_",COUNTIF(Analise!$D$2:D287,Analise!D287))</f>
        <v>336416630036-74_1</v>
      </c>
      <c r="C287" s="34">
        <f>COUNTIF('Obras e Acervos'!$C:$C,CONCATENATE(LEFT(D287,12),RIGHT(D287,2)))</f>
        <v>2</v>
      </c>
      <c r="D287" s="35" t="s">
        <v>4667</v>
      </c>
      <c r="E287" t="str">
        <f>VLOOKUP($B287,'Obras e Acervos'!$B:$X,3,0)</f>
        <v>FUNDAÇÃO GETULIO VARGAS-FGV EDITORA</v>
      </c>
      <c r="F287" t="str">
        <f>VLOOKUP($B287,'Obras e Acervos'!$B:$X,7,0)</f>
        <v>0588L23000030LE</v>
      </c>
      <c r="G287" t="str">
        <f>VLOOKUP($B287,'Obras e Acervos'!$B:$X,5,0)</f>
        <v>VAI VIAJAR, CARACOL?</v>
      </c>
      <c r="H287">
        <f>VLOOKUP($B287,'Obras e Acervos'!$B:$X,18,0)</f>
        <v>10</v>
      </c>
      <c r="I287">
        <f>VLOOKUP($B287,'Obras e Acervos'!$B:$X,19,0)</f>
        <v>33131</v>
      </c>
      <c r="J287" s="42">
        <f>VLOOKUP($B287,'Obras e Acervos'!$B:$X,20,0)</f>
        <v>3743.8029999999999</v>
      </c>
      <c r="K287" s="31">
        <f>VLOOKUP($B287,'Obras e Acervos'!$B:$X,21,0)</f>
        <v>6.73</v>
      </c>
      <c r="L287" s="31">
        <f t="shared" si="45"/>
        <v>222971.63</v>
      </c>
      <c r="M287" s="1">
        <v>46052</v>
      </c>
      <c r="N287" s="1">
        <f t="shared" si="44"/>
        <v>46305</v>
      </c>
      <c r="O287">
        <f t="shared" si="46"/>
        <v>254</v>
      </c>
      <c r="P287" s="49">
        <f t="shared" si="42"/>
        <v>8.4666666666666668</v>
      </c>
      <c r="Q287" s="34">
        <f>VLOOKUP($G287,Agendamento!$B:$F,5,0)</f>
        <v>5</v>
      </c>
      <c r="R287" s="36">
        <f t="shared" si="47"/>
        <v>34</v>
      </c>
      <c r="S287" s="44">
        <v>2.5499999999999998</v>
      </c>
      <c r="T287" s="44">
        <f t="shared" si="48"/>
        <v>22021.8</v>
      </c>
      <c r="U287" t="s">
        <v>5142</v>
      </c>
      <c r="V287" t="str">
        <f t="shared" si="49"/>
        <v>NF/64238767_20260130_nf_07.pdf</v>
      </c>
      <c r="W287" s="32" t="str">
        <f t="shared" si="43"/>
        <v>NF - VAI VIAJAR, CARACOL?</v>
      </c>
      <c r="X287" t="s">
        <v>5591</v>
      </c>
    </row>
    <row r="288" spans="1:24" x14ac:dyDescent="0.25">
      <c r="A288" t="str">
        <f>CONCATENATE(D288,"_",TEXT(M288,"ddmmaaaa"),"_",COUNTIF($D$2:D288,D288))</f>
        <v>336416630036-74_30012026_2</v>
      </c>
      <c r="B288" t="str">
        <f>CONCATENATE(Analise!D288,"_",COUNTIF(Analise!$D$2:D288,Analise!D288))</f>
        <v>336416630036-74_2</v>
      </c>
      <c r="C288" s="34">
        <f>COUNTIF('Obras e Acervos'!$C:$C,CONCATENATE(LEFT(D288,12),RIGHT(D288,2)))</f>
        <v>2</v>
      </c>
      <c r="D288" s="35" t="s">
        <v>4667</v>
      </c>
      <c r="E288" t="str">
        <f>VLOOKUP($B288,'Obras e Acervos'!$B:$X,3,0)</f>
        <v>FUNDAÇÃO GETULIO VARGAS-FGV EDITORA</v>
      </c>
      <c r="F288" t="str">
        <f>VLOOKUP($B288,'Obras e Acervos'!$B:$X,7,0)</f>
        <v>0589L23000020LE</v>
      </c>
      <c r="G288" t="str">
        <f>VLOOKUP($B288,'Obras e Acervos'!$B:$X,5,0)</f>
        <v>DETETIVE CECÍLIA E A ÁGUIA DE BRONZE</v>
      </c>
      <c r="H288">
        <f>VLOOKUP($B288,'Obras e Acervos'!$B:$X,18,0)</f>
        <v>14</v>
      </c>
      <c r="I288">
        <f>VLOOKUP($B288,'Obras e Acervos'!$B:$X,19,0)</f>
        <v>28015</v>
      </c>
      <c r="J288" s="42">
        <f>VLOOKUP($B288,'Obras e Acervos'!$B:$X,20,0)</f>
        <v>2941.5749999999998</v>
      </c>
      <c r="K288" s="31">
        <f>VLOOKUP($B288,'Obras e Acervos'!$B:$X,21,0)</f>
        <v>10</v>
      </c>
      <c r="L288" s="31">
        <f t="shared" si="45"/>
        <v>280150</v>
      </c>
      <c r="M288" s="1">
        <v>46052</v>
      </c>
      <c r="N288" s="1">
        <f t="shared" si="44"/>
        <v>46305</v>
      </c>
      <c r="O288">
        <f t="shared" si="46"/>
        <v>254</v>
      </c>
      <c r="P288" s="49">
        <f t="shared" si="42"/>
        <v>8.4666666666666668</v>
      </c>
      <c r="Q288" s="34">
        <f>VLOOKUP($G288,Agendamento!$B:$F,5,0)</f>
        <v>5</v>
      </c>
      <c r="R288" s="36">
        <f t="shared" si="47"/>
        <v>29</v>
      </c>
      <c r="S288" s="44">
        <v>2.5499999999999998</v>
      </c>
      <c r="T288" s="44">
        <f t="shared" si="48"/>
        <v>18783.3</v>
      </c>
      <c r="U288" t="s">
        <v>5142</v>
      </c>
      <c r="V288" t="str">
        <f t="shared" si="49"/>
        <v>NF/64238767_20260130_nf_07.pdf</v>
      </c>
      <c r="W288" s="32" t="str">
        <f t="shared" si="43"/>
        <v>NF - DETETIVE CECÍLIA E A ÁGUIA DE BRONZE</v>
      </c>
      <c r="X288" t="s">
        <v>5591</v>
      </c>
    </row>
    <row r="289" spans="1:24" x14ac:dyDescent="0.25">
      <c r="A289" t="str">
        <f>CONCATENATE(D289,"_",TEXT(M289,"ddmmaaaa"),"_",COUNTIF($D$2:D289,D289))</f>
        <v>104519100001-44_23012026_1</v>
      </c>
      <c r="B289" t="str">
        <f>CONCATENATE(Analise!D289,"_",COUNTIF(Analise!$D$2:D289,Analise!D289))</f>
        <v>104519100001-44_1</v>
      </c>
      <c r="C289" s="34">
        <f>COUNTIF('Obras e Acervos'!$C:$C,CONCATENATE(LEFT(D289,12),RIGHT(D289,2)))</f>
        <v>2</v>
      </c>
      <c r="D289" s="35" t="s">
        <v>4670</v>
      </c>
      <c r="E289" t="str">
        <f>VLOOKUP($B289,'Obras e Acervos'!$B:$X,3,0)</f>
        <v>EDITORA ANZOL LTDA-NÃO HÁ</v>
      </c>
      <c r="F289" t="str">
        <f>VLOOKUP($B289,'Obras e Acervos'!$B:$X,7,0)</f>
        <v>0605L23000030LE</v>
      </c>
      <c r="G289" t="str">
        <f>VLOOKUP($B289,'Obras e Acervos'!$B:$X,5,0)</f>
        <v>ADIVINHA-ME!</v>
      </c>
      <c r="H289">
        <f>VLOOKUP($B289,'Obras e Acervos'!$B:$X,18,0)</f>
        <v>2</v>
      </c>
      <c r="I289">
        <f>VLOOKUP($B289,'Obras e Acervos'!$B:$X,19,0)</f>
        <v>46437</v>
      </c>
      <c r="J289" s="42">
        <f>VLOOKUP($B289,'Obras e Acervos'!$B:$X,20,0)</f>
        <v>5433.1289999999999</v>
      </c>
      <c r="K289" s="31">
        <f>VLOOKUP($B289,'Obras e Acervos'!$B:$X,21,0)</f>
        <v>5.83</v>
      </c>
      <c r="L289" s="31">
        <f t="shared" si="45"/>
        <v>270727.71000000002</v>
      </c>
      <c r="M289" s="1">
        <v>46045</v>
      </c>
      <c r="N289" s="1">
        <f t="shared" si="44"/>
        <v>46305</v>
      </c>
      <c r="O289">
        <f t="shared" si="46"/>
        <v>261</v>
      </c>
      <c r="P289" s="49">
        <f t="shared" si="42"/>
        <v>8.6999999999999993</v>
      </c>
      <c r="Q289" s="34">
        <f>VLOOKUP($G289,Agendamento!$B:$F,5,0)</f>
        <v>6</v>
      </c>
      <c r="R289" s="36">
        <f t="shared" si="47"/>
        <v>47</v>
      </c>
      <c r="S289" s="44">
        <v>2.5499999999999998</v>
      </c>
      <c r="T289" s="44">
        <f t="shared" si="48"/>
        <v>31280.85</v>
      </c>
      <c r="U289" t="s">
        <v>5145</v>
      </c>
      <c r="V289" t="str">
        <f t="shared" si="49"/>
        <v>NF/64238876_20260123_nf_01.pdf</v>
      </c>
      <c r="W289" s="32" t="str">
        <f t="shared" si="43"/>
        <v>NF - ADIVINHA-ME!</v>
      </c>
      <c r="X289" t="s">
        <v>5591</v>
      </c>
    </row>
    <row r="290" spans="1:24" x14ac:dyDescent="0.25">
      <c r="A290" t="str">
        <f>CONCATENATE(D290,"_",TEXT(M290,"ddmmaaaa"),"_",COUNTIF($D$2:D290,D290))</f>
        <v>104519100001-44_23012026_2</v>
      </c>
      <c r="B290" t="str">
        <f>CONCATENATE(Analise!D290,"_",COUNTIF(Analise!$D$2:D290,Analise!D290))</f>
        <v>104519100001-44_2</v>
      </c>
      <c r="C290" s="34">
        <f>COUNTIF('Obras e Acervos'!$C:$C,CONCATENATE(LEFT(D290,12),RIGHT(D290,2)))</f>
        <v>2</v>
      </c>
      <c r="D290" s="35" t="s">
        <v>4670</v>
      </c>
      <c r="E290" t="str">
        <f>VLOOKUP($B290,'Obras e Acervos'!$B:$X,3,0)</f>
        <v>EDITORA ANZOL LTDA-NÃO HÁ</v>
      </c>
      <c r="F290" t="str">
        <f>VLOOKUP($B290,'Obras e Acervos'!$B:$X,7,0)</f>
        <v>0606L23000020LE</v>
      </c>
      <c r="G290" t="str">
        <f>VLOOKUP($B290,'Obras e Acervos'!$B:$X,5,0)</f>
        <v>SILÊNCIO!</v>
      </c>
      <c r="H290">
        <f>VLOOKUP($B290,'Obras e Acervos'!$B:$X,18,0)</f>
        <v>13</v>
      </c>
      <c r="I290">
        <f>VLOOKUP($B290,'Obras e Acervos'!$B:$X,19,0)</f>
        <v>30241</v>
      </c>
      <c r="J290" s="42">
        <f>VLOOKUP($B290,'Obras e Acervos'!$B:$X,20,0)</f>
        <v>5171.2110000000002</v>
      </c>
      <c r="K290" s="31">
        <f>VLOOKUP($B290,'Obras e Acervos'!$B:$X,21,0)</f>
        <v>10.220000000000001</v>
      </c>
      <c r="L290" s="31">
        <f t="shared" si="45"/>
        <v>309063.02</v>
      </c>
      <c r="M290" s="1">
        <v>46045</v>
      </c>
      <c r="N290" s="1">
        <f t="shared" si="44"/>
        <v>46305</v>
      </c>
      <c r="O290">
        <f t="shared" si="46"/>
        <v>261</v>
      </c>
      <c r="P290" s="49">
        <f t="shared" si="42"/>
        <v>8.6999999999999993</v>
      </c>
      <c r="Q290" s="34">
        <f>VLOOKUP($G290,Agendamento!$B:$F,5,0)</f>
        <v>7</v>
      </c>
      <c r="R290" s="36">
        <f t="shared" si="47"/>
        <v>31</v>
      </c>
      <c r="S290" s="44">
        <v>2.5499999999999998</v>
      </c>
      <c r="T290" s="44">
        <f t="shared" si="48"/>
        <v>20632.05</v>
      </c>
      <c r="U290" t="s">
        <v>5145</v>
      </c>
      <c r="V290" t="str">
        <f t="shared" si="49"/>
        <v>NF/64238876_20260123_nf_01.pdf</v>
      </c>
      <c r="W290" s="32" t="str">
        <f t="shared" si="43"/>
        <v>NF - SILÊNCIO!</v>
      </c>
      <c r="X290" t="s">
        <v>5591</v>
      </c>
    </row>
    <row r="291" spans="1:24" x14ac:dyDescent="0.25">
      <c r="A291" t="str">
        <f>CONCATENATE(D291,"_",TEXT(M291,"ddmmaaaa"),"_",COUNTIF($D$2:D291,D291))</f>
        <v>087311950001-51_23012026_1</v>
      </c>
      <c r="B291" t="str">
        <f>CONCATENATE(Analise!D291,"_",COUNTIF(Analise!$D$2:D291,Analise!D291))</f>
        <v>087311950001-51_1</v>
      </c>
      <c r="C291" s="34">
        <f>COUNTIF('Obras e Acervos'!$C:$C,CONCATENATE(LEFT(D291,12),RIGHT(D291,2)))</f>
        <v>2</v>
      </c>
      <c r="D291" s="35" t="s">
        <v>4669</v>
      </c>
      <c r="E291" t="str">
        <f>VLOOKUP($B291,'Obras e Acervos'!$B:$X,3,0)</f>
        <v>COMBOIO DE CORDA EDITORA LTDA-NÃO HÁ</v>
      </c>
      <c r="F291" t="str">
        <f>VLOOKUP($B291,'Obras e Acervos'!$B:$X,7,0)</f>
        <v>0465L23000030LE</v>
      </c>
      <c r="G291" t="str">
        <f>VLOOKUP($B291,'Obras e Acervos'!$B:$X,5,0)</f>
        <v>UM SONHO FEITO DE LINHAS</v>
      </c>
      <c r="H291">
        <f>VLOOKUP($B291,'Obras e Acervos'!$B:$X,18,0)</f>
        <v>10</v>
      </c>
      <c r="I291">
        <f>VLOOKUP($B291,'Obras e Acervos'!$B:$X,19,0)</f>
        <v>34858</v>
      </c>
      <c r="J291" s="42">
        <f>VLOOKUP($B291,'Obras e Acervos'!$B:$X,20,0)</f>
        <v>4078.3860000000004</v>
      </c>
      <c r="K291" s="31">
        <f>VLOOKUP($B291,'Obras e Acervos'!$B:$X,21,0)</f>
        <v>6.8</v>
      </c>
      <c r="L291" s="31">
        <f t="shared" si="45"/>
        <v>237034.4</v>
      </c>
      <c r="M291" s="1">
        <v>46045</v>
      </c>
      <c r="N291" s="1">
        <f t="shared" si="44"/>
        <v>46305</v>
      </c>
      <c r="O291">
        <f t="shared" si="46"/>
        <v>261</v>
      </c>
      <c r="P291" s="49">
        <f t="shared" si="42"/>
        <v>8.6999999999999993</v>
      </c>
      <c r="Q291" s="34">
        <f>VLOOKUP($G291,Agendamento!$B:$F,5,0)</f>
        <v>5</v>
      </c>
      <c r="R291" s="36">
        <f t="shared" si="47"/>
        <v>35</v>
      </c>
      <c r="S291" s="44">
        <v>2.5499999999999998</v>
      </c>
      <c r="T291" s="44">
        <f t="shared" si="48"/>
        <v>23294.25</v>
      </c>
      <c r="U291" t="s">
        <v>5144</v>
      </c>
      <c r="V291" t="str">
        <f t="shared" si="49"/>
        <v>NF/64238876_20260123_nf_02.pdf</v>
      </c>
      <c r="W291" s="32" t="str">
        <f t="shared" si="43"/>
        <v>NF - UM SONHO FEITO DE LINHAS</v>
      </c>
      <c r="X291" t="s">
        <v>5591</v>
      </c>
    </row>
    <row r="292" spans="1:24" x14ac:dyDescent="0.25">
      <c r="A292" t="str">
        <f>CONCATENATE(D292,"_",TEXT(M292,"ddmmaaaa"),"_",COUNTIF($D$2:D292,D292))</f>
        <v>087311950001-51_23012026_2</v>
      </c>
      <c r="B292" t="str">
        <f>CONCATENATE(Analise!D292,"_",COUNTIF(Analise!$D$2:D292,Analise!D292))</f>
        <v>087311950001-51_2</v>
      </c>
      <c r="C292" s="34">
        <f>COUNTIF('Obras e Acervos'!$C:$C,CONCATENATE(LEFT(D292,12),RIGHT(D292,2)))</f>
        <v>2</v>
      </c>
      <c r="D292" s="35" t="s">
        <v>4669</v>
      </c>
      <c r="E292" t="str">
        <f>VLOOKUP($B292,'Obras e Acervos'!$B:$X,3,0)</f>
        <v>COMBOIO DE CORDA EDITORA LTDA-NÃO HÁ</v>
      </c>
      <c r="F292" t="str">
        <f>VLOOKUP($B292,'Obras e Acervos'!$B:$X,7,0)</f>
        <v>0466L23000020LE</v>
      </c>
      <c r="G292" t="str">
        <f>VLOOKUP($B292,'Obras e Acervos'!$B:$X,5,0)</f>
        <v>REFÚGIO</v>
      </c>
      <c r="H292">
        <f>VLOOKUP($B292,'Obras e Acervos'!$B:$X,18,0)</f>
        <v>15</v>
      </c>
      <c r="I292">
        <f>VLOOKUP($B292,'Obras e Acervos'!$B:$X,19,0)</f>
        <v>32777</v>
      </c>
      <c r="J292" s="42">
        <f>VLOOKUP($B292,'Obras e Acervos'!$B:$X,20,0)</f>
        <v>3834.9090000000001</v>
      </c>
      <c r="K292" s="31">
        <f>VLOOKUP($B292,'Obras e Acervos'!$B:$X,21,0)</f>
        <v>6.86</v>
      </c>
      <c r="L292" s="31">
        <f t="shared" si="45"/>
        <v>224850.22</v>
      </c>
      <c r="M292" s="1">
        <v>46045</v>
      </c>
      <c r="N292" s="1">
        <f t="shared" si="44"/>
        <v>46305</v>
      </c>
      <c r="O292">
        <f t="shared" si="46"/>
        <v>261</v>
      </c>
      <c r="P292" s="49">
        <f t="shared" si="42"/>
        <v>8.6999999999999993</v>
      </c>
      <c r="Q292" s="34">
        <f>VLOOKUP($G292,Agendamento!$B:$F,5,0)</f>
        <v>6</v>
      </c>
      <c r="R292" s="36">
        <f t="shared" si="47"/>
        <v>33</v>
      </c>
      <c r="S292" s="44">
        <v>2.5499999999999998</v>
      </c>
      <c r="T292" s="44">
        <f t="shared" si="48"/>
        <v>21963.149999999998</v>
      </c>
      <c r="U292" t="s">
        <v>5144</v>
      </c>
      <c r="V292" t="str">
        <f t="shared" si="49"/>
        <v>NF/64238876_20260123_nf_02.pdf</v>
      </c>
      <c r="W292" s="32" t="str">
        <f t="shared" si="43"/>
        <v>NF - REFÚGIO</v>
      </c>
      <c r="X292" t="s">
        <v>5591</v>
      </c>
    </row>
    <row r="293" spans="1:24" x14ac:dyDescent="0.25">
      <c r="A293" t="str">
        <f>CONCATENATE(D293,"_",TEXT(M293,"ddmmaaaa"),"_",COUNTIF($D$2:D293,D293))</f>
        <v>171921990001-08_02032026_1</v>
      </c>
      <c r="B293" t="str">
        <f>CONCATENATE(Analise!D293,"_",COUNTIF(Analise!$D$2:D293,Analise!D293)+1)</f>
        <v>171921990001-08_2</v>
      </c>
      <c r="C293" s="34">
        <f>COUNTIF('Obras e Acervos'!$C:$C,CONCATENATE(LEFT(D293,12),RIGHT(D293,2)))</f>
        <v>2</v>
      </c>
      <c r="D293" s="35" t="s">
        <v>4671</v>
      </c>
      <c r="E293" t="str">
        <f>VLOOKUP($B293,'Obras e Acervos'!$B:$X,3,0)</f>
        <v>LRV EDITORA LTDA-EDITORA LIVROS DA RAPOSA VERMELHA</v>
      </c>
      <c r="F293" t="str">
        <f>VLOOKUP($B293,'Obras e Acervos'!$B:$X,7,0)</f>
        <v>0989L23000020LE</v>
      </c>
      <c r="G293" t="str">
        <f>VLOOKUP($B293,'Obras e Acervos'!$B:$X,5,0)</f>
        <v>QUANDO AS CASAS VOLTARAM FLUTUANDO</v>
      </c>
      <c r="H293">
        <f>VLOOKUP($B293,'Obras e Acervos'!$B:$X,18,0)</f>
        <v>21</v>
      </c>
      <c r="I293">
        <f>VLOOKUP($B293,'Obras e Acervos'!$B:$X,19,0)</f>
        <v>23799</v>
      </c>
      <c r="J293" s="42">
        <f>VLOOKUP($B293,'Obras e Acervos'!$B:$X,20,0)</f>
        <v>2379.9</v>
      </c>
      <c r="K293" s="31">
        <f>VLOOKUP($B293,'Obras e Acervos'!$B:$X,21,0)</f>
        <v>6.57</v>
      </c>
      <c r="L293" s="31">
        <f t="shared" si="45"/>
        <v>156359.43</v>
      </c>
      <c r="M293" s="1">
        <v>46083</v>
      </c>
      <c r="N293" s="1">
        <f t="shared" si="44"/>
        <v>46305</v>
      </c>
      <c r="O293">
        <f t="shared" si="46"/>
        <v>223</v>
      </c>
      <c r="P293" s="49">
        <f t="shared" si="42"/>
        <v>7.4333333333333336</v>
      </c>
      <c r="Q293" s="34">
        <f>VLOOKUP($G293,Agendamento!$B:$F,5,0)</f>
        <v>4</v>
      </c>
      <c r="R293" s="36">
        <f t="shared" si="47"/>
        <v>24</v>
      </c>
      <c r="S293" s="44">
        <v>2.5499999999999998</v>
      </c>
      <c r="T293" s="44">
        <f t="shared" si="48"/>
        <v>13647.599999999999</v>
      </c>
      <c r="U293" t="s">
        <v>5146</v>
      </c>
      <c r="V293" t="str">
        <f t="shared" si="49"/>
        <v>NF/64307150_20260302_nf_01.pdf</v>
      </c>
      <c r="W293" s="32" t="str">
        <f t="shared" si="43"/>
        <v>NF - QUANDO AS CASAS VOLTARAM FLUTUANDO</v>
      </c>
      <c r="X293" t="s">
        <v>5763</v>
      </c>
    </row>
    <row r="294" spans="1:24" x14ac:dyDescent="0.25">
      <c r="A294" t="str">
        <f>CONCATENATE(D294,"_",TEXT(M294,"ddmmaaaa"),"_",COUNTIF($D$2:D294,D294))</f>
        <v>171921990001-08_02032026_2</v>
      </c>
      <c r="B294" t="str">
        <f>CONCATENATE(Analise!D294,"_",COUNTIF(Analise!$D$2:D294,Analise!D294)-1)</f>
        <v>171921990001-08_1</v>
      </c>
      <c r="C294" s="34">
        <f>COUNTIF('Obras e Acervos'!$C:$C,CONCATENATE(LEFT(D294,12),RIGHT(D294,2)))</f>
        <v>2</v>
      </c>
      <c r="D294" s="35" t="s">
        <v>4671</v>
      </c>
      <c r="E294" t="str">
        <f>VLOOKUP($B294,'Obras e Acervos'!$B:$X,3,0)</f>
        <v>LRV EDITORA LTDA-EDITORA LIVROS DA RAPOSA VERMELHA</v>
      </c>
      <c r="F294" t="str">
        <f>VLOOKUP($B294,'Obras e Acervos'!$B:$X,7,0)</f>
        <v>0988L23000030LE</v>
      </c>
      <c r="G294" t="str">
        <f>VLOOKUP($B294,'Obras e Acervos'!$B:$X,5,0)</f>
        <v>VOCÊ É IMPORTANTE</v>
      </c>
      <c r="H294">
        <f>VLOOKUP($B294,'Obras e Acervos'!$B:$X,18,0)</f>
        <v>1</v>
      </c>
      <c r="I294">
        <f>VLOOKUP($B294,'Obras e Acervos'!$B:$X,19,0)</f>
        <v>76153</v>
      </c>
      <c r="J294" s="42">
        <f>VLOOKUP($B294,'Obras e Acervos'!$B:$X,20,0)</f>
        <v>11422.949999999999</v>
      </c>
      <c r="K294" s="31">
        <f>VLOOKUP($B294,'Obras e Acervos'!$B:$X,21,0)</f>
        <v>4.8600000000000003</v>
      </c>
      <c r="L294" s="31">
        <f t="shared" si="45"/>
        <v>370103.58</v>
      </c>
      <c r="M294" s="1">
        <v>46083</v>
      </c>
      <c r="N294" s="1">
        <f t="shared" si="44"/>
        <v>46305</v>
      </c>
      <c r="O294">
        <f t="shared" si="46"/>
        <v>223</v>
      </c>
      <c r="P294" s="49">
        <f t="shared" si="42"/>
        <v>7.4333333333333336</v>
      </c>
      <c r="Q294" s="34">
        <f>VLOOKUP($G294,Agendamento!$B:$F,5,0)</f>
        <v>14</v>
      </c>
      <c r="R294" s="36">
        <f t="shared" si="47"/>
        <v>77</v>
      </c>
      <c r="S294" s="44">
        <v>2.5499999999999998</v>
      </c>
      <c r="T294" s="44">
        <f t="shared" si="48"/>
        <v>43786.049999999996</v>
      </c>
      <c r="U294" t="s">
        <v>5147</v>
      </c>
      <c r="V294" t="str">
        <f t="shared" si="49"/>
        <v>NF/64307150_20260302_nf_02.pdf</v>
      </c>
      <c r="W294" s="32" t="str">
        <f t="shared" si="43"/>
        <v>NF - VOCÊ É IMPORTANTE</v>
      </c>
      <c r="X294" t="s">
        <v>5591</v>
      </c>
    </row>
    <row r="295" spans="1:24" x14ac:dyDescent="0.25">
      <c r="A295" t="str">
        <f>CONCATENATE(D295,"_",TEXT(M295,"ddmmaaaa"),"_",COUNTIF($D$2:D295,D295))</f>
        <v>135559940001-54_02032026_1</v>
      </c>
      <c r="B295" t="str">
        <f>CONCATENATE(Analise!D295,"_",COUNTIF(Analise!$D$2:D295,Analise!D295)+1)</f>
        <v>135559940001-54_2</v>
      </c>
      <c r="C295" s="34">
        <f>COUNTIF('Obras e Acervos'!$C:$C,CONCATENATE(LEFT(D295,12),RIGHT(D295,2)))</f>
        <v>2</v>
      </c>
      <c r="D295" s="35" t="s">
        <v>4672</v>
      </c>
      <c r="E295" t="str">
        <f>VLOOKUP($B295,'Obras e Acervos'!$B:$X,3,0)</f>
        <v>GARCIA E GARCIA PRODUCOES LTDA-EDITORA NAVEGARE</v>
      </c>
      <c r="F295" t="str">
        <f>VLOOKUP($B295,'Obras e Acervos'!$B:$X,7,0)</f>
        <v>0979L23000020LE</v>
      </c>
      <c r="G295" t="str">
        <f>VLOOKUP($B295,'Obras e Acervos'!$B:$X,5,0)</f>
        <v>ODE A UMA ESTRELA</v>
      </c>
      <c r="H295">
        <f>VLOOKUP($B295,'Obras e Acervos'!$B:$X,18,0)</f>
        <v>21</v>
      </c>
      <c r="I295">
        <f>VLOOKUP($B295,'Obras e Acervos'!$B:$X,19,0)</f>
        <v>23723</v>
      </c>
      <c r="J295" s="42">
        <f>VLOOKUP($B295,'Obras e Acervos'!$B:$X,20,0)</f>
        <v>2372.3000000000002</v>
      </c>
      <c r="K295" s="31">
        <f>VLOOKUP($B295,'Obras e Acervos'!$B:$X,21,0)</f>
        <v>6.59</v>
      </c>
      <c r="L295" s="31">
        <f t="shared" si="45"/>
        <v>156334.57</v>
      </c>
      <c r="M295" s="1">
        <v>46083</v>
      </c>
      <c r="N295" s="1">
        <f t="shared" si="44"/>
        <v>46305</v>
      </c>
      <c r="O295">
        <f t="shared" si="46"/>
        <v>223</v>
      </c>
      <c r="P295" s="49">
        <f t="shared" si="42"/>
        <v>7.4333333333333336</v>
      </c>
      <c r="Q295" s="34">
        <f>VLOOKUP($G295,Agendamento!$B:$F,5,0)</f>
        <v>4</v>
      </c>
      <c r="R295" s="36">
        <f t="shared" si="47"/>
        <v>24</v>
      </c>
      <c r="S295" s="44">
        <v>2.5499999999999998</v>
      </c>
      <c r="T295" s="44">
        <f t="shared" si="48"/>
        <v>13647.599999999999</v>
      </c>
      <c r="U295" t="s">
        <v>5149</v>
      </c>
      <c r="V295" t="str">
        <f t="shared" si="49"/>
        <v>NF/64307150_20260302_nf_03.pdf</v>
      </c>
      <c r="W295" s="32" t="str">
        <f t="shared" si="43"/>
        <v>NF - ODE A UMA ESTRELA</v>
      </c>
      <c r="X295" t="s">
        <v>5591</v>
      </c>
    </row>
    <row r="296" spans="1:24" x14ac:dyDescent="0.25">
      <c r="A296" t="str">
        <f>CONCATENATE(D296,"_",TEXT(M296,"ddmmaaaa"),"_",COUNTIF($D$2:D296,D296))</f>
        <v>135559940001-54_02032026_2</v>
      </c>
      <c r="B296" t="str">
        <f>CONCATENATE(Analise!D296,"_",COUNTIF(Analise!$D$2:D296,Analise!D296)-1)</f>
        <v>135559940001-54_1</v>
      </c>
      <c r="C296" s="34">
        <f>COUNTIF('Obras e Acervos'!$C:$C,CONCATENATE(LEFT(D296,12),RIGHT(D296,2)))</f>
        <v>2</v>
      </c>
      <c r="D296" s="35" t="s">
        <v>4672</v>
      </c>
      <c r="E296" t="str">
        <f>VLOOKUP($B296,'Obras e Acervos'!$B:$X,3,0)</f>
        <v>GARCIA E GARCIA PRODUCOES LTDA-EDITORA NAVEGARE</v>
      </c>
      <c r="F296" t="str">
        <f>VLOOKUP($B296,'Obras e Acervos'!$B:$X,7,0)</f>
        <v>0978L23000030LE</v>
      </c>
      <c r="G296" t="str">
        <f>VLOOKUP($B296,'Obras e Acervos'!$B:$X,5,0)</f>
        <v>ANDREIA BALEIA</v>
      </c>
      <c r="H296">
        <f>VLOOKUP($B296,'Obras e Acervos'!$B:$X,18,0)</f>
        <v>10</v>
      </c>
      <c r="I296">
        <f>VLOOKUP($B296,'Obras e Acervos'!$B:$X,19,0)</f>
        <v>33161</v>
      </c>
      <c r="J296" s="42">
        <f>VLOOKUP($B296,'Obras e Acervos'!$B:$X,20,0)</f>
        <v>3316.1000000000004</v>
      </c>
      <c r="K296" s="31">
        <f>VLOOKUP($B296,'Obras e Acervos'!$B:$X,21,0)</f>
        <v>5.96</v>
      </c>
      <c r="L296" s="31">
        <f t="shared" si="45"/>
        <v>197639.56</v>
      </c>
      <c r="M296" s="1">
        <v>46083</v>
      </c>
      <c r="N296" s="1">
        <f t="shared" si="44"/>
        <v>46305</v>
      </c>
      <c r="O296">
        <f t="shared" si="46"/>
        <v>223</v>
      </c>
      <c r="P296" s="49">
        <f t="shared" si="42"/>
        <v>7.4333333333333336</v>
      </c>
      <c r="Q296" s="34">
        <f>VLOOKUP($G296,Agendamento!$B:$F,5,0)</f>
        <v>5</v>
      </c>
      <c r="R296" s="36">
        <f t="shared" si="47"/>
        <v>34</v>
      </c>
      <c r="S296" s="44">
        <v>2.5499999999999998</v>
      </c>
      <c r="T296" s="44">
        <f t="shared" si="48"/>
        <v>19334.099999999999</v>
      </c>
      <c r="U296" t="s">
        <v>5148</v>
      </c>
      <c r="V296" t="str">
        <f t="shared" si="49"/>
        <v>NF/64307150_20260302_nf_04.pdf</v>
      </c>
      <c r="W296" s="32" t="str">
        <f t="shared" si="43"/>
        <v>NF - ANDREIA BALEIA</v>
      </c>
      <c r="X296" t="s">
        <v>5591</v>
      </c>
    </row>
    <row r="297" spans="1:24" x14ac:dyDescent="0.25">
      <c r="A297" t="str">
        <f>CONCATENATE(D297,"_",TEXT(M297,"ddmmaaaa"),"_",COUNTIF($D$2:D297,D297))</f>
        <v>433986540001-28_02032026_1</v>
      </c>
      <c r="B297" t="str">
        <f>CONCATENATE(Analise!D297,"_",COUNTIF(Analise!$D$2:D297,Analise!D297))</f>
        <v>433986540001-28_1</v>
      </c>
      <c r="C297" s="34">
        <f>COUNTIF('Obras e Acervos'!$C:$C,CONCATENATE(LEFT(D297,12),RIGHT(D297,2)))</f>
        <v>2</v>
      </c>
      <c r="D297" s="35" t="s">
        <v>4684</v>
      </c>
      <c r="E297" t="str">
        <f>VLOOKUP($B297,'Obras e Acervos'!$B:$X,3,0)</f>
        <v>QUITERIA EDITORA LTDA-QUITERIA EDITORA</v>
      </c>
      <c r="F297" t="str">
        <f>VLOOKUP($B297,'Obras e Acervos'!$B:$X,7,0)</f>
        <v>1166L23000030LE</v>
      </c>
      <c r="G297" t="str">
        <f>VLOOKUP($B297,'Obras e Acervos'!$B:$X,5,0)</f>
        <v>ALICE FAZ ANIVERSÁRIO</v>
      </c>
      <c r="H297">
        <f>VLOOKUP($B297,'Obras e Acervos'!$B:$X,18,0)</f>
        <v>9</v>
      </c>
      <c r="I297">
        <f>VLOOKUP($B297,'Obras e Acervos'!$B:$X,19,0)</f>
        <v>33370</v>
      </c>
      <c r="J297" s="42">
        <f>VLOOKUP($B297,'Obras e Acervos'!$B:$X,20,0)</f>
        <v>3837.55</v>
      </c>
      <c r="K297" s="31">
        <f>VLOOKUP($B297,'Obras e Acervos'!$B:$X,21,0)</f>
        <v>5.94</v>
      </c>
      <c r="L297" s="31">
        <f t="shared" si="45"/>
        <v>198217.80000000002</v>
      </c>
      <c r="M297" s="1">
        <v>46083</v>
      </c>
      <c r="N297" s="1">
        <f t="shared" si="44"/>
        <v>46305</v>
      </c>
      <c r="O297">
        <f t="shared" si="46"/>
        <v>223</v>
      </c>
      <c r="P297" s="49">
        <f t="shared" si="42"/>
        <v>7.4333333333333336</v>
      </c>
      <c r="Q297" s="34">
        <f>VLOOKUP($G297,Agendamento!$B:$F,5,0)</f>
        <v>4</v>
      </c>
      <c r="R297" s="36">
        <f t="shared" si="47"/>
        <v>34</v>
      </c>
      <c r="S297" s="44">
        <v>2.5499999999999998</v>
      </c>
      <c r="T297" s="44">
        <f t="shared" si="48"/>
        <v>19334.099999999999</v>
      </c>
      <c r="U297" t="s">
        <v>5163</v>
      </c>
      <c r="V297" t="str">
        <f t="shared" si="49"/>
        <v>NF/64307150_20260302_nf_05.pdf</v>
      </c>
      <c r="W297" s="32" t="str">
        <f t="shared" si="43"/>
        <v>NF - ALICE FAZ ANIVERSÁRIO</v>
      </c>
      <c r="X297" t="s">
        <v>5591</v>
      </c>
    </row>
    <row r="298" spans="1:24" x14ac:dyDescent="0.25">
      <c r="A298" t="str">
        <f>CONCATENATE(D298,"_",TEXT(M298,"ddmmaaaa"),"_",COUNTIF($D$2:D298,D298))</f>
        <v>434136860001-55_02032026_1</v>
      </c>
      <c r="B298" t="str">
        <f>CONCATENATE(Analise!D298,"_",COUNTIF(Analise!$D$2:D298,Analise!D298))</f>
        <v>434136860001-55_1</v>
      </c>
      <c r="C298" s="34">
        <f>COUNTIF('Obras e Acervos'!$C:$C,CONCATENATE(LEFT(D298,12),RIGHT(D298,2)))</f>
        <v>2</v>
      </c>
      <c r="D298" s="35" t="s">
        <v>4677</v>
      </c>
      <c r="E298" t="str">
        <f>VLOOKUP($B298,'Obras e Acervos'!$B:$X,3,0)</f>
        <v>EDITORA LARA LTDA-LARA</v>
      </c>
      <c r="F298" t="str">
        <f>VLOOKUP($B298,'Obras e Acervos'!$B:$X,7,0)</f>
        <v>1185L23000030LE</v>
      </c>
      <c r="G298" t="str">
        <f>VLOOKUP($B298,'Obras e Acervos'!$B:$X,5,0)</f>
        <v>CHUÁ! CHUÁ! GOTA D'ÁGUA, CÉU E MAR</v>
      </c>
      <c r="H298">
        <f>VLOOKUP($B298,'Obras e Acervos'!$B:$X,18,0)</f>
        <v>10</v>
      </c>
      <c r="I298">
        <f>VLOOKUP($B298,'Obras e Acervos'!$B:$X,19,0)</f>
        <v>33237</v>
      </c>
      <c r="J298" s="42">
        <f>VLOOKUP($B298,'Obras e Acervos'!$B:$X,20,0)</f>
        <v>3157.5149999999999</v>
      </c>
      <c r="K298" s="31">
        <f>VLOOKUP($B298,'Obras e Acervos'!$B:$X,21,0)</f>
        <v>6.4</v>
      </c>
      <c r="L298" s="31">
        <f t="shared" si="45"/>
        <v>212716.80000000002</v>
      </c>
      <c r="M298" s="1">
        <v>46083</v>
      </c>
      <c r="N298" s="1">
        <f t="shared" si="44"/>
        <v>46305</v>
      </c>
      <c r="O298">
        <f t="shared" si="46"/>
        <v>223</v>
      </c>
      <c r="P298" s="49">
        <f t="shared" si="42"/>
        <v>7.4333333333333336</v>
      </c>
      <c r="Q298" s="34">
        <f>VLOOKUP($G298,Agendamento!$B:$F,5,0)</f>
        <v>4</v>
      </c>
      <c r="R298" s="36">
        <f t="shared" si="47"/>
        <v>34</v>
      </c>
      <c r="S298" s="44">
        <v>2.5499999999999998</v>
      </c>
      <c r="T298" s="44">
        <f t="shared" si="48"/>
        <v>19334.099999999999</v>
      </c>
      <c r="U298" t="s">
        <v>5154</v>
      </c>
      <c r="V298" t="str">
        <f t="shared" si="49"/>
        <v>NF/64307150_20260302_nf_06.pdf</v>
      </c>
      <c r="W298" s="32" t="str">
        <f t="shared" si="43"/>
        <v>NF - CHUÁ! CHUÁ! GOTA D'ÁGUA, CÉU E MAR</v>
      </c>
      <c r="X298" t="s">
        <v>5591</v>
      </c>
    </row>
    <row r="299" spans="1:24" x14ac:dyDescent="0.25">
      <c r="A299" t="str">
        <f>CONCATENATE(D299,"_",TEXT(M299,"ddmmaaaa"),"_",COUNTIF($D$2:D299,D299))</f>
        <v>038899670001-64_02032026_1</v>
      </c>
      <c r="B299" t="str">
        <f>CONCATENATE(Analise!D299,"_",COUNTIF(Analise!$D$2:D299,Analise!D299)+1)</f>
        <v>038899670001-64_2</v>
      </c>
      <c r="C299" s="34">
        <f>COUNTIF('Obras e Acervos'!$C:$C,CONCATENATE(LEFT(D299,12),RIGHT(D299,2)))</f>
        <v>2</v>
      </c>
      <c r="D299" s="35" t="s">
        <v>4673</v>
      </c>
      <c r="E299" t="str">
        <f>VLOOKUP($B299,'Obras e Acervos'!$B:$X,3,0)</f>
        <v>GRAFICA E EDITORA RIO-DG LTDA-</v>
      </c>
      <c r="F299" t="str">
        <f>VLOOKUP($B299,'Obras e Acervos'!$B:$X,7,0)</f>
        <v>0731L23000020LE</v>
      </c>
      <c r="G299" t="str">
        <f>VLOOKUP($B299,'Obras e Acervos'!$B:$X,5,0)</f>
        <v>UM ÍNDIO EM MINHA CASA</v>
      </c>
      <c r="H299">
        <f>VLOOKUP($B299,'Obras e Acervos'!$B:$X,18,0)</f>
        <v>19</v>
      </c>
      <c r="I299">
        <f>VLOOKUP($B299,'Obras e Acervos'!$B:$X,19,0)</f>
        <v>27088</v>
      </c>
      <c r="J299" s="42">
        <f>VLOOKUP($B299,'Obras e Acervos'!$B:$X,20,0)</f>
        <v>2329.5679999999998</v>
      </c>
      <c r="K299" s="31">
        <f>VLOOKUP($B299,'Obras e Acervos'!$B:$X,21,0)</f>
        <v>5.48</v>
      </c>
      <c r="L299" s="31">
        <f t="shared" si="45"/>
        <v>148442.24000000002</v>
      </c>
      <c r="M299" s="1">
        <v>46083</v>
      </c>
      <c r="N299" s="1">
        <f t="shared" si="44"/>
        <v>46305</v>
      </c>
      <c r="O299">
        <f t="shared" si="46"/>
        <v>223</v>
      </c>
      <c r="P299" s="49">
        <f t="shared" ref="P299:P362" si="50">O299/30</f>
        <v>7.4333333333333336</v>
      </c>
      <c r="Q299" s="34">
        <f>VLOOKUP($G299,Agendamento!$B:$F,5,0)</f>
        <v>3</v>
      </c>
      <c r="R299" s="36">
        <f t="shared" si="47"/>
        <v>28</v>
      </c>
      <c r="S299" s="44">
        <v>2.5499999999999998</v>
      </c>
      <c r="T299" s="44">
        <f t="shared" si="48"/>
        <v>15922.199999999999</v>
      </c>
      <c r="U299" t="s">
        <v>5150</v>
      </c>
      <c r="V299" t="str">
        <f t="shared" si="49"/>
        <v>NF/64307150_20260302_nf_07.pdf</v>
      </c>
      <c r="W299" s="32" t="str">
        <f t="shared" ref="W299:W362" si="51">HYPERLINK(CONCATENATE("saida/",U299),CONCATENATE("NF - ",G299))</f>
        <v>NF - UM ÍNDIO EM MINHA CASA</v>
      </c>
      <c r="X299" t="s">
        <v>5591</v>
      </c>
    </row>
    <row r="300" spans="1:24" x14ac:dyDescent="0.25">
      <c r="A300" t="str">
        <f>CONCATENATE(D300,"_",TEXT(M300,"ddmmaaaa"),"_",COUNTIF($D$2:D300,D300))</f>
        <v>014850630001-48_02032026_1</v>
      </c>
      <c r="B300" t="str">
        <f>CONCATENATE(Analise!D300,"_",COUNTIF(Analise!$D$2:D300,Analise!D300))</f>
        <v>014850630001-48_1</v>
      </c>
      <c r="C300" s="34">
        <f>COUNTIF('Obras e Acervos'!$C:$C,CONCATENATE(LEFT(D300,12),RIGHT(D300,2)))</f>
        <v>2</v>
      </c>
      <c r="D300" s="35" t="s">
        <v>4690</v>
      </c>
      <c r="E300" t="str">
        <f>VLOOKUP($B300,'Obras e Acervos'!$B:$X,3,0)</f>
        <v>NB NOVA BRASILEIRA SERVICOS GRAFICOS LTDA-</v>
      </c>
      <c r="F300" t="str">
        <f>VLOOKUP($B300,'Obras e Acervos'!$B:$X,7,0)</f>
        <v>0735L23000030LE</v>
      </c>
      <c r="G300" t="str">
        <f>VLOOKUP($B300,'Obras e Acervos'!$B:$X,5,0)</f>
        <v>SERES NOTÁVEIS DO FOLCLORE</v>
      </c>
      <c r="H300">
        <f>VLOOKUP($B300,'Obras e Acervos'!$B:$X,18,0)</f>
        <v>7</v>
      </c>
      <c r="I300">
        <f>VLOOKUP($B300,'Obras e Acervos'!$B:$X,19,0)</f>
        <v>35101</v>
      </c>
      <c r="J300" s="42">
        <f>VLOOKUP($B300,'Obras e Acervos'!$B:$X,20,0)</f>
        <v>4106.817</v>
      </c>
      <c r="K300" s="31">
        <f>VLOOKUP($B300,'Obras e Acervos'!$B:$X,21,0)</f>
        <v>5.72</v>
      </c>
      <c r="L300" s="31">
        <f t="shared" si="45"/>
        <v>200777.72</v>
      </c>
      <c r="M300" s="1">
        <v>46083</v>
      </c>
      <c r="N300" s="1">
        <f t="shared" si="44"/>
        <v>46305</v>
      </c>
      <c r="O300">
        <f t="shared" si="46"/>
        <v>223</v>
      </c>
      <c r="P300" s="49">
        <f t="shared" si="50"/>
        <v>7.4333333333333336</v>
      </c>
      <c r="Q300" s="34">
        <f>VLOOKUP($G300,Agendamento!$B:$F,5,0)</f>
        <v>3</v>
      </c>
      <c r="R300" s="36">
        <f t="shared" si="47"/>
        <v>36</v>
      </c>
      <c r="S300" s="44">
        <v>2.5499999999999998</v>
      </c>
      <c r="T300" s="44">
        <f t="shared" si="48"/>
        <v>20471.399999999998</v>
      </c>
      <c r="U300" t="s">
        <v>5170</v>
      </c>
      <c r="V300" t="str">
        <f t="shared" si="49"/>
        <v>NF/64307150_20260302_nf_09.pdf</v>
      </c>
      <c r="W300" s="32" t="str">
        <f t="shared" si="51"/>
        <v>NF - SERES NOTÁVEIS DO FOLCLORE</v>
      </c>
      <c r="X300" t="s">
        <v>5591</v>
      </c>
    </row>
    <row r="301" spans="1:24" x14ac:dyDescent="0.25">
      <c r="A301" t="str">
        <f>CONCATENATE(D301,"_",TEXT(M301,"ddmmaaaa"),"_",COUNTIF($D$2:D301,D301))</f>
        <v>280395150001-14_02032026_1</v>
      </c>
      <c r="B301" t="str">
        <f>CONCATENATE(Analise!D301,"_",COUNTIF(Analise!$D$2:D301,Analise!D301)+1)</f>
        <v>280395150001-14_2</v>
      </c>
      <c r="C301" s="34">
        <f>COUNTIF('Obras e Acervos'!$C:$C,CONCATENATE(LEFT(D301,12),RIGHT(D301,2)))</f>
        <v>2</v>
      </c>
      <c r="D301" s="35" t="s">
        <v>4679</v>
      </c>
      <c r="E301" t="str">
        <f>VLOOKUP($B301,'Obras e Acervos'!$B:$X,3,0)</f>
        <v>ANDORINHAS EDITORIAL LTDA-</v>
      </c>
      <c r="F301" t="str">
        <f>VLOOKUP($B301,'Obras e Acervos'!$B:$X,7,0)</f>
        <v>0743L23000020LE</v>
      </c>
      <c r="G301" t="str">
        <f>VLOOKUP($B301,'Obras e Acervos'!$B:$X,5,0)</f>
        <v>TEM UM MORCEGO NO MEU POMBAL</v>
      </c>
      <c r="H301">
        <f>VLOOKUP($B301,'Obras e Acervos'!$B:$X,18,0)</f>
        <v>14</v>
      </c>
      <c r="I301">
        <f>VLOOKUP($B301,'Obras e Acervos'!$B:$X,19,0)</f>
        <v>23773</v>
      </c>
      <c r="J301" s="42">
        <f>VLOOKUP($B301,'Obras e Acervos'!$B:$X,20,0)</f>
        <v>2947.8519999999999</v>
      </c>
      <c r="K301" s="31">
        <f>VLOOKUP($B301,'Obras e Acervos'!$B:$X,21,0)</f>
        <v>7.52</v>
      </c>
      <c r="L301" s="31">
        <f t="shared" si="45"/>
        <v>178772.96</v>
      </c>
      <c r="M301" s="1">
        <v>46083</v>
      </c>
      <c r="N301" s="1">
        <f t="shared" si="44"/>
        <v>46305</v>
      </c>
      <c r="O301">
        <f t="shared" si="46"/>
        <v>223</v>
      </c>
      <c r="P301" s="49">
        <f t="shared" si="50"/>
        <v>7.4333333333333336</v>
      </c>
      <c r="Q301" s="34">
        <f>VLOOKUP($G301,Agendamento!$B:$F,5,0)</f>
        <v>4</v>
      </c>
      <c r="R301" s="36">
        <f t="shared" si="47"/>
        <v>24</v>
      </c>
      <c r="S301" s="44">
        <v>2.5499999999999998</v>
      </c>
      <c r="T301" s="44">
        <f t="shared" si="48"/>
        <v>13647.599999999999</v>
      </c>
      <c r="U301" t="s">
        <v>5156</v>
      </c>
      <c r="V301" t="str">
        <f t="shared" si="49"/>
        <v>NF/64307150_20260302_nf_10.pdf</v>
      </c>
      <c r="W301" s="32" t="str">
        <f t="shared" si="51"/>
        <v>NF - TEM UM MORCEGO NO MEU POMBAL</v>
      </c>
      <c r="X301" t="s">
        <v>5591</v>
      </c>
    </row>
    <row r="302" spans="1:24" x14ac:dyDescent="0.25">
      <c r="A302" t="str">
        <f>CONCATENATE(D302,"_",TEXT(M302,"ddmmaaaa"),"_",COUNTIF($D$2:D302,D302))</f>
        <v>114065460001-63_02032026_1</v>
      </c>
      <c r="B302" t="str">
        <f>CONCATENATE(Analise!D302,"_",COUNTIF(Analise!$D$2:D302,Analise!D302)+1)</f>
        <v>114065460001-63_2</v>
      </c>
      <c r="C302" s="34">
        <f>COUNTIF('Obras e Acervos'!$C:$C,CONCATENATE(LEFT(D302,12),RIGHT(D302,2)))</f>
        <v>2</v>
      </c>
      <c r="D302" s="35" t="s">
        <v>4675</v>
      </c>
      <c r="E302" t="str">
        <f>VLOOKUP($B302,'Obras e Acervos'!$B:$X,3,0)</f>
        <v>BELLATRIX SERVICOS EM TECNOLOGIA LTDA-</v>
      </c>
      <c r="F302" t="str">
        <f>VLOOKUP($B302,'Obras e Acervos'!$B:$X,7,0)</f>
        <v>0756L23000020LE</v>
      </c>
      <c r="G302" t="str">
        <f>VLOOKUP($B302,'Obras e Acervos'!$B:$X,5,0)</f>
        <v>A BOCA DA NOITE</v>
      </c>
      <c r="H302">
        <f>VLOOKUP($B302,'Obras e Acervos'!$B:$X,18,0)</f>
        <v>16</v>
      </c>
      <c r="I302">
        <f>VLOOKUP($B302,'Obras e Acervos'!$B:$X,19,0)</f>
        <v>33288</v>
      </c>
      <c r="J302" s="42">
        <f>VLOOKUP($B302,'Obras e Acervos'!$B:$X,20,0)</f>
        <v>4127.7119999999995</v>
      </c>
      <c r="K302" s="31">
        <f>VLOOKUP($B302,'Obras e Acervos'!$B:$X,21,0)</f>
        <v>6.83</v>
      </c>
      <c r="L302" s="31">
        <f t="shared" si="45"/>
        <v>227357.04</v>
      </c>
      <c r="M302" s="1">
        <v>46083</v>
      </c>
      <c r="N302" s="1">
        <f t="shared" si="44"/>
        <v>46305</v>
      </c>
      <c r="O302">
        <f t="shared" si="46"/>
        <v>223</v>
      </c>
      <c r="P302" s="49">
        <f t="shared" si="50"/>
        <v>7.4333333333333336</v>
      </c>
      <c r="Q302" s="34">
        <f>VLOOKUP($G302,Agendamento!$B:$F,5,0)</f>
        <v>5</v>
      </c>
      <c r="R302" s="36">
        <f t="shared" si="47"/>
        <v>34</v>
      </c>
      <c r="S302" s="44">
        <v>2.5499999999999998</v>
      </c>
      <c r="T302" s="44">
        <f t="shared" si="48"/>
        <v>19334.099999999999</v>
      </c>
      <c r="U302" t="s">
        <v>5152</v>
      </c>
      <c r="V302" t="str">
        <f t="shared" si="49"/>
        <v>NF/64307150_20260302_nf_11.pdf</v>
      </c>
      <c r="W302" s="32" t="str">
        <f t="shared" si="51"/>
        <v>NF - A BOCA DA NOITE</v>
      </c>
      <c r="X302" t="s">
        <v>5591</v>
      </c>
    </row>
    <row r="303" spans="1:24" x14ac:dyDescent="0.25">
      <c r="A303" t="str">
        <f>CONCATENATE(D303,"_",TEXT(M303,"ddmmaaaa"),"_",COUNTIF($D$2:D303,D303))</f>
        <v>435968440001-50_02032026_1</v>
      </c>
      <c r="B303" t="str">
        <f>CONCATENATE(Analise!D303,"_",COUNTIF(Analise!$D$2:D303,Analise!D303))</f>
        <v>435968440001-50_1</v>
      </c>
      <c r="C303" s="34">
        <f>COUNTIF('Obras e Acervos'!$C:$C,CONCATENATE(LEFT(D303,12),RIGHT(D303,2)))</f>
        <v>1</v>
      </c>
      <c r="D303" s="35" t="s">
        <v>4692</v>
      </c>
      <c r="E303" t="str">
        <f>VLOOKUP($B303,'Obras e Acervos'!$B:$X,3,0)</f>
        <v>EDITORA VALE DO SABER LTDA-VALE DO SABER</v>
      </c>
      <c r="F303" t="str">
        <f>VLOOKUP($B303,'Obras e Acervos'!$B:$X,7,0)</f>
        <v>1135L23000030LE</v>
      </c>
      <c r="G303" t="str">
        <f>VLOOKUP($B303,'Obras e Acervos'!$B:$X,5,0)</f>
        <v>JOÃO, O GALO DESREGULADO</v>
      </c>
      <c r="H303">
        <f>VLOOKUP($B303,'Obras e Acervos'!$B:$X,18,0)</f>
        <v>2</v>
      </c>
      <c r="I303">
        <f>VLOOKUP($B303,'Obras e Acervos'!$B:$X,19,0)</f>
        <v>44937</v>
      </c>
      <c r="J303" s="42">
        <f>VLOOKUP($B303,'Obras e Acervos'!$B:$X,20,0)</f>
        <v>6425.9909999999991</v>
      </c>
      <c r="K303" s="31">
        <f>VLOOKUP($B303,'Obras e Acervos'!$B:$X,21,0)</f>
        <v>6.62</v>
      </c>
      <c r="L303" s="31">
        <f t="shared" si="45"/>
        <v>297482.94</v>
      </c>
      <c r="M303" s="1">
        <v>46083</v>
      </c>
      <c r="N303" s="1">
        <f t="shared" si="44"/>
        <v>46305</v>
      </c>
      <c r="O303">
        <f t="shared" si="46"/>
        <v>223</v>
      </c>
      <c r="P303" s="49">
        <f t="shared" si="50"/>
        <v>7.4333333333333336</v>
      </c>
      <c r="Q303" s="34">
        <f>VLOOKUP($G303,Agendamento!$B:$F,5,0)</f>
        <v>7</v>
      </c>
      <c r="R303" s="36">
        <f t="shared" si="47"/>
        <v>45</v>
      </c>
      <c r="S303" s="44">
        <v>2.5499999999999998</v>
      </c>
      <c r="T303" s="44">
        <f t="shared" si="48"/>
        <v>25589.25</v>
      </c>
      <c r="U303" t="s">
        <v>5172</v>
      </c>
      <c r="V303" t="str">
        <f t="shared" si="49"/>
        <v>NF/64307150_20260302_nf_12.pdf</v>
      </c>
      <c r="W303" s="32" t="str">
        <f t="shared" si="51"/>
        <v>NF - JOÃO, O GALO DESREGULADO</v>
      </c>
      <c r="X303" t="s">
        <v>5591</v>
      </c>
    </row>
    <row r="304" spans="1:24" x14ac:dyDescent="0.25">
      <c r="A304" t="str">
        <f>CONCATENATE(D304,"_",TEXT(M304,"ddmmaaaa"),"_",COUNTIF($D$2:D304,D304))</f>
        <v>280395150001-14_02032026_2</v>
      </c>
      <c r="B304" t="str">
        <f>CONCATENATE(Analise!D304,"_",COUNTIF(Analise!$D$2:D304,Analise!D304)-1)</f>
        <v>280395150001-14_1</v>
      </c>
      <c r="C304" s="34">
        <f>COUNTIF('Obras e Acervos'!$C:$C,CONCATENATE(LEFT(D304,12),RIGHT(D304,2)))</f>
        <v>2</v>
      </c>
      <c r="D304" s="35" t="s">
        <v>4679</v>
      </c>
      <c r="E304" t="str">
        <f>VLOOKUP($B304,'Obras e Acervos'!$B:$X,3,0)</f>
        <v>ANDORINHAS EDITORIAL LTDA-</v>
      </c>
      <c r="F304" t="str">
        <f>VLOOKUP($B304,'Obras e Acervos'!$B:$X,7,0)</f>
        <v>0742L23000030LE</v>
      </c>
      <c r="G304" t="str">
        <f>VLOOKUP($B304,'Obras e Acervos'!$B:$X,5,0)</f>
        <v>O RAPAZ QUE CASOU COM UMA SAPA</v>
      </c>
      <c r="H304">
        <f>VLOOKUP($B304,'Obras e Acervos'!$B:$X,18,0)</f>
        <v>1</v>
      </c>
      <c r="I304">
        <f>VLOOKUP($B304,'Obras e Acervos'!$B:$X,19,0)</f>
        <v>50065</v>
      </c>
      <c r="J304" s="42">
        <f>VLOOKUP($B304,'Obras e Acervos'!$B:$X,20,0)</f>
        <v>4806.24</v>
      </c>
      <c r="K304" s="31">
        <f>VLOOKUP($B304,'Obras e Acervos'!$B:$X,21,0)</f>
        <v>4.2699999999999996</v>
      </c>
      <c r="L304" s="31">
        <f t="shared" si="45"/>
        <v>213777.55</v>
      </c>
      <c r="M304" s="1">
        <v>46083</v>
      </c>
      <c r="N304" s="1">
        <f t="shared" si="44"/>
        <v>46305</v>
      </c>
      <c r="O304">
        <f t="shared" si="46"/>
        <v>223</v>
      </c>
      <c r="P304" s="49">
        <f t="shared" si="50"/>
        <v>7.4333333333333336</v>
      </c>
      <c r="Q304" s="34">
        <f>VLOOKUP($G304,Agendamento!$B:$F,5,0)</f>
        <v>5</v>
      </c>
      <c r="R304" s="36">
        <f t="shared" si="47"/>
        <v>51</v>
      </c>
      <c r="S304" s="44">
        <v>2.5499999999999998</v>
      </c>
      <c r="T304" s="44">
        <f t="shared" si="48"/>
        <v>29001.149999999998</v>
      </c>
      <c r="U304" t="s">
        <v>5159</v>
      </c>
      <c r="V304" t="str">
        <f t="shared" si="49"/>
        <v>NF/64307150_20260302_nf_13.pdf</v>
      </c>
      <c r="W304" s="32" t="str">
        <f t="shared" si="51"/>
        <v>NF - O RAPAZ QUE CASOU COM UMA SAPA</v>
      </c>
      <c r="X304" t="s">
        <v>5591</v>
      </c>
    </row>
    <row r="305" spans="1:24" x14ac:dyDescent="0.25">
      <c r="A305" t="str">
        <f>CONCATENATE(D305,"_",TEXT(M305,"ddmmaaaa"),"_",COUNTIF($D$2:D305,D305))</f>
        <v>321717750001-16_02032026_1</v>
      </c>
      <c r="B305" t="str">
        <f>CONCATENATE(Analise!D305,"_",COUNTIF(Analise!$D$2:D305,Analise!D305))</f>
        <v>321717750001-16_1</v>
      </c>
      <c r="C305" s="34">
        <f>COUNTIF('Obras e Acervos'!$C:$C,CONCATENATE(LEFT(D305,12),RIGHT(D305,2)))</f>
        <v>2</v>
      </c>
      <c r="D305" s="35" t="s">
        <v>4691</v>
      </c>
      <c r="E305" t="str">
        <f>VLOOKUP($B305,'Obras e Acervos'!$B:$X,3,0)</f>
        <v>FOKAEXPRESS ARMAZENAGEM E LOGISTICA LTDA-</v>
      </c>
      <c r="F305" t="str">
        <f>VLOOKUP($B305,'Obras e Acervos'!$B:$X,7,0)</f>
        <v>0749L23000030LE</v>
      </c>
      <c r="G305" t="str">
        <f>VLOOKUP($B305,'Obras e Acervos'!$B:$X,5,0)</f>
        <v>O MENINO QUE TINHA MEDO DE ERRAR</v>
      </c>
      <c r="H305">
        <f>VLOOKUP($B305,'Obras e Acervos'!$B:$X,18,0)</f>
        <v>5</v>
      </c>
      <c r="I305">
        <f>VLOOKUP($B305,'Obras e Acervos'!$B:$X,19,0)</f>
        <v>51315</v>
      </c>
      <c r="J305" s="42">
        <f>VLOOKUP($B305,'Obras e Acervos'!$B:$X,20,0)</f>
        <v>6363.06</v>
      </c>
      <c r="K305" s="31">
        <f>VLOOKUP($B305,'Obras e Acervos'!$B:$X,21,0)</f>
        <v>5.35</v>
      </c>
      <c r="L305" s="31">
        <f t="shared" si="45"/>
        <v>274535.25</v>
      </c>
      <c r="M305" s="1">
        <v>46083</v>
      </c>
      <c r="N305" s="1">
        <f t="shared" si="44"/>
        <v>46305</v>
      </c>
      <c r="O305">
        <f t="shared" si="46"/>
        <v>223</v>
      </c>
      <c r="P305" s="49">
        <f t="shared" si="50"/>
        <v>7.4333333333333336</v>
      </c>
      <c r="Q305" s="34">
        <f>VLOOKUP($G305,Agendamento!$B:$F,5,0)</f>
        <v>7</v>
      </c>
      <c r="R305" s="36">
        <f t="shared" si="47"/>
        <v>52</v>
      </c>
      <c r="S305" s="44">
        <v>2.5499999999999998</v>
      </c>
      <c r="T305" s="44">
        <f t="shared" si="48"/>
        <v>29569.8</v>
      </c>
      <c r="U305" t="s">
        <v>5171</v>
      </c>
      <c r="V305" t="str">
        <f t="shared" si="49"/>
        <v>NF/64307150_20260302_nf_14.pdf</v>
      </c>
      <c r="W305" s="32" t="str">
        <f t="shared" si="51"/>
        <v>NF - O MENINO QUE TINHA MEDO DE ERRAR</v>
      </c>
      <c r="X305" t="s">
        <v>5591</v>
      </c>
    </row>
    <row r="306" spans="1:24" x14ac:dyDescent="0.25">
      <c r="A306" t="str">
        <f>CONCATENATE(D306,"_",TEXT(M306,"ddmmaaaa"),"_",COUNTIF($D$2:D306,D306))</f>
        <v>438895930001-00_02032026_1</v>
      </c>
      <c r="B306" t="str">
        <f>CONCATENATE(Analise!D306,"_",COUNTIF(Analise!$D$2:D306,Analise!D306))</f>
        <v>438895930001-00_1</v>
      </c>
      <c r="C306" s="34">
        <f>COUNTIF('Obras e Acervos'!$C:$C,CONCATENATE(LEFT(D306,12),RIGHT(D306,2)))</f>
        <v>1</v>
      </c>
      <c r="D306" s="35" t="s">
        <v>4682</v>
      </c>
      <c r="E306" t="str">
        <f>VLOOKUP($B306,'Obras e Acervos'!$B:$X,3,0)</f>
        <v>EDITORA CRIANDO HISTORIAS LTDA-EDITORA BZ</v>
      </c>
      <c r="F306" t="str">
        <f>VLOOKUP($B306,'Obras e Acervos'!$B:$X,7,0)</f>
        <v>1062L23000030LE</v>
      </c>
      <c r="G306" t="str">
        <f>VLOOKUP($B306,'Obras e Acervos'!$B:$X,5,0)</f>
        <v>PASSOS NO PORÃO</v>
      </c>
      <c r="H306">
        <f>VLOOKUP($B306,'Obras e Acervos'!$B:$X,18,0)</f>
        <v>3</v>
      </c>
      <c r="I306">
        <f>VLOOKUP($B306,'Obras e Acervos'!$B:$X,19,0)</f>
        <v>45881</v>
      </c>
      <c r="J306" s="42">
        <f>VLOOKUP($B306,'Obras e Acervos'!$B:$X,20,0)</f>
        <v>5689.2439999999997</v>
      </c>
      <c r="K306" s="31">
        <f>VLOOKUP($B306,'Obras e Acervos'!$B:$X,21,0)</f>
        <v>5.83</v>
      </c>
      <c r="L306" s="31">
        <f t="shared" si="45"/>
        <v>267486.23</v>
      </c>
      <c r="M306" s="1">
        <v>46083</v>
      </c>
      <c r="N306" s="1">
        <f t="shared" si="44"/>
        <v>46305</v>
      </c>
      <c r="O306">
        <f t="shared" si="46"/>
        <v>223</v>
      </c>
      <c r="P306" s="49">
        <f t="shared" si="50"/>
        <v>7.4333333333333336</v>
      </c>
      <c r="Q306" s="34">
        <f>VLOOKUP($G306,Agendamento!$B:$F,5,0)</f>
        <v>6</v>
      </c>
      <c r="R306" s="36">
        <f t="shared" si="47"/>
        <v>46</v>
      </c>
      <c r="S306" s="44">
        <v>2.5499999999999998</v>
      </c>
      <c r="T306" s="44">
        <f t="shared" si="48"/>
        <v>26157.899999999998</v>
      </c>
      <c r="U306" t="s">
        <v>5160</v>
      </c>
      <c r="V306" t="str">
        <f t="shared" si="49"/>
        <v>NF/64307150_20260302_nf_15.pdf</v>
      </c>
      <c r="W306" s="32" t="str">
        <f t="shared" si="51"/>
        <v>NF - PASSOS NO PORÃO</v>
      </c>
      <c r="X306" t="s">
        <v>5591</v>
      </c>
    </row>
    <row r="307" spans="1:24" x14ac:dyDescent="0.25">
      <c r="A307" t="str">
        <f>CONCATENATE(D307,"_",TEXT(M307,"ddmmaaaa"),"_",COUNTIF($D$2:D307,D307))</f>
        <v>084631700001-14_02032026_1</v>
      </c>
      <c r="B307" t="str">
        <f>CONCATENATE(Analise!D307,"_",COUNTIF(Analise!$D$2:D307,Analise!D307)+1)</f>
        <v>084631700001-14_2</v>
      </c>
      <c r="C307" s="34">
        <f>COUNTIF('Obras e Acervos'!$C:$C,CONCATENATE(LEFT(D307,12),RIGHT(D307,2)))</f>
        <v>2</v>
      </c>
      <c r="D307" s="35" t="s">
        <v>4674</v>
      </c>
      <c r="E307" t="str">
        <f>VLOOKUP($B307,'Obras e Acervos'!$B:$X,3,0)</f>
        <v>EDITORA WMF MARTINS FONTES LTDA-EDITORA WMF MARTINS FONTES</v>
      </c>
      <c r="F307" t="str">
        <f>VLOOKUP($B307,'Obras e Acervos'!$B:$X,7,0)</f>
        <v>0776L23000020LE</v>
      </c>
      <c r="G307" t="str">
        <f>VLOOKUP($B307,'Obras e Acervos'!$B:$X,5,0)</f>
        <v>A HISTÓRIA DE DESPEREAUX - QUE CONTA O QUE ACONTECEU COM UM CAMUNDONGO, UMA PRINCESA, UM POUCO DE SOPA E UM CARRETEL DE LINHA</v>
      </c>
      <c r="H307">
        <f>VLOOKUP($B307,'Obras e Acervos'!$B:$X,18,0)</f>
        <v>14</v>
      </c>
      <c r="I307">
        <f>VLOOKUP($B307,'Obras e Acervos'!$B:$X,19,0)</f>
        <v>25182</v>
      </c>
      <c r="J307" s="42">
        <f>VLOOKUP($B307,'Obras e Acervos'!$B:$X,20,0)</f>
        <v>7554.5999999999995</v>
      </c>
      <c r="K307" s="31">
        <f>VLOOKUP($B307,'Obras e Acervos'!$B:$X,21,0)</f>
        <v>26.91</v>
      </c>
      <c r="L307" s="31">
        <f t="shared" si="45"/>
        <v>677647.62</v>
      </c>
      <c r="M307" s="1">
        <v>46083</v>
      </c>
      <c r="N307" s="1">
        <f t="shared" si="44"/>
        <v>46305</v>
      </c>
      <c r="O307">
        <f t="shared" si="46"/>
        <v>223</v>
      </c>
      <c r="P307" s="49">
        <f t="shared" si="50"/>
        <v>7.4333333333333336</v>
      </c>
      <c r="Q307" s="34">
        <f>VLOOKUP($G307,Agendamento!$B:$F,5,0)</f>
        <v>16</v>
      </c>
      <c r="R307" s="36">
        <f t="shared" si="47"/>
        <v>26</v>
      </c>
      <c r="S307" s="44">
        <v>2.5499999999999998</v>
      </c>
      <c r="T307" s="44">
        <f t="shared" si="48"/>
        <v>14784.9</v>
      </c>
      <c r="U307" t="s">
        <v>5173</v>
      </c>
      <c r="V307" t="str">
        <f t="shared" si="49"/>
        <v>NF/64307150_20260302_nf_16.pdf</v>
      </c>
      <c r="W307" s="32" t="str">
        <f t="shared" si="51"/>
        <v>NF - A HISTÓRIA DE DESPEREAUX - QUE CONTA O QUE ACONTECEU COM UM CAMUNDONGO, UMA PRINCESA, UM POUCO DE SOPA E UM CARRETEL DE LINHA</v>
      </c>
      <c r="X307" t="s">
        <v>5591</v>
      </c>
    </row>
    <row r="308" spans="1:24" x14ac:dyDescent="0.25">
      <c r="A308" t="str">
        <f>CONCATENATE(D308,"_",TEXT(M308,"ddmmaaaa"),"_",COUNTIF($D$2:D308,D308))</f>
        <v>684878670001-57_02032026_1</v>
      </c>
      <c r="B308" t="str">
        <f>CONCATENATE(Analise!D308,"_",COUNTIF(Analise!$D$2:D308,Analise!D308)+1)</f>
        <v>684878670001-57_2</v>
      </c>
      <c r="C308" s="34">
        <f>COUNTIF('Obras e Acervos'!$C:$C,CONCATENATE(LEFT(D308,12),RIGHT(D308,2)))</f>
        <v>2</v>
      </c>
      <c r="D308" s="35" t="s">
        <v>4681</v>
      </c>
      <c r="E308" t="str">
        <f>VLOOKUP($B308,'Obras e Acervos'!$B:$X,3,0)</f>
        <v>AMF EDITORA E DESIGN LTDA-EDITORA OCEANA</v>
      </c>
      <c r="F308" t="str">
        <f>VLOOKUP($B308,'Obras e Acervos'!$B:$X,7,0)</f>
        <v>0822L23000020LE</v>
      </c>
      <c r="G308" t="str">
        <f>VLOOKUP($B308,'Obras e Acervos'!$B:$X,5,0)</f>
        <v>O INTERRUPTOR DEBAIXO DA ESCADA</v>
      </c>
      <c r="H308">
        <f>VLOOKUP($B308,'Obras e Acervos'!$B:$X,18,0)</f>
        <v>15</v>
      </c>
      <c r="I308">
        <f>VLOOKUP($B308,'Obras e Acervos'!$B:$X,19,0)</f>
        <v>33019</v>
      </c>
      <c r="J308" s="42">
        <f>VLOOKUP($B308,'Obras e Acervos'!$B:$X,20,0)</f>
        <v>6603.8</v>
      </c>
      <c r="K308" s="31">
        <f>VLOOKUP($B308,'Obras e Acervos'!$B:$X,21,0)</f>
        <v>15.46</v>
      </c>
      <c r="L308" s="31">
        <f t="shared" si="45"/>
        <v>510473.74000000005</v>
      </c>
      <c r="M308" s="1">
        <v>46083</v>
      </c>
      <c r="N308" s="1">
        <f t="shared" si="44"/>
        <v>46305</v>
      </c>
      <c r="O308">
        <f t="shared" si="46"/>
        <v>223</v>
      </c>
      <c r="P308" s="49">
        <f t="shared" si="50"/>
        <v>7.4333333333333336</v>
      </c>
      <c r="Q308" s="34">
        <f>VLOOKUP($G308,Agendamento!$B:$F,5,0)</f>
        <v>13</v>
      </c>
      <c r="R308" s="36">
        <f t="shared" si="47"/>
        <v>34</v>
      </c>
      <c r="S308" s="44">
        <v>2.5499999999999998</v>
      </c>
      <c r="T308" s="44">
        <f t="shared" si="48"/>
        <v>19334.099999999999</v>
      </c>
      <c r="U308" t="s">
        <v>5162</v>
      </c>
      <c r="V308" t="str">
        <f t="shared" si="49"/>
        <v>NF/64307150_20260302_nf_17.pdf</v>
      </c>
      <c r="W308" s="32" t="str">
        <f t="shared" si="51"/>
        <v>NF - O INTERRUPTOR DEBAIXO DA ESCADA</v>
      </c>
      <c r="X308" t="s">
        <v>5591</v>
      </c>
    </row>
    <row r="309" spans="1:24" x14ac:dyDescent="0.25">
      <c r="A309" t="str">
        <f>CONCATENATE(D309,"_",TEXT(M309,"ddmmaaaa"),"_",COUNTIF($D$2:D309,D309))</f>
        <v>016001270001-04_02032026_1</v>
      </c>
      <c r="B309" t="str">
        <f>CONCATENATE(Analise!D309,"_",COUNTIF(Analise!$D$2:D309,Analise!D309)+1)</f>
        <v>016001270001-04_2</v>
      </c>
      <c r="C309" s="34">
        <f>COUNTIF('Obras e Acervos'!$C:$C,CONCATENATE(LEFT(D309,12),RIGHT(D309,2)))</f>
        <v>2</v>
      </c>
      <c r="D309" s="35" t="s">
        <v>4676</v>
      </c>
      <c r="E309" t="str">
        <f>VLOOKUP($B309,'Obras e Acervos'!$B:$X,3,0)</f>
        <v>ÁGAPE PRODUÇÕES DIDÁTICAS E LITERÁRIAS EIRELI-EDITORA FLOREAR LIVROS</v>
      </c>
      <c r="F309" t="str">
        <f>VLOOKUP($B309,'Obras e Acervos'!$B:$X,7,0)</f>
        <v>0704L23000020LE</v>
      </c>
      <c r="G309" t="str">
        <f>VLOOKUP($B309,'Obras e Acervos'!$B:$X,5,0)</f>
        <v>A BELA E A FERA E OUTROS CONTOS DE FADAS DE MADAME LEPRINCE DE BEUAMONNT</v>
      </c>
      <c r="H309">
        <f>VLOOKUP($B309,'Obras e Acervos'!$B:$X,18,0)</f>
        <v>17</v>
      </c>
      <c r="I309">
        <f>VLOOKUP($B309,'Obras e Acervos'!$B:$X,19,0)</f>
        <v>51457</v>
      </c>
      <c r="J309" s="42">
        <f>VLOOKUP($B309,'Obras e Acervos'!$B:$X,20,0)</f>
        <v>23618.763000000003</v>
      </c>
      <c r="K309" s="31">
        <f>VLOOKUP($B309,'Obras e Acervos'!$B:$X,21,0)</f>
        <v>19.239999999999998</v>
      </c>
      <c r="L309" s="31">
        <f t="shared" si="45"/>
        <v>990032.67999999993</v>
      </c>
      <c r="M309" s="1">
        <v>46083</v>
      </c>
      <c r="N309" s="1">
        <f t="shared" si="44"/>
        <v>46305</v>
      </c>
      <c r="O309">
        <f t="shared" si="46"/>
        <v>223</v>
      </c>
      <c r="P309" s="49">
        <f t="shared" si="50"/>
        <v>7.4333333333333336</v>
      </c>
      <c r="Q309" s="34">
        <f>VLOOKUP($G309,Agendamento!$B:$F,5,0)</f>
        <v>9</v>
      </c>
      <c r="R309" s="36">
        <f t="shared" si="47"/>
        <v>52</v>
      </c>
      <c r="S309" s="44">
        <v>2.5499999999999998</v>
      </c>
      <c r="T309" s="44">
        <f t="shared" si="48"/>
        <v>29569.8</v>
      </c>
      <c r="U309" t="s">
        <v>5153</v>
      </c>
      <c r="V309" t="str">
        <f t="shared" si="49"/>
        <v>NF/64307150_20260302_nf_18.pdf</v>
      </c>
      <c r="W309" s="32" t="str">
        <f t="shared" si="51"/>
        <v>NF - A BELA E A FERA E OUTROS CONTOS DE FADAS DE MADAME LEPRINCE DE BEUAMONNT</v>
      </c>
      <c r="X309" t="s">
        <v>5591</v>
      </c>
    </row>
    <row r="310" spans="1:24" x14ac:dyDescent="0.25">
      <c r="A310" t="str">
        <f>CONCATENATE(D310,"_",TEXT(M310,"ddmmaaaa"),"_",COUNTIF($D$2:D310,D310))</f>
        <v>063012730001-52_02032026_1</v>
      </c>
      <c r="B310" t="str">
        <f>CONCATENATE(Analise!D310,"_",COUNTIF(Analise!$D$2:D310,Analise!D310))</f>
        <v>063012730001-52_1</v>
      </c>
      <c r="C310" s="34">
        <f>COUNTIF('Obras e Acervos'!$C:$C,CONCATENATE(LEFT(D310,12),RIGHT(D310,2)))</f>
        <v>2</v>
      </c>
      <c r="D310" s="35" t="s">
        <v>4696</v>
      </c>
      <c r="E310" t="str">
        <f>VLOOKUP($B310,'Obras e Acervos'!$B:$X,3,0)</f>
        <v>EDITORA SEMENTE CULTURAL LTDA-SEMENTE EDITORIAL</v>
      </c>
      <c r="F310" t="str">
        <f>VLOOKUP($B310,'Obras e Acervos'!$B:$X,7,0)</f>
        <v>0831L23000030LE</v>
      </c>
      <c r="G310" t="str">
        <f>VLOOKUP($B310,'Obras e Acervos'!$B:$X,5,0)</f>
        <v>AMORES DE ARTISTAS</v>
      </c>
      <c r="H310">
        <f>VLOOKUP($B310,'Obras e Acervos'!$B:$X,18,0)</f>
        <v>4</v>
      </c>
      <c r="I310">
        <f>VLOOKUP($B310,'Obras e Acervos'!$B:$X,19,0)</f>
        <v>38869</v>
      </c>
      <c r="J310" s="42">
        <f>VLOOKUP($B310,'Obras e Acervos'!$B:$X,20,0)</f>
        <v>3342.7339999999999</v>
      </c>
      <c r="K310" s="31">
        <f>VLOOKUP($B310,'Obras e Acervos'!$B:$X,21,0)</f>
        <v>6.31</v>
      </c>
      <c r="L310" s="31">
        <f t="shared" si="45"/>
        <v>245263.38999999998</v>
      </c>
      <c r="M310" s="1">
        <v>46083</v>
      </c>
      <c r="N310" s="1">
        <f t="shared" si="44"/>
        <v>46305</v>
      </c>
      <c r="O310">
        <f t="shared" si="46"/>
        <v>223</v>
      </c>
      <c r="P310" s="49">
        <f t="shared" si="50"/>
        <v>7.4333333333333336</v>
      </c>
      <c r="Q310" s="34">
        <f>VLOOKUP($G310,Agendamento!$B:$F,5,0)</f>
        <v>5</v>
      </c>
      <c r="R310" s="36">
        <f t="shared" si="47"/>
        <v>39</v>
      </c>
      <c r="S310" s="44">
        <v>2.5499999999999998</v>
      </c>
      <c r="T310" s="44">
        <f t="shared" si="48"/>
        <v>22177.35</v>
      </c>
      <c r="U310" t="s">
        <v>5177</v>
      </c>
      <c r="V310" t="str">
        <f t="shared" si="49"/>
        <v>NF/64307150_20260302_nf_21.pdf</v>
      </c>
      <c r="W310" s="32" t="str">
        <f t="shared" si="51"/>
        <v>NF - AMORES DE ARTISTAS</v>
      </c>
      <c r="X310" t="s">
        <v>5591</v>
      </c>
    </row>
    <row r="311" spans="1:24" x14ac:dyDescent="0.25">
      <c r="A311" t="str">
        <f>CONCATENATE(D311,"_",TEXT(M311,"ddmmaaaa"),"_",COUNTIF($D$2:D311,D311))</f>
        <v>436411330001-50_02032026_1</v>
      </c>
      <c r="B311" t="str">
        <f>CONCATENATE(Analise!D311,"_",COUNTIF(Analise!$D$2:D311,Analise!D311))</f>
        <v>436411330001-50_1</v>
      </c>
      <c r="C311" s="34">
        <f>COUNTIF('Obras e Acervos'!$C:$C,CONCATENATE(LEFT(D311,12),RIGHT(D311,2)))</f>
        <v>1</v>
      </c>
      <c r="D311" s="35" t="s">
        <v>4678</v>
      </c>
      <c r="E311" t="str">
        <f>VLOOKUP($B311,'Obras e Acervos'!$B:$X,3,0)</f>
        <v>LIVRARIA MARTINS FONTES EDITORA LTDA-LIVRARIA MARTINS FONTES EDITORA</v>
      </c>
      <c r="F311" t="str">
        <f>VLOOKUP($B311,'Obras e Acervos'!$B:$X,7,0)</f>
        <v>0789L23000030LE</v>
      </c>
      <c r="G311" t="str">
        <f>VLOOKUP($B311,'Obras e Acervos'!$B:$X,5,0)</f>
        <v>JUNTOS E MISTURADOS - UMA HISTÓRIA DE GALINHAS</v>
      </c>
      <c r="H311">
        <f>VLOOKUP($B311,'Obras e Acervos'!$B:$X,18,0)</f>
        <v>1</v>
      </c>
      <c r="I311">
        <f>VLOOKUP($B311,'Obras e Acervos'!$B:$X,19,0)</f>
        <v>53322</v>
      </c>
      <c r="J311" s="42">
        <f>VLOOKUP($B311,'Obras e Acervos'!$B:$X,20,0)</f>
        <v>7998.2999999999993</v>
      </c>
      <c r="K311" s="31">
        <f>VLOOKUP($B311,'Obras e Acervos'!$B:$X,21,0)</f>
        <v>6.43</v>
      </c>
      <c r="L311" s="31">
        <f t="shared" si="45"/>
        <v>342860.45999999996</v>
      </c>
      <c r="M311" s="1">
        <v>46083</v>
      </c>
      <c r="N311" s="1">
        <f t="shared" si="44"/>
        <v>46305</v>
      </c>
      <c r="O311">
        <f t="shared" si="46"/>
        <v>223</v>
      </c>
      <c r="P311" s="49">
        <f t="shared" si="50"/>
        <v>7.4333333333333336</v>
      </c>
      <c r="Q311" s="34">
        <f>VLOOKUP($G311,Agendamento!$B:$F,5,0)</f>
        <v>12</v>
      </c>
      <c r="R311" s="36">
        <f t="shared" si="47"/>
        <v>54</v>
      </c>
      <c r="S311" s="44">
        <v>2.5499999999999998</v>
      </c>
      <c r="T311" s="44">
        <f t="shared" si="48"/>
        <v>30707.1</v>
      </c>
      <c r="U311" t="s">
        <v>5155</v>
      </c>
      <c r="V311" t="str">
        <f t="shared" si="49"/>
        <v>NF/64307150_20260302_nf_22.pdf</v>
      </c>
      <c r="W311" s="32" t="str">
        <f t="shared" si="51"/>
        <v>NF - JUNTOS E MISTURADOS - UMA HISTÓRIA DE GALINHAS</v>
      </c>
      <c r="X311" t="s">
        <v>5591</v>
      </c>
    </row>
    <row r="312" spans="1:24" x14ac:dyDescent="0.25">
      <c r="A312" t="str">
        <f>CONCATENATE(D312,"_",TEXT(M312,"ddmmaaaa"),"_",COUNTIF($D$2:D312,D312))</f>
        <v>084631700001-14_02032026_2</v>
      </c>
      <c r="B312" t="str">
        <f>CONCATENATE(Analise!D312,"_",COUNTIF(Analise!$D$2:D312,Analise!D312)-1)</f>
        <v>084631700001-14_1</v>
      </c>
      <c r="C312" s="34">
        <f>COUNTIF('Obras e Acervos'!$C:$C,CONCATENATE(LEFT(D312,12),RIGHT(D312,2)))</f>
        <v>2</v>
      </c>
      <c r="D312" s="35" t="s">
        <v>4674</v>
      </c>
      <c r="E312" t="str">
        <f>VLOOKUP($B312,'Obras e Acervos'!$B:$X,3,0)</f>
        <v>EDITORA WMF MARTINS FONTES LTDA-EDITORA WMF MARTINS FONTES</v>
      </c>
      <c r="F312" t="str">
        <f>VLOOKUP($B312,'Obras e Acervos'!$B:$X,7,0)</f>
        <v>0775L23000030LE</v>
      </c>
      <c r="G312" t="str">
        <f>VLOOKUP($B312,'Obras e Acervos'!$B:$X,5,0)</f>
        <v>GREVE</v>
      </c>
      <c r="H312">
        <f>VLOOKUP($B312,'Obras e Acervos'!$B:$X,18,0)</f>
        <v>9</v>
      </c>
      <c r="I312">
        <f>VLOOKUP($B312,'Obras e Acervos'!$B:$X,19,0)</f>
        <v>35582</v>
      </c>
      <c r="J312" s="42">
        <f>VLOOKUP($B312,'Obras e Acervos'!$B:$X,20,0)</f>
        <v>5337.3</v>
      </c>
      <c r="K312" s="31">
        <f>VLOOKUP($B312,'Obras e Acervos'!$B:$X,21,0)</f>
        <v>8.5399999999999991</v>
      </c>
      <c r="L312" s="31">
        <f t="shared" si="45"/>
        <v>303870.27999999997</v>
      </c>
      <c r="M312" s="1">
        <v>46083</v>
      </c>
      <c r="N312" s="1">
        <f t="shared" si="44"/>
        <v>46305</v>
      </c>
      <c r="O312">
        <f t="shared" si="46"/>
        <v>223</v>
      </c>
      <c r="P312" s="49">
        <f t="shared" si="50"/>
        <v>7.4333333333333336</v>
      </c>
      <c r="Q312" s="34">
        <f>VLOOKUP($G312,Agendamento!$B:$F,5,0)</f>
        <v>8</v>
      </c>
      <c r="R312" s="36">
        <f t="shared" si="47"/>
        <v>36</v>
      </c>
      <c r="S312" s="44">
        <v>2.5499999999999998</v>
      </c>
      <c r="T312" s="44">
        <f t="shared" si="48"/>
        <v>20471.399999999998</v>
      </c>
      <c r="U312" t="s">
        <v>5151</v>
      </c>
      <c r="V312" t="str">
        <f t="shared" si="49"/>
        <v>NF/64307150_20260302_nf_23.pdf</v>
      </c>
      <c r="W312" s="32" t="str">
        <f t="shared" si="51"/>
        <v>NF - GREVE</v>
      </c>
      <c r="X312" t="s">
        <v>5591</v>
      </c>
    </row>
    <row r="313" spans="1:24" x14ac:dyDescent="0.25">
      <c r="A313" t="str">
        <f>CONCATENATE(D313,"_",TEXT(M313,"ddmmaaaa"),"_",COUNTIF($D$2:D313,D313))</f>
        <v>684878670001-57_02032026_2</v>
      </c>
      <c r="B313" t="str">
        <f>CONCATENATE(Analise!D313,"_",COUNTIF(Analise!$D$2:D313,Analise!D313)-1)</f>
        <v>684878670001-57_1</v>
      </c>
      <c r="C313" s="34">
        <f>COUNTIF('Obras e Acervos'!$C:$C,CONCATENATE(LEFT(D313,12),RIGHT(D313,2)))</f>
        <v>2</v>
      </c>
      <c r="D313" s="35" t="s">
        <v>4681</v>
      </c>
      <c r="E313" t="str">
        <f>VLOOKUP($B313,'Obras e Acervos'!$B:$X,3,0)</f>
        <v>AMF EDITORA E DESIGN LTDA-EDITORA OCEANA</v>
      </c>
      <c r="F313" t="str">
        <f>VLOOKUP($B313,'Obras e Acervos'!$B:$X,7,0)</f>
        <v>0821L23000030LE</v>
      </c>
      <c r="G313" t="str">
        <f>VLOOKUP($B313,'Obras e Acervos'!$B:$X,5,0)</f>
        <v>BUMBA MEU BOI</v>
      </c>
      <c r="H313">
        <f>VLOOKUP($B313,'Obras e Acervos'!$B:$X,18,0)</f>
        <v>9</v>
      </c>
      <c r="I313">
        <f>VLOOKUP($B313,'Obras e Acervos'!$B:$X,19,0)</f>
        <v>33583</v>
      </c>
      <c r="J313" s="42">
        <f>VLOOKUP($B313,'Obras e Acervos'!$B:$X,20,0)</f>
        <v>5037.45</v>
      </c>
      <c r="K313" s="31">
        <f>VLOOKUP($B313,'Obras e Acervos'!$B:$X,21,0)</f>
        <v>8.17</v>
      </c>
      <c r="L313" s="31">
        <f t="shared" si="45"/>
        <v>274373.11</v>
      </c>
      <c r="M313" s="1">
        <v>46083</v>
      </c>
      <c r="N313" s="1">
        <f t="shared" si="44"/>
        <v>46305</v>
      </c>
      <c r="O313">
        <f t="shared" si="46"/>
        <v>223</v>
      </c>
      <c r="P313" s="49">
        <f t="shared" si="50"/>
        <v>7.4333333333333336</v>
      </c>
      <c r="Q313" s="34">
        <f>VLOOKUP($G313,Agendamento!$B:$F,5,0)</f>
        <v>8</v>
      </c>
      <c r="R313" s="36">
        <f t="shared" si="47"/>
        <v>34</v>
      </c>
      <c r="S313" s="44">
        <v>2.5499999999999998</v>
      </c>
      <c r="T313" s="44">
        <f t="shared" si="48"/>
        <v>19334.099999999999</v>
      </c>
      <c r="U313" t="s">
        <v>5158</v>
      </c>
      <c r="V313" t="str">
        <f t="shared" si="49"/>
        <v>NF/64307150_20260302_nf_24.pdf</v>
      </c>
      <c r="W313" s="32" t="str">
        <f t="shared" si="51"/>
        <v>NF - BUMBA MEU BOI</v>
      </c>
      <c r="X313" t="s">
        <v>5591</v>
      </c>
    </row>
    <row r="314" spans="1:24" x14ac:dyDescent="0.25">
      <c r="A314" t="str">
        <f>CONCATENATE(D314,"_",TEXT(M314,"ddmmaaaa"),"_",COUNTIF($D$2:D314,D314))</f>
        <v>253021220001-63_02032026_1</v>
      </c>
      <c r="B314" t="str">
        <f>CONCATENATE(Analise!D314,"_",COUNTIF(Analise!$D$2:D314,Analise!D314))</f>
        <v>253021220001-63_1</v>
      </c>
      <c r="C314" s="34">
        <f>COUNTIF('Obras e Acervos'!$C:$C,CONCATENATE(LEFT(D314,12),RIGHT(D314,2)))</f>
        <v>2</v>
      </c>
      <c r="D314" s="35" t="s">
        <v>4686</v>
      </c>
      <c r="E314" t="str">
        <f>VLOOKUP($B314,'Obras e Acervos'!$B:$X,3,0)</f>
        <v>PÁGINAS EDITORA LTDA-PÁGINAS EDITORA</v>
      </c>
      <c r="F314" t="str">
        <f>VLOOKUP($B314,'Obras e Acervos'!$B:$X,7,0)</f>
        <v>0349L23000030LE</v>
      </c>
      <c r="G314" t="str">
        <f>VLOOKUP($B314,'Obras e Acervos'!$B:$X,5,0)</f>
        <v>MINHA CASA É O MUNDO</v>
      </c>
      <c r="H314">
        <f>VLOOKUP($B314,'Obras e Acervos'!$B:$X,18,0)</f>
        <v>1</v>
      </c>
      <c r="I314">
        <f>VLOOKUP($B314,'Obras e Acervos'!$B:$X,19,0)</f>
        <v>165341</v>
      </c>
      <c r="J314" s="42">
        <f>VLOOKUP($B314,'Obras e Acervos'!$B:$X,20,0)</f>
        <v>33068.200000000004</v>
      </c>
      <c r="K314" s="31">
        <f>VLOOKUP($B314,'Obras e Acervos'!$B:$X,21,0)</f>
        <v>3.04</v>
      </c>
      <c r="L314" s="31">
        <f t="shared" si="45"/>
        <v>502636.64</v>
      </c>
      <c r="M314" s="1">
        <v>46083</v>
      </c>
      <c r="N314" s="1">
        <f t="shared" si="44"/>
        <v>46305</v>
      </c>
      <c r="O314">
        <f t="shared" si="46"/>
        <v>223</v>
      </c>
      <c r="P314" s="49">
        <f t="shared" si="50"/>
        <v>7.4333333333333336</v>
      </c>
      <c r="Q314" s="34">
        <f>VLOOKUP($G314,Agendamento!$B:$F,5,0)</f>
        <v>15</v>
      </c>
      <c r="R314" s="36">
        <f t="shared" si="47"/>
        <v>166</v>
      </c>
      <c r="S314" s="44">
        <v>2.5499999999999998</v>
      </c>
      <c r="T314" s="44">
        <f t="shared" si="48"/>
        <v>94395.9</v>
      </c>
      <c r="U314" t="s">
        <v>5165</v>
      </c>
      <c r="V314" t="str">
        <f t="shared" si="49"/>
        <v>NF/64307150_20260302_nf_25.pdf</v>
      </c>
      <c r="W314" s="32" t="str">
        <f t="shared" si="51"/>
        <v>NF - MINHA CASA É O MUNDO</v>
      </c>
      <c r="X314" t="s">
        <v>5591</v>
      </c>
    </row>
    <row r="315" spans="1:24" x14ac:dyDescent="0.25">
      <c r="A315" t="str">
        <f>CONCATENATE(D315,"_",TEXT(M315,"ddmmaaaa"),"_",COUNTIF($D$2:D315,D315))</f>
        <v>339554360001-93_02032026_2</v>
      </c>
      <c r="B315" t="str">
        <f>CONCATENATE(Analise!D315,"_",COUNTIF(Analise!$D$2:D315,Analise!D315)-1)</f>
        <v>339554360001-93_1</v>
      </c>
      <c r="C315" s="34">
        <f>COUNTIF('Obras e Acervos'!$C:$C,CONCATENATE(LEFT(D315,12),RIGHT(D315,2)))</f>
        <v>2</v>
      </c>
      <c r="D315" s="35" t="s">
        <v>4649</v>
      </c>
      <c r="E315" t="str">
        <f>VLOOKUP($B315,'Obras e Acervos'!$B:$X,3,0)</f>
        <v>ZIT GRAFICA E EDITORA LTDA-</v>
      </c>
      <c r="F315" t="str">
        <f>VLOOKUP($B315,'Obras e Acervos'!$B:$X,7,0)</f>
        <v>0674L23000030LE</v>
      </c>
      <c r="G315" t="str">
        <f>VLOOKUP($B315,'Obras e Acervos'!$B:$X,5,0)</f>
        <v>GATO E GABI</v>
      </c>
      <c r="H315">
        <f>VLOOKUP($B315,'Obras e Acervos'!$B:$X,18,0)</f>
        <v>10</v>
      </c>
      <c r="I315">
        <f>VLOOKUP($B315,'Obras e Acervos'!$B:$X,19,0)</f>
        <v>33631</v>
      </c>
      <c r="J315" s="42">
        <f>VLOOKUP($B315,'Obras e Acervos'!$B:$X,20,0)</f>
        <v>2892.2659999999996</v>
      </c>
      <c r="K315" s="31">
        <f>VLOOKUP($B315,'Obras e Acervos'!$B:$X,21,0)</f>
        <v>5.05</v>
      </c>
      <c r="L315" s="31">
        <f t="shared" si="45"/>
        <v>169836.55</v>
      </c>
      <c r="M315" s="1">
        <v>46083</v>
      </c>
      <c r="N315" s="1">
        <f t="shared" si="44"/>
        <v>46305</v>
      </c>
      <c r="O315">
        <f t="shared" si="46"/>
        <v>223</v>
      </c>
      <c r="P315" s="49">
        <f t="shared" si="50"/>
        <v>7.4333333333333336</v>
      </c>
      <c r="Q315" s="34">
        <f>VLOOKUP($G315,Agendamento!$B:$F,5,0)</f>
        <v>4</v>
      </c>
      <c r="R315" s="36">
        <f t="shared" si="47"/>
        <v>34</v>
      </c>
      <c r="S315" s="44">
        <v>2.5499999999999998</v>
      </c>
      <c r="T315" s="44">
        <f t="shared" si="48"/>
        <v>19334.099999999999</v>
      </c>
      <c r="U315" t="s">
        <v>5166</v>
      </c>
      <c r="V315" t="str">
        <f t="shared" si="49"/>
        <v>NF/64307150_20260302_nf_26.pdf</v>
      </c>
      <c r="W315" s="32" t="str">
        <f t="shared" si="51"/>
        <v>NF - GATO E GABI</v>
      </c>
      <c r="X315" t="s">
        <v>5591</v>
      </c>
    </row>
    <row r="316" spans="1:24" x14ac:dyDescent="0.25">
      <c r="A316" t="str">
        <f>CONCATENATE(D316,"_",TEXT(M316,"ddmmaaaa"),"_",COUNTIF($D$2:D316,D316))</f>
        <v>434145810001-10_02032026_1</v>
      </c>
      <c r="B316" t="str">
        <f>CONCATENATE(Analise!D316,"_",COUNTIF(Analise!$D$2:D316,Analise!D316))</f>
        <v>434145810001-10_1</v>
      </c>
      <c r="C316" s="34">
        <f>COUNTIF('Obras e Acervos'!$C:$C,CONCATENATE(LEFT(D316,12),RIGHT(D316,2)))</f>
        <v>1</v>
      </c>
      <c r="D316" s="35" t="s">
        <v>4694</v>
      </c>
      <c r="E316" t="str">
        <f>VLOOKUP($B316,'Obras e Acervos'!$B:$X,3,0)</f>
        <v>EDITORA ANA JULIA LTDA-ANA JULIA</v>
      </c>
      <c r="F316" t="str">
        <f>VLOOKUP($B316,'Obras e Acervos'!$B:$X,7,0)</f>
        <v>1180L23000020LE</v>
      </c>
      <c r="G316" t="str">
        <f>VLOOKUP($B316,'Obras e Acervos'!$B:$X,5,0)</f>
        <v>JARDIM DE BICHINHOS: POEMAS PARA BICHINHOS-CARPINTEIROS</v>
      </c>
      <c r="H316">
        <f>VLOOKUP($B316,'Obras e Acervos'!$B:$X,18,0)</f>
        <v>11</v>
      </c>
      <c r="I316">
        <f>VLOOKUP($B316,'Obras e Acervos'!$B:$X,19,0)</f>
        <v>32801</v>
      </c>
      <c r="J316" s="42">
        <f>VLOOKUP($B316,'Obras e Acervos'!$B:$X,20,0)</f>
        <v>3411.3039999999996</v>
      </c>
      <c r="K316" s="31">
        <f>VLOOKUP($B316,'Obras e Acervos'!$B:$X,21,0)</f>
        <v>6.86</v>
      </c>
      <c r="L316" s="31">
        <f t="shared" si="45"/>
        <v>225014.86000000002</v>
      </c>
      <c r="M316" s="1">
        <v>46083</v>
      </c>
      <c r="N316" s="1">
        <f t="shared" si="44"/>
        <v>46305</v>
      </c>
      <c r="O316">
        <f t="shared" si="46"/>
        <v>223</v>
      </c>
      <c r="P316" s="49">
        <f t="shared" si="50"/>
        <v>7.4333333333333336</v>
      </c>
      <c r="Q316" s="34">
        <f>VLOOKUP($G316,Agendamento!$B:$F,5,0)</f>
        <v>5</v>
      </c>
      <c r="R316" s="36">
        <f t="shared" si="47"/>
        <v>33</v>
      </c>
      <c r="S316" s="44">
        <v>2.5499999999999998</v>
      </c>
      <c r="T316" s="44">
        <f t="shared" si="48"/>
        <v>18765.449999999997</v>
      </c>
      <c r="U316" t="s">
        <v>5175</v>
      </c>
      <c r="V316" t="str">
        <f t="shared" si="49"/>
        <v>NF/64307150_20260302_nf_27.pdf</v>
      </c>
      <c r="W316" s="32" t="str">
        <f t="shared" si="51"/>
        <v>NF - JARDIM DE BICHINHOS: POEMAS PARA BICHINHOS-CARPINTEIROS</v>
      </c>
      <c r="X316" t="s">
        <v>5591</v>
      </c>
    </row>
    <row r="317" spans="1:24" x14ac:dyDescent="0.25">
      <c r="A317" t="str">
        <f>CONCATENATE(D317,"_",TEXT(M317,"ddmmaaaa"),"_",COUNTIF($D$2:D317,D317))</f>
        <v>435974100001-74_02032026_1</v>
      </c>
      <c r="B317" t="str">
        <f>CONCATENATE(Analise!D317,"_",COUNTIF(Analise!$D$2:D317,Analise!D317))</f>
        <v>435974100001-74_1</v>
      </c>
      <c r="C317" s="34">
        <f>COUNTIF('Obras e Acervos'!$C:$C,CONCATENATE(LEFT(D317,12),RIGHT(D317,2)))</f>
        <v>1</v>
      </c>
      <c r="D317" s="35" t="s">
        <v>4695</v>
      </c>
      <c r="E317" t="str">
        <f>VLOOKUP($B317,'Obras e Acervos'!$B:$X,3,0)</f>
        <v>EDITORA EXPANSAO DO SABER LTDA-EXPANSAO DO SABER</v>
      </c>
      <c r="F317" t="str">
        <f>VLOOKUP($B317,'Obras e Acervos'!$B:$X,7,0)</f>
        <v>1143L23000030LE</v>
      </c>
      <c r="G317" t="str">
        <f>VLOOKUP($B317,'Obras e Acervos'!$B:$X,5,0)</f>
        <v>MARGARIDA, COISA MAIS QUERIDA!</v>
      </c>
      <c r="H317">
        <f>VLOOKUP($B317,'Obras e Acervos'!$B:$X,18,0)</f>
        <v>8</v>
      </c>
      <c r="I317">
        <f>VLOOKUP($B317,'Obras e Acervos'!$B:$X,19,0)</f>
        <v>33528</v>
      </c>
      <c r="J317" s="42">
        <f>VLOOKUP($B317,'Obras e Acervos'!$B:$X,20,0)</f>
        <v>3520.44</v>
      </c>
      <c r="K317" s="31">
        <f>VLOOKUP($B317,'Obras e Acervos'!$B:$X,21,0)</f>
        <v>5.94</v>
      </c>
      <c r="L317" s="31">
        <f t="shared" si="45"/>
        <v>199156.32</v>
      </c>
      <c r="M317" s="1">
        <v>46083</v>
      </c>
      <c r="N317" s="1">
        <f t="shared" si="44"/>
        <v>46305</v>
      </c>
      <c r="O317">
        <f t="shared" si="46"/>
        <v>223</v>
      </c>
      <c r="P317" s="49">
        <f t="shared" si="50"/>
        <v>7.4333333333333336</v>
      </c>
      <c r="Q317" s="34">
        <f>VLOOKUP($G317,Agendamento!$B:$F,5,0)</f>
        <v>4</v>
      </c>
      <c r="R317" s="36">
        <f t="shared" si="47"/>
        <v>34</v>
      </c>
      <c r="S317" s="44">
        <v>2.5499999999999998</v>
      </c>
      <c r="T317" s="44">
        <f t="shared" si="48"/>
        <v>19334.099999999999</v>
      </c>
      <c r="U317" t="s">
        <v>5176</v>
      </c>
      <c r="V317" t="str">
        <f t="shared" si="49"/>
        <v>NF/64307150_20260302_nf_28.pdf</v>
      </c>
      <c r="W317" s="32" t="str">
        <f t="shared" si="51"/>
        <v>NF - MARGARIDA, COISA MAIS QUERIDA!</v>
      </c>
      <c r="X317" t="s">
        <v>5591</v>
      </c>
    </row>
    <row r="318" spans="1:24" x14ac:dyDescent="0.25">
      <c r="A318" t="str">
        <f>CONCATENATE(D318,"_",TEXT(M318,"ddmmaaaa"),"_",COUNTIF($D$2:D318,D318))</f>
        <v>434141850001-93_02032026_1</v>
      </c>
      <c r="B318" t="str">
        <f>CONCATENATE(Analise!D318,"_",COUNTIF(Analise!$D$2:D318,Analise!D318)+1)</f>
        <v>434141850001-93_2</v>
      </c>
      <c r="C318" s="34">
        <f>COUNTIF('Obras e Acervos'!$C:$C,CONCATENATE(LEFT(D318,12),RIGHT(D318,2)))</f>
        <v>2</v>
      </c>
      <c r="D318" s="35" t="s">
        <v>4693</v>
      </c>
      <c r="E318" t="str">
        <f>VLOOKUP($B318,'Obras e Acervos'!$B:$X,3,0)</f>
        <v>EDITORA HEITOR LTDA-HEITOR</v>
      </c>
      <c r="F318" t="str">
        <f>VLOOKUP($B318,'Obras e Acervos'!$B:$X,7,0)</f>
        <v>1193L23000020LE</v>
      </c>
      <c r="G318" t="str">
        <f>VLOOKUP($B318,'Obras e Acervos'!$B:$X,5,0)</f>
        <v>MEU AMIGO PARTIU</v>
      </c>
      <c r="H318">
        <f>VLOOKUP($B318,'Obras e Acervos'!$B:$X,18,0)</f>
        <v>18</v>
      </c>
      <c r="I318">
        <f>VLOOKUP($B318,'Obras e Acervos'!$B:$X,19,0)</f>
        <v>25775</v>
      </c>
      <c r="J318" s="42">
        <f>VLOOKUP($B318,'Obras e Acervos'!$B:$X,20,0)</f>
        <v>2680.6</v>
      </c>
      <c r="K318" s="31">
        <f>VLOOKUP($B318,'Obras e Acervos'!$B:$X,21,0)</f>
        <v>7.42</v>
      </c>
      <c r="L318" s="31">
        <f t="shared" si="45"/>
        <v>191250.5</v>
      </c>
      <c r="M318" s="1">
        <v>46083</v>
      </c>
      <c r="N318" s="1">
        <f t="shared" si="44"/>
        <v>46305</v>
      </c>
      <c r="O318">
        <f t="shared" si="46"/>
        <v>223</v>
      </c>
      <c r="P318" s="49">
        <f t="shared" si="50"/>
        <v>7.4333333333333336</v>
      </c>
      <c r="Q318" s="34">
        <f>VLOOKUP($G318,Agendamento!$B:$F,5,0)</f>
        <v>4</v>
      </c>
      <c r="R318" s="36">
        <f t="shared" si="47"/>
        <v>26</v>
      </c>
      <c r="S318" s="44">
        <v>2.5499999999999998</v>
      </c>
      <c r="T318" s="44">
        <f t="shared" si="48"/>
        <v>14784.9</v>
      </c>
      <c r="U318" t="s">
        <v>5174</v>
      </c>
      <c r="V318" t="str">
        <f t="shared" si="49"/>
        <v>NF/64307150_20260302_nf_29.pdf</v>
      </c>
      <c r="W318" s="32" t="str">
        <f t="shared" si="51"/>
        <v>NF - MEU AMIGO PARTIU</v>
      </c>
      <c r="X318" t="s">
        <v>5591</v>
      </c>
    </row>
    <row r="319" spans="1:24" x14ac:dyDescent="0.25">
      <c r="A319" t="str">
        <f>CONCATENATE(D319,"_",TEXT(M319,"ddmmaaaa"),"_",COUNTIF($D$2:D319,D319))</f>
        <v>434144350001-95_02032026_1</v>
      </c>
      <c r="B319" t="str">
        <f>CONCATENATE(Analise!D319,"_",COUNTIF(Analise!$D$2:D319,Analise!D319))</f>
        <v>434144350001-95_1</v>
      </c>
      <c r="C319" s="34">
        <f>COUNTIF('Obras e Acervos'!$C:$C,CONCATENATE(LEFT(D319,12),RIGHT(D319,2)))</f>
        <v>1</v>
      </c>
      <c r="D319" s="35" t="s">
        <v>4683</v>
      </c>
      <c r="E319" t="str">
        <f>VLOOKUP($B319,'Obras e Acervos'!$B:$X,3,0)</f>
        <v>EDITORA LAIS LTDA-LAIS</v>
      </c>
      <c r="F319" t="str">
        <f>VLOOKUP($B319,'Obras e Acervos'!$B:$X,7,0)</f>
        <v>1176L23000020LE</v>
      </c>
      <c r="G319" t="str">
        <f>VLOOKUP($B319,'Obras e Acervos'!$B:$X,5,0)</f>
        <v>O FAZEDOR DE BORBOLETAS</v>
      </c>
      <c r="H319">
        <f>VLOOKUP($B319,'Obras e Acervos'!$B:$X,18,0)</f>
        <v>15</v>
      </c>
      <c r="I319">
        <f>VLOOKUP($B319,'Obras e Acervos'!$B:$X,19,0)</f>
        <v>34231</v>
      </c>
      <c r="J319" s="42">
        <f>VLOOKUP($B319,'Obras e Acervos'!$B:$X,20,0)</f>
        <v>3560.0239999999999</v>
      </c>
      <c r="K319" s="31">
        <f>VLOOKUP($B319,'Obras e Acervos'!$B:$X,21,0)</f>
        <v>6.81</v>
      </c>
      <c r="L319" s="31">
        <f t="shared" si="45"/>
        <v>233113.11</v>
      </c>
      <c r="M319" s="1">
        <v>46083</v>
      </c>
      <c r="N319" s="1">
        <f t="shared" si="44"/>
        <v>46305</v>
      </c>
      <c r="O319">
        <f t="shared" si="46"/>
        <v>223</v>
      </c>
      <c r="P319" s="49">
        <f t="shared" si="50"/>
        <v>7.4333333333333336</v>
      </c>
      <c r="Q319" s="34">
        <f>VLOOKUP($G319,Agendamento!$B:$F,5,0)</f>
        <v>5</v>
      </c>
      <c r="R319" s="36">
        <f t="shared" si="47"/>
        <v>35</v>
      </c>
      <c r="S319" s="44">
        <v>2.5499999999999998</v>
      </c>
      <c r="T319" s="44">
        <f t="shared" si="48"/>
        <v>19902.75</v>
      </c>
      <c r="U319" t="s">
        <v>5161</v>
      </c>
      <c r="V319" t="str">
        <f t="shared" si="49"/>
        <v>NF/64307150_20260302_nf_30.pdf</v>
      </c>
      <c r="W319" s="32" t="str">
        <f t="shared" si="51"/>
        <v>NF - O FAZEDOR DE BORBOLETAS</v>
      </c>
      <c r="X319" t="s">
        <v>5591</v>
      </c>
    </row>
    <row r="320" spans="1:24" x14ac:dyDescent="0.25">
      <c r="A320" t="str">
        <f>CONCATENATE(D320,"_",TEXT(M320,"ddmmaaaa"),"_",COUNTIF($D$2:D320,D320))</f>
        <v>433988210001-30_02032026_1</v>
      </c>
      <c r="B320" t="str">
        <f>CONCATENATE(Analise!D320,"_",COUNTIF(Analise!$D$2:D320,Analise!D320))</f>
        <v>433988210001-30_1</v>
      </c>
      <c r="C320" s="34">
        <f>COUNTIF('Obras e Acervos'!$C:$C,CONCATENATE(LEFT(D320,12),RIGHT(D320,2)))</f>
        <v>1</v>
      </c>
      <c r="D320" s="35" t="s">
        <v>4689</v>
      </c>
      <c r="E320" t="str">
        <f>VLOOKUP($B320,'Obras e Acervos'!$B:$X,3,0)</f>
        <v>ADA EDITORA LTDA-ADA EDITORA</v>
      </c>
      <c r="F320" t="str">
        <f>VLOOKUP($B320,'Obras e Acervos'!$B:$X,7,0)</f>
        <v>1169L23000020LE</v>
      </c>
      <c r="G320" t="str">
        <f>VLOOKUP($B320,'Obras e Acervos'!$B:$X,5,0)</f>
        <v>O MENINO QUE VENDIA SONHOS</v>
      </c>
      <c r="H320">
        <f>VLOOKUP($B320,'Obras e Acervos'!$B:$X,18,0)</f>
        <v>16</v>
      </c>
      <c r="I320">
        <f>VLOOKUP($B320,'Obras e Acervos'!$B:$X,19,0)</f>
        <v>45211</v>
      </c>
      <c r="J320" s="42">
        <f>VLOOKUP($B320,'Obras e Acervos'!$B:$X,20,0)</f>
        <v>4068.99</v>
      </c>
      <c r="K320" s="31">
        <f>VLOOKUP($B320,'Obras e Acervos'!$B:$X,21,0)</f>
        <v>4.2699999999999996</v>
      </c>
      <c r="L320" s="31">
        <f t="shared" si="45"/>
        <v>193050.96999999997</v>
      </c>
      <c r="M320" s="1">
        <v>46083</v>
      </c>
      <c r="N320" s="1">
        <f t="shared" si="44"/>
        <v>46305</v>
      </c>
      <c r="O320">
        <f t="shared" si="46"/>
        <v>223</v>
      </c>
      <c r="P320" s="49">
        <f t="shared" si="50"/>
        <v>7.4333333333333336</v>
      </c>
      <c r="Q320" s="34">
        <f>VLOOKUP($G320,Agendamento!$B:$F,5,0)</f>
        <v>5</v>
      </c>
      <c r="R320" s="36">
        <f t="shared" si="47"/>
        <v>46</v>
      </c>
      <c r="S320" s="44">
        <v>2.5499999999999998</v>
      </c>
      <c r="T320" s="44">
        <f t="shared" si="48"/>
        <v>26157.899999999998</v>
      </c>
      <c r="U320" t="s">
        <v>5169</v>
      </c>
      <c r="V320" t="str">
        <f t="shared" si="49"/>
        <v>NF/64307150_20260302_nf_31.pdf</v>
      </c>
      <c r="W320" s="32" t="str">
        <f t="shared" si="51"/>
        <v>NF - O MENINO QUE VENDIA SONHOS</v>
      </c>
      <c r="X320" t="s">
        <v>5591</v>
      </c>
    </row>
    <row r="321" spans="1:24" x14ac:dyDescent="0.25">
      <c r="A321" t="str">
        <f>CONCATENATE(D321,"_",TEXT(M321,"ddmmaaaa"),"_",COUNTIF($D$2:D321,D321))</f>
        <v>436804970001-49_02032026_1</v>
      </c>
      <c r="B321" t="str">
        <f>CONCATENATE(Analise!D321,"_",COUNTIF(Analise!$D$2:D321,Analise!D321)+1)</f>
        <v>436804970001-49_2</v>
      </c>
      <c r="C321" s="34">
        <f>COUNTIF('Obras e Acervos'!$C:$C,CONCATENATE(LEFT(D321,12),RIGHT(D321,2)))</f>
        <v>2</v>
      </c>
      <c r="D321" s="35" t="s">
        <v>4688</v>
      </c>
      <c r="E321" t="str">
        <f>VLOOKUP($B321,'Obras e Acervos'!$B:$X,3,0)</f>
        <v>IGREJINHA EDITORA LTDA -IGREJINHA</v>
      </c>
      <c r="F321" t="str">
        <f>VLOOKUP($B321,'Obras e Acervos'!$B:$X,7,0)</f>
        <v>1152L23000020LE</v>
      </c>
      <c r="G321" t="str">
        <f>VLOOKUP($B321,'Obras e Acervos'!$B:$X,5,0)</f>
        <v>O TERRÍVEL GUERREIRO</v>
      </c>
      <c r="H321">
        <f>VLOOKUP($B321,'Obras e Acervos'!$B:$X,18,0)</f>
        <v>13</v>
      </c>
      <c r="I321">
        <f>VLOOKUP($B321,'Obras e Acervos'!$B:$X,19,0)</f>
        <v>29999</v>
      </c>
      <c r="J321" s="42">
        <f>VLOOKUP($B321,'Obras e Acervos'!$B:$X,20,0)</f>
        <v>2579.9139999999998</v>
      </c>
      <c r="K321" s="31">
        <f>VLOOKUP($B321,'Obras e Acervos'!$B:$X,21,0)</f>
        <v>5.03</v>
      </c>
      <c r="L321" s="31">
        <f t="shared" si="45"/>
        <v>150894.97</v>
      </c>
      <c r="M321" s="1">
        <v>46083</v>
      </c>
      <c r="N321" s="1">
        <f t="shared" si="44"/>
        <v>46305</v>
      </c>
      <c r="O321">
        <f t="shared" si="46"/>
        <v>223</v>
      </c>
      <c r="P321" s="49">
        <f t="shared" si="50"/>
        <v>7.4333333333333336</v>
      </c>
      <c r="Q321" s="34">
        <f>VLOOKUP($G321,Agendamento!$B:$F,5,0)</f>
        <v>3</v>
      </c>
      <c r="R321" s="36">
        <f t="shared" si="47"/>
        <v>30</v>
      </c>
      <c r="S321" s="44">
        <v>2.5499999999999998</v>
      </c>
      <c r="T321" s="44">
        <f t="shared" si="48"/>
        <v>17059.5</v>
      </c>
      <c r="U321" t="s">
        <v>5168</v>
      </c>
      <c r="V321" t="str">
        <f t="shared" si="49"/>
        <v>NF/64307150_20260302_nf_32.pdf</v>
      </c>
      <c r="W321" s="32" t="str">
        <f t="shared" si="51"/>
        <v>NF - O TERRÍVEL GUERREIRO</v>
      </c>
      <c r="X321" t="s">
        <v>5591</v>
      </c>
    </row>
    <row r="322" spans="1:24" x14ac:dyDescent="0.25">
      <c r="A322" t="str">
        <f>CONCATENATE(D322,"_",TEXT(M322,"ddmmaaaa"),"_",COUNTIF($D$2:D322,D322))</f>
        <v>436799980001-05_02032026_1</v>
      </c>
      <c r="B322" t="str">
        <f>CONCATENATE(Analise!D322,"_",COUNTIF(Analise!$D$2:D322,Analise!D322)+1)</f>
        <v>436799980001-05_2</v>
      </c>
      <c r="C322" s="34">
        <f>COUNTIF('Obras e Acervos'!$C:$C,CONCATENATE(LEFT(D322,12),RIGHT(D322,2)))</f>
        <v>2</v>
      </c>
      <c r="D322" s="35" t="s">
        <v>4685</v>
      </c>
      <c r="E322" t="str">
        <f>VLOOKUP($B322,'Obras e Acervos'!$B:$X,3,0)</f>
        <v>EDITORA TUCUPI LTDA-TUCUPI</v>
      </c>
      <c r="F322" t="str">
        <f>VLOOKUP($B322,'Obras e Acervos'!$B:$X,7,0)</f>
        <v>1151L23000020LE</v>
      </c>
      <c r="G322" t="str">
        <f>VLOOKUP($B322,'Obras e Acervos'!$B:$X,5,0)</f>
        <v>A ROUPA NOVA DO REI</v>
      </c>
      <c r="H322">
        <f>VLOOKUP($B322,'Obras e Acervos'!$B:$X,18,0)</f>
        <v>12</v>
      </c>
      <c r="I322">
        <f>VLOOKUP($B322,'Obras e Acervos'!$B:$X,19,0)</f>
        <v>38175</v>
      </c>
      <c r="J322" s="42">
        <f>VLOOKUP($B322,'Obras e Acervos'!$B:$X,20,0)</f>
        <v>4008.375</v>
      </c>
      <c r="K322" s="31">
        <f>VLOOKUP($B322,'Obras e Acervos'!$B:$X,21,0)</f>
        <v>5.49</v>
      </c>
      <c r="L322" s="31">
        <f t="shared" si="45"/>
        <v>209580.75</v>
      </c>
      <c r="M322" s="1">
        <v>46083</v>
      </c>
      <c r="N322" s="1">
        <f t="shared" ref="N322:N385" si="52">$AB$2</f>
        <v>46305</v>
      </c>
      <c r="O322">
        <f t="shared" si="46"/>
        <v>223</v>
      </c>
      <c r="P322" s="49">
        <f t="shared" si="50"/>
        <v>7.4333333333333336</v>
      </c>
      <c r="Q322" s="34">
        <f>VLOOKUP($G322,Agendamento!$B:$F,5,0)</f>
        <v>5</v>
      </c>
      <c r="R322" s="36">
        <f t="shared" si="47"/>
        <v>39</v>
      </c>
      <c r="S322" s="44">
        <v>2.5499999999999998</v>
      </c>
      <c r="T322" s="44">
        <f t="shared" si="48"/>
        <v>22177.35</v>
      </c>
      <c r="U322" t="s">
        <v>5164</v>
      </c>
      <c r="V322" t="str">
        <f t="shared" si="49"/>
        <v>NF/64307150_20260302_nf_33.pdf</v>
      </c>
      <c r="W322" s="32" t="str">
        <f t="shared" si="51"/>
        <v>NF - A ROUPA NOVA DO REI</v>
      </c>
      <c r="X322" t="s">
        <v>5591</v>
      </c>
    </row>
    <row r="323" spans="1:24" x14ac:dyDescent="0.25">
      <c r="A323" t="str">
        <f>CONCATENATE(D323,"_",TEXT(M323,"ddmmaaaa"),"_",COUNTIF($D$2:D323,D323))</f>
        <v>436793700001-00_02032026_1</v>
      </c>
      <c r="B323" t="str">
        <f>CONCATENATE(Analise!D323,"_",COUNTIF(Analise!$D$2:D323,Analise!D323)+1)</f>
        <v>436793700001-00_2</v>
      </c>
      <c r="C323" s="34">
        <f>COUNTIF('Obras e Acervos'!$C:$C,CONCATENATE(LEFT(D323,12),RIGHT(D323,2)))</f>
        <v>2</v>
      </c>
      <c r="D323" s="35" t="s">
        <v>4697</v>
      </c>
      <c r="E323" t="str">
        <f>VLOOKUP($B323,'Obras e Acervos'!$B:$X,3,0)</f>
        <v>EDITORA UVINHA BEBÊ LTDA-UVINHA BEBÊ</v>
      </c>
      <c r="F323" t="str">
        <f>VLOOKUP($B323,'Obras e Acervos'!$B:$X,7,0)</f>
        <v>0924L23000020LE</v>
      </c>
      <c r="G323" t="str">
        <f>VLOOKUP($B323,'Obras e Acervos'!$B:$X,5,0)</f>
        <v>CEUCI, A MÃE DO PRANTO</v>
      </c>
      <c r="H323">
        <f>VLOOKUP($B323,'Obras e Acervos'!$B:$X,18,0)</f>
        <v>11</v>
      </c>
      <c r="I323">
        <f>VLOOKUP($B323,'Obras e Acervos'!$B:$X,19,0)</f>
        <v>31846</v>
      </c>
      <c r="J323" s="42">
        <f>VLOOKUP($B323,'Obras e Acervos'!$B:$X,20,0)</f>
        <v>3343.83</v>
      </c>
      <c r="K323" s="31">
        <f>VLOOKUP($B323,'Obras e Acervos'!$B:$X,21,0)</f>
        <v>6.35</v>
      </c>
      <c r="L323" s="31">
        <f t="shared" ref="L323:L386" si="53">K323*I323</f>
        <v>202222.09999999998</v>
      </c>
      <c r="M323" s="1">
        <v>46083</v>
      </c>
      <c r="N323" s="1">
        <f t="shared" si="52"/>
        <v>46305</v>
      </c>
      <c r="O323">
        <f t="shared" ref="O323:O386" si="54">IF(M323="",0,(N323-M323)+1)</f>
        <v>223</v>
      </c>
      <c r="P323" s="49">
        <f t="shared" si="50"/>
        <v>7.4333333333333336</v>
      </c>
      <c r="Q323" s="34">
        <f>VLOOKUP($G323,Agendamento!$B:$F,5,0)</f>
        <v>4</v>
      </c>
      <c r="R323" s="36">
        <f t="shared" ref="R323:R386" si="55">IF(U323="",0,ROUNDUP($I323/1000,0))</f>
        <v>32</v>
      </c>
      <c r="S323" s="44">
        <v>2.5499999999999998</v>
      </c>
      <c r="T323" s="44">
        <f t="shared" ref="T323:T386" si="56">O323*R323*S323</f>
        <v>18196.8</v>
      </c>
      <c r="U323" t="s">
        <v>5178</v>
      </c>
      <c r="V323" t="str">
        <f t="shared" ref="V323:V386" si="57">CONCATENATE("NF/",U323)</f>
        <v>NF/64307150_20260302_nf_34.pdf</v>
      </c>
      <c r="W323" s="32" t="str">
        <f t="shared" si="51"/>
        <v>NF - CEUCI, A MÃE DO PRANTO</v>
      </c>
      <c r="X323" t="s">
        <v>5591</v>
      </c>
    </row>
    <row r="324" spans="1:24" x14ac:dyDescent="0.25">
      <c r="A324" t="str">
        <f>CONCATENATE(D324,"_",TEXT(M324,"ddmmaaaa"),"_",COUNTIF($D$2:D324,D324))</f>
        <v>487649550001-41_02032026_1</v>
      </c>
      <c r="B324" t="str">
        <f>CONCATENATE(Analise!D324,"_",COUNTIF(Analise!$D$2:D324,Analise!D324)+1)</f>
        <v>487649550001-41_2</v>
      </c>
      <c r="C324" s="34">
        <f>COUNTIF('Obras e Acervos'!$C:$C,CONCATENATE(LEFT(D324,12),RIGHT(D324,2)))</f>
        <v>2</v>
      </c>
      <c r="D324" s="35" t="s">
        <v>4680</v>
      </c>
      <c r="E324" t="str">
        <f>VLOOKUP($B324,'Obras e Acervos'!$B:$X,3,0)</f>
        <v>CASA DE LETRAS E GRAFICA LTDA-CASA DE LETRAS</v>
      </c>
      <c r="F324" t="str">
        <f>VLOOKUP($B324,'Obras e Acervos'!$B:$X,7,0)</f>
        <v>0439L23000020LE</v>
      </c>
      <c r="G324" t="str">
        <f>VLOOKUP($B324,'Obras e Acervos'!$B:$X,5,0)</f>
        <v>AS SETE MARAVILHAS DO SENHOR SONÂMBULO</v>
      </c>
      <c r="H324">
        <f>VLOOKUP($B324,'Obras e Acervos'!$B:$X,18,0)</f>
        <v>20</v>
      </c>
      <c r="I324">
        <f>VLOOKUP($B324,'Obras e Acervos'!$B:$X,19,0)</f>
        <v>27335</v>
      </c>
      <c r="J324" s="42">
        <f>VLOOKUP($B324,'Obras e Acervos'!$B:$X,20,0)</f>
        <v>4646.9500000000007</v>
      </c>
      <c r="K324" s="31">
        <f>VLOOKUP($B324,'Obras e Acervos'!$B:$X,21,0)</f>
        <v>9.23</v>
      </c>
      <c r="L324" s="31">
        <f t="shared" si="53"/>
        <v>252302.05000000002</v>
      </c>
      <c r="M324" s="1">
        <v>46083</v>
      </c>
      <c r="N324" s="1">
        <f t="shared" si="52"/>
        <v>46305</v>
      </c>
      <c r="O324">
        <f t="shared" si="54"/>
        <v>223</v>
      </c>
      <c r="P324" s="49">
        <f t="shared" si="50"/>
        <v>7.4333333333333336</v>
      </c>
      <c r="Q324" s="34">
        <f>VLOOKUP($G324,Agendamento!$B:$F,5,0)</f>
        <v>5</v>
      </c>
      <c r="R324" s="36">
        <f t="shared" si="55"/>
        <v>28</v>
      </c>
      <c r="S324" s="44">
        <v>2.5499999999999998</v>
      </c>
      <c r="T324" s="44">
        <f t="shared" si="56"/>
        <v>15922.199999999999</v>
      </c>
      <c r="U324" t="s">
        <v>5157</v>
      </c>
      <c r="V324" t="str">
        <f t="shared" si="57"/>
        <v>NF/64307150_20260302_nf_36.pdf</v>
      </c>
      <c r="W324" s="32" t="str">
        <f t="shared" si="51"/>
        <v>NF - AS SETE MARAVILHAS DO SENHOR SONÂMBULO</v>
      </c>
      <c r="X324" t="s">
        <v>5591</v>
      </c>
    </row>
    <row r="325" spans="1:24" x14ac:dyDescent="0.25">
      <c r="A325" t="str">
        <f>CONCATENATE(D325,"_",TEXT(M325,"ddmmaaaa"),"_",COUNTIF($D$2:D325,D325))</f>
        <v>040929430001-42_02032026_1</v>
      </c>
      <c r="B325" t="str">
        <f>CONCATENATE(Analise!D325,"_",COUNTIF(Analise!$D$2:D325,Analise!D325))</f>
        <v>040929430001-42_1</v>
      </c>
      <c r="C325" s="34">
        <f>COUNTIF('Obras e Acervos'!$C:$C,CONCATENATE(LEFT(D325,12),RIGHT(D325,2)))</f>
        <v>2</v>
      </c>
      <c r="D325" s="35" t="s">
        <v>4687</v>
      </c>
      <c r="E325" t="str">
        <f>VLOOKUP($B325,'Obras e Acervos'!$B:$X,3,0)</f>
        <v>BOM BINI EDITORA E ASSESSORIA LTDA-BAMBOOZINHO</v>
      </c>
      <c r="F325" t="str">
        <f>VLOOKUP($B325,'Obras e Acervos'!$B:$X,7,0)</f>
        <v>0948L23000030LE</v>
      </c>
      <c r="G325" t="str">
        <f>VLOOKUP($B325,'Obras e Acervos'!$B:$X,5,0)</f>
        <v>RABINHO, RABÃO, MACAQUINHO BRINCALHÃO</v>
      </c>
      <c r="H325">
        <f>VLOOKUP($B325,'Obras e Acervos'!$B:$X,18,0)</f>
        <v>1</v>
      </c>
      <c r="I325">
        <f>VLOOKUP($B325,'Obras e Acervos'!$B:$X,19,0)</f>
        <v>52201</v>
      </c>
      <c r="J325" s="42">
        <f>VLOOKUP($B325,'Obras e Acervos'!$B:$X,20,0)</f>
        <v>5846.5119999999997</v>
      </c>
      <c r="K325" s="31">
        <f>VLOOKUP($B325,'Obras e Acervos'!$B:$X,21,0)</f>
        <v>4.9800000000000004</v>
      </c>
      <c r="L325" s="31">
        <f t="shared" si="53"/>
        <v>259960.98</v>
      </c>
      <c r="M325" s="1">
        <v>46083</v>
      </c>
      <c r="N325" s="1">
        <f t="shared" si="52"/>
        <v>46305</v>
      </c>
      <c r="O325">
        <f t="shared" si="54"/>
        <v>223</v>
      </c>
      <c r="P325" s="49">
        <f t="shared" si="50"/>
        <v>7.4333333333333336</v>
      </c>
      <c r="Q325" s="34">
        <f>VLOOKUP($G325,Agendamento!$B:$F,5,0)</f>
        <v>7</v>
      </c>
      <c r="R325" s="36">
        <f t="shared" si="55"/>
        <v>53</v>
      </c>
      <c r="S325" s="44">
        <v>2.5499999999999998</v>
      </c>
      <c r="T325" s="44">
        <f t="shared" si="56"/>
        <v>30138.449999999997</v>
      </c>
      <c r="U325" t="s">
        <v>5167</v>
      </c>
      <c r="V325" t="str">
        <f t="shared" si="57"/>
        <v>NF/64307150_20260302_nf_38.pdf</v>
      </c>
      <c r="W325" s="32" t="str">
        <f t="shared" si="51"/>
        <v>NF - RABINHO, RABÃO, MACAQUINHO BRINCALHÃO</v>
      </c>
      <c r="X325" t="s">
        <v>5591</v>
      </c>
    </row>
    <row r="326" spans="1:24" x14ac:dyDescent="0.25">
      <c r="A326" t="str">
        <f>CONCATENATE(D326,"_",TEXT(M326,"ddmmaaaa"),"_",COUNTIF($D$2:D326,D326))</f>
        <v>436812550001-70_02032026_1</v>
      </c>
      <c r="B326" t="str">
        <f>CONCATENATE(Analise!D326,"_",COUNTIF(Analise!$D$2:D326,Analise!D326)+1)</f>
        <v>436812550001-70_2</v>
      </c>
      <c r="C326" s="34">
        <f>COUNTIF('Obras e Acervos'!$C:$C,CONCATENATE(LEFT(D326,12),RIGHT(D326,2)))</f>
        <v>2</v>
      </c>
      <c r="D326" s="35" t="s">
        <v>4698</v>
      </c>
      <c r="E326" t="str">
        <f>VLOOKUP($B326,'Obras e Acervos'!$B:$X,3,0)</f>
        <v>EDITORA PAPA GOIABA LTDA-PAPA GOIABA</v>
      </c>
      <c r="F326" t="str">
        <f>VLOOKUP($B326,'Obras e Acervos'!$B:$X,7,0)</f>
        <v>0526L23000020LE</v>
      </c>
      <c r="G326" t="str">
        <f>VLOOKUP($B326,'Obras e Acervos'!$B:$X,5,0)</f>
        <v>A MULA SEM CABEÇA</v>
      </c>
      <c r="H326">
        <f>VLOOKUP($B326,'Obras e Acervos'!$B:$X,18,0)</f>
        <v>11</v>
      </c>
      <c r="I326">
        <f>VLOOKUP($B326,'Obras e Acervos'!$B:$X,19,0)</f>
        <v>33680</v>
      </c>
      <c r="J326" s="42">
        <f>VLOOKUP($B326,'Obras e Acervos'!$B:$X,20,0)</f>
        <v>4176.32</v>
      </c>
      <c r="K326" s="31">
        <f>VLOOKUP($B326,'Obras e Acervos'!$B:$X,21,0)</f>
        <v>6.82</v>
      </c>
      <c r="L326" s="31">
        <f t="shared" si="53"/>
        <v>229697.6</v>
      </c>
      <c r="M326" s="1">
        <v>46083</v>
      </c>
      <c r="N326" s="1">
        <f t="shared" si="52"/>
        <v>46305</v>
      </c>
      <c r="O326">
        <f t="shared" si="54"/>
        <v>223</v>
      </c>
      <c r="P326" s="49">
        <f t="shared" si="50"/>
        <v>7.4333333333333336</v>
      </c>
      <c r="Q326" s="34">
        <f>VLOOKUP($G326,Agendamento!$B:$F,5,0)</f>
        <v>5</v>
      </c>
      <c r="R326" s="36">
        <f t="shared" si="55"/>
        <v>34</v>
      </c>
      <c r="S326" s="44">
        <v>2.5499999999999998</v>
      </c>
      <c r="T326" s="44">
        <f t="shared" si="56"/>
        <v>19334.099999999999</v>
      </c>
      <c r="U326" t="s">
        <v>5179</v>
      </c>
      <c r="V326" t="str">
        <f t="shared" si="57"/>
        <v>NF/64307150_20260302_nf_40.pdf</v>
      </c>
      <c r="W326" s="32" t="str">
        <f t="shared" si="51"/>
        <v>NF - A MULA SEM CABEÇA</v>
      </c>
      <c r="X326" t="s">
        <v>5591</v>
      </c>
    </row>
    <row r="327" spans="1:24" x14ac:dyDescent="0.25">
      <c r="A327" t="str">
        <f>CONCATENATE(D327,"_",TEXT(M327,"ddmmaaaa"),"_",COUNTIF($D$2:D327,D327))</f>
        <v>433953470001-93_03032026_1</v>
      </c>
      <c r="B327" t="str">
        <f>CONCATENATE(Analise!D327,"_",COUNTIF(Analise!$D$2:D327,Analise!D327))</f>
        <v>433953470001-93_1</v>
      </c>
      <c r="C327" s="34">
        <f>COUNTIF('Obras e Acervos'!$C:$C,CONCATENATE(LEFT(D327,12),RIGHT(D327,2)))</f>
        <v>1</v>
      </c>
      <c r="D327" s="35" t="s">
        <v>4699</v>
      </c>
      <c r="E327" t="str">
        <f>VLOOKUP($B327,'Obras e Acervos'!$B:$X,3,0)</f>
        <v>PENHA EDITORA LTDA-PENHA EDITORA</v>
      </c>
      <c r="F327" t="str">
        <f>VLOOKUP($B327,'Obras e Acervos'!$B:$X,7,0)</f>
        <v>1168L23000030LE</v>
      </c>
      <c r="G327" t="str">
        <f>VLOOKUP($B327,'Obras e Acervos'!$B:$X,5,0)</f>
        <v>O LEÃO HUMILDE</v>
      </c>
      <c r="H327">
        <f>VLOOKUP($B327,'Obras e Acervos'!$B:$X,18,0)</f>
        <v>7</v>
      </c>
      <c r="I327">
        <f>VLOOKUP($B327,'Obras e Acervos'!$B:$X,19,0)</f>
        <v>34161</v>
      </c>
      <c r="J327" s="42">
        <f>VLOOKUP($B327,'Obras e Acervos'!$B:$X,20,0)</f>
        <v>3552.7439999999997</v>
      </c>
      <c r="K327" s="31">
        <f>VLOOKUP($B327,'Obras e Acervos'!$B:$X,21,0)</f>
        <v>6.81</v>
      </c>
      <c r="L327" s="31">
        <f t="shared" si="53"/>
        <v>232636.40999999997</v>
      </c>
      <c r="M327" s="1">
        <v>46084</v>
      </c>
      <c r="N327" s="1">
        <f t="shared" si="52"/>
        <v>46305</v>
      </c>
      <c r="O327">
        <f t="shared" si="54"/>
        <v>222</v>
      </c>
      <c r="P327" s="49">
        <f t="shared" si="50"/>
        <v>7.4</v>
      </c>
      <c r="Q327" s="34">
        <f>VLOOKUP($G327,Agendamento!$B:$F,5,0)</f>
        <v>5</v>
      </c>
      <c r="R327" s="36">
        <f t="shared" si="55"/>
        <v>35</v>
      </c>
      <c r="S327" s="44">
        <v>2.5499999999999998</v>
      </c>
      <c r="T327" s="44">
        <f t="shared" si="56"/>
        <v>19813.5</v>
      </c>
      <c r="U327" t="s">
        <v>5180</v>
      </c>
      <c r="V327" t="str">
        <f t="shared" si="57"/>
        <v>NF/64307150_20260303_nf_01.pdf</v>
      </c>
      <c r="W327" s="32" t="str">
        <f t="shared" si="51"/>
        <v>NF - O LEÃO HUMILDE</v>
      </c>
      <c r="X327" t="s">
        <v>5591</v>
      </c>
    </row>
    <row r="328" spans="1:24" x14ac:dyDescent="0.25">
      <c r="A328" t="str">
        <f>CONCATENATE(D328,"_",TEXT(M328,"ddmmaaaa"),"_",COUNTIF($D$2:D328,D328))</f>
        <v>438849790001-10_03032026_2</v>
      </c>
      <c r="B328" t="str">
        <f>CONCATENATE(Analise!D328,"_",COUNTIF(Analise!$D$2:D328,Analise!D328)-1)</f>
        <v>438849790001-10_1</v>
      </c>
      <c r="C328" s="34">
        <f>COUNTIF('Obras e Acervos'!$C:$C,CONCATENATE(LEFT(D328,12),RIGHT(D328,2)))</f>
        <v>2</v>
      </c>
      <c r="D328" s="35" t="s">
        <v>4534</v>
      </c>
      <c r="E328" t="str">
        <f>VLOOKUP($B328,'Obras e Acervos'!$B:$X,3,0)</f>
        <v>EDITORA FLORESCENDO LTDA-FLORESCENDO</v>
      </c>
      <c r="F328" t="str">
        <f>VLOOKUP($B328,'Obras e Acervos'!$B:$X,7,0)</f>
        <v>1067L23000030LE</v>
      </c>
      <c r="G328" t="str">
        <f>VLOOKUP($B328,'Obras e Acervos'!$B:$X,5,0)</f>
        <v>O MENINO SÓ</v>
      </c>
      <c r="H328">
        <f>VLOOKUP($B328,'Obras e Acervos'!$B:$X,18,0)</f>
        <v>10</v>
      </c>
      <c r="I328">
        <f>VLOOKUP($B328,'Obras e Acervos'!$B:$X,19,0)</f>
        <v>33298</v>
      </c>
      <c r="J328" s="42">
        <f>VLOOKUP($B328,'Obras e Acervos'!$B:$X,20,0)</f>
        <v>4128.9520000000002</v>
      </c>
      <c r="K328" s="31">
        <f>VLOOKUP($B328,'Obras e Acervos'!$B:$X,21,0)</f>
        <v>6.83</v>
      </c>
      <c r="L328" s="31">
        <f t="shared" si="53"/>
        <v>227425.34</v>
      </c>
      <c r="M328" s="1">
        <v>46084</v>
      </c>
      <c r="N328" s="1">
        <f t="shared" si="52"/>
        <v>46305</v>
      </c>
      <c r="O328">
        <f t="shared" si="54"/>
        <v>222</v>
      </c>
      <c r="P328" s="49">
        <f t="shared" si="50"/>
        <v>7.4</v>
      </c>
      <c r="Q328" s="34">
        <f>VLOOKUP($G328,Agendamento!$B:$F,5,0)</f>
        <v>5</v>
      </c>
      <c r="R328" s="36">
        <f t="shared" si="55"/>
        <v>34</v>
      </c>
      <c r="S328" s="44">
        <v>2.5499999999999998</v>
      </c>
      <c r="T328" s="44">
        <f t="shared" si="56"/>
        <v>19247.399999999998</v>
      </c>
      <c r="U328" t="s">
        <v>5181</v>
      </c>
      <c r="V328" t="str">
        <f t="shared" si="57"/>
        <v>NF/64307150_20260303_nf_03.pdf</v>
      </c>
      <c r="W328" s="32" t="str">
        <f t="shared" si="51"/>
        <v>NF - O MENINO SÓ</v>
      </c>
      <c r="X328" t="s">
        <v>5591</v>
      </c>
    </row>
    <row r="329" spans="1:24" x14ac:dyDescent="0.25">
      <c r="A329" t="str">
        <f>CONCATENATE(D329,"_",TEXT(M329,"ddmmaaaa"),"_",COUNTIF($D$2:D329,D329))</f>
        <v>436808120001-38_03032026_1</v>
      </c>
      <c r="B329" t="str">
        <f>CONCATENATE(Analise!D329,"_",COUNTIF(Analise!$D$2:D329,Analise!D329)+1)</f>
        <v>436808120001-38_2</v>
      </c>
      <c r="C329" s="34">
        <f>COUNTIF('Obras e Acervos'!$C:$C,CONCATENATE(LEFT(D329,12),RIGHT(D329,2)))</f>
        <v>2</v>
      </c>
      <c r="D329" s="35" t="s">
        <v>4704</v>
      </c>
      <c r="E329" t="str">
        <f>VLOOKUP($B329,'Obras e Acervos'!$B:$X,3,0)</f>
        <v>SABIDURÍA EDITORA LTDA-SABIDURÍA</v>
      </c>
      <c r="F329" t="str">
        <f>VLOOKUP($B329,'Obras e Acervos'!$B:$X,7,0)</f>
        <v>0936L23000020LE</v>
      </c>
      <c r="G329" t="str">
        <f>VLOOKUP($B329,'Obras e Acervos'!$B:$X,5,0)</f>
        <v>MONSTRONÁRIO: MONSTROS E ASSOMBRAÇÕES DO BRASIL DE A A Z</v>
      </c>
      <c r="H329">
        <f>VLOOKUP($B329,'Obras e Acervos'!$B:$X,18,0)</f>
        <v>13</v>
      </c>
      <c r="I329">
        <f>VLOOKUP($B329,'Obras e Acervos'!$B:$X,19,0)</f>
        <v>33696</v>
      </c>
      <c r="J329" s="42">
        <f>VLOOKUP($B329,'Obras e Acervos'!$B:$X,20,0)</f>
        <v>8019.6479999999992</v>
      </c>
      <c r="K329" s="31">
        <f>VLOOKUP($B329,'Obras e Acervos'!$B:$X,21,0)</f>
        <v>12.18</v>
      </c>
      <c r="L329" s="31">
        <f t="shared" si="53"/>
        <v>410417.27999999997</v>
      </c>
      <c r="M329" s="1">
        <v>46084</v>
      </c>
      <c r="N329" s="1">
        <f t="shared" si="52"/>
        <v>46305</v>
      </c>
      <c r="O329">
        <f t="shared" si="54"/>
        <v>222</v>
      </c>
      <c r="P329" s="49">
        <f t="shared" si="50"/>
        <v>7.4</v>
      </c>
      <c r="Q329" s="34">
        <f>VLOOKUP($G329,Agendamento!$B:$F,5,0)</f>
        <v>6</v>
      </c>
      <c r="R329" s="36">
        <f t="shared" si="55"/>
        <v>34</v>
      </c>
      <c r="S329" s="44">
        <v>2.5499999999999998</v>
      </c>
      <c r="T329" s="44">
        <f t="shared" si="56"/>
        <v>19247.399999999998</v>
      </c>
      <c r="U329" t="s">
        <v>5190</v>
      </c>
      <c r="V329" t="str">
        <f t="shared" si="57"/>
        <v>NF/64307150_20260303_nf_04.pdf</v>
      </c>
      <c r="W329" s="32" t="str">
        <f t="shared" si="51"/>
        <v>NF - MONSTRONÁRIO: MONSTROS E ASSOMBRAÇÕES DO BRASIL DE A A Z</v>
      </c>
      <c r="X329" t="s">
        <v>5591</v>
      </c>
    </row>
    <row r="330" spans="1:24" x14ac:dyDescent="0.25">
      <c r="A330" t="str">
        <f>CONCATENATE(D330,"_",TEXT(M330,"ddmmaaaa"),"_",COUNTIF($D$2:D330,D330))</f>
        <v>093691040001-42_03032026_2</v>
      </c>
      <c r="B330" t="str">
        <f>CONCATENATE(Analise!D330,"_",COUNTIF(Analise!$D$2:D330,Analise!D330))</f>
        <v>093691040001-42_2</v>
      </c>
      <c r="C330" s="34">
        <f>COUNTIF('Obras e Acervos'!$C:$C,CONCATENATE(LEFT(D330,12),RIGHT(D330,2)))</f>
        <v>2</v>
      </c>
      <c r="D330" s="35" t="s">
        <v>4597</v>
      </c>
      <c r="E330" t="str">
        <f>VLOOKUP($B330,'Obras e Acervos'!$B:$X,3,0)</f>
        <v>AVALIA QUALIDADE EDUCACIONAL LTDA.-AVALIA</v>
      </c>
      <c r="F330" t="str">
        <f>VLOOKUP($B330,'Obras e Acervos'!$B:$X,7,0)</f>
        <v>0573L23000020LE</v>
      </c>
      <c r="G330" t="str">
        <f>VLOOKUP($B330,'Obras e Acervos'!$B:$X,5,0)</f>
        <v>FELPO FILVA</v>
      </c>
      <c r="H330">
        <f>VLOOKUP($B330,'Obras e Acervos'!$B:$X,18,0)</f>
        <v>11</v>
      </c>
      <c r="I330">
        <f>VLOOKUP($B330,'Obras e Acervos'!$B:$X,19,0)</f>
        <v>57965</v>
      </c>
      <c r="J330" s="42">
        <f>VLOOKUP($B330,'Obras e Acervos'!$B:$X,20,0)</f>
        <v>9274.4</v>
      </c>
      <c r="K330" s="31">
        <f>VLOOKUP($B330,'Obras e Acervos'!$B:$X,21,0)</f>
        <v>6.59</v>
      </c>
      <c r="L330" s="31">
        <f t="shared" si="53"/>
        <v>381989.35</v>
      </c>
      <c r="M330" s="1">
        <v>46084</v>
      </c>
      <c r="N330" s="1">
        <f t="shared" si="52"/>
        <v>46305</v>
      </c>
      <c r="O330">
        <f t="shared" si="54"/>
        <v>222</v>
      </c>
      <c r="P330" s="49">
        <f t="shared" si="50"/>
        <v>7.4</v>
      </c>
      <c r="Q330" s="34">
        <f>VLOOKUP($G330,Agendamento!$B:$F,5,0)</f>
        <v>9</v>
      </c>
      <c r="R330" s="36">
        <f t="shared" si="55"/>
        <v>58</v>
      </c>
      <c r="S330" s="44">
        <v>2.5499999999999998</v>
      </c>
      <c r="T330" s="44">
        <f t="shared" si="56"/>
        <v>32833.799999999996</v>
      </c>
      <c r="U330" t="s">
        <v>5202</v>
      </c>
      <c r="V330" t="str">
        <f t="shared" si="57"/>
        <v>NF/64307150_20260303_nf_06.pdf</v>
      </c>
      <c r="W330" s="32" t="str">
        <f t="shared" si="51"/>
        <v>NF - FELPO FILVA</v>
      </c>
      <c r="X330" t="s">
        <v>5591</v>
      </c>
    </row>
    <row r="331" spans="1:24" x14ac:dyDescent="0.25">
      <c r="A331" t="str">
        <f>CONCATENATE(D331,"_",TEXT(M331,"ddmmaaaa"),"_",COUNTIF($D$2:D331,D331))</f>
        <v>086238410002-48_03032026_1</v>
      </c>
      <c r="B331" t="str">
        <f>CONCATENATE(Analise!D331,"_",COUNTIF(Analise!$D$2:D331,Analise!D331)+1)</f>
        <v>086238410002-48_2</v>
      </c>
      <c r="C331" s="34">
        <f>COUNTIF('Obras e Acervos'!$C:$C,CONCATENATE(LEFT(D331,12),RIGHT(D331,2)))</f>
        <v>2</v>
      </c>
      <c r="D331" s="35" t="s">
        <v>4706</v>
      </c>
      <c r="E331" t="str">
        <f>VLOOKUP($B331,'Obras e Acervos'!$B:$X,3,0)</f>
        <v>RICHMOND EDUCAÇÃO LTDA. -RICHMOND</v>
      </c>
      <c r="F331" t="str">
        <f>VLOOKUP($B331,'Obras e Acervos'!$B:$X,7,0)</f>
        <v>0689L23000020LE</v>
      </c>
      <c r="G331" t="str">
        <f>VLOOKUP($B331,'Obras e Acervos'!$B:$X,5,0)</f>
        <v>MANIA DE EXPLICAÇÃO</v>
      </c>
      <c r="H331">
        <f>VLOOKUP($B331,'Obras e Acervos'!$B:$X,18,0)</f>
        <v>12</v>
      </c>
      <c r="I331">
        <f>VLOOKUP($B331,'Obras e Acervos'!$B:$X,19,0)</f>
        <v>36857</v>
      </c>
      <c r="J331" s="42">
        <f>VLOOKUP($B331,'Obras e Acervos'!$B:$X,20,0)</f>
        <v>5897.12</v>
      </c>
      <c r="K331" s="31">
        <f>VLOOKUP($B331,'Obras e Acervos'!$B:$X,21,0)</f>
        <v>8.3699999999999992</v>
      </c>
      <c r="L331" s="31">
        <f t="shared" si="53"/>
        <v>308493.08999999997</v>
      </c>
      <c r="M331" s="1">
        <v>46084</v>
      </c>
      <c r="N331" s="1">
        <f t="shared" si="52"/>
        <v>46305</v>
      </c>
      <c r="O331">
        <f t="shared" si="54"/>
        <v>222</v>
      </c>
      <c r="P331" s="49">
        <f t="shared" si="50"/>
        <v>7.4</v>
      </c>
      <c r="Q331" s="34">
        <f>VLOOKUP($G331,Agendamento!$B:$F,5,0)</f>
        <v>6</v>
      </c>
      <c r="R331" s="36">
        <f t="shared" si="55"/>
        <v>37</v>
      </c>
      <c r="S331" s="44">
        <v>2.5499999999999998</v>
      </c>
      <c r="T331" s="44">
        <f t="shared" si="56"/>
        <v>20945.699999999997</v>
      </c>
      <c r="U331" t="s">
        <v>5195</v>
      </c>
      <c r="V331" t="str">
        <f t="shared" si="57"/>
        <v>NF/64307150_20260303_nf_07.pdf</v>
      </c>
      <c r="W331" s="32" t="str">
        <f t="shared" si="51"/>
        <v>NF - MANIA DE EXPLICAÇÃO</v>
      </c>
      <c r="X331" t="s">
        <v>5591</v>
      </c>
    </row>
    <row r="332" spans="1:24" x14ac:dyDescent="0.25">
      <c r="A332" t="str">
        <f>CONCATENATE(D332,"_",TEXT(M332,"ddmmaaaa"),"_",COUNTIF($D$2:D332,D332))</f>
        <v>433913490001-04_03032026_1</v>
      </c>
      <c r="B332" t="str">
        <f>CONCATENATE(Analise!D332,"_",COUNTIF(Analise!$D$2:D332,Analise!D332))</f>
        <v>433913490001-04_1</v>
      </c>
      <c r="C332" s="34">
        <f>COUNTIF('Obras e Acervos'!$C:$C,CONCATENATE(LEFT(D332,12),RIGHT(D332,2)))</f>
        <v>2</v>
      </c>
      <c r="D332" s="35" t="s">
        <v>4712</v>
      </c>
      <c r="E332" t="str">
        <f>VLOOKUP($B332,'Obras e Acervos'!$B:$X,3,0)</f>
        <v>HIPACIA EDITORA LTDA-HIPACIA EDITORA</v>
      </c>
      <c r="F332" t="str">
        <f>VLOOKUP($B332,'Obras e Acervos'!$B:$X,7,0)</f>
        <v>1120L23000030LE</v>
      </c>
      <c r="G332" t="str">
        <f>VLOOKUP($B332,'Obras e Acervos'!$B:$X,5,0)</f>
        <v>HISTÓRIAS EM QUADRINHAS</v>
      </c>
      <c r="H332">
        <f>VLOOKUP($B332,'Obras e Acervos'!$B:$X,18,0)</f>
        <v>6</v>
      </c>
      <c r="I332">
        <f>VLOOKUP($B332,'Obras e Acervos'!$B:$X,19,0)</f>
        <v>38780</v>
      </c>
      <c r="J332" s="42">
        <f>VLOOKUP($B332,'Obras e Acervos'!$B:$X,20,0)</f>
        <v>2637.04</v>
      </c>
      <c r="K332" s="31">
        <f>VLOOKUP($B332,'Obras e Acervos'!$B:$X,21,0)</f>
        <v>5.48</v>
      </c>
      <c r="L332" s="31">
        <f t="shared" si="53"/>
        <v>212514.40000000002</v>
      </c>
      <c r="M332" s="1">
        <v>46084</v>
      </c>
      <c r="N332" s="1">
        <f t="shared" si="52"/>
        <v>46305</v>
      </c>
      <c r="O332">
        <f t="shared" si="54"/>
        <v>222</v>
      </c>
      <c r="P332" s="49">
        <f t="shared" si="50"/>
        <v>7.4</v>
      </c>
      <c r="Q332" s="34">
        <f>VLOOKUP($G332,Agendamento!$B:$F,5,0)</f>
        <v>5</v>
      </c>
      <c r="R332" s="36">
        <f t="shared" si="55"/>
        <v>39</v>
      </c>
      <c r="S332" s="44">
        <v>2.5499999999999998</v>
      </c>
      <c r="T332" s="44">
        <f t="shared" si="56"/>
        <v>22077.899999999998</v>
      </c>
      <c r="U332" t="s">
        <v>5200</v>
      </c>
      <c r="V332" t="str">
        <f t="shared" si="57"/>
        <v>NF/64307150_20260303_nf_08.pdf</v>
      </c>
      <c r="W332" s="32" t="str">
        <f t="shared" si="51"/>
        <v>NF - HISTÓRIAS EM QUADRINHAS</v>
      </c>
      <c r="X332" t="s">
        <v>5591</v>
      </c>
    </row>
    <row r="333" spans="1:24" x14ac:dyDescent="0.25">
      <c r="A333" t="str">
        <f>CONCATENATE(D333,"_",TEXT(M333,"ddmmaaaa"),"_",COUNTIF($D$2:D333,D333))</f>
        <v>438850670001-63_03032026_2</v>
      </c>
      <c r="B333" t="str">
        <f>CONCATENATE(Analise!D333,"_",COUNTIF(Analise!$D$2:D333,Analise!D333)-1)</f>
        <v>438850670001-63_1</v>
      </c>
      <c r="C333" s="34">
        <f>COUNTIF('Obras e Acervos'!$C:$C,CONCATENATE(LEFT(D333,12),RIGHT(D333,2)))</f>
        <v>2</v>
      </c>
      <c r="D333" s="35" t="s">
        <v>4537</v>
      </c>
      <c r="E333" t="str">
        <f>VLOOKUP($B333,'Obras e Acervos'!$B:$X,3,0)</f>
        <v>EDITORA BIJU LTDA-BIJU</v>
      </c>
      <c r="F333" t="str">
        <f>VLOOKUP($B333,'Obras e Acervos'!$B:$X,7,0)</f>
        <v>1055L23000030LE</v>
      </c>
      <c r="G333" t="str">
        <f>VLOOKUP($B333,'Obras e Acervos'!$B:$X,5,0)</f>
        <v>O MENINO QUE VIROU CARAMUJO</v>
      </c>
      <c r="H333">
        <f>VLOOKUP($B333,'Obras e Acervos'!$B:$X,18,0)</f>
        <v>6</v>
      </c>
      <c r="I333">
        <f>VLOOKUP($B333,'Obras e Acervos'!$B:$X,19,0)</f>
        <v>36947</v>
      </c>
      <c r="J333" s="42">
        <f>VLOOKUP($B333,'Obras e Acervos'!$B:$X,20,0)</f>
        <v>4581.4279999999999</v>
      </c>
      <c r="K333" s="31">
        <f>VLOOKUP($B333,'Obras e Acervos'!$B:$X,21,0)</f>
        <v>6.73</v>
      </c>
      <c r="L333" s="31">
        <f t="shared" si="53"/>
        <v>248653.31000000003</v>
      </c>
      <c r="M333" s="1">
        <v>46084</v>
      </c>
      <c r="N333" s="1">
        <f t="shared" si="52"/>
        <v>46305</v>
      </c>
      <c r="O333">
        <f t="shared" si="54"/>
        <v>222</v>
      </c>
      <c r="P333" s="49">
        <f t="shared" si="50"/>
        <v>7.4</v>
      </c>
      <c r="Q333" s="34">
        <f>VLOOKUP($G333,Agendamento!$B:$F,5,0)</f>
        <v>5</v>
      </c>
      <c r="R333" s="36">
        <f t="shared" si="55"/>
        <v>37</v>
      </c>
      <c r="S333" s="44">
        <v>2.5499999999999998</v>
      </c>
      <c r="T333" s="44">
        <f t="shared" si="56"/>
        <v>20945.699999999997</v>
      </c>
      <c r="U333" t="s">
        <v>5186</v>
      </c>
      <c r="V333" t="str">
        <f t="shared" si="57"/>
        <v>NF/64307150_20260303_nf_09.pdf</v>
      </c>
      <c r="W333" s="32" t="str">
        <f t="shared" si="51"/>
        <v>NF - O MENINO QUE VIROU CARAMUJO</v>
      </c>
      <c r="X333" t="s">
        <v>5591</v>
      </c>
    </row>
    <row r="334" spans="1:24" x14ac:dyDescent="0.25">
      <c r="A334" t="str">
        <f>CONCATENATE(D334,"_",TEXT(M334,"ddmmaaaa"),"_",COUNTIF($D$2:D334,D334))</f>
        <v>438870180001-60_03032026_1</v>
      </c>
      <c r="B334" t="str">
        <f>CONCATENATE(Analise!D334,"_",COUNTIF(Analise!$D$2:D334,Analise!D334))</f>
        <v>438870180001-60_1</v>
      </c>
      <c r="C334" s="34">
        <f>COUNTIF('Obras e Acervos'!$C:$C,CONCATENATE(LEFT(D334,12),RIGHT(D334,2)))</f>
        <v>2</v>
      </c>
      <c r="D334" s="35" t="s">
        <v>4709</v>
      </c>
      <c r="E334" t="str">
        <f>VLOOKUP($B334,'Obras e Acervos'!$B:$X,3,0)</f>
        <v>EDITORA ZIG-ZAG LTDA-ZIG-ZAG</v>
      </c>
      <c r="F334" t="str">
        <f>VLOOKUP($B334,'Obras e Acervos'!$B:$X,7,0)</f>
        <v>1073L23000030LE</v>
      </c>
      <c r="G334" t="str">
        <f>VLOOKUP($B334,'Obras e Acervos'!$B:$X,5,0)</f>
        <v>ABECEDÁRIO (POÉTICO) DAS FRUTAS</v>
      </c>
      <c r="H334">
        <f>VLOOKUP($B334,'Obras e Acervos'!$B:$X,18,0)</f>
        <v>9</v>
      </c>
      <c r="I334">
        <f>VLOOKUP($B334,'Obras e Acervos'!$B:$X,19,0)</f>
        <v>40036</v>
      </c>
      <c r="J334" s="42">
        <f>VLOOKUP($B334,'Obras e Acervos'!$B:$X,20,0)</f>
        <v>4964.4639999999999</v>
      </c>
      <c r="K334" s="31">
        <f>VLOOKUP($B334,'Obras e Acervos'!$B:$X,21,0)</f>
        <v>6.27</v>
      </c>
      <c r="L334" s="31">
        <f t="shared" si="53"/>
        <v>251025.71999999997</v>
      </c>
      <c r="M334" s="1">
        <v>46084</v>
      </c>
      <c r="N334" s="1">
        <f t="shared" si="52"/>
        <v>46305</v>
      </c>
      <c r="O334">
        <f t="shared" si="54"/>
        <v>222</v>
      </c>
      <c r="P334" s="49">
        <f t="shared" si="50"/>
        <v>7.4</v>
      </c>
      <c r="Q334" s="34">
        <f>VLOOKUP($G334,Agendamento!$B:$F,5,0)</f>
        <v>7</v>
      </c>
      <c r="R334" s="36">
        <f t="shared" si="55"/>
        <v>41</v>
      </c>
      <c r="S334" s="44">
        <v>2.5499999999999998</v>
      </c>
      <c r="T334" s="44">
        <f t="shared" si="56"/>
        <v>23210.1</v>
      </c>
      <c r="U334" t="s">
        <v>5196</v>
      </c>
      <c r="V334" t="str">
        <f t="shared" si="57"/>
        <v>NF/64307150_20260303_nf_10.pdf</v>
      </c>
      <c r="W334" s="32" t="str">
        <f t="shared" si="51"/>
        <v>NF - ABECEDÁRIO (POÉTICO) DAS FRUTAS</v>
      </c>
      <c r="X334" t="s">
        <v>5591</v>
      </c>
    </row>
    <row r="335" spans="1:24" x14ac:dyDescent="0.25">
      <c r="A335" t="str">
        <f>CONCATENATE(D335,"_",TEXT(M335,"ddmmaaaa"),"_",COUNTIF($D$2:D335,D335))</f>
        <v>430482200001-06_03032026_2</v>
      </c>
      <c r="B335" t="str">
        <f>CONCATENATE(Analise!D335,"_",COUNTIF(Analise!$D$2:D335,Analise!D335))</f>
        <v>430482200001-06_2</v>
      </c>
      <c r="C335" s="34">
        <f>COUNTIF('Obras e Acervos'!$C:$C,CONCATENATE(LEFT(D335,12),RIGHT(D335,2)))</f>
        <v>2</v>
      </c>
      <c r="D335" s="35" t="s">
        <v>4602</v>
      </c>
      <c r="E335" t="str">
        <f>VLOOKUP($B335,'Obras e Acervos'!$B:$X,3,0)</f>
        <v>EDITORA PITANGUÁ LTDA-PITANGUÁ</v>
      </c>
      <c r="F335" t="str">
        <f>VLOOKUP($B335,'Obras e Acervos'!$B:$X,7,0)</f>
        <v>0891L23000020LE</v>
      </c>
      <c r="G335" t="str">
        <f>VLOOKUP($B335,'Obras e Acervos'!$B:$X,5,0)</f>
        <v>DANIEL NO MUNDO DO SILÊNCIO</v>
      </c>
      <c r="H335">
        <f>VLOOKUP($B335,'Obras e Acervos'!$B:$X,18,0)</f>
        <v>11</v>
      </c>
      <c r="I335">
        <f>VLOOKUP($B335,'Obras e Acervos'!$B:$X,19,0)</f>
        <v>50981</v>
      </c>
      <c r="J335" s="42">
        <f>VLOOKUP($B335,'Obras e Acervos'!$B:$X,20,0)</f>
        <v>8156.96</v>
      </c>
      <c r="K335" s="31">
        <f>VLOOKUP($B335,'Obras e Acervos'!$B:$X,21,0)</f>
        <v>6.67</v>
      </c>
      <c r="L335" s="31">
        <f t="shared" si="53"/>
        <v>340043.27</v>
      </c>
      <c r="M335" s="1">
        <v>46084</v>
      </c>
      <c r="N335" s="1">
        <f t="shared" si="52"/>
        <v>46305</v>
      </c>
      <c r="O335">
        <f t="shared" si="54"/>
        <v>222</v>
      </c>
      <c r="P335" s="49">
        <f t="shared" si="50"/>
        <v>7.4</v>
      </c>
      <c r="Q335" s="34">
        <f>VLOOKUP($G335,Agendamento!$B:$F,5,0)</f>
        <v>8</v>
      </c>
      <c r="R335" s="36">
        <f t="shared" si="55"/>
        <v>51</v>
      </c>
      <c r="S335" s="44">
        <v>2.5499999999999998</v>
      </c>
      <c r="T335" s="44">
        <f t="shared" si="56"/>
        <v>28871.1</v>
      </c>
      <c r="U335" t="s">
        <v>5184</v>
      </c>
      <c r="V335" t="str">
        <f t="shared" si="57"/>
        <v>NF/64307150_20260303_nf_11.pdf</v>
      </c>
      <c r="W335" s="32" t="str">
        <f t="shared" si="51"/>
        <v>NF - DANIEL NO MUNDO DO SILÊNCIO</v>
      </c>
      <c r="X335" t="s">
        <v>5591</v>
      </c>
    </row>
    <row r="336" spans="1:24" x14ac:dyDescent="0.25">
      <c r="A336" t="str">
        <f>CONCATENATE(D336,"_",TEXT(M336,"ddmmaaaa"),"_",COUNTIF($D$2:D336,D336))</f>
        <v>086238410002-48_03032026_2</v>
      </c>
      <c r="B336" t="str">
        <f>CONCATENATE(Analise!D336,"_",COUNTIF(Analise!$D$2:D336,Analise!D336)-1)</f>
        <v>086238410002-48_1</v>
      </c>
      <c r="C336" s="34">
        <f>COUNTIF('Obras e Acervos'!$C:$C,CONCATENATE(LEFT(D336,12),RIGHT(D336,2)))</f>
        <v>2</v>
      </c>
      <c r="D336" s="35" t="s">
        <v>4706</v>
      </c>
      <c r="E336" t="str">
        <f>VLOOKUP($B336,'Obras e Acervos'!$B:$X,3,0)</f>
        <v>RICHMOND EDUCAÇÃO LTDA. -RICHMOND</v>
      </c>
      <c r="F336" t="str">
        <f>VLOOKUP($B336,'Obras e Acervos'!$B:$X,7,0)</f>
        <v>0688L23000030LE</v>
      </c>
      <c r="G336" t="str">
        <f>VLOOKUP($B336,'Obras e Acervos'!$B:$X,5,0)</f>
        <v>SALADA, SALADINHA - PARLENDAS</v>
      </c>
      <c r="H336">
        <f>VLOOKUP($B336,'Obras e Acervos'!$B:$X,18,0)</f>
        <v>3</v>
      </c>
      <c r="I336">
        <f>VLOOKUP($B336,'Obras e Acervos'!$B:$X,19,0)</f>
        <v>60274</v>
      </c>
      <c r="J336" s="42">
        <f>VLOOKUP($B336,'Obras e Acervos'!$B:$X,20,0)</f>
        <v>9643.84</v>
      </c>
      <c r="K336" s="31">
        <f>VLOOKUP($B336,'Obras e Acervos'!$B:$X,21,0)</f>
        <v>6.56</v>
      </c>
      <c r="L336" s="31">
        <f t="shared" si="53"/>
        <v>395397.44</v>
      </c>
      <c r="M336" s="1">
        <v>46084</v>
      </c>
      <c r="N336" s="1">
        <f t="shared" si="52"/>
        <v>46305</v>
      </c>
      <c r="O336">
        <f t="shared" si="54"/>
        <v>222</v>
      </c>
      <c r="P336" s="49">
        <f t="shared" si="50"/>
        <v>7.4</v>
      </c>
      <c r="Q336" s="34">
        <f>VLOOKUP($G336,Agendamento!$B:$F,5,0)</f>
        <v>10</v>
      </c>
      <c r="R336" s="36">
        <f t="shared" si="55"/>
        <v>61</v>
      </c>
      <c r="S336" s="44">
        <v>2.5499999999999998</v>
      </c>
      <c r="T336" s="44">
        <f t="shared" si="56"/>
        <v>34532.1</v>
      </c>
      <c r="U336" t="s">
        <v>5192</v>
      </c>
      <c r="V336" t="str">
        <f t="shared" si="57"/>
        <v>NF/64307150_20260303_nf_12.pdf</v>
      </c>
      <c r="W336" s="32" t="str">
        <f t="shared" si="51"/>
        <v>NF - SALADA, SALADINHA - PARLENDAS</v>
      </c>
      <c r="X336" t="s">
        <v>5591</v>
      </c>
    </row>
    <row r="337" spans="1:24" x14ac:dyDescent="0.25">
      <c r="A337" t="str">
        <f>CONCATENATE(D337,"_",TEXT(M337,"ddmmaaaa"),"_",COUNTIF($D$2:D337,D337))</f>
        <v>111532450001-75_03032026_1</v>
      </c>
      <c r="B337" t="str">
        <f>CONCATENATE(Analise!D337,"_",COUNTIF(Analise!$D$2:D337,Analise!D337))</f>
        <v>111532450001-75_1</v>
      </c>
      <c r="C337" s="34">
        <f>COUNTIF('Obras e Acervos'!$C:$C,CONCATENATE(LEFT(D337,12),RIGHT(D337,2)))</f>
        <v>1</v>
      </c>
      <c r="D337" s="35" t="s">
        <v>4700</v>
      </c>
      <c r="E337" t="str">
        <f>VLOOKUP($B337,'Obras e Acervos'!$B:$X,3,0)</f>
        <v>AMOK SERVIÇOS LTDA ME-AMOK</v>
      </c>
      <c r="F337" t="str">
        <f>VLOOKUP($B337,'Obras e Acervos'!$B:$X,7,0)</f>
        <v>0338L23000020LE</v>
      </c>
      <c r="G337" t="str">
        <f>VLOOKUP($B337,'Obras e Acervos'!$B:$X,5,0)</f>
        <v>SERENA FINITUDE</v>
      </c>
      <c r="H337">
        <f>VLOOKUP($B337,'Obras e Acervos'!$B:$X,18,0)</f>
        <v>17</v>
      </c>
      <c r="I337">
        <f>VLOOKUP($B337,'Obras e Acervos'!$B:$X,19,0)</f>
        <v>26883</v>
      </c>
      <c r="J337" s="42">
        <f>VLOOKUP($B337,'Obras e Acervos'!$B:$X,20,0)</f>
        <v>5645.4299999999994</v>
      </c>
      <c r="K337" s="31">
        <f>VLOOKUP($B337,'Obras e Acervos'!$B:$X,21,0)</f>
        <v>9.25</v>
      </c>
      <c r="L337" s="31">
        <f t="shared" si="53"/>
        <v>248667.75</v>
      </c>
      <c r="M337" s="1">
        <v>46084</v>
      </c>
      <c r="N337" s="1">
        <f t="shared" si="52"/>
        <v>46305</v>
      </c>
      <c r="O337">
        <f t="shared" si="54"/>
        <v>222</v>
      </c>
      <c r="P337" s="49">
        <f t="shared" si="50"/>
        <v>7.4</v>
      </c>
      <c r="Q337" s="34">
        <f>VLOOKUP($G337,Agendamento!$B:$F,5,0)</f>
        <v>5</v>
      </c>
      <c r="R337" s="36">
        <f t="shared" si="55"/>
        <v>27</v>
      </c>
      <c r="S337" s="44">
        <v>2.5499999999999998</v>
      </c>
      <c r="T337" s="44">
        <f t="shared" si="56"/>
        <v>15284.699999999999</v>
      </c>
      <c r="U337" t="s">
        <v>5182</v>
      </c>
      <c r="V337" t="str">
        <f t="shared" si="57"/>
        <v>NF/64307150_20260303_nf_13.pdf</v>
      </c>
      <c r="W337" s="32" t="str">
        <f t="shared" si="51"/>
        <v>NF - SERENA FINITUDE</v>
      </c>
      <c r="X337" t="s">
        <v>5591</v>
      </c>
    </row>
    <row r="338" spans="1:24" x14ac:dyDescent="0.25">
      <c r="A338" t="str">
        <f>CONCATENATE(D338,"_",TEXT(M338,"ddmmaaaa"),"_",COUNTIF($D$2:D338,D338))</f>
        <v>442905940001-98_03032026_1</v>
      </c>
      <c r="B338" t="str">
        <f>CONCATENATE(Analise!D338,"_",COUNTIF(Analise!$D$2:D338,Analise!D338)+1)</f>
        <v>442905940001-98_2</v>
      </c>
      <c r="C338" s="34">
        <f>COUNTIF('Obras e Acervos'!$C:$C,CONCATENATE(LEFT(D338,12),RIGHT(D338,2)))</f>
        <v>2</v>
      </c>
      <c r="D338" s="35" t="s">
        <v>4711</v>
      </c>
      <c r="E338" t="str">
        <f>VLOOKUP($B338,'Obras e Acervos'!$B:$X,3,0)</f>
        <v>ALETRIA CONTOS E OUTRAS HISTORIAS LTDA -ALEGRIÔ EDIÇÕES</v>
      </c>
      <c r="F338" t="str">
        <f>VLOOKUP($B338,'Obras e Acervos'!$B:$X,7,0)</f>
        <v>1133L23000020LE</v>
      </c>
      <c r="G338" t="str">
        <f>VLOOKUP($B338,'Obras e Acervos'!$B:$X,5,0)</f>
        <v>O CÉU DO BAOBÁ</v>
      </c>
      <c r="H338">
        <f>VLOOKUP($B338,'Obras e Acervos'!$B:$X,18,0)</f>
        <v>17</v>
      </c>
      <c r="I338">
        <f>VLOOKUP($B338,'Obras e Acervos'!$B:$X,19,0)</f>
        <v>31868</v>
      </c>
      <c r="J338" s="42">
        <f>VLOOKUP($B338,'Obras e Acervos'!$B:$X,20,0)</f>
        <v>8285.68</v>
      </c>
      <c r="K338" s="31">
        <f>VLOOKUP($B338,'Obras e Acervos'!$B:$X,21,0)</f>
        <v>8.73</v>
      </c>
      <c r="L338" s="31">
        <f t="shared" si="53"/>
        <v>278207.64</v>
      </c>
      <c r="M338" s="1">
        <v>46084</v>
      </c>
      <c r="N338" s="1">
        <f t="shared" si="52"/>
        <v>46305</v>
      </c>
      <c r="O338">
        <f t="shared" si="54"/>
        <v>222</v>
      </c>
      <c r="P338" s="49">
        <f t="shared" si="50"/>
        <v>7.4</v>
      </c>
      <c r="Q338" s="34">
        <f>VLOOKUP($G338,Agendamento!$B:$F,5,0)</f>
        <v>6</v>
      </c>
      <c r="R338" s="36">
        <f t="shared" si="55"/>
        <v>32</v>
      </c>
      <c r="S338" s="44">
        <v>2.5499999999999998</v>
      </c>
      <c r="T338" s="44">
        <f t="shared" si="56"/>
        <v>18115.199999999997</v>
      </c>
      <c r="U338" t="s">
        <v>5199</v>
      </c>
      <c r="V338" t="str">
        <f t="shared" si="57"/>
        <v>NF/64307150_20260303_nf_15.pdf</v>
      </c>
      <c r="W338" s="32" t="str">
        <f t="shared" si="51"/>
        <v>NF - O CÉU DO BAOBÁ</v>
      </c>
      <c r="X338" t="s">
        <v>5591</v>
      </c>
    </row>
    <row r="339" spans="1:24" x14ac:dyDescent="0.25">
      <c r="A339" t="str">
        <f>CONCATENATE(D339,"_",TEXT(M339,"ddmmaaaa"),"_",COUNTIF($D$2:D339,D339))</f>
        <v>387460380001-80_03032026_2</v>
      </c>
      <c r="B339" t="str">
        <f>CONCATENATE(Analise!D339,"_",COUNTIF(Analise!$D$2:D339,Analise!D339))</f>
        <v>387460380001-80_2</v>
      </c>
      <c r="C339" s="34">
        <f>COUNTIF('Obras e Acervos'!$C:$C,CONCATENATE(LEFT(D339,12),RIGHT(D339,2)))</f>
        <v>2</v>
      </c>
      <c r="D339" s="35" t="s">
        <v>4495</v>
      </c>
      <c r="E339" t="str">
        <f>VLOOKUP($B339,'Obras e Acervos'!$B:$X,3,0)</f>
        <v>EDITORA GUTENBERG LTDA.-GUTENBERG</v>
      </c>
      <c r="F339" t="str">
        <f>VLOOKUP($B339,'Obras e Acervos'!$B:$X,7,0)</f>
        <v>0721L23000020LE</v>
      </c>
      <c r="G339" t="str">
        <f>VLOOKUP($B339,'Obras e Acervos'!$B:$X,5,0)</f>
        <v>O GAROTO DA CAMISA VERMELHA</v>
      </c>
      <c r="H339">
        <f>VLOOKUP($B339,'Obras e Acervos'!$B:$X,18,0)</f>
        <v>15</v>
      </c>
      <c r="I339">
        <f>VLOOKUP($B339,'Obras e Acervos'!$B:$X,19,0)</f>
        <v>39427</v>
      </c>
      <c r="J339" s="42">
        <f>VLOOKUP($B339,'Obras e Acervos'!$B:$X,20,0)</f>
        <v>3390.7219999999998</v>
      </c>
      <c r="K339" s="31">
        <f>VLOOKUP($B339,'Obras e Acervos'!$B:$X,21,0)</f>
        <v>4.63</v>
      </c>
      <c r="L339" s="31">
        <f t="shared" si="53"/>
        <v>182547.01</v>
      </c>
      <c r="M339" s="1">
        <v>46084</v>
      </c>
      <c r="N339" s="1">
        <f t="shared" si="52"/>
        <v>46305</v>
      </c>
      <c r="O339">
        <f t="shared" si="54"/>
        <v>222</v>
      </c>
      <c r="P339" s="49">
        <f t="shared" si="50"/>
        <v>7.4</v>
      </c>
      <c r="Q339" s="34">
        <f>VLOOKUP($G339,Agendamento!$B:$F,5,0)</f>
        <v>4</v>
      </c>
      <c r="R339" s="36">
        <f t="shared" si="55"/>
        <v>40</v>
      </c>
      <c r="S339" s="44">
        <v>2.5499999999999998</v>
      </c>
      <c r="T339" s="44">
        <f t="shared" si="56"/>
        <v>22644</v>
      </c>
      <c r="U339" t="s">
        <v>5183</v>
      </c>
      <c r="V339" t="str">
        <f t="shared" si="57"/>
        <v>NF/64307150_20260303_nf_17.pdf</v>
      </c>
      <c r="W339" s="32" t="str">
        <f t="shared" si="51"/>
        <v>NF - O GAROTO DA CAMISA VERMELHA</v>
      </c>
      <c r="X339" t="s">
        <v>5591</v>
      </c>
    </row>
    <row r="340" spans="1:24" x14ac:dyDescent="0.25">
      <c r="A340" t="str">
        <f>CONCATENATE(D340,"_",TEXT(M340,"ddmmaaaa"),"_",COUNTIF($D$2:D340,D340))</f>
        <v>433990010001-63_03032026_2</v>
      </c>
      <c r="B340" t="str">
        <f>CONCATENATE(Analise!D340,"_",COUNTIF(Analise!$D$2:D340,Analise!D340)-1)</f>
        <v>433990010001-63_1</v>
      </c>
      <c r="C340" s="34">
        <f>COUNTIF('Obras e Acervos'!$C:$C,CONCATENATE(LEFT(D340,12),RIGHT(D340,2)))</f>
        <v>2</v>
      </c>
      <c r="D340" s="35" t="s">
        <v>4509</v>
      </c>
      <c r="E340" t="str">
        <f>VLOOKUP($B340,'Obras e Acervos'!$B:$X,3,0)</f>
        <v>MARTHA EDITORA LTDA-MARTHA EDITORA</v>
      </c>
      <c r="F340" t="str">
        <f>VLOOKUP($B340,'Obras e Acervos'!$B:$X,7,0)</f>
        <v>0481L23000030LE</v>
      </c>
      <c r="G340" t="str">
        <f>VLOOKUP($B340,'Obras e Acervos'!$B:$X,5,0)</f>
        <v>CATACRESES DOIDINHAS</v>
      </c>
      <c r="H340">
        <f>VLOOKUP($B340,'Obras e Acervos'!$B:$X,18,0)</f>
        <v>8</v>
      </c>
      <c r="I340">
        <f>VLOOKUP($B340,'Obras e Acervos'!$B:$X,19,0)</f>
        <v>35346</v>
      </c>
      <c r="J340" s="42">
        <f>VLOOKUP($B340,'Obras e Acervos'!$B:$X,20,0)</f>
        <v>3004.4100000000003</v>
      </c>
      <c r="K340" s="31">
        <f>VLOOKUP($B340,'Obras e Acervos'!$B:$X,21,0)</f>
        <v>5</v>
      </c>
      <c r="L340" s="31">
        <f t="shared" si="53"/>
        <v>176730</v>
      </c>
      <c r="M340" s="1">
        <v>46084</v>
      </c>
      <c r="N340" s="1">
        <f t="shared" si="52"/>
        <v>46305</v>
      </c>
      <c r="O340">
        <f t="shared" si="54"/>
        <v>222</v>
      </c>
      <c r="P340" s="49">
        <f t="shared" si="50"/>
        <v>7.4</v>
      </c>
      <c r="Q340" s="34">
        <f>VLOOKUP($G340,Agendamento!$B:$F,5,0)</f>
        <v>4</v>
      </c>
      <c r="R340" s="36">
        <f t="shared" si="55"/>
        <v>36</v>
      </c>
      <c r="S340" s="44">
        <v>2.5499999999999998</v>
      </c>
      <c r="T340" s="44">
        <f t="shared" si="56"/>
        <v>20379.599999999999</v>
      </c>
      <c r="U340" t="s">
        <v>5198</v>
      </c>
      <c r="V340" t="str">
        <f t="shared" si="57"/>
        <v>NF/64307150_20260303_nf_18.pdf</v>
      </c>
      <c r="W340" s="32" t="str">
        <f t="shared" si="51"/>
        <v>NF - CATACRESES DOIDINHAS</v>
      </c>
      <c r="X340" t="s">
        <v>5591</v>
      </c>
    </row>
    <row r="341" spans="1:24" x14ac:dyDescent="0.25">
      <c r="A341" t="str">
        <f>CONCATENATE(D341,"_",TEXT(M341,"ddmmaaaa"),"_",COUNTIF($D$2:D341,D341))</f>
        <v>265521640001-15_03032026_1</v>
      </c>
      <c r="B341" t="str">
        <f>CONCATENATE(Analise!D341,"_",COUNTIF(Analise!$D$2:D341,Analise!D341))</f>
        <v>265521640001-15_1</v>
      </c>
      <c r="C341" s="34">
        <f>COUNTIF('Obras e Acervos'!$C:$C,CONCATENATE(LEFT(D341,12),RIGHT(D341,2)))</f>
        <v>1</v>
      </c>
      <c r="D341" s="35" t="s">
        <v>4702</v>
      </c>
      <c r="E341" t="str">
        <f>VLOOKUP($B341,'Obras e Acervos'!$B:$X,3,0)</f>
        <v>TERCETTO CULTURAL LTDA-MVMIX CULTURAL</v>
      </c>
      <c r="F341" t="str">
        <f>VLOOKUP($B341,'Obras e Acervos'!$B:$X,7,0)</f>
        <v>0305L23000030LE</v>
      </c>
      <c r="G341" t="str">
        <f>VLOOKUP($B341,'Obras e Acervos'!$B:$X,5,0)</f>
        <v>SENHOR RELÓGIO</v>
      </c>
      <c r="H341">
        <f>VLOOKUP($B341,'Obras e Acervos'!$B:$X,18,0)</f>
        <v>1</v>
      </c>
      <c r="I341">
        <f>VLOOKUP($B341,'Obras e Acervos'!$B:$X,19,0)</f>
        <v>52701</v>
      </c>
      <c r="J341" s="42">
        <f>VLOOKUP($B341,'Obras e Acervos'!$B:$X,20,0)</f>
        <v>6324.12</v>
      </c>
      <c r="K341" s="31">
        <f>VLOOKUP($B341,'Obras e Acervos'!$B:$X,21,0)</f>
        <v>4.97</v>
      </c>
      <c r="L341" s="31">
        <f t="shared" si="53"/>
        <v>261923.97</v>
      </c>
      <c r="M341" s="1">
        <v>46084</v>
      </c>
      <c r="N341" s="1">
        <f t="shared" si="52"/>
        <v>46305</v>
      </c>
      <c r="O341">
        <f t="shared" si="54"/>
        <v>222</v>
      </c>
      <c r="P341" s="49">
        <f t="shared" si="50"/>
        <v>7.4</v>
      </c>
      <c r="Q341" s="34">
        <f>VLOOKUP($G341,Agendamento!$B:$F,5,0)</f>
        <v>7</v>
      </c>
      <c r="R341" s="36">
        <f t="shared" si="55"/>
        <v>53</v>
      </c>
      <c r="S341" s="44">
        <v>2.5499999999999998</v>
      </c>
      <c r="T341" s="44">
        <f t="shared" si="56"/>
        <v>30003.3</v>
      </c>
      <c r="U341" t="s">
        <v>5188</v>
      </c>
      <c r="V341" t="str">
        <f t="shared" si="57"/>
        <v>NF/64307150_20260303_nf_19.pdf</v>
      </c>
      <c r="W341" s="32" t="str">
        <f t="shared" si="51"/>
        <v>NF - SENHOR RELÓGIO</v>
      </c>
      <c r="X341" t="s">
        <v>5591</v>
      </c>
    </row>
    <row r="342" spans="1:24" x14ac:dyDescent="0.25">
      <c r="A342" t="str">
        <f>CONCATENATE(D342,"_",TEXT(M342,"ddmmaaaa"),"_",COUNTIF($D$2:D342,D342))</f>
        <v>410340580001-33_03032026_1</v>
      </c>
      <c r="B342" t="str">
        <f>CONCATENATE(Analise!D342,"_",COUNTIF(Analise!$D$2:D342,Analise!D342))</f>
        <v>410340580001-33_1</v>
      </c>
      <c r="C342" s="34">
        <f>COUNTIF('Obras e Acervos'!$C:$C,CONCATENATE(LEFT(D342,12),RIGHT(D342,2)))</f>
        <v>2</v>
      </c>
      <c r="D342" s="35" t="s">
        <v>4703</v>
      </c>
      <c r="E342" t="str">
        <f>VLOOKUP($B342,'Obras e Acervos'!$B:$X,3,0)</f>
        <v>BIZU EDITORIAL LTDA-BIZU</v>
      </c>
      <c r="F342" t="str">
        <f>VLOOKUP($B342,'Obras e Acervos'!$B:$X,7,0)</f>
        <v>0462L23000030LE</v>
      </c>
      <c r="G342" t="str">
        <f>VLOOKUP($B342,'Obras e Acervos'!$B:$X,5,0)</f>
        <v>BRILHANTE</v>
      </c>
      <c r="H342">
        <f>VLOOKUP($B342,'Obras e Acervos'!$B:$X,18,0)</f>
        <v>7</v>
      </c>
      <c r="I342">
        <f>VLOOKUP($B342,'Obras e Acervos'!$B:$X,19,0)</f>
        <v>33298</v>
      </c>
      <c r="J342" s="42">
        <f>VLOOKUP($B342,'Obras e Acervos'!$B:$X,20,0)</f>
        <v>3995.7599999999998</v>
      </c>
      <c r="K342" s="31">
        <f>VLOOKUP($B342,'Obras e Acervos'!$B:$X,21,0)</f>
        <v>5.91</v>
      </c>
      <c r="L342" s="31">
        <f t="shared" si="53"/>
        <v>196791.18</v>
      </c>
      <c r="M342" s="1">
        <v>46084</v>
      </c>
      <c r="N342" s="1">
        <f t="shared" si="52"/>
        <v>46305</v>
      </c>
      <c r="O342">
        <f t="shared" si="54"/>
        <v>222</v>
      </c>
      <c r="P342" s="49">
        <f t="shared" si="50"/>
        <v>7.4</v>
      </c>
      <c r="Q342" s="34">
        <f>VLOOKUP($G342,Agendamento!$B:$F,5,0)</f>
        <v>5</v>
      </c>
      <c r="R342" s="36">
        <f t="shared" si="55"/>
        <v>34</v>
      </c>
      <c r="S342" s="44">
        <v>2.5499999999999998</v>
      </c>
      <c r="T342" s="44">
        <f t="shared" si="56"/>
        <v>19247.399999999998</v>
      </c>
      <c r="U342" t="s">
        <v>5189</v>
      </c>
      <c r="V342" t="str">
        <f t="shared" si="57"/>
        <v>NF/64307150_20260303_nf_20.pdf</v>
      </c>
      <c r="W342" s="32" t="str">
        <f t="shared" si="51"/>
        <v>NF - BRILHANTE</v>
      </c>
      <c r="X342" t="s">
        <v>5591</v>
      </c>
    </row>
    <row r="343" spans="1:24" x14ac:dyDescent="0.25">
      <c r="A343" t="str">
        <f>CONCATENATE(D343,"_",TEXT(M343,"ddmmaaaa"),"_",COUNTIF($D$2:D343,D343))</f>
        <v>314849740001-11_03032026_1</v>
      </c>
      <c r="B343" t="str">
        <f>CONCATENATE(Analise!D343,"_",COUNTIF(Analise!$D$2:D343,Analise!D343))</f>
        <v>314849740001-11_1</v>
      </c>
      <c r="C343" s="34">
        <f>COUNTIF('Obras e Acervos'!$C:$C,CONCATENATE(LEFT(D343,12),RIGHT(D343,2)))</f>
        <v>2</v>
      </c>
      <c r="D343" s="35" t="s">
        <v>4705</v>
      </c>
      <c r="E343" t="str">
        <f>VLOOKUP($B343,'Obras e Acervos'!$B:$X,3,0)</f>
        <v>AMARE EDITORA LTDA-AMARE</v>
      </c>
      <c r="F343" t="str">
        <f>VLOOKUP($B343,'Obras e Acervos'!$B:$X,7,0)</f>
        <v>0633L23000030LE</v>
      </c>
      <c r="G343" t="str">
        <f>VLOOKUP($B343,'Obras e Acervos'!$B:$X,5,0)</f>
        <v>O RATINHO QUE NÃO GOSTAVA DE QUEIJO</v>
      </c>
      <c r="H343">
        <f>VLOOKUP($B343,'Obras e Acervos'!$B:$X,18,0)</f>
        <v>8</v>
      </c>
      <c r="I343">
        <f>VLOOKUP($B343,'Obras e Acervos'!$B:$X,19,0)</f>
        <v>33089</v>
      </c>
      <c r="J343" s="42">
        <f>VLOOKUP($B343,'Obras e Acervos'!$B:$X,20,0)</f>
        <v>5989.1089999999995</v>
      </c>
      <c r="K343" s="31">
        <f>VLOOKUP($B343,'Obras e Acervos'!$B:$X,21,0)</f>
        <v>9.51</v>
      </c>
      <c r="L343" s="31">
        <f t="shared" si="53"/>
        <v>314676.39</v>
      </c>
      <c r="M343" s="1">
        <v>46084</v>
      </c>
      <c r="N343" s="1">
        <f t="shared" si="52"/>
        <v>46305</v>
      </c>
      <c r="O343">
        <f t="shared" si="54"/>
        <v>222</v>
      </c>
      <c r="P343" s="49">
        <f t="shared" si="50"/>
        <v>7.4</v>
      </c>
      <c r="Q343" s="34">
        <f>VLOOKUP($G343,Agendamento!$B:$F,5,0)</f>
        <v>8</v>
      </c>
      <c r="R343" s="36">
        <f t="shared" si="55"/>
        <v>34</v>
      </c>
      <c r="S343" s="44">
        <v>2.5499999999999998</v>
      </c>
      <c r="T343" s="44">
        <f t="shared" si="56"/>
        <v>19247.399999999998</v>
      </c>
      <c r="U343" t="s">
        <v>5191</v>
      </c>
      <c r="V343" t="str">
        <f t="shared" si="57"/>
        <v>NF/64307150_20260303_nf_21.pdf</v>
      </c>
      <c r="W343" s="32" t="str">
        <f t="shared" si="51"/>
        <v>NF - O RATINHO QUE NÃO GOSTAVA DE QUEIJO</v>
      </c>
      <c r="X343" t="s">
        <v>5591</v>
      </c>
    </row>
    <row r="344" spans="1:24" x14ac:dyDescent="0.25">
      <c r="A344" t="str">
        <f>CONCATENATE(D344,"_",TEXT(M344,"ddmmaaaa"),"_",COUNTIF($D$2:D344,D344))</f>
        <v>581223180001-25_03032026_1</v>
      </c>
      <c r="B344" t="str">
        <f>CONCATENATE(Analise!D344,"_",COUNTIF(Analise!$D$2:D344,Analise!D344)+1)</f>
        <v>581223180001-25_2</v>
      </c>
      <c r="C344" s="34">
        <f>COUNTIF('Obras e Acervos'!$C:$C,CONCATENATE(LEFT(D344,12),RIGHT(D344,2)))</f>
        <v>2</v>
      </c>
      <c r="D344" s="35" t="s">
        <v>4701</v>
      </c>
      <c r="E344" t="str">
        <f>VLOOKUP($B344,'Obras e Acervos'!$B:$X,3,0)</f>
        <v>EDITORA ILUMINURAS LTDA-ILUMINURAS</v>
      </c>
      <c r="F344" t="str">
        <f>VLOOKUP($B344,'Obras e Acervos'!$B:$X,7,0)</f>
        <v>1350L23000020LE</v>
      </c>
      <c r="G344" t="str">
        <f>VLOOKUP($B344,'Obras e Acervos'!$B:$X,5,0)</f>
        <v>AS AVENTURAS DO BARÃO DE MUNCHAUSEN</v>
      </c>
      <c r="H344">
        <f>VLOOKUP($B344,'Obras e Acervos'!$B:$X,18,0)</f>
        <v>19</v>
      </c>
      <c r="I344">
        <f>VLOOKUP($B344,'Obras e Acervos'!$B:$X,19,0)</f>
        <v>24346</v>
      </c>
      <c r="J344" s="42">
        <f>VLOOKUP($B344,'Obras e Acervos'!$B:$X,20,0)</f>
        <v>2434.6</v>
      </c>
      <c r="K344" s="31">
        <f>VLOOKUP($B344,'Obras e Acervos'!$B:$X,21,0)</f>
        <v>26.78</v>
      </c>
      <c r="L344" s="31">
        <f t="shared" si="53"/>
        <v>651985.88</v>
      </c>
      <c r="M344" s="1">
        <v>46084</v>
      </c>
      <c r="N344" s="1">
        <f t="shared" si="52"/>
        <v>46305</v>
      </c>
      <c r="O344">
        <f t="shared" si="54"/>
        <v>222</v>
      </c>
      <c r="P344" s="49">
        <f t="shared" si="50"/>
        <v>7.4</v>
      </c>
      <c r="Q344" s="34">
        <f>VLOOKUP($G344,Agendamento!$B:$F,5,0)</f>
        <v>5</v>
      </c>
      <c r="R344" s="36">
        <f t="shared" si="55"/>
        <v>25</v>
      </c>
      <c r="S344" s="44">
        <v>2.5499999999999998</v>
      </c>
      <c r="T344" s="44">
        <f t="shared" si="56"/>
        <v>14152.499999999998</v>
      </c>
      <c r="U344" t="s">
        <v>5187</v>
      </c>
      <c r="V344" t="str">
        <f t="shared" si="57"/>
        <v>NF/64307150_20260303_nf_23.pdf</v>
      </c>
      <c r="W344" s="32" t="str">
        <f t="shared" si="51"/>
        <v>NF - AS AVENTURAS DO BARÃO DE MUNCHAUSEN</v>
      </c>
      <c r="X344" t="s">
        <v>5591</v>
      </c>
    </row>
    <row r="345" spans="1:24" x14ac:dyDescent="0.25">
      <c r="A345" t="str">
        <f>CONCATENATE(D345,"_",TEXT(M345,"ddmmaaaa"),"_",COUNTIF($D$2:D345,D345))</f>
        <v>061813040001-89_03032026_1</v>
      </c>
      <c r="B345" t="str">
        <f>CONCATENATE(Analise!D345,"_",COUNTIF(Analise!$D$2:D345,Analise!D345))</f>
        <v>061813040001-89_1</v>
      </c>
      <c r="C345" s="34">
        <f>COUNTIF('Obras e Acervos'!$C:$C,CONCATENATE(LEFT(D345,12),RIGHT(D345,2)))</f>
        <v>2</v>
      </c>
      <c r="D345" s="35" t="s">
        <v>4710</v>
      </c>
      <c r="E345" t="str">
        <f>VLOOKUP($B345,'Obras e Acervos'!$B:$X,3,0)</f>
        <v>JOANINHA EDICOES E GRAFICA LTDA-JOANINHA</v>
      </c>
      <c r="F345" t="str">
        <f>VLOOKUP($B345,'Obras e Acervos'!$B:$X,7,0)</f>
        <v>0347L23000030LE</v>
      </c>
      <c r="G345" t="str">
        <f>VLOOKUP($B345,'Obras e Acervos'!$B:$X,5,0)</f>
        <v>"SE" NÃO EXISTE</v>
      </c>
      <c r="H345">
        <f>VLOOKUP($B345,'Obras e Acervos'!$B:$X,18,0)</f>
        <v>3</v>
      </c>
      <c r="I345">
        <f>VLOOKUP($B345,'Obras e Acervos'!$B:$X,19,0)</f>
        <v>59304</v>
      </c>
      <c r="J345" s="42">
        <f>VLOOKUP($B345,'Obras e Acervos'!$B:$X,20,0)</f>
        <v>5040.84</v>
      </c>
      <c r="K345" s="31">
        <f>VLOOKUP($B345,'Obras e Acervos'!$B:$X,21,0)</f>
        <v>3.8</v>
      </c>
      <c r="L345" s="31">
        <f t="shared" si="53"/>
        <v>225355.19999999998</v>
      </c>
      <c r="M345" s="1">
        <v>46084</v>
      </c>
      <c r="N345" s="1">
        <f t="shared" si="52"/>
        <v>46305</v>
      </c>
      <c r="O345">
        <f t="shared" si="54"/>
        <v>222</v>
      </c>
      <c r="P345" s="49">
        <f t="shared" si="50"/>
        <v>7.4</v>
      </c>
      <c r="Q345" s="34">
        <f>VLOOKUP($G345,Agendamento!$B:$F,5,0)</f>
        <v>6</v>
      </c>
      <c r="R345" s="36">
        <f t="shared" si="55"/>
        <v>60</v>
      </c>
      <c r="S345" s="44">
        <v>2.5499999999999998</v>
      </c>
      <c r="T345" s="44">
        <f t="shared" si="56"/>
        <v>33966</v>
      </c>
      <c r="U345" t="s">
        <v>5197</v>
      </c>
      <c r="V345" t="str">
        <f t="shared" si="57"/>
        <v>NF/64307150_20260303_nf_26.pdf</v>
      </c>
      <c r="W345" s="32" t="str">
        <f t="shared" si="51"/>
        <v>NF - "SE" NÃO EXISTE</v>
      </c>
      <c r="X345" t="s">
        <v>5591</v>
      </c>
    </row>
    <row r="346" spans="1:24" x14ac:dyDescent="0.25">
      <c r="A346" t="str">
        <f>CONCATENATE(D346,"_",TEXT(M346,"ddmmaaaa"),"_",COUNTIF($D$2:D346,D346))</f>
        <v>409978130001-12_03032026_1</v>
      </c>
      <c r="B346" t="str">
        <f>CONCATENATE(Analise!D346,"_",COUNTIF(Analise!$D$2:D346,Analise!D346)+1)</f>
        <v>409978130001-12_2</v>
      </c>
      <c r="C346" s="34">
        <f>COUNTIF('Obras e Acervos'!$C:$C,CONCATENATE(LEFT(D346,12),RIGHT(D346,2)))</f>
        <v>2</v>
      </c>
      <c r="D346" s="35" t="s">
        <v>4713</v>
      </c>
      <c r="E346" t="str">
        <f>VLOOKUP($B346,'Obras e Acervos'!$B:$X,3,0)</f>
        <v>BELA BRAVA CULTURAL LTDA.-EDITORA BELA BRAVA</v>
      </c>
      <c r="F346" t="str">
        <f>VLOOKUP($B346,'Obras e Acervos'!$B:$X,7,0)</f>
        <v>1253L23000020LE</v>
      </c>
      <c r="G346" t="str">
        <f>VLOOKUP($B346,'Obras e Acervos'!$B:$X,5,0)</f>
        <v>ANNE &amp; POLLYANNA</v>
      </c>
      <c r="H346">
        <f>VLOOKUP($B346,'Obras e Acervos'!$B:$X,18,0)</f>
        <v>13</v>
      </c>
      <c r="I346">
        <f>VLOOKUP($B346,'Obras e Acervos'!$B:$X,19,0)</f>
        <v>34074</v>
      </c>
      <c r="J346" s="42">
        <f>VLOOKUP($B346,'Obras e Acervos'!$B:$X,20,0)</f>
        <v>21671.064000000002</v>
      </c>
      <c r="K346" s="31">
        <f>VLOOKUP($B346,'Obras e Acervos'!$B:$X,21,0)</f>
        <v>30.86</v>
      </c>
      <c r="L346" s="31">
        <f t="shared" si="53"/>
        <v>1051523.6399999999</v>
      </c>
      <c r="M346" s="1">
        <v>46084</v>
      </c>
      <c r="N346" s="1">
        <f t="shared" si="52"/>
        <v>46305</v>
      </c>
      <c r="O346">
        <f t="shared" si="54"/>
        <v>222</v>
      </c>
      <c r="P346" s="49">
        <f t="shared" si="50"/>
        <v>7.4</v>
      </c>
      <c r="Q346" s="34">
        <f>VLOOKUP($G346,Agendamento!$B:$F,5,0)</f>
        <v>6</v>
      </c>
      <c r="R346" s="36">
        <f t="shared" si="55"/>
        <v>35</v>
      </c>
      <c r="S346" s="44">
        <v>2.5499999999999998</v>
      </c>
      <c r="T346" s="44">
        <f t="shared" si="56"/>
        <v>19813.5</v>
      </c>
      <c r="U346" t="s">
        <v>5201</v>
      </c>
      <c r="V346" t="str">
        <f t="shared" si="57"/>
        <v>NF/64307150_20260303_nf_27.pdf</v>
      </c>
      <c r="W346" s="32" t="str">
        <f t="shared" si="51"/>
        <v>NF - ANNE &amp; POLLYANNA</v>
      </c>
      <c r="X346" t="s">
        <v>5591</v>
      </c>
    </row>
    <row r="347" spans="1:24" x14ac:dyDescent="0.25">
      <c r="A347" t="str">
        <f>CONCATENATE(D347,"_",TEXT(M347,"ddmmaaaa"),"_",COUNTIF($D$2:D347,D347))</f>
        <v>401901090001-53_03032026_1</v>
      </c>
      <c r="B347" t="str">
        <f>CONCATENATE(Analise!D347,"_",COUNTIF(Analise!$D$2:D347,Analise!D347))</f>
        <v>401901090001-53_1</v>
      </c>
      <c r="C347" s="34">
        <f>COUNTIF('Obras e Acervos'!$C:$C,CONCATENATE(LEFT(D347,12),RIGHT(D347,2)))</f>
        <v>2</v>
      </c>
      <c r="D347" s="35" t="s">
        <v>4707</v>
      </c>
      <c r="E347" t="str">
        <f>VLOOKUP($B347,'Obras e Acervos'!$B:$X,3,0)</f>
        <v>EDITORA MAGRELA LTDA-EDITORA MAGRELA</v>
      </c>
      <c r="F347" t="str">
        <f>VLOOKUP($B347,'Obras e Acervos'!$B:$X,7,0)</f>
        <v>0460L23000030LE</v>
      </c>
      <c r="G347" t="str">
        <f>VLOOKUP($B347,'Obras e Acervos'!$B:$X,5,0)</f>
        <v>MENINO GIGANTE</v>
      </c>
      <c r="H347">
        <f>VLOOKUP($B347,'Obras e Acervos'!$B:$X,18,0)</f>
        <v>5</v>
      </c>
      <c r="I347">
        <f>VLOOKUP($B347,'Obras e Acervos'!$B:$X,19,0)</f>
        <v>39422</v>
      </c>
      <c r="J347" s="42">
        <f>VLOOKUP($B347,'Obras e Acervos'!$B:$X,20,0)</f>
        <v>2680.6960000000004</v>
      </c>
      <c r="K347" s="31">
        <f>VLOOKUP($B347,'Obras e Acervos'!$B:$X,21,0)</f>
        <v>5.46</v>
      </c>
      <c r="L347" s="31">
        <f t="shared" si="53"/>
        <v>215244.12</v>
      </c>
      <c r="M347" s="1">
        <v>46084</v>
      </c>
      <c r="N347" s="1">
        <f t="shared" si="52"/>
        <v>46305</v>
      </c>
      <c r="O347">
        <f t="shared" si="54"/>
        <v>222</v>
      </c>
      <c r="P347" s="49">
        <f t="shared" si="50"/>
        <v>7.4</v>
      </c>
      <c r="Q347" s="34">
        <f>VLOOKUP($G347,Agendamento!$B:$F,5,0)</f>
        <v>6</v>
      </c>
      <c r="R347" s="36">
        <f t="shared" si="55"/>
        <v>40</v>
      </c>
      <c r="S347" s="44">
        <v>2.5499999999999998</v>
      </c>
      <c r="T347" s="44">
        <f t="shared" si="56"/>
        <v>22644</v>
      </c>
      <c r="U347" t="s">
        <v>5193</v>
      </c>
      <c r="V347" t="str">
        <f t="shared" si="57"/>
        <v>NF/64307150_20260303_nf_29.pdf</v>
      </c>
      <c r="W347" s="32" t="str">
        <f t="shared" si="51"/>
        <v>NF - MENINO GIGANTE</v>
      </c>
      <c r="X347" t="s">
        <v>5591</v>
      </c>
    </row>
    <row r="348" spans="1:24" x14ac:dyDescent="0.25">
      <c r="A348" t="str">
        <f>CONCATENATE(D348,"_",TEXT(M348,"ddmmaaaa"),"_",COUNTIF($D$2:D348,D348))</f>
        <v>191199180001-82_03032026_1</v>
      </c>
      <c r="B348" t="str">
        <f>CONCATENATE(Analise!D348,"_",COUNTIF(Analise!$D$2:D348,Analise!D348))</f>
        <v>191199180001-82_1</v>
      </c>
      <c r="C348" s="34">
        <f>COUNTIF('Obras e Acervos'!$C:$C,CONCATENATE(LEFT(D348,12),RIGHT(D348,2)))</f>
        <v>1</v>
      </c>
      <c r="D348" s="35" t="s">
        <v>4708</v>
      </c>
      <c r="E348" t="str">
        <f>VLOOKUP($B348,'Obras e Acervos'!$B:$X,3,0)</f>
        <v>LA EDITORA LTDA-ME-LEITURA E ARTE</v>
      </c>
      <c r="F348" t="str">
        <f>VLOOKUP($B348,'Obras e Acervos'!$B:$X,7,0)</f>
        <v>1314L23000030LE</v>
      </c>
      <c r="G348" t="str">
        <f>VLOOKUP($B348,'Obras e Acervos'!$B:$X,5,0)</f>
        <v>MEUS MAIS VELHOS</v>
      </c>
      <c r="H348">
        <f>VLOOKUP($B348,'Obras e Acervos'!$B:$X,18,0)</f>
        <v>6</v>
      </c>
      <c r="I348">
        <f>VLOOKUP($B348,'Obras e Acervos'!$B:$X,19,0)</f>
        <v>36553</v>
      </c>
      <c r="J348" s="42">
        <f>VLOOKUP($B348,'Obras e Acervos'!$B:$X,20,0)</f>
        <v>6945.07</v>
      </c>
      <c r="K348" s="31">
        <f>VLOOKUP($B348,'Obras e Acervos'!$B:$X,21,0)</f>
        <v>6.31</v>
      </c>
      <c r="L348" s="31">
        <f t="shared" si="53"/>
        <v>230649.43</v>
      </c>
      <c r="M348" s="1">
        <v>46084</v>
      </c>
      <c r="N348" s="1">
        <f t="shared" si="52"/>
        <v>46305</v>
      </c>
      <c r="O348">
        <f t="shared" si="54"/>
        <v>222</v>
      </c>
      <c r="P348" s="49">
        <f t="shared" si="50"/>
        <v>7.4</v>
      </c>
      <c r="Q348" s="34">
        <f>VLOOKUP($G348,Agendamento!$B:$F,5,0)</f>
        <v>5</v>
      </c>
      <c r="R348" s="36">
        <f t="shared" si="55"/>
        <v>37</v>
      </c>
      <c r="S348" s="44">
        <v>2.5499999999999998</v>
      </c>
      <c r="T348" s="44">
        <f t="shared" si="56"/>
        <v>20945.699999999997</v>
      </c>
      <c r="U348" t="s">
        <v>5194</v>
      </c>
      <c r="V348" t="str">
        <f t="shared" si="57"/>
        <v>NF/64307150_20260303_nf_30.pdf</v>
      </c>
      <c r="W348" s="32" t="str">
        <f t="shared" si="51"/>
        <v>NF - MEUS MAIS VELHOS</v>
      </c>
      <c r="X348" t="s">
        <v>5591</v>
      </c>
    </row>
    <row r="349" spans="1:24" x14ac:dyDescent="0.25">
      <c r="A349" t="str">
        <f>CONCATENATE(D349,"_",TEXT(M349,"ddmmaaaa"),"_",COUNTIF($D$2:D349,D349))</f>
        <v>435963310001-49_03032026_1</v>
      </c>
      <c r="B349" t="str">
        <f>CONCATENATE(Analise!D349,"_",COUNTIF(Analise!$D$2:D349,Analise!D349))</f>
        <v>435963310001-49_1</v>
      </c>
      <c r="C349" s="34">
        <f>COUNTIF('Obras e Acervos'!$C:$C,CONCATENATE(LEFT(D349,12),RIGHT(D349,2)))</f>
        <v>2</v>
      </c>
      <c r="D349" s="35" t="s">
        <v>4724</v>
      </c>
      <c r="E349" t="str">
        <f>VLOOKUP($B349,'Obras e Acervos'!$B:$X,3,0)</f>
        <v>EDITORA BRASILEIRINHO LTDA-EDITORA BRASILEIRINHO</v>
      </c>
      <c r="F349" t="str">
        <f>VLOOKUP($B349,'Obras e Acervos'!$B:$X,7,0)</f>
        <v>1011L23000030LE</v>
      </c>
      <c r="G349" t="str">
        <f>VLOOKUP($B349,'Obras e Acervos'!$B:$X,5,0)</f>
        <v>MINHAS PRIMEIRAS HISTÓRIAS BÍBLICAS</v>
      </c>
      <c r="H349">
        <f>VLOOKUP($B349,'Obras e Acervos'!$B:$X,18,0)</f>
        <v>7</v>
      </c>
      <c r="I349">
        <f>VLOOKUP($B349,'Obras e Acervos'!$B:$X,19,0)</f>
        <v>34040</v>
      </c>
      <c r="J349" s="42">
        <f>VLOOKUP($B349,'Obras e Acervos'!$B:$X,20,0)</f>
        <v>10041.799999999999</v>
      </c>
      <c r="K349" s="31">
        <f>VLOOKUP($B349,'Obras e Acervos'!$B:$X,21,0)</f>
        <v>14.84</v>
      </c>
      <c r="L349" s="31">
        <f t="shared" si="53"/>
        <v>505153.6</v>
      </c>
      <c r="M349" s="1">
        <v>46084</v>
      </c>
      <c r="N349" s="1">
        <f t="shared" si="52"/>
        <v>46305</v>
      </c>
      <c r="O349">
        <f t="shared" si="54"/>
        <v>222</v>
      </c>
      <c r="P349" s="49">
        <f t="shared" si="50"/>
        <v>7.4</v>
      </c>
      <c r="Q349" s="34">
        <f>VLOOKUP($G349,Agendamento!$B:$F,5,0)</f>
        <v>6</v>
      </c>
      <c r="R349" s="36">
        <f t="shared" si="55"/>
        <v>35</v>
      </c>
      <c r="S349" s="44">
        <v>2.5499999999999998</v>
      </c>
      <c r="T349" s="44">
        <f t="shared" si="56"/>
        <v>19813.5</v>
      </c>
      <c r="U349" t="s">
        <v>5215</v>
      </c>
      <c r="V349" t="str">
        <f t="shared" si="57"/>
        <v>NF/64307150_20260303_nf_31.pdf</v>
      </c>
      <c r="W349" s="32" t="str">
        <f t="shared" si="51"/>
        <v>NF - MINHAS PRIMEIRAS HISTÓRIAS BÍBLICAS</v>
      </c>
      <c r="X349" t="s">
        <v>5591</v>
      </c>
    </row>
    <row r="350" spans="1:24" x14ac:dyDescent="0.25">
      <c r="A350" t="str">
        <f>CONCATENATE(D350,"_",TEXT(M350,"ddmmaaaa"),"_",COUNTIF($D$2:D350,D350))</f>
        <v>323437060001-42_03032026_1</v>
      </c>
      <c r="B350" t="str">
        <f>CONCATENATE(Analise!D350,"_",COUNTIF(Analise!$D$2:D350,Analise!D350))</f>
        <v>323437060001-42_1</v>
      </c>
      <c r="C350" s="34">
        <f>COUNTIF('Obras e Acervos'!$C:$C,CONCATENATE(LEFT(D350,12),RIGHT(D350,2)))</f>
        <v>1</v>
      </c>
      <c r="D350" s="35" t="s">
        <v>4725</v>
      </c>
      <c r="E350" t="str">
        <f>VLOOKUP($B350,'Obras e Acervos'!$B:$X,3,0)</f>
        <v>JOSE LUIZ PRADO 75633078772-ARTESCRITA</v>
      </c>
      <c r="F350" t="str">
        <f>VLOOKUP($B350,'Obras e Acervos'!$B:$X,7,0)</f>
        <v>1330L23000020LE</v>
      </c>
      <c r="G350" t="str">
        <f>VLOOKUP($B350,'Obras e Acervos'!$B:$X,5,0)</f>
        <v>O MENINO JOÃO E O ALMIRANTE NEGRO</v>
      </c>
      <c r="H350">
        <f>VLOOKUP($B350,'Obras e Acervos'!$B:$X,18,0)</f>
        <v>20</v>
      </c>
      <c r="I350">
        <f>VLOOKUP($B350,'Obras e Acervos'!$B:$X,19,0)</f>
        <v>31819</v>
      </c>
      <c r="J350" s="42">
        <f>VLOOKUP($B350,'Obras e Acervos'!$B:$X,20,0)</f>
        <v>3245.538</v>
      </c>
      <c r="K350" s="31">
        <f>VLOOKUP($B350,'Obras e Acervos'!$B:$X,21,0)</f>
        <v>6.83</v>
      </c>
      <c r="L350" s="31">
        <f t="shared" si="53"/>
        <v>217323.77</v>
      </c>
      <c r="M350" s="1">
        <v>46084</v>
      </c>
      <c r="N350" s="1">
        <f t="shared" si="52"/>
        <v>46305</v>
      </c>
      <c r="O350">
        <f t="shared" si="54"/>
        <v>222</v>
      </c>
      <c r="P350" s="49">
        <f t="shared" si="50"/>
        <v>7.4</v>
      </c>
      <c r="Q350" s="34">
        <f>VLOOKUP($G350,Agendamento!$B:$F,5,0)</f>
        <v>5</v>
      </c>
      <c r="R350" s="36">
        <f t="shared" si="55"/>
        <v>32</v>
      </c>
      <c r="S350" s="44">
        <v>2.5499999999999998</v>
      </c>
      <c r="T350" s="44">
        <f t="shared" si="56"/>
        <v>18115.199999999997</v>
      </c>
      <c r="U350" t="s">
        <v>5216</v>
      </c>
      <c r="V350" t="str">
        <f t="shared" si="57"/>
        <v>NF/64307150_20260303_nf_33.pdf</v>
      </c>
      <c r="W350" s="32" t="str">
        <f t="shared" si="51"/>
        <v>NF - O MENINO JOÃO E O ALMIRANTE NEGRO</v>
      </c>
      <c r="X350" t="s">
        <v>5591</v>
      </c>
    </row>
    <row r="351" spans="1:24" x14ac:dyDescent="0.25">
      <c r="A351" t="str">
        <f>CONCATENATE(D351,"_",TEXT(M351,"ddmmaaaa"),"_",COUNTIF($D$2:D351,D351))</f>
        <v>321717750001-16_03032026_2</v>
      </c>
      <c r="B351" t="str">
        <f>CONCATENATE(Analise!D351,"_",COUNTIF(Analise!$D$2:D351,Analise!D351))</f>
        <v>321717750001-16_2</v>
      </c>
      <c r="C351" s="34">
        <f>COUNTIF('Obras e Acervos'!$C:$C,CONCATENATE(LEFT(D351,12),RIGHT(D351,2)))</f>
        <v>2</v>
      </c>
      <c r="D351" s="35" t="s">
        <v>4691</v>
      </c>
      <c r="E351" t="str">
        <f>VLOOKUP($B351,'Obras e Acervos'!$B:$X,3,0)</f>
        <v>FOKAEXPRESS ARMAZENAGEM E LOGISTICA LTDA-</v>
      </c>
      <c r="F351" t="str">
        <f>VLOOKUP($B351,'Obras e Acervos'!$B:$X,7,0)</f>
        <v>0750L23000020LE</v>
      </c>
      <c r="G351" t="str">
        <f>VLOOKUP($B351,'Obras e Acervos'!$B:$X,5,0)</f>
        <v>O PLANETA ESTÁ COM FEBRE</v>
      </c>
      <c r="H351">
        <f>VLOOKUP($B351,'Obras e Acervos'!$B:$X,18,0)</f>
        <v>17</v>
      </c>
      <c r="I351">
        <f>VLOOKUP($B351,'Obras e Acervos'!$B:$X,19,0)</f>
        <v>38776</v>
      </c>
      <c r="J351" s="42">
        <f>VLOOKUP($B351,'Obras e Acervos'!$B:$X,20,0)</f>
        <v>4071.48</v>
      </c>
      <c r="K351" s="31">
        <f>VLOOKUP($B351,'Obras e Acervos'!$B:$X,21,0)</f>
        <v>5.48</v>
      </c>
      <c r="L351" s="31">
        <f t="shared" si="53"/>
        <v>212492.48</v>
      </c>
      <c r="M351" s="1">
        <v>46084</v>
      </c>
      <c r="N351" s="1">
        <f t="shared" si="52"/>
        <v>46305</v>
      </c>
      <c r="O351">
        <f t="shared" si="54"/>
        <v>222</v>
      </c>
      <c r="P351" s="49">
        <f t="shared" si="50"/>
        <v>7.4</v>
      </c>
      <c r="Q351" s="34">
        <f>VLOOKUP($G351,Agendamento!$B:$F,5,0)</f>
        <v>5</v>
      </c>
      <c r="R351" s="36">
        <f t="shared" si="55"/>
        <v>39</v>
      </c>
      <c r="S351" s="44">
        <v>2.5499999999999998</v>
      </c>
      <c r="T351" s="44">
        <f t="shared" si="56"/>
        <v>22077.899999999998</v>
      </c>
      <c r="U351" t="s">
        <v>5222</v>
      </c>
      <c r="V351" t="str">
        <f t="shared" si="57"/>
        <v>NF/64307150_20260303_nf_34.pdf</v>
      </c>
      <c r="W351" s="32" t="str">
        <f t="shared" si="51"/>
        <v>NF - O PLANETA ESTÁ COM FEBRE</v>
      </c>
      <c r="X351" t="s">
        <v>5591</v>
      </c>
    </row>
    <row r="352" spans="1:24" x14ac:dyDescent="0.25">
      <c r="A352" t="str">
        <f>CONCATENATE(D352,"_",TEXT(M352,"ddmmaaaa"),"_",COUNTIF($D$2:D352,D352))</f>
        <v>434136860001-55_03032026_2</v>
      </c>
      <c r="B352" t="str">
        <f>CONCATENATE(Analise!D352,"_",COUNTIF(Analise!$D$2:D352,Analise!D352))</f>
        <v>434136860001-55_2</v>
      </c>
      <c r="C352" s="34">
        <f>COUNTIF('Obras e Acervos'!$C:$C,CONCATENATE(LEFT(D352,12),RIGHT(D352,2)))</f>
        <v>2</v>
      </c>
      <c r="D352" s="35" t="s">
        <v>4677</v>
      </c>
      <c r="E352" t="str">
        <f>VLOOKUP($B352,'Obras e Acervos'!$B:$X,3,0)</f>
        <v>EDITORA LARA LTDA-LARA</v>
      </c>
      <c r="F352" t="str">
        <f>VLOOKUP($B352,'Obras e Acervos'!$B:$X,7,0)</f>
        <v>1186L23000020LE</v>
      </c>
      <c r="G352" t="str">
        <f>VLOOKUP($B352,'Obras e Acervos'!$B:$X,5,0)</f>
        <v>O MENINO QUE PERDEU O ÔNIBUS</v>
      </c>
      <c r="H352">
        <f>VLOOKUP($B352,'Obras e Acervos'!$B:$X,18,0)</f>
        <v>16</v>
      </c>
      <c r="I352">
        <f>VLOOKUP($B352,'Obras e Acervos'!$B:$X,19,0)</f>
        <v>33530</v>
      </c>
      <c r="J352" s="42">
        <f>VLOOKUP($B352,'Obras e Acervos'!$B:$X,20,0)</f>
        <v>2280.04</v>
      </c>
      <c r="K352" s="31">
        <f>VLOOKUP($B352,'Obras e Acervos'!$B:$X,21,0)</f>
        <v>5.94</v>
      </c>
      <c r="L352" s="31">
        <f t="shared" si="53"/>
        <v>199168.2</v>
      </c>
      <c r="M352" s="1">
        <v>46084</v>
      </c>
      <c r="N352" s="1">
        <f t="shared" si="52"/>
        <v>46305</v>
      </c>
      <c r="O352">
        <f t="shared" si="54"/>
        <v>222</v>
      </c>
      <c r="P352" s="49">
        <f t="shared" si="50"/>
        <v>7.4</v>
      </c>
      <c r="Q352" s="34">
        <f>VLOOKUP($G352,Agendamento!$B:$F,5,0)</f>
        <v>4</v>
      </c>
      <c r="R352" s="36">
        <f t="shared" si="55"/>
        <v>34</v>
      </c>
      <c r="S352" s="44">
        <v>2.5499999999999998</v>
      </c>
      <c r="T352" s="44">
        <f t="shared" si="56"/>
        <v>19247.399999999998</v>
      </c>
      <c r="U352" t="s">
        <v>5218</v>
      </c>
      <c r="V352" t="str">
        <f t="shared" si="57"/>
        <v>NF/64307150_20260303_nf_35.pdf</v>
      </c>
      <c r="W352" s="32" t="str">
        <f t="shared" si="51"/>
        <v>NF - O MENINO QUE PERDEU O ÔNIBUS</v>
      </c>
      <c r="X352" t="s">
        <v>5591</v>
      </c>
    </row>
    <row r="353" spans="1:24" x14ac:dyDescent="0.25">
      <c r="A353" t="str">
        <f>CONCATENATE(D353,"_",TEXT(M353,"ddmmaaaa"),"_",COUNTIF($D$2:D353,D353))</f>
        <v>434142770001-73_03032026_1</v>
      </c>
      <c r="B353" t="str">
        <f>CONCATENATE(Analise!D353,"_",COUNTIF(Analise!$D$2:D353,Analise!D353)+1)</f>
        <v>434142770001-73_2</v>
      </c>
      <c r="C353" s="34">
        <f>COUNTIF('Obras e Acervos'!$C:$C,CONCATENATE(LEFT(D353,12),RIGHT(D353,2)))</f>
        <v>2</v>
      </c>
      <c r="D353" s="35" t="s">
        <v>4715</v>
      </c>
      <c r="E353" t="str">
        <f>VLOOKUP($B353,'Obras e Acervos'!$B:$X,3,0)</f>
        <v>EDITORA IRIS LTDA-IRIS</v>
      </c>
      <c r="F353" t="str">
        <f>VLOOKUP($B353,'Obras e Acervos'!$B:$X,7,0)</f>
        <v>1197L23000020LE</v>
      </c>
      <c r="G353" t="str">
        <f>VLOOKUP($B353,'Obras e Acervos'!$B:$X,5,0)</f>
        <v>MEU PRIMEIRO LIVRO DE HORROR</v>
      </c>
      <c r="H353">
        <f>VLOOKUP($B353,'Obras e Acervos'!$B:$X,18,0)</f>
        <v>21</v>
      </c>
      <c r="I353">
        <f>VLOOKUP($B353,'Obras e Acervos'!$B:$X,19,0)</f>
        <v>30025</v>
      </c>
      <c r="J353" s="42">
        <f>VLOOKUP($B353,'Obras e Acervos'!$B:$X,20,0)</f>
        <v>2041.7</v>
      </c>
      <c r="K353" s="31">
        <f>VLOOKUP($B353,'Obras e Acervos'!$B:$X,21,0)</f>
        <v>6.44</v>
      </c>
      <c r="L353" s="31">
        <f t="shared" si="53"/>
        <v>193361</v>
      </c>
      <c r="M353" s="1">
        <v>46084</v>
      </c>
      <c r="N353" s="1">
        <f t="shared" si="52"/>
        <v>46305</v>
      </c>
      <c r="O353">
        <f t="shared" si="54"/>
        <v>222</v>
      </c>
      <c r="P353" s="49">
        <f t="shared" si="50"/>
        <v>7.4</v>
      </c>
      <c r="Q353" s="34">
        <f>VLOOKUP($G353,Agendamento!$B:$F,5,0)</f>
        <v>4</v>
      </c>
      <c r="R353" s="36">
        <f t="shared" si="55"/>
        <v>31</v>
      </c>
      <c r="S353" s="44">
        <v>2.5499999999999998</v>
      </c>
      <c r="T353" s="44">
        <f t="shared" si="56"/>
        <v>17549.099999999999</v>
      </c>
      <c r="U353" t="s">
        <v>5205</v>
      </c>
      <c r="V353" t="str">
        <f t="shared" si="57"/>
        <v>NF/64307150_20260303_nf_36.pdf</v>
      </c>
      <c r="W353" s="32" t="str">
        <f t="shared" si="51"/>
        <v>NF - MEU PRIMEIRO LIVRO DE HORROR</v>
      </c>
      <c r="X353" t="s">
        <v>5591</v>
      </c>
    </row>
    <row r="354" spans="1:24" x14ac:dyDescent="0.25">
      <c r="A354" t="str">
        <f>CONCATENATE(D354,"_",TEXT(M354,"ddmmaaaa"),"_",COUNTIF($D$2:D354,D354))</f>
        <v>434117480001-90_03032026_1</v>
      </c>
      <c r="B354" t="str">
        <f>CONCATENATE(Analise!D354,"_",COUNTIF(Analise!$D$2:D354,Analise!D354)+1)</f>
        <v>434117480001-90_2</v>
      </c>
      <c r="C354" s="34">
        <f>COUNTIF('Obras e Acervos'!$C:$C,CONCATENATE(LEFT(D354,12),RIGHT(D354,2)))</f>
        <v>2</v>
      </c>
      <c r="D354" s="35" t="s">
        <v>4722</v>
      </c>
      <c r="E354" t="str">
        <f>VLOOKUP($B354,'Obras e Acervos'!$B:$X,3,0)</f>
        <v>EDITORA CAMELIA LTDA-CAMELIA</v>
      </c>
      <c r="F354" t="str">
        <f>VLOOKUP($B354,'Obras e Acervos'!$B:$X,7,0)</f>
        <v>1174L23000020LE</v>
      </c>
      <c r="G354" t="str">
        <f>VLOOKUP($B354,'Obras e Acervos'!$B:$X,5,0)</f>
        <v>O IRMÃO DO MEU IRMÃO</v>
      </c>
      <c r="H354">
        <f>VLOOKUP($B354,'Obras e Acervos'!$B:$X,18,0)</f>
        <v>15</v>
      </c>
      <c r="I354">
        <f>VLOOKUP($B354,'Obras e Acervos'!$B:$X,19,0)</f>
        <v>35852</v>
      </c>
      <c r="J354" s="42">
        <f>VLOOKUP($B354,'Obras e Acervos'!$B:$X,20,0)</f>
        <v>2437.9360000000001</v>
      </c>
      <c r="K354" s="31">
        <f>VLOOKUP($B354,'Obras e Acervos'!$B:$X,21,0)</f>
        <v>5.87</v>
      </c>
      <c r="L354" s="31">
        <f t="shared" si="53"/>
        <v>210451.24</v>
      </c>
      <c r="M354" s="1">
        <v>46084</v>
      </c>
      <c r="N354" s="1">
        <f t="shared" si="52"/>
        <v>46305</v>
      </c>
      <c r="O354">
        <f t="shared" si="54"/>
        <v>222</v>
      </c>
      <c r="P354" s="49">
        <f t="shared" si="50"/>
        <v>7.4</v>
      </c>
      <c r="Q354" s="34">
        <f>VLOOKUP($G354,Agendamento!$B:$F,5,0)</f>
        <v>4</v>
      </c>
      <c r="R354" s="36">
        <f t="shared" si="55"/>
        <v>36</v>
      </c>
      <c r="S354" s="44">
        <v>2.5499999999999998</v>
      </c>
      <c r="T354" s="44">
        <f t="shared" si="56"/>
        <v>20379.599999999999</v>
      </c>
      <c r="U354" t="s">
        <v>5213</v>
      </c>
      <c r="V354" t="str">
        <f t="shared" si="57"/>
        <v>NF/64307150_20260303_nf_37.pdf</v>
      </c>
      <c r="W354" s="32" t="str">
        <f t="shared" si="51"/>
        <v>NF - O IRMÃO DO MEU IRMÃO</v>
      </c>
      <c r="X354" t="s">
        <v>5591</v>
      </c>
    </row>
    <row r="355" spans="1:24" x14ac:dyDescent="0.25">
      <c r="A355" t="str">
        <f>CONCATENATE(D355,"_",TEXT(M355,"ddmmaaaa"),"_",COUNTIF($D$2:D355,D355))</f>
        <v>434138090001-58_03032026_1</v>
      </c>
      <c r="B355" t="str">
        <f>CONCATENATE(Analise!D355,"_",COUNTIF(Analise!$D$2:D355,Analise!D355))</f>
        <v>434138090001-58_1</v>
      </c>
      <c r="C355" s="34">
        <f>COUNTIF('Obras e Acervos'!$C:$C,CONCATENATE(LEFT(D355,12),RIGHT(D355,2)))</f>
        <v>1</v>
      </c>
      <c r="D355" s="35" t="s">
        <v>4718</v>
      </c>
      <c r="E355" t="str">
        <f>VLOOKUP($B355,'Obras e Acervos'!$B:$X,3,0)</f>
        <v>EDITORA CATARINA LTDA-CATARINA</v>
      </c>
      <c r="F355" t="str">
        <f>VLOOKUP($B355,'Obras e Acervos'!$B:$X,7,0)</f>
        <v>1184L23000020LE</v>
      </c>
      <c r="G355" t="str">
        <f>VLOOKUP($B355,'Obras e Acervos'!$B:$X,5,0)</f>
        <v>QUIBUNGO</v>
      </c>
      <c r="H355">
        <f>VLOOKUP($B355,'Obras e Acervos'!$B:$X,18,0)</f>
        <v>17</v>
      </c>
      <c r="I355">
        <f>VLOOKUP($B355,'Obras e Acervos'!$B:$X,19,0)</f>
        <v>29110</v>
      </c>
      <c r="J355" s="42">
        <f>VLOOKUP($B355,'Obras e Acervos'!$B:$X,20,0)</f>
        <v>3493.2</v>
      </c>
      <c r="K355" s="31">
        <f>VLOOKUP($B355,'Obras e Acervos'!$B:$X,21,0)</f>
        <v>6.38</v>
      </c>
      <c r="L355" s="31">
        <f t="shared" si="53"/>
        <v>185721.8</v>
      </c>
      <c r="M355" s="1">
        <v>46084</v>
      </c>
      <c r="N355" s="1">
        <f t="shared" si="52"/>
        <v>46305</v>
      </c>
      <c r="O355">
        <f t="shared" si="54"/>
        <v>222</v>
      </c>
      <c r="P355" s="49">
        <f t="shared" si="50"/>
        <v>7.4</v>
      </c>
      <c r="Q355" s="34">
        <f>VLOOKUP($G355,Agendamento!$B:$F,5,0)</f>
        <v>4</v>
      </c>
      <c r="R355" s="36">
        <f t="shared" si="55"/>
        <v>30</v>
      </c>
      <c r="S355" s="44">
        <v>2.5499999999999998</v>
      </c>
      <c r="T355" s="44">
        <f t="shared" si="56"/>
        <v>16983</v>
      </c>
      <c r="U355" t="s">
        <v>5209</v>
      </c>
      <c r="V355" t="str">
        <f t="shared" si="57"/>
        <v>NF/64307150_20260303_nf_38.pdf</v>
      </c>
      <c r="W355" s="32" t="str">
        <f t="shared" si="51"/>
        <v>NF - QUIBUNGO</v>
      </c>
      <c r="X355" t="s">
        <v>5591</v>
      </c>
    </row>
    <row r="356" spans="1:24" x14ac:dyDescent="0.25">
      <c r="A356" t="str">
        <f>CONCATENATE(D356,"_",TEXT(M356,"ddmmaaaa"),"_",COUNTIF($D$2:D356,D356))</f>
        <v>175947330001-02_03032026_1</v>
      </c>
      <c r="B356" t="str">
        <f>CONCATENATE(Analise!D356,"_",COUNTIF(Analise!$D$2:D356,Analise!D356)+1)</f>
        <v>175947330001-02_2</v>
      </c>
      <c r="C356" s="34">
        <f>COUNTIF('Obras e Acervos'!$C:$C,CONCATENATE(LEFT(D356,12),RIGHT(D356,2)))</f>
        <v>2</v>
      </c>
      <c r="D356" s="35" t="s">
        <v>4720</v>
      </c>
      <c r="E356" t="str">
        <f>VLOOKUP($B356,'Obras e Acervos'!$B:$X,3,0)</f>
        <v>JYMY ADMINISTRACAO DE IMOVEIS LTDA-</v>
      </c>
      <c r="F356" t="str">
        <f>VLOOKUP($B356,'Obras e Acervos'!$B:$X,7,0)</f>
        <v>1160L23000020LE</v>
      </c>
      <c r="G356" t="str">
        <f>VLOOKUP($B356,'Obras e Acervos'!$B:$X,5,0)</f>
        <v>PORCO DE CASA CACHORRO É</v>
      </c>
      <c r="H356">
        <f>VLOOKUP($B356,'Obras e Acervos'!$B:$X,18,0)</f>
        <v>21</v>
      </c>
      <c r="I356">
        <f>VLOOKUP($B356,'Obras e Acervos'!$B:$X,19,0)</f>
        <v>23874</v>
      </c>
      <c r="J356" s="42">
        <f>VLOOKUP($B356,'Obras e Acervos'!$B:$X,20,0)</f>
        <v>3413.9819999999995</v>
      </c>
      <c r="K356" s="31">
        <f>VLOOKUP($B356,'Obras e Acervos'!$B:$X,21,0)</f>
        <v>8.44</v>
      </c>
      <c r="L356" s="31">
        <f t="shared" si="53"/>
        <v>201496.56</v>
      </c>
      <c r="M356" s="1">
        <v>46084</v>
      </c>
      <c r="N356" s="1">
        <f t="shared" si="52"/>
        <v>46305</v>
      </c>
      <c r="O356">
        <f t="shared" si="54"/>
        <v>222</v>
      </c>
      <c r="P356" s="49">
        <f t="shared" si="50"/>
        <v>7.4</v>
      </c>
      <c r="Q356" s="34">
        <f>VLOOKUP($G356,Agendamento!$B:$F,5,0)</f>
        <v>4</v>
      </c>
      <c r="R356" s="36">
        <f t="shared" si="55"/>
        <v>24</v>
      </c>
      <c r="S356" s="44">
        <v>2.5499999999999998</v>
      </c>
      <c r="T356" s="44">
        <f t="shared" si="56"/>
        <v>13586.4</v>
      </c>
      <c r="U356" t="s">
        <v>5211</v>
      </c>
      <c r="V356" t="str">
        <f t="shared" si="57"/>
        <v>NF/64307150_20260303_nf_39.pdf</v>
      </c>
      <c r="W356" s="32" t="str">
        <f t="shared" si="51"/>
        <v>NF - PORCO DE CASA CACHORRO É</v>
      </c>
      <c r="X356" t="s">
        <v>5591</v>
      </c>
    </row>
    <row r="357" spans="1:24" x14ac:dyDescent="0.25">
      <c r="A357" t="str">
        <f>CONCATENATE(D357,"_",TEXT(M357,"ddmmaaaa"),"_",COUNTIF($D$2:D357,D357))</f>
        <v>352880520001-90_03032026_1</v>
      </c>
      <c r="B357" t="str">
        <f>CONCATENATE(Analise!D357,"_",COUNTIF(Analise!$D$2:D357,Analise!D357))</f>
        <v>352880520001-90_1</v>
      </c>
      <c r="C357" s="34">
        <f>COUNTIF('Obras e Acervos'!$C:$C,CONCATENATE(LEFT(D357,12),RIGHT(D357,2)))</f>
        <v>1</v>
      </c>
      <c r="D357" s="35" t="s">
        <v>4717</v>
      </c>
      <c r="E357" t="str">
        <f>VLOOKUP($B357,'Obras e Acervos'!$B:$X,3,0)</f>
        <v>EDLAB PRESS EDITORA EIRELI-EDLAB</v>
      </c>
      <c r="F357" t="str">
        <f>VLOOKUP($B357,'Obras e Acervos'!$B:$X,7,0)</f>
        <v>1347L23000030LE</v>
      </c>
      <c r="G357" t="str">
        <f>VLOOKUP($B357,'Obras e Acervos'!$B:$X,5,0)</f>
        <v>ONDE MORAM AS COISAS</v>
      </c>
      <c r="H357">
        <f>VLOOKUP($B357,'Obras e Acervos'!$B:$X,18,0)</f>
        <v>5</v>
      </c>
      <c r="I357">
        <f>VLOOKUP($B357,'Obras e Acervos'!$B:$X,19,0)</f>
        <v>41210</v>
      </c>
      <c r="J357" s="42">
        <f>VLOOKUP($B357,'Obras e Acervos'!$B:$X,20,0)</f>
        <v>4121</v>
      </c>
      <c r="K357" s="31">
        <f>VLOOKUP($B357,'Obras e Acervos'!$B:$X,21,0)</f>
        <v>7.48</v>
      </c>
      <c r="L357" s="31">
        <f t="shared" si="53"/>
        <v>308250.80000000005</v>
      </c>
      <c r="M357" s="1">
        <v>46084</v>
      </c>
      <c r="N357" s="1">
        <f t="shared" si="52"/>
        <v>46305</v>
      </c>
      <c r="O357">
        <f t="shared" si="54"/>
        <v>222</v>
      </c>
      <c r="P357" s="49">
        <f t="shared" si="50"/>
        <v>7.4</v>
      </c>
      <c r="Q357" s="34">
        <f>VLOOKUP($G357,Agendamento!$B:$F,5,0)</f>
        <v>7</v>
      </c>
      <c r="R357" s="36">
        <f t="shared" si="55"/>
        <v>42</v>
      </c>
      <c r="S357" s="44">
        <v>2.5499999999999998</v>
      </c>
      <c r="T357" s="44">
        <f t="shared" si="56"/>
        <v>23776.199999999997</v>
      </c>
      <c r="U357" t="s">
        <v>5207</v>
      </c>
      <c r="V357" t="str">
        <f t="shared" si="57"/>
        <v>NF/64307150_20260303_nf_40.pdf</v>
      </c>
      <c r="W357" s="32" t="str">
        <f t="shared" si="51"/>
        <v>NF - ONDE MORAM AS COISAS</v>
      </c>
      <c r="X357" t="s">
        <v>5591</v>
      </c>
    </row>
    <row r="358" spans="1:24" x14ac:dyDescent="0.25">
      <c r="A358" t="str">
        <f>CONCATENATE(D358,"_",TEXT(M358,"ddmmaaaa"),"_",COUNTIF($D$2:D358,D358))</f>
        <v>375947760001-97_03032026_1</v>
      </c>
      <c r="B358" t="str">
        <f>CONCATENATE(Analise!D358,"_",COUNTIF(Analise!$D$2:D358,Analise!D358))</f>
        <v>375947760001-97_1</v>
      </c>
      <c r="C358" s="34">
        <f>COUNTIF('Obras e Acervos'!$C:$C,CONCATENATE(LEFT(D358,12),RIGHT(D358,2)))</f>
        <v>1</v>
      </c>
      <c r="D358" s="35" t="s">
        <v>4716</v>
      </c>
      <c r="E358" t="str">
        <f>VLOOKUP($B358,'Obras e Acervos'!$B:$X,3,0)</f>
        <v>SONHOS &amp; LETRAS EDITORA, LIVRARIA, DISTR. E EVENTOS EIRELI-SONHOS &amp; LETRAS</v>
      </c>
      <c r="F358" t="str">
        <f>VLOOKUP($B358,'Obras e Acervos'!$B:$X,7,0)</f>
        <v>1274L23000020LE</v>
      </c>
      <c r="G358" t="str">
        <f>VLOOKUP($B358,'Obras e Acervos'!$B:$X,5,0)</f>
        <v>SENHORA INCERTEZA</v>
      </c>
      <c r="H358">
        <f>VLOOKUP($B358,'Obras e Acervos'!$B:$X,18,0)</f>
        <v>15</v>
      </c>
      <c r="I358">
        <f>VLOOKUP($B358,'Obras e Acervos'!$B:$X,19,0)</f>
        <v>33004</v>
      </c>
      <c r="J358" s="42">
        <f>VLOOKUP($B358,'Obras e Acervos'!$B:$X,20,0)</f>
        <v>2640.32</v>
      </c>
      <c r="K358" s="31">
        <f>VLOOKUP($B358,'Obras e Acervos'!$B:$X,21,0)</f>
        <v>8.61</v>
      </c>
      <c r="L358" s="31">
        <f t="shared" si="53"/>
        <v>284164.44</v>
      </c>
      <c r="M358" s="1">
        <v>46084</v>
      </c>
      <c r="N358" s="1">
        <f t="shared" si="52"/>
        <v>46305</v>
      </c>
      <c r="O358">
        <f t="shared" si="54"/>
        <v>222</v>
      </c>
      <c r="P358" s="49">
        <f t="shared" si="50"/>
        <v>7.4</v>
      </c>
      <c r="Q358" s="34">
        <f>VLOOKUP($G358,Agendamento!$B:$F,5,0)</f>
        <v>6</v>
      </c>
      <c r="R358" s="36">
        <f t="shared" si="55"/>
        <v>34</v>
      </c>
      <c r="S358" s="44">
        <v>2.5499999999999998</v>
      </c>
      <c r="T358" s="44">
        <f t="shared" si="56"/>
        <v>19247.399999999998</v>
      </c>
      <c r="U358" t="s">
        <v>5206</v>
      </c>
      <c r="V358" t="str">
        <f t="shared" si="57"/>
        <v>NF/64307150_20260303_nf_42.pdf</v>
      </c>
      <c r="W358" s="32" t="str">
        <f t="shared" si="51"/>
        <v>NF - SENHORA INCERTEZA</v>
      </c>
      <c r="X358" t="s">
        <v>5591</v>
      </c>
    </row>
    <row r="359" spans="1:24" x14ac:dyDescent="0.25">
      <c r="A359" t="str">
        <f>CONCATENATE(D359,"_",TEXT(M359,"ddmmaaaa"),"_",COUNTIF($D$2:D359,D359))</f>
        <v>063012730001-52_03032026_2</v>
      </c>
      <c r="B359" t="str">
        <f>CONCATENATE(Analise!D359,"_",COUNTIF(Analise!$D$2:D359,Analise!D359))</f>
        <v>063012730001-52_2</v>
      </c>
      <c r="C359" s="34">
        <f>COUNTIF('Obras e Acervos'!$C:$C,CONCATENATE(LEFT(D359,12),RIGHT(D359,2)))</f>
        <v>2</v>
      </c>
      <c r="D359" s="35" t="s">
        <v>4696</v>
      </c>
      <c r="E359" t="str">
        <f>VLOOKUP($B359,'Obras e Acervos'!$B:$X,3,0)</f>
        <v>EDITORA SEMENTE CULTURAL LTDA-SEMENTE EDITORIAL</v>
      </c>
      <c r="F359" t="str">
        <f>VLOOKUP($B359,'Obras e Acervos'!$B:$X,7,0)</f>
        <v>0832L23000020LE</v>
      </c>
      <c r="G359" t="str">
        <f>VLOOKUP($B359,'Obras e Acervos'!$B:$X,5,0)</f>
        <v>A MOCHILA DO PABLO - UMA HISTÓRIA SURPREENDENTE</v>
      </c>
      <c r="H359">
        <f>VLOOKUP($B359,'Obras e Acervos'!$B:$X,18,0)</f>
        <v>20</v>
      </c>
      <c r="I359">
        <f>VLOOKUP($B359,'Obras e Acervos'!$B:$X,19,0)</f>
        <v>32304</v>
      </c>
      <c r="J359" s="42">
        <f>VLOOKUP($B359,'Obras e Acervos'!$B:$X,20,0)</f>
        <v>2132.0640000000003</v>
      </c>
      <c r="K359" s="31">
        <f>VLOOKUP($B359,'Obras e Acervos'!$B:$X,21,0)</f>
        <v>7.76</v>
      </c>
      <c r="L359" s="31">
        <f t="shared" si="53"/>
        <v>250679.03999999998</v>
      </c>
      <c r="M359" s="1">
        <v>46084</v>
      </c>
      <c r="N359" s="1">
        <f t="shared" si="52"/>
        <v>46305</v>
      </c>
      <c r="O359">
        <f t="shared" si="54"/>
        <v>222</v>
      </c>
      <c r="P359" s="49">
        <f t="shared" si="50"/>
        <v>7.4</v>
      </c>
      <c r="Q359" s="34">
        <f>VLOOKUP($G359,Agendamento!$B:$F,5,0)</f>
        <v>6</v>
      </c>
      <c r="R359" s="36">
        <f t="shared" si="55"/>
        <v>33</v>
      </c>
      <c r="S359" s="44">
        <v>2.5499999999999998</v>
      </c>
      <c r="T359" s="44">
        <f t="shared" si="56"/>
        <v>18681.3</v>
      </c>
      <c r="U359" t="s">
        <v>5208</v>
      </c>
      <c r="V359" t="str">
        <f t="shared" si="57"/>
        <v>NF/64307150_20260303_nf_44.pdf</v>
      </c>
      <c r="W359" s="32" t="str">
        <f t="shared" si="51"/>
        <v>NF - A MOCHILA DO PABLO - UMA HISTÓRIA SURPREENDENTE</v>
      </c>
      <c r="X359" t="s">
        <v>5591</v>
      </c>
    </row>
    <row r="360" spans="1:24" x14ac:dyDescent="0.25">
      <c r="A360" t="str">
        <f>CONCATENATE(D360,"_",TEXT(M360,"ddmmaaaa"),"_",COUNTIF($D$2:D360,D360))</f>
        <v>439541750001-40_03032026_1</v>
      </c>
      <c r="B360" t="str">
        <f>CONCATENATE(Analise!D360,"_",COUNTIF(Analise!$D$2:D360,Analise!D360)+1)</f>
        <v>439541750001-40_2</v>
      </c>
      <c r="C360" s="34">
        <f>COUNTIF('Obras e Acervos'!$C:$C,CONCATENATE(LEFT(D360,12),RIGHT(D360,2)))</f>
        <v>2</v>
      </c>
      <c r="D360" s="35" t="s">
        <v>4719</v>
      </c>
      <c r="E360" t="str">
        <f>VLOOKUP($B360,'Obras e Acervos'!$B:$X,3,0)</f>
        <v>EDITORA PINGO DE LUZ LTDA-LARISSA KOROVAEFF</v>
      </c>
      <c r="F360" t="str">
        <f>VLOOKUP($B360,'Obras e Acervos'!$B:$X,7,0)</f>
        <v>0826L23000020LE</v>
      </c>
      <c r="G360" t="str">
        <f>VLOOKUP($B360,'Obras e Acervos'!$B:$X,5,0)</f>
        <v>DE ONDE NASCEM AS FLORES</v>
      </c>
      <c r="H360">
        <f>VLOOKUP($B360,'Obras e Acervos'!$B:$X,18,0)</f>
        <v>22</v>
      </c>
      <c r="I360">
        <f>VLOOKUP($B360,'Obras e Acervos'!$B:$X,19,0)</f>
        <v>23676</v>
      </c>
      <c r="J360" s="42">
        <f>VLOOKUP($B360,'Obras e Acervos'!$B:$X,20,0)</f>
        <v>1444.2359999999999</v>
      </c>
      <c r="K360" s="31">
        <f>VLOOKUP($B360,'Obras e Acervos'!$B:$X,21,0)</f>
        <v>7.3</v>
      </c>
      <c r="L360" s="31">
        <f t="shared" si="53"/>
        <v>172834.8</v>
      </c>
      <c r="M360" s="1">
        <v>46084</v>
      </c>
      <c r="N360" s="1">
        <f t="shared" si="52"/>
        <v>46305</v>
      </c>
      <c r="O360">
        <f t="shared" si="54"/>
        <v>222</v>
      </c>
      <c r="P360" s="49">
        <f t="shared" si="50"/>
        <v>7.4</v>
      </c>
      <c r="Q360" s="34">
        <f>VLOOKUP($G360,Agendamento!$B:$F,5,0)</f>
        <v>4</v>
      </c>
      <c r="R360" s="36">
        <f t="shared" si="55"/>
        <v>24</v>
      </c>
      <c r="S360" s="44">
        <v>2.5499999999999998</v>
      </c>
      <c r="T360" s="44">
        <f t="shared" si="56"/>
        <v>13586.4</v>
      </c>
      <c r="U360" t="s">
        <v>5210</v>
      </c>
      <c r="V360" t="str">
        <f t="shared" si="57"/>
        <v>NF/64307150_20260303_nf_46.pdf</v>
      </c>
      <c r="W360" s="32" t="str">
        <f t="shared" si="51"/>
        <v>NF - DE ONDE NASCEM AS FLORES</v>
      </c>
      <c r="X360" t="s">
        <v>5591</v>
      </c>
    </row>
    <row r="361" spans="1:24" x14ac:dyDescent="0.25">
      <c r="A361" t="str">
        <f>CONCATENATE(D361,"_",TEXT(M361,"ddmmaaaa"),"_",COUNTIF($D$2:D361,D361))</f>
        <v>074586770001-17_03032026_1</v>
      </c>
      <c r="B361" t="str">
        <f>CONCATENATE(Analise!D361,"_",COUNTIF(Analise!$D$2:D361,Analise!D361)+1)</f>
        <v>074586770001-17_2</v>
      </c>
      <c r="C361" s="34">
        <f>COUNTIF('Obras e Acervos'!$C:$C,CONCATENATE(LEFT(D361,12),RIGHT(D361,2)))</f>
        <v>2</v>
      </c>
      <c r="D361" s="35" t="s">
        <v>4726</v>
      </c>
      <c r="E361" t="str">
        <f>VLOOKUP($B361,'Obras e Acervos'!$B:$X,3,0)</f>
        <v>ALETRIA EDITORA LTDA-ALETRIA</v>
      </c>
      <c r="F361" t="str">
        <f>VLOOKUP($B361,'Obras e Acervos'!$B:$X,7,0)</f>
        <v>0808L23000020LE</v>
      </c>
      <c r="G361" t="str">
        <f>VLOOKUP($B361,'Obras e Acervos'!$B:$X,5,0)</f>
        <v>O CAMINHO DA ESCOLA</v>
      </c>
      <c r="H361">
        <f>VLOOKUP($B361,'Obras e Acervos'!$B:$X,18,0)</f>
        <v>22</v>
      </c>
      <c r="I361">
        <f>VLOOKUP($B361,'Obras e Acervos'!$B:$X,19,0)</f>
        <v>31539</v>
      </c>
      <c r="J361" s="42">
        <f>VLOOKUP($B361,'Obras e Acervos'!$B:$X,20,0)</f>
        <v>6307.8</v>
      </c>
      <c r="K361" s="31">
        <f>VLOOKUP($B361,'Obras e Acervos'!$B:$X,21,0)</f>
        <v>10.45</v>
      </c>
      <c r="L361" s="31">
        <f t="shared" si="53"/>
        <v>329582.55</v>
      </c>
      <c r="M361" s="1">
        <v>46084</v>
      </c>
      <c r="N361" s="1">
        <f t="shared" si="52"/>
        <v>46305</v>
      </c>
      <c r="O361">
        <f t="shared" si="54"/>
        <v>222</v>
      </c>
      <c r="P361" s="49">
        <f t="shared" si="50"/>
        <v>7.4</v>
      </c>
      <c r="Q361" s="34">
        <f>VLOOKUP($G361,Agendamento!$B:$F,5,0)</f>
        <v>6</v>
      </c>
      <c r="R361" s="36">
        <f t="shared" si="55"/>
        <v>32</v>
      </c>
      <c r="S361" s="44">
        <v>2.5499999999999998</v>
      </c>
      <c r="T361" s="44">
        <f t="shared" si="56"/>
        <v>18115.199999999997</v>
      </c>
      <c r="U361" t="s">
        <v>5217</v>
      </c>
      <c r="V361" t="str">
        <f t="shared" si="57"/>
        <v>NF/64307150_20260303_nf_48.pdf</v>
      </c>
      <c r="W361" s="32" t="str">
        <f t="shared" si="51"/>
        <v>NF - O CAMINHO DA ESCOLA</v>
      </c>
      <c r="X361" t="s">
        <v>5591</v>
      </c>
    </row>
    <row r="362" spans="1:24" x14ac:dyDescent="0.25">
      <c r="A362" t="str">
        <f>CONCATENATE(D362,"_",TEXT(M362,"ddmmaaaa"),"_",COUNTIF($D$2:D362,D362))</f>
        <v>293414670001-87_03032026_1</v>
      </c>
      <c r="B362" t="str">
        <f>CONCATENATE(Analise!D362,"_",COUNTIF(Analise!$D$2:D362,Analise!D362)+1)</f>
        <v>293414670001-87_2</v>
      </c>
      <c r="C362" s="34">
        <f>COUNTIF('Obras e Acervos'!$C:$C,CONCATENATE(LEFT(D362,12),RIGHT(D362,2)))</f>
        <v>2</v>
      </c>
      <c r="D362" s="35" t="s">
        <v>4728</v>
      </c>
      <c r="E362" t="str">
        <f>VLOOKUP($B362,'Obras e Acervos'!$B:$X,3,0)</f>
        <v>EDITORA ESTRELA CULTURAL LTDA-EDITORA ESTRELA CULTURAL</v>
      </c>
      <c r="F362" t="str">
        <f>VLOOKUP($B362,'Obras e Acervos'!$B:$X,7,0)</f>
        <v>0546L23000020LE</v>
      </c>
      <c r="G362" t="str">
        <f>VLOOKUP($B362,'Obras e Acervos'!$B:$X,5,0)</f>
        <v>VISITANDO SONHOS</v>
      </c>
      <c r="H362">
        <f>VLOOKUP($B362,'Obras e Acervos'!$B:$X,18,0)</f>
        <v>13</v>
      </c>
      <c r="I362">
        <f>VLOOKUP($B362,'Obras e Acervos'!$B:$X,19,0)</f>
        <v>33075</v>
      </c>
      <c r="J362" s="42">
        <f>VLOOKUP($B362,'Obras e Acervos'!$B:$X,20,0)</f>
        <v>4332.8249999999998</v>
      </c>
      <c r="K362" s="31">
        <f>VLOOKUP($B362,'Obras e Acervos'!$B:$X,21,0)</f>
        <v>12.13</v>
      </c>
      <c r="L362" s="31">
        <f t="shared" si="53"/>
        <v>401199.75</v>
      </c>
      <c r="M362" s="1">
        <v>46084</v>
      </c>
      <c r="N362" s="1">
        <f t="shared" si="52"/>
        <v>46305</v>
      </c>
      <c r="O362">
        <f t="shared" si="54"/>
        <v>222</v>
      </c>
      <c r="P362" s="49">
        <f t="shared" si="50"/>
        <v>7.4</v>
      </c>
      <c r="Q362" s="34">
        <f>VLOOKUP($G362,Agendamento!$B:$F,5,0)</f>
        <v>6</v>
      </c>
      <c r="R362" s="36">
        <f t="shared" si="55"/>
        <v>34</v>
      </c>
      <c r="S362" s="44">
        <v>2.5499999999999998</v>
      </c>
      <c r="T362" s="44">
        <f t="shared" si="56"/>
        <v>19247.399999999998</v>
      </c>
      <c r="U362" t="s">
        <v>5220</v>
      </c>
      <c r="V362" t="str">
        <f t="shared" si="57"/>
        <v>NF/64307150_20260303_nf_50.pdf</v>
      </c>
      <c r="W362" s="32" t="str">
        <f t="shared" si="51"/>
        <v>NF - VISITANDO SONHOS</v>
      </c>
      <c r="X362" t="s">
        <v>5591</v>
      </c>
    </row>
    <row r="363" spans="1:24" x14ac:dyDescent="0.25">
      <c r="A363" t="str">
        <f>CONCATENATE(D363,"_",TEXT(M363,"ddmmaaaa"),"_",COUNTIF($D$2:D363,D363))</f>
        <v>435964270001-07_03032026_1</v>
      </c>
      <c r="B363" t="str">
        <f>CONCATENATE(Analise!D363,"_",COUNTIF(Analise!$D$2:D363,Analise!D363))</f>
        <v>435964270001-07_1</v>
      </c>
      <c r="C363" s="34">
        <f>COUNTIF('Obras e Acervos'!$C:$C,CONCATENATE(LEFT(D363,12),RIGHT(D363,2)))</f>
        <v>1</v>
      </c>
      <c r="D363" s="35" t="s">
        <v>4721</v>
      </c>
      <c r="E363" t="str">
        <f>VLOOKUP($B363,'Obras e Acervos'!$B:$X,3,0)</f>
        <v>NERD EDITORA LTDA-NERD</v>
      </c>
      <c r="F363" t="str">
        <f>VLOOKUP($B363,'Obras e Acervos'!$B:$X,7,0)</f>
        <v>1134L23000030LE</v>
      </c>
      <c r="G363" t="str">
        <f>VLOOKUP($B363,'Obras e Acervos'!$B:$X,5,0)</f>
        <v>BENTO VENTO E BIA VENTANIA</v>
      </c>
      <c r="H363">
        <f>VLOOKUP($B363,'Obras e Acervos'!$B:$X,18,0)</f>
        <v>2</v>
      </c>
      <c r="I363">
        <f>VLOOKUP($B363,'Obras e Acervos'!$B:$X,19,0)</f>
        <v>44846</v>
      </c>
      <c r="J363" s="42">
        <f>VLOOKUP($B363,'Obras e Acervos'!$B:$X,20,0)</f>
        <v>4708.83</v>
      </c>
      <c r="K363" s="31">
        <f>VLOOKUP($B363,'Obras e Acervos'!$B:$X,21,0)</f>
        <v>5.07</v>
      </c>
      <c r="L363" s="31">
        <f t="shared" si="53"/>
        <v>227369.22</v>
      </c>
      <c r="M363" s="1">
        <v>46084</v>
      </c>
      <c r="N363" s="1">
        <f t="shared" si="52"/>
        <v>46305</v>
      </c>
      <c r="O363">
        <f t="shared" si="54"/>
        <v>222</v>
      </c>
      <c r="P363" s="49">
        <f t="shared" ref="P363:P426" si="58">O363/30</f>
        <v>7.4</v>
      </c>
      <c r="Q363" s="34">
        <f>VLOOKUP($G363,Agendamento!$B:$F,5,0)</f>
        <v>5</v>
      </c>
      <c r="R363" s="36">
        <f t="shared" si="55"/>
        <v>45</v>
      </c>
      <c r="S363" s="44">
        <v>2.5499999999999998</v>
      </c>
      <c r="T363" s="44">
        <f t="shared" si="56"/>
        <v>25474.5</v>
      </c>
      <c r="U363" t="s">
        <v>5212</v>
      </c>
      <c r="V363" t="str">
        <f t="shared" si="57"/>
        <v>NF/64307150_20260303_nf_52.pdf</v>
      </c>
      <c r="W363" s="32" t="str">
        <f t="shared" ref="W363:W426" si="59">HYPERLINK(CONCATENATE("saida/",U363),CONCATENATE("NF - ",G363))</f>
        <v>NF - BENTO VENTO E BIA VENTANIA</v>
      </c>
      <c r="X363" t="s">
        <v>5591</v>
      </c>
    </row>
    <row r="364" spans="1:24" x14ac:dyDescent="0.25">
      <c r="A364" t="str">
        <f>CONCATENATE(D364,"_",TEXT(M364,"ddmmaaaa"),"_",COUNTIF($D$2:D364,D364))</f>
        <v>434139110001-53_03032026_1</v>
      </c>
      <c r="B364" t="str">
        <f>CONCATENATE(Analise!D364,"_",COUNTIF(Analise!$D$2:D364,Analise!D364))</f>
        <v>434139110001-53_1</v>
      </c>
      <c r="C364" s="34">
        <f>COUNTIF('Obras e Acervos'!$C:$C,CONCATENATE(LEFT(D364,12),RIGHT(D364,2)))</f>
        <v>1</v>
      </c>
      <c r="D364" s="35" t="s">
        <v>4727</v>
      </c>
      <c r="E364" t="str">
        <f>VLOOKUP($B364,'Obras e Acervos'!$B:$X,3,0)</f>
        <v>EDITORA CAMILA LTDA-CAMILA</v>
      </c>
      <c r="F364" t="str">
        <f>VLOOKUP($B364,'Obras e Acervos'!$B:$X,7,0)</f>
        <v>1187L23000030LE</v>
      </c>
      <c r="G364" t="str">
        <f>VLOOKUP($B364,'Obras e Acervos'!$B:$X,5,0)</f>
        <v>EU SOU O MAX!</v>
      </c>
      <c r="H364">
        <f>VLOOKUP($B364,'Obras e Acervos'!$B:$X,18,0)</f>
        <v>9</v>
      </c>
      <c r="I364">
        <f>VLOOKUP($B364,'Obras e Acervos'!$B:$X,19,0)</f>
        <v>33476</v>
      </c>
      <c r="J364" s="42">
        <f>VLOOKUP($B364,'Obras e Acervos'!$B:$X,20,0)</f>
        <v>3079.7919999999999</v>
      </c>
      <c r="K364" s="31">
        <f>VLOOKUP($B364,'Obras e Acervos'!$B:$X,21,0)</f>
        <v>7.73</v>
      </c>
      <c r="L364" s="31">
        <f t="shared" si="53"/>
        <v>258769.48</v>
      </c>
      <c r="M364" s="1">
        <v>46084</v>
      </c>
      <c r="N364" s="1">
        <f t="shared" si="52"/>
        <v>46305</v>
      </c>
      <c r="O364">
        <f t="shared" si="54"/>
        <v>222</v>
      </c>
      <c r="P364" s="49">
        <f t="shared" si="58"/>
        <v>7.4</v>
      </c>
      <c r="Q364" s="34">
        <f>VLOOKUP($G364,Agendamento!$B:$F,5,0)</f>
        <v>5</v>
      </c>
      <c r="R364" s="36">
        <f t="shared" si="55"/>
        <v>34</v>
      </c>
      <c r="S364" s="44">
        <v>2.5499999999999998</v>
      </c>
      <c r="T364" s="44">
        <f t="shared" si="56"/>
        <v>19247.399999999998</v>
      </c>
      <c r="U364" t="s">
        <v>5219</v>
      </c>
      <c r="V364" t="str">
        <f t="shared" si="57"/>
        <v>NF/64307150_20260303_nf_53.pdf</v>
      </c>
      <c r="W364" s="32" t="str">
        <f t="shared" si="59"/>
        <v>NF - EU SOU O MAX!</v>
      </c>
      <c r="X364" t="s">
        <v>5591</v>
      </c>
    </row>
    <row r="365" spans="1:24" x14ac:dyDescent="0.25">
      <c r="A365" t="str">
        <f>CONCATENATE(D365,"_",TEXT(M365,"ddmmaaaa"),"_",COUNTIF($D$2:D365,D365))</f>
        <v>434141850001-93_03032026_2</v>
      </c>
      <c r="B365" t="str">
        <f>CONCATENATE(Analise!D365,"_",COUNTIF(Analise!$D$2:D365,Analise!D365)-1)</f>
        <v>434141850001-93_1</v>
      </c>
      <c r="C365" s="34">
        <f>COUNTIF('Obras e Acervos'!$C:$C,CONCATENATE(LEFT(D365,12),RIGHT(D365,2)))</f>
        <v>2</v>
      </c>
      <c r="D365" s="35" t="s">
        <v>4693</v>
      </c>
      <c r="E365" t="str">
        <f>VLOOKUP($B365,'Obras e Acervos'!$B:$X,3,0)</f>
        <v>EDITORA HEITOR LTDA-HEITOR</v>
      </c>
      <c r="F365" t="str">
        <f>VLOOKUP($B365,'Obras e Acervos'!$B:$X,7,0)</f>
        <v>1192L23000030LE</v>
      </c>
      <c r="G365" t="str">
        <f>VLOOKUP($B365,'Obras e Acervos'!$B:$X,5,0)</f>
        <v>FLORES NO CAMINHO</v>
      </c>
      <c r="H365">
        <f>VLOOKUP($B365,'Obras e Acervos'!$B:$X,18,0)</f>
        <v>5</v>
      </c>
      <c r="I365">
        <f>VLOOKUP($B365,'Obras e Acervos'!$B:$X,19,0)</f>
        <v>38119</v>
      </c>
      <c r="J365" s="42">
        <f>VLOOKUP($B365,'Obras e Acervos'!$B:$X,20,0)</f>
        <v>2592.0920000000001</v>
      </c>
      <c r="K365" s="31">
        <f>VLOOKUP($B365,'Obras e Acervos'!$B:$X,21,0)</f>
        <v>5.49</v>
      </c>
      <c r="L365" s="31">
        <f t="shared" si="53"/>
        <v>209273.31</v>
      </c>
      <c r="M365" s="1">
        <v>46084</v>
      </c>
      <c r="N365" s="1">
        <f t="shared" si="52"/>
        <v>46305</v>
      </c>
      <c r="O365">
        <f t="shared" si="54"/>
        <v>222</v>
      </c>
      <c r="P365" s="49">
        <f t="shared" si="58"/>
        <v>7.4</v>
      </c>
      <c r="Q365" s="34">
        <f>VLOOKUP($G365,Agendamento!$B:$F,5,0)</f>
        <v>5</v>
      </c>
      <c r="R365" s="36">
        <f t="shared" si="55"/>
        <v>39</v>
      </c>
      <c r="S365" s="44">
        <v>2.5499999999999998</v>
      </c>
      <c r="T365" s="44">
        <f t="shared" si="56"/>
        <v>22077.899999999998</v>
      </c>
      <c r="U365" t="s">
        <v>5221</v>
      </c>
      <c r="V365" t="str">
        <f t="shared" si="57"/>
        <v>NF/64307150_20260303_nf_54.pdf</v>
      </c>
      <c r="W365" s="32" t="str">
        <f t="shared" si="59"/>
        <v>NF - FLORES NO CAMINHO</v>
      </c>
      <c r="X365" t="s">
        <v>5591</v>
      </c>
    </row>
    <row r="366" spans="1:24" x14ac:dyDescent="0.25">
      <c r="A366" t="str">
        <f>CONCATENATE(D366,"_",TEXT(M366,"ddmmaaaa"),"_",COUNTIF($D$2:D366,D366))</f>
        <v>212569470001-38_03032026_1</v>
      </c>
      <c r="B366" t="str">
        <f>CONCATENATE(Analise!D366,"_",COUNTIF(Analise!$D$2:D366,Analise!D366))</f>
        <v>212569470001-38_1</v>
      </c>
      <c r="C366" s="34">
        <f>COUNTIF('Obras e Acervos'!$C:$C,CONCATENATE(LEFT(D366,12),RIGHT(D366,2)))</f>
        <v>1</v>
      </c>
      <c r="D366" s="35" t="s">
        <v>4723</v>
      </c>
      <c r="E366" t="str">
        <f>VLOOKUP($B366,'Obras e Acervos'!$B:$X,3,0)</f>
        <v>ANDRE ALEXANDRE VASCONCELOS EPP-AMOLER</v>
      </c>
      <c r="F366" t="str">
        <f>VLOOKUP($B366,'Obras e Acervos'!$B:$X,7,0)</f>
        <v>0885L23000020LE</v>
      </c>
      <c r="G366" t="str">
        <f>VLOOKUP($B366,'Obras e Acervos'!$B:$X,5,0)</f>
        <v>DA LUA À TERRA</v>
      </c>
      <c r="H366">
        <f>VLOOKUP($B366,'Obras e Acervos'!$B:$X,18,0)</f>
        <v>15</v>
      </c>
      <c r="I366">
        <f>VLOOKUP($B366,'Obras e Acervos'!$B:$X,19,0)</f>
        <v>149901</v>
      </c>
      <c r="J366" s="42">
        <f>VLOOKUP($B366,'Obras e Acervos'!$B:$X,20,0)</f>
        <v>30729.704999999998</v>
      </c>
      <c r="K366" s="31">
        <f>VLOOKUP($B366,'Obras e Acervos'!$B:$X,21,0)</f>
        <v>5.75</v>
      </c>
      <c r="L366" s="31">
        <f t="shared" si="53"/>
        <v>861930.75</v>
      </c>
      <c r="M366" s="1">
        <v>46084</v>
      </c>
      <c r="N366" s="1">
        <f t="shared" si="52"/>
        <v>46305</v>
      </c>
      <c r="O366">
        <f t="shared" si="54"/>
        <v>222</v>
      </c>
      <c r="P366" s="49">
        <f t="shared" si="58"/>
        <v>7.4</v>
      </c>
      <c r="Q366" s="34">
        <f>VLOOKUP($G366,Agendamento!$B:$F,5,0)</f>
        <v>20</v>
      </c>
      <c r="R366" s="36">
        <f t="shared" si="55"/>
        <v>150</v>
      </c>
      <c r="S366" s="44">
        <v>2.5499999999999998</v>
      </c>
      <c r="T366" s="44">
        <f t="shared" si="56"/>
        <v>84915</v>
      </c>
      <c r="U366" t="s">
        <v>5214</v>
      </c>
      <c r="V366" t="str">
        <f t="shared" si="57"/>
        <v>NF/64307150_20260303_nf_55.pdf</v>
      </c>
      <c r="W366" s="32" t="str">
        <f t="shared" si="59"/>
        <v>NF - DA LUA À TERRA</v>
      </c>
      <c r="X366" t="s">
        <v>5591</v>
      </c>
    </row>
    <row r="367" spans="1:24" x14ac:dyDescent="0.25">
      <c r="A367" t="str">
        <f>CONCATENATE(D367,"_",TEXT(M367,"ddmmaaaa"),"_",COUNTIF($D$2:D367,D367))</f>
        <v>046438200001-52_03032026_1</v>
      </c>
      <c r="B367" t="str">
        <f>CONCATENATE(Analise!D367,"_",COUNTIF(Analise!$D$2:D367,Analise!D367))</f>
        <v>046438200001-52_1</v>
      </c>
      <c r="C367" s="34">
        <f>COUNTIF('Obras e Acervos'!$C:$C,CONCATENATE(LEFT(D367,12),RIGHT(D367,2)))</f>
        <v>1</v>
      </c>
      <c r="D367" s="35" t="s">
        <v>4714</v>
      </c>
      <c r="E367" t="str">
        <f>VLOOKUP($B367,'Obras e Acervos'!$B:$X,3,0)</f>
        <v>NOVO SÉCULO EDITORA COMPANY LTDA-GRUPO NOVO SÉCULO</v>
      </c>
      <c r="F367" t="str">
        <f>VLOOKUP($B367,'Obras e Acervos'!$B:$X,7,0)</f>
        <v>0867L23000020LE</v>
      </c>
      <c r="G367" t="str">
        <f>VLOOKUP($B367,'Obras e Acervos'!$B:$X,5,0)</f>
        <v>UIARA BELA, AMOR DE ÍNDIO</v>
      </c>
      <c r="H367">
        <f>VLOOKUP($B367,'Obras e Acervos'!$B:$X,18,0)</f>
        <v>21</v>
      </c>
      <c r="I367">
        <f>VLOOKUP($B367,'Obras e Acervos'!$B:$X,19,0)</f>
        <v>23662</v>
      </c>
      <c r="J367" s="42">
        <f>VLOOKUP($B367,'Obras e Acervos'!$B:$X,20,0)</f>
        <v>4377.47</v>
      </c>
      <c r="K367" s="31">
        <f>VLOOKUP($B367,'Obras e Acervos'!$B:$X,21,0)</f>
        <v>8.4700000000000006</v>
      </c>
      <c r="L367" s="31">
        <f t="shared" si="53"/>
        <v>200417.14</v>
      </c>
      <c r="M367" s="1">
        <v>46084</v>
      </c>
      <c r="N367" s="1">
        <f t="shared" si="52"/>
        <v>46305</v>
      </c>
      <c r="O367">
        <f t="shared" si="54"/>
        <v>222</v>
      </c>
      <c r="P367" s="49">
        <f t="shared" si="58"/>
        <v>7.4</v>
      </c>
      <c r="Q367" s="34">
        <f>VLOOKUP($G367,Agendamento!$B:$F,5,0)</f>
        <v>5</v>
      </c>
      <c r="R367" s="36">
        <f t="shared" si="55"/>
        <v>24</v>
      </c>
      <c r="S367" s="44">
        <v>2.5499999999999998</v>
      </c>
      <c r="T367" s="44">
        <f t="shared" si="56"/>
        <v>13586.4</v>
      </c>
      <c r="U367" t="s">
        <v>5204</v>
      </c>
      <c r="V367" t="str">
        <f t="shared" si="57"/>
        <v>NF/64307150_20260303_nf_57.pdf</v>
      </c>
      <c r="W367" s="32" t="str">
        <f t="shared" si="59"/>
        <v>NF - UIARA BELA, AMOR DE ÍNDIO</v>
      </c>
      <c r="X367" t="s">
        <v>5591</v>
      </c>
    </row>
    <row r="368" spans="1:24" x14ac:dyDescent="0.25">
      <c r="A368" t="str">
        <f>CONCATENATE(D368,"_",TEXT(M368,"ddmmaaaa"),"_",COUNTIF($D$2:D368,D368))</f>
        <v>170701360001-70_04032026_1</v>
      </c>
      <c r="B368" t="str">
        <f>CONCATENATE(Analise!D368,"_",COUNTIF(Analise!$D$2:D368,Analise!D368))</f>
        <v>170701360001-70_1</v>
      </c>
      <c r="C368" s="34">
        <f>COUNTIF('Obras e Acervos'!$C:$C,CONCATENATE(LEFT(D368,12),RIGHT(D368,2)))</f>
        <v>1</v>
      </c>
      <c r="D368" s="35" t="s">
        <v>4732</v>
      </c>
      <c r="E368" t="str">
        <f>VLOOKUP($B368,'Obras e Acervos'!$B:$X,3,0)</f>
        <v>CAROLINA DE SOUZA LEAL 12247945759-CURVA EDITORIAL</v>
      </c>
      <c r="F368" t="str">
        <f>VLOOKUP($B368,'Obras e Acervos'!$B:$X,7,0)</f>
        <v>0682L23000020LE</v>
      </c>
      <c r="G368" t="str">
        <f>VLOOKUP($B368,'Obras e Acervos'!$B:$X,5,0)</f>
        <v>O SEGREDO DE CLARICE</v>
      </c>
      <c r="H368">
        <f>VLOOKUP($B368,'Obras e Acervos'!$B:$X,18,0)</f>
        <v>19</v>
      </c>
      <c r="I368">
        <f>VLOOKUP($B368,'Obras e Acervos'!$B:$X,19,0)</f>
        <v>25316</v>
      </c>
      <c r="J368" s="42">
        <f>VLOOKUP($B368,'Obras e Acervos'!$B:$X,20,0)</f>
        <v>3797.3999999999996</v>
      </c>
      <c r="K368" s="31">
        <f>VLOOKUP($B368,'Obras e Acervos'!$B:$X,21,0)</f>
        <v>5.29</v>
      </c>
      <c r="L368" s="31">
        <f t="shared" si="53"/>
        <v>133921.64000000001</v>
      </c>
      <c r="M368" s="1">
        <v>46085</v>
      </c>
      <c r="N368" s="1">
        <f t="shared" si="52"/>
        <v>46305</v>
      </c>
      <c r="O368">
        <f t="shared" si="54"/>
        <v>221</v>
      </c>
      <c r="P368" s="49">
        <f t="shared" si="58"/>
        <v>7.3666666666666663</v>
      </c>
      <c r="Q368" s="34">
        <f>VLOOKUP($G368,Agendamento!$B:$F,5,0)</f>
        <v>2</v>
      </c>
      <c r="R368" s="36">
        <f t="shared" si="55"/>
        <v>26</v>
      </c>
      <c r="S368" s="44">
        <v>2.5499999999999998</v>
      </c>
      <c r="T368" s="44">
        <f t="shared" si="56"/>
        <v>14652.3</v>
      </c>
      <c r="U368" t="s">
        <v>5227</v>
      </c>
      <c r="V368" t="str">
        <f t="shared" si="57"/>
        <v>NF/64307205_20260304_nf_01.pdf</v>
      </c>
      <c r="W368" s="32" t="str">
        <f t="shared" si="59"/>
        <v>NF - O SEGREDO DE CLARICE</v>
      </c>
      <c r="X368" t="s">
        <v>5591</v>
      </c>
    </row>
    <row r="369" spans="1:24" x14ac:dyDescent="0.25">
      <c r="A369" t="str">
        <f>CONCATENATE(D369,"_",TEXT(M369,"ddmmaaaa"),"_",COUNTIF($D$2:D369,D369))</f>
        <v>070286850001-23_04032026_1</v>
      </c>
      <c r="B369" t="str">
        <f>CONCATENATE(Analise!D369,"_",COUNTIF(Analise!$D$2:D369,Analise!D369))</f>
        <v>070286850001-23_1</v>
      </c>
      <c r="C369" s="34">
        <f>COUNTIF('Obras e Acervos'!$C:$C,CONCATENATE(LEFT(D369,12),RIGHT(D369,2)))</f>
        <v>1</v>
      </c>
      <c r="D369" s="35" t="s">
        <v>4730</v>
      </c>
      <c r="E369" t="str">
        <f>VLOOKUP($B369,'Obras e Acervos'!$B:$X,3,0)</f>
        <v>FINO TRAÇO EDITORA LTDA.-FINO TRAÇO EDITORA</v>
      </c>
      <c r="F369" t="str">
        <f>VLOOKUP($B369,'Obras e Acervos'!$B:$X,7,0)</f>
        <v>0445L23000030LE</v>
      </c>
      <c r="G369" t="str">
        <f>VLOOKUP($B369,'Obras e Acervos'!$B:$X,5,0)</f>
        <v>OUVINDO O CÉU</v>
      </c>
      <c r="H369">
        <f>VLOOKUP($B369,'Obras e Acervos'!$B:$X,18,0)</f>
        <v>3</v>
      </c>
      <c r="I369">
        <f>VLOOKUP($B369,'Obras e Acervos'!$B:$X,19,0)</f>
        <v>51214</v>
      </c>
      <c r="J369" s="42">
        <f>VLOOKUP($B369,'Obras e Acervos'!$B:$X,20,0)</f>
        <v>7682.0999999999995</v>
      </c>
      <c r="K369" s="31">
        <f>VLOOKUP($B369,'Obras e Acervos'!$B:$X,21,0)</f>
        <v>3.9</v>
      </c>
      <c r="L369" s="31">
        <f t="shared" si="53"/>
        <v>199734.6</v>
      </c>
      <c r="M369" s="1">
        <v>46085</v>
      </c>
      <c r="N369" s="1">
        <f t="shared" si="52"/>
        <v>46305</v>
      </c>
      <c r="O369">
        <f t="shared" si="54"/>
        <v>221</v>
      </c>
      <c r="P369" s="49">
        <f t="shared" si="58"/>
        <v>7.3666666666666663</v>
      </c>
      <c r="Q369" s="34">
        <f>VLOOKUP($G369,Agendamento!$B:$F,5,0)</f>
        <v>7</v>
      </c>
      <c r="R369" s="36">
        <f t="shared" si="55"/>
        <v>52</v>
      </c>
      <c r="S369" s="44">
        <v>2.5499999999999998</v>
      </c>
      <c r="T369" s="44">
        <f t="shared" si="56"/>
        <v>29304.6</v>
      </c>
      <c r="U369" t="s">
        <v>5224</v>
      </c>
      <c r="V369" t="str">
        <f t="shared" si="57"/>
        <v>NF/64307205_20260304_nf_02.pdf</v>
      </c>
      <c r="W369" s="32" t="str">
        <f t="shared" si="59"/>
        <v>NF - OUVINDO O CÉU</v>
      </c>
      <c r="X369" t="s">
        <v>5591</v>
      </c>
    </row>
    <row r="370" spans="1:24" x14ac:dyDescent="0.25">
      <c r="A370" t="str">
        <f>CONCATENATE(D370,"_",TEXT(M370,"ddmmaaaa"),"_",COUNTIF($D$2:D370,D370))</f>
        <v>175947330001-02_04032026_2</v>
      </c>
      <c r="B370" t="str">
        <f>CONCATENATE(Analise!D370,"_",COUNTIF(Analise!$D$2:D370,Analise!D370)-1)</f>
        <v>175947330001-02_1</v>
      </c>
      <c r="C370" s="34">
        <f>COUNTIF('Obras e Acervos'!$C:$C,CONCATENATE(LEFT(D370,12),RIGHT(D370,2)))</f>
        <v>2</v>
      </c>
      <c r="D370" s="35" t="s">
        <v>4720</v>
      </c>
      <c r="E370" t="str">
        <f>VLOOKUP($B370,'Obras e Acervos'!$B:$X,3,0)</f>
        <v>JYMY ADMINISTRACAO DE IMOVEIS LTDA-</v>
      </c>
      <c r="F370" t="str">
        <f>VLOOKUP($B370,'Obras e Acervos'!$B:$X,7,0)</f>
        <v>1159L23000030LE</v>
      </c>
      <c r="G370" t="str">
        <f>VLOOKUP($B370,'Obras e Acervos'!$B:$X,5,0)</f>
        <v>A ESCOLA QUE EU QUERO PRA MIM</v>
      </c>
      <c r="H370">
        <f>VLOOKUP($B370,'Obras e Acervos'!$B:$X,18,0)</f>
        <v>10</v>
      </c>
      <c r="I370">
        <f>VLOOKUP($B370,'Obras e Acervos'!$B:$X,19,0)</f>
        <v>72279</v>
      </c>
      <c r="J370" s="42">
        <f>VLOOKUP($B370,'Obras e Acervos'!$B:$X,20,0)</f>
        <v>7589.2950000000001</v>
      </c>
      <c r="K370" s="31">
        <f>VLOOKUP($B370,'Obras e Acervos'!$B:$X,21,0)</f>
        <v>4.2</v>
      </c>
      <c r="L370" s="31">
        <f t="shared" si="53"/>
        <v>303571.8</v>
      </c>
      <c r="M370" s="1">
        <v>46085</v>
      </c>
      <c r="N370" s="1">
        <f t="shared" si="52"/>
        <v>46305</v>
      </c>
      <c r="O370">
        <f t="shared" si="54"/>
        <v>221</v>
      </c>
      <c r="P370" s="49">
        <f t="shared" si="58"/>
        <v>7.3666666666666663</v>
      </c>
      <c r="Q370" s="34">
        <f>VLOOKUP($G370,Agendamento!$B:$F,5,0)</f>
        <v>8</v>
      </c>
      <c r="R370" s="36">
        <f t="shared" si="55"/>
        <v>73</v>
      </c>
      <c r="S370" s="44">
        <v>2.5499999999999998</v>
      </c>
      <c r="T370" s="44">
        <f t="shared" si="56"/>
        <v>41139.149999999994</v>
      </c>
      <c r="U370" t="s">
        <v>5240</v>
      </c>
      <c r="V370" t="str">
        <f t="shared" si="57"/>
        <v>NF/64307205_20260304_nf_03.pdf</v>
      </c>
      <c r="W370" s="32" t="str">
        <f t="shared" si="59"/>
        <v>NF - A ESCOLA QUE EU QUERO PRA MIM</v>
      </c>
      <c r="X370" t="s">
        <v>5591</v>
      </c>
    </row>
    <row r="371" spans="1:24" x14ac:dyDescent="0.25">
      <c r="A371" t="str">
        <f>CONCATENATE(D371,"_",TEXT(M371,"ddmmaaaa"),"_",COUNTIF($D$2:D371,D371))</f>
        <v>409783200001-35_04032026_1</v>
      </c>
      <c r="B371" t="str">
        <f>CONCATENATE(Analise!D371,"_",COUNTIF(Analise!$D$2:D371,Analise!D371))</f>
        <v>409783200001-35_1</v>
      </c>
      <c r="C371" s="34">
        <f>COUNTIF('Obras e Acervos'!$C:$C,CONCATENATE(LEFT(D371,12),RIGHT(D371,2)))</f>
        <v>1</v>
      </c>
      <c r="D371" s="35" t="s">
        <v>4744</v>
      </c>
      <c r="E371" t="str">
        <f>VLOOKUP($B371,'Obras e Acervos'!$B:$X,3,0)</f>
        <v>LOTUS CULTURAL EDITORA LTDA-LOTUS CULTURAL EDITORA LTDA</v>
      </c>
      <c r="F371" t="str">
        <f>VLOOKUP($B371,'Obras e Acervos'!$B:$X,7,0)</f>
        <v>0614L23000030LE</v>
      </c>
      <c r="G371" t="str">
        <f>VLOOKUP($B371,'Obras e Acervos'!$B:$X,5,0)</f>
        <v>AMOR DE MÃE D'ÁGUA</v>
      </c>
      <c r="H371">
        <f>VLOOKUP($B371,'Obras e Acervos'!$B:$X,18,0)</f>
        <v>4</v>
      </c>
      <c r="I371">
        <f>VLOOKUP($B371,'Obras e Acervos'!$B:$X,19,0)</f>
        <v>89227</v>
      </c>
      <c r="J371" s="42">
        <f>VLOOKUP($B371,'Obras e Acervos'!$B:$X,20,0)</f>
        <v>3747.5340000000001</v>
      </c>
      <c r="K371" s="31">
        <f>VLOOKUP($B371,'Obras e Acervos'!$B:$X,21,0)</f>
        <v>3.32</v>
      </c>
      <c r="L371" s="31">
        <f t="shared" si="53"/>
        <v>296233.64</v>
      </c>
      <c r="M371" s="1">
        <v>46085</v>
      </c>
      <c r="N371" s="1">
        <f t="shared" si="52"/>
        <v>46305</v>
      </c>
      <c r="O371">
        <f t="shared" si="54"/>
        <v>221</v>
      </c>
      <c r="P371" s="49">
        <f t="shared" si="58"/>
        <v>7.3666666666666663</v>
      </c>
      <c r="Q371" s="34">
        <f>VLOOKUP($G371,Agendamento!$B:$F,5,0)</f>
        <v>5</v>
      </c>
      <c r="R371" s="36">
        <f t="shared" si="55"/>
        <v>90</v>
      </c>
      <c r="S371" s="44">
        <v>2.5499999999999998</v>
      </c>
      <c r="T371" s="44">
        <f t="shared" si="56"/>
        <v>50719.5</v>
      </c>
      <c r="U371" t="s">
        <v>5246</v>
      </c>
      <c r="V371" t="str">
        <f t="shared" si="57"/>
        <v>NF/64307205_20260304_nf_05.pdf</v>
      </c>
      <c r="W371" s="32" t="str">
        <f t="shared" si="59"/>
        <v>NF - AMOR DE MÃE D'ÁGUA</v>
      </c>
      <c r="X371" t="s">
        <v>5591</v>
      </c>
    </row>
    <row r="372" spans="1:24" x14ac:dyDescent="0.25">
      <c r="A372" t="str">
        <f>CONCATENATE(D372,"_",TEXT(M372,"ddmmaaaa"),"_",COUNTIF($D$2:D372,D372))</f>
        <v>436794590001-76_04032026_1</v>
      </c>
      <c r="B372" t="str">
        <f>CONCATENATE(Analise!D372,"_",COUNTIF(Analise!$D$2:D372,Analise!D372))</f>
        <v>436794590001-76_1</v>
      </c>
      <c r="C372" s="34">
        <f>COUNTIF('Obras e Acervos'!$C:$C,CONCATENATE(LEFT(D372,12),RIGHT(D372,2)))</f>
        <v>2</v>
      </c>
      <c r="D372" s="35" t="s">
        <v>4750</v>
      </c>
      <c r="E372" t="str">
        <f>VLOOKUP($B372,'Obras e Acervos'!$B:$X,3,0)</f>
        <v>EDITORA CABO ORANGE LTDA-CABO ORANGE</v>
      </c>
      <c r="F372" t="str">
        <f>VLOOKUP($B372,'Obras e Acervos'!$B:$X,7,0)</f>
        <v>1147L23000030LE</v>
      </c>
      <c r="G372" t="str">
        <f>VLOOKUP($B372,'Obras e Acervos'!$B:$X,5,0)</f>
        <v>ANIVERSÁRIO NO CEMITÉRIO</v>
      </c>
      <c r="H372">
        <f>VLOOKUP($B372,'Obras e Acervos'!$B:$X,18,0)</f>
        <v>9</v>
      </c>
      <c r="I372">
        <f>VLOOKUP($B372,'Obras e Acervos'!$B:$X,19,0)</f>
        <v>33264</v>
      </c>
      <c r="J372" s="42">
        <f>VLOOKUP($B372,'Obras e Acervos'!$B:$X,20,0)</f>
        <v>3492.72</v>
      </c>
      <c r="K372" s="31">
        <f>VLOOKUP($B372,'Obras e Acervos'!$B:$X,21,0)</f>
        <v>5.94</v>
      </c>
      <c r="L372" s="31">
        <f t="shared" si="53"/>
        <v>197588.16</v>
      </c>
      <c r="M372" s="1">
        <v>46085</v>
      </c>
      <c r="N372" s="1">
        <f t="shared" si="52"/>
        <v>46305</v>
      </c>
      <c r="O372">
        <f t="shared" si="54"/>
        <v>221</v>
      </c>
      <c r="P372" s="49">
        <f t="shared" si="58"/>
        <v>7.3666666666666663</v>
      </c>
      <c r="Q372" s="34">
        <f>VLOOKUP($G372,Agendamento!$B:$F,5,0)</f>
        <v>4</v>
      </c>
      <c r="R372" s="36">
        <f t="shared" si="55"/>
        <v>34</v>
      </c>
      <c r="S372" s="44">
        <v>2.5499999999999998</v>
      </c>
      <c r="T372" s="44">
        <f t="shared" si="56"/>
        <v>19160.699999999997</v>
      </c>
      <c r="U372" t="s">
        <v>5254</v>
      </c>
      <c r="V372" t="str">
        <f t="shared" si="57"/>
        <v>NF/64307205_20260304_nf_06.pdf</v>
      </c>
      <c r="W372" s="32" t="str">
        <f t="shared" si="59"/>
        <v>NF - ANIVERSÁRIO NO CEMITÉRIO</v>
      </c>
      <c r="X372" t="s">
        <v>5591</v>
      </c>
    </row>
    <row r="373" spans="1:24" x14ac:dyDescent="0.25">
      <c r="A373" t="str">
        <f>CONCATENATE(D373,"_",TEXT(M373,"ddmmaaaa"),"_",COUNTIF($D$2:D373,D373))</f>
        <v>434112740001-86_04032026_1</v>
      </c>
      <c r="B373" t="str">
        <f>CONCATENATE(Analise!D373,"_",COUNTIF(Analise!$D$2:D373,Analise!D373))</f>
        <v>434112740001-86_1</v>
      </c>
      <c r="C373" s="34">
        <f>COUNTIF('Obras e Acervos'!$C:$C,CONCATENATE(LEFT(D373,12),RIGHT(D373,2)))</f>
        <v>2</v>
      </c>
      <c r="D373" s="35" t="s">
        <v>4738</v>
      </c>
      <c r="E373" t="str">
        <f>VLOOKUP($B373,'Obras e Acervos'!$B:$X,3,0)</f>
        <v>EDITORA JULIANA LTDA-JULIANA</v>
      </c>
      <c r="F373" t="str">
        <f>VLOOKUP($B373,'Obras e Acervos'!$B:$X,7,0)</f>
        <v>1194L23000030LE</v>
      </c>
      <c r="G373" t="str">
        <f>VLOOKUP($B373,'Obras e Acervos'!$B:$X,5,0)</f>
        <v>CADÊ SEU PEITO MAMÃE?</v>
      </c>
      <c r="H373">
        <f>VLOOKUP($B373,'Obras e Acervos'!$B:$X,18,0)</f>
        <v>8</v>
      </c>
      <c r="I373">
        <f>VLOOKUP($B373,'Obras e Acervos'!$B:$X,19,0)</f>
        <v>33346</v>
      </c>
      <c r="J373" s="42">
        <f>VLOOKUP($B373,'Obras e Acervos'!$B:$X,20,0)</f>
        <v>3467.9839999999999</v>
      </c>
      <c r="K373" s="31">
        <f>VLOOKUP($B373,'Obras e Acervos'!$B:$X,21,0)</f>
        <v>6.83</v>
      </c>
      <c r="L373" s="31">
        <f t="shared" si="53"/>
        <v>227753.18</v>
      </c>
      <c r="M373" s="1">
        <v>46085</v>
      </c>
      <c r="N373" s="1">
        <f t="shared" si="52"/>
        <v>46305</v>
      </c>
      <c r="O373">
        <f t="shared" si="54"/>
        <v>221</v>
      </c>
      <c r="P373" s="49">
        <f t="shared" si="58"/>
        <v>7.3666666666666663</v>
      </c>
      <c r="Q373" s="34">
        <f>VLOOKUP($G373,Agendamento!$B:$F,5,0)</f>
        <v>5</v>
      </c>
      <c r="R373" s="36">
        <f t="shared" si="55"/>
        <v>34</v>
      </c>
      <c r="S373" s="44">
        <v>2.5499999999999998</v>
      </c>
      <c r="T373" s="44">
        <f t="shared" si="56"/>
        <v>19160.699999999997</v>
      </c>
      <c r="U373" t="s">
        <v>5233</v>
      </c>
      <c r="V373" t="str">
        <f t="shared" si="57"/>
        <v>NF/64307205_20260304_nf_07.pdf</v>
      </c>
      <c r="W373" s="32" t="str">
        <f t="shared" si="59"/>
        <v>NF - CADÊ SEU PEITO MAMÃE?</v>
      </c>
      <c r="X373" t="s">
        <v>5591</v>
      </c>
    </row>
    <row r="374" spans="1:24" x14ac:dyDescent="0.25">
      <c r="A374" t="str">
        <f>CONCATENATE(D374,"_",TEXT(M374,"ddmmaaaa"),"_",COUNTIF($D$2:D374,D374))</f>
        <v>038899670001-64_04032026_2</v>
      </c>
      <c r="B374" t="str">
        <f>CONCATENATE(Analise!D374,"_",COUNTIF(Analise!$D$2:D374,Analise!D374)-1)</f>
        <v>038899670001-64_1</v>
      </c>
      <c r="C374" s="34">
        <f>COUNTIF('Obras e Acervos'!$C:$C,CONCATENATE(LEFT(D374,12),RIGHT(D374,2)))</f>
        <v>2</v>
      </c>
      <c r="D374" s="35" t="s">
        <v>4673</v>
      </c>
      <c r="E374" t="str">
        <f>VLOOKUP($B374,'Obras e Acervos'!$B:$X,3,0)</f>
        <v>GRAFICA E EDITORA RIO-DG LTDA-</v>
      </c>
      <c r="F374" t="str">
        <f>VLOOKUP($B374,'Obras e Acervos'!$B:$X,7,0)</f>
        <v>0730L23000030LE</v>
      </c>
      <c r="G374" t="str">
        <f>VLOOKUP($B374,'Obras e Acervos'!$B:$X,5,0)</f>
        <v>ODEMAR</v>
      </c>
      <c r="H374">
        <f>VLOOKUP($B374,'Obras e Acervos'!$B:$X,18,0)</f>
        <v>3</v>
      </c>
      <c r="I374">
        <f>VLOOKUP($B374,'Obras e Acervos'!$B:$X,19,0)</f>
        <v>46275</v>
      </c>
      <c r="J374" s="42">
        <f>VLOOKUP($B374,'Obras e Acervos'!$B:$X,20,0)</f>
        <v>5738.1</v>
      </c>
      <c r="K374" s="31">
        <f>VLOOKUP($B374,'Obras e Acervos'!$B:$X,21,0)</f>
        <v>5.83</v>
      </c>
      <c r="L374" s="31">
        <f t="shared" si="53"/>
        <v>269783.25</v>
      </c>
      <c r="M374" s="1">
        <v>46085</v>
      </c>
      <c r="N374" s="1">
        <f t="shared" si="52"/>
        <v>46305</v>
      </c>
      <c r="O374">
        <f t="shared" si="54"/>
        <v>221</v>
      </c>
      <c r="P374" s="49">
        <f t="shared" si="58"/>
        <v>7.3666666666666663</v>
      </c>
      <c r="Q374" s="34">
        <f>VLOOKUP($G374,Agendamento!$B:$F,5,0)</f>
        <v>6</v>
      </c>
      <c r="R374" s="36">
        <f t="shared" si="55"/>
        <v>47</v>
      </c>
      <c r="S374" s="44">
        <v>2.5499999999999998</v>
      </c>
      <c r="T374" s="44">
        <f t="shared" si="56"/>
        <v>26486.85</v>
      </c>
      <c r="U374" t="s">
        <v>5235</v>
      </c>
      <c r="V374" t="str">
        <f t="shared" si="57"/>
        <v>NF/64307205_20260304_nf_08.pdf</v>
      </c>
      <c r="W374" s="32" t="str">
        <f t="shared" si="59"/>
        <v>NF - ODEMAR</v>
      </c>
      <c r="X374" t="s">
        <v>5591</v>
      </c>
    </row>
    <row r="375" spans="1:24" x14ac:dyDescent="0.25">
      <c r="A375" t="str">
        <f>CONCATENATE(D375,"_",TEXT(M375,"ddmmaaaa"),"_",COUNTIF($D$2:D375,D375))</f>
        <v>046042330001-54_04032026_1</v>
      </c>
      <c r="B375" t="str">
        <f>CONCATENATE(Analise!D375,"_",COUNTIF(Analise!$D$2:D375,Analise!D375))</f>
        <v>046042330001-54_1</v>
      </c>
      <c r="C375" s="34">
        <f>COUNTIF('Obras e Acervos'!$C:$C,CONCATENATE(LEFT(D375,12),RIGHT(D375,2)))</f>
        <v>1</v>
      </c>
      <c r="D375" s="35" t="s">
        <v>4739</v>
      </c>
      <c r="E375" t="str">
        <f>VLOOKUP($B375,'Obras e Acervos'!$B:$X,3,0)</f>
        <v>VAN BLAD COMUNICACAO E ENTRETENIMENTO LTDA-VAN BLAD EDITORIAL</v>
      </c>
      <c r="F375" t="str">
        <f>VLOOKUP($B375,'Obras e Acervos'!$B:$X,7,0)</f>
        <v>0999L23000020LE</v>
      </c>
      <c r="G375" t="str">
        <f>VLOOKUP($B375,'Obras e Acervos'!$B:$X,5,0)</f>
        <v>ABÍLIO BASÍLIO E SEU FUSQUETA</v>
      </c>
      <c r="H375">
        <f>VLOOKUP($B375,'Obras e Acervos'!$B:$X,18,0)</f>
        <v>17</v>
      </c>
      <c r="I375">
        <f>VLOOKUP($B375,'Obras e Acervos'!$B:$X,19,0)</f>
        <v>26853</v>
      </c>
      <c r="J375" s="42">
        <f>VLOOKUP($B375,'Obras e Acervos'!$B:$X,20,0)</f>
        <v>3249.2129999999997</v>
      </c>
      <c r="K375" s="31">
        <f>VLOOKUP($B375,'Obras e Acervos'!$B:$X,21,0)</f>
        <v>7.37</v>
      </c>
      <c r="L375" s="31">
        <f t="shared" si="53"/>
        <v>197906.61000000002</v>
      </c>
      <c r="M375" s="1">
        <v>46085</v>
      </c>
      <c r="N375" s="1">
        <f t="shared" si="52"/>
        <v>46305</v>
      </c>
      <c r="O375">
        <f t="shared" si="54"/>
        <v>221</v>
      </c>
      <c r="P375" s="49">
        <f t="shared" si="58"/>
        <v>7.3666666666666663</v>
      </c>
      <c r="Q375" s="34">
        <f>VLOOKUP($G375,Agendamento!$B:$F,5,0)</f>
        <v>5</v>
      </c>
      <c r="R375" s="36">
        <f t="shared" si="55"/>
        <v>27</v>
      </c>
      <c r="S375" s="44">
        <v>2.5499999999999998</v>
      </c>
      <c r="T375" s="44">
        <f t="shared" si="56"/>
        <v>15215.849999999999</v>
      </c>
      <c r="U375" t="s">
        <v>5234</v>
      </c>
      <c r="V375" t="str">
        <f t="shared" si="57"/>
        <v>NF/64307205_20260304_nf_09.pdf</v>
      </c>
      <c r="W375" s="32" t="str">
        <f t="shared" si="59"/>
        <v>NF - ABÍLIO BASÍLIO E SEU FUSQUETA</v>
      </c>
      <c r="X375" t="s">
        <v>5591</v>
      </c>
    </row>
    <row r="376" spans="1:24" x14ac:dyDescent="0.25">
      <c r="A376" t="str">
        <f>CONCATENATE(D376,"_",TEXT(M376,"ddmmaaaa"),"_",COUNTIF($D$2:D376,D376))</f>
        <v>434142770001-73_04032026_2</v>
      </c>
      <c r="B376" t="str">
        <f>CONCATENATE(Analise!D376,"_",COUNTIF(Analise!$D$2:D376,Analise!D376)-1)</f>
        <v>434142770001-73_1</v>
      </c>
      <c r="C376" s="34">
        <f>COUNTIF('Obras e Acervos'!$C:$C,CONCATENATE(LEFT(D376,12),RIGHT(D376,2)))</f>
        <v>2</v>
      </c>
      <c r="D376" s="35" t="s">
        <v>4715</v>
      </c>
      <c r="E376" t="str">
        <f>VLOOKUP($B376,'Obras e Acervos'!$B:$X,3,0)</f>
        <v>EDITORA IRIS LTDA-IRIS</v>
      </c>
      <c r="F376" t="str">
        <f>VLOOKUP($B376,'Obras e Acervos'!$B:$X,7,0)</f>
        <v>1196L23000030LE</v>
      </c>
      <c r="G376" t="str">
        <f>VLOOKUP($B376,'Obras e Acervos'!$B:$X,5,0)</f>
        <v>VIVA EU, VIVA TU, VIVA O RABO DO TATU!</v>
      </c>
      <c r="H376">
        <f>VLOOKUP($B376,'Obras e Acervos'!$B:$X,18,0)</f>
        <v>7</v>
      </c>
      <c r="I376">
        <f>VLOOKUP($B376,'Obras e Acervos'!$B:$X,19,0)</f>
        <v>36085</v>
      </c>
      <c r="J376" s="42">
        <f>VLOOKUP($B376,'Obras e Acervos'!$B:$X,20,0)</f>
        <v>2453.7800000000002</v>
      </c>
      <c r="K376" s="31">
        <f>VLOOKUP($B376,'Obras e Acervos'!$B:$X,21,0)</f>
        <v>4.97</v>
      </c>
      <c r="L376" s="31">
        <f t="shared" si="53"/>
        <v>179342.44999999998</v>
      </c>
      <c r="M376" s="1">
        <v>46085</v>
      </c>
      <c r="N376" s="1">
        <f t="shared" si="52"/>
        <v>46305</v>
      </c>
      <c r="O376">
        <f t="shared" si="54"/>
        <v>221</v>
      </c>
      <c r="P376" s="49">
        <f t="shared" si="58"/>
        <v>7.3666666666666663</v>
      </c>
      <c r="Q376" s="34">
        <f>VLOOKUP($G376,Agendamento!$B:$F,5,0)</f>
        <v>4</v>
      </c>
      <c r="R376" s="36">
        <f t="shared" si="55"/>
        <v>37</v>
      </c>
      <c r="S376" s="44">
        <v>2.5499999999999998</v>
      </c>
      <c r="T376" s="44">
        <f t="shared" si="56"/>
        <v>20851.349999999999</v>
      </c>
      <c r="U376" t="s">
        <v>5238</v>
      </c>
      <c r="V376" t="str">
        <f t="shared" si="57"/>
        <v>NF/64307205_20260304_nf_10.pdf</v>
      </c>
      <c r="W376" s="32" t="str">
        <f t="shared" si="59"/>
        <v>NF - VIVA EU, VIVA TU, VIVA O RABO DO TATU!</v>
      </c>
      <c r="X376" t="s">
        <v>5591</v>
      </c>
    </row>
    <row r="377" spans="1:24" x14ac:dyDescent="0.25">
      <c r="A377" t="str">
        <f>CONCATENATE(D377,"_",TEXT(M377,"ddmmaaaa"),"_",COUNTIF($D$2:D377,D377))</f>
        <v>145463790001-44_04032026_1</v>
      </c>
      <c r="B377" t="str">
        <f>CONCATENATE(Analise!D377,"_",COUNTIF(Analise!$D$2:D377,Analise!D377)+1)</f>
        <v>145463790001-44_2</v>
      </c>
      <c r="C377" s="34">
        <f>COUNTIF('Obras e Acervos'!$C:$C,CONCATENATE(LEFT(D377,12),RIGHT(D377,2)))</f>
        <v>2</v>
      </c>
      <c r="D377" s="35" t="s">
        <v>4731</v>
      </c>
      <c r="E377" t="str">
        <f>VLOOKUP($B377,'Obras e Acervos'!$B:$X,3,0)</f>
        <v>TRGD EDITORIAL LTDA-TRGD EDITORIAL</v>
      </c>
      <c r="F377" t="str">
        <f>VLOOKUP($B377,'Obras e Acervos'!$B:$X,7,0)</f>
        <v>0995L23000020LE</v>
      </c>
      <c r="G377" t="str">
        <f>VLOOKUP($B377,'Obras e Acervos'!$B:$X,5,0)</f>
        <v>NUM REINO COR DE BURRO QUANDO FOGE</v>
      </c>
      <c r="H377">
        <f>VLOOKUP($B377,'Obras e Acervos'!$B:$X,18,0)</f>
        <v>20</v>
      </c>
      <c r="I377">
        <f>VLOOKUP($B377,'Obras e Acervos'!$B:$X,19,0)</f>
        <v>27244</v>
      </c>
      <c r="J377" s="42">
        <f>VLOOKUP($B377,'Obras e Acervos'!$B:$X,20,0)</f>
        <v>3814.1600000000003</v>
      </c>
      <c r="K377" s="31">
        <f>VLOOKUP($B377,'Obras e Acervos'!$B:$X,21,0)</f>
        <v>8.2799999999999994</v>
      </c>
      <c r="L377" s="31">
        <f t="shared" si="53"/>
        <v>225580.31999999998</v>
      </c>
      <c r="M377" s="1">
        <v>46085</v>
      </c>
      <c r="N377" s="1">
        <f t="shared" si="52"/>
        <v>46305</v>
      </c>
      <c r="O377">
        <f t="shared" si="54"/>
        <v>221</v>
      </c>
      <c r="P377" s="49">
        <f t="shared" si="58"/>
        <v>7.3666666666666663</v>
      </c>
      <c r="Q377" s="34">
        <f>VLOOKUP($G377,Agendamento!$B:$F,5,0)</f>
        <v>5</v>
      </c>
      <c r="R377" s="36">
        <f t="shared" si="55"/>
        <v>28</v>
      </c>
      <c r="S377" s="44">
        <v>2.5499999999999998</v>
      </c>
      <c r="T377" s="44">
        <f t="shared" si="56"/>
        <v>15779.4</v>
      </c>
      <c r="U377" t="s">
        <v>5225</v>
      </c>
      <c r="V377" t="str">
        <f t="shared" si="57"/>
        <v>NF/64307205_20260304_nf_11.pdf</v>
      </c>
      <c r="W377" s="32" t="str">
        <f t="shared" si="59"/>
        <v>NF - NUM REINO COR DE BURRO QUANDO FOGE</v>
      </c>
      <c r="X377" t="s">
        <v>5591</v>
      </c>
    </row>
    <row r="378" spans="1:24" x14ac:dyDescent="0.25">
      <c r="A378" t="str">
        <f>CONCATENATE(D378,"_",TEXT(M378,"ddmmaaaa"),"_",COUNTIF($D$2:D378,D378))</f>
        <v>076809040001-54_04032026_1</v>
      </c>
      <c r="B378" t="str">
        <f>CONCATENATE(Analise!D378,"_",COUNTIF(Analise!$D$2:D378,Analise!D378))</f>
        <v>076809040001-54_1</v>
      </c>
      <c r="C378" s="34">
        <f>COUNTIF('Obras e Acervos'!$C:$C,CONCATENATE(LEFT(D378,12),RIGHT(D378,2)))</f>
        <v>2</v>
      </c>
      <c r="D378" s="35" t="s">
        <v>4735</v>
      </c>
      <c r="E378" t="str">
        <f>VLOOKUP($B378,'Obras e Acervos'!$B:$X,3,0)</f>
        <v>UNIVERSO DOS LIVROS EDITORA LTDA-UNIVERSO DOS LIVROS</v>
      </c>
      <c r="F378" t="str">
        <f>VLOOKUP($B378,'Obras e Acervos'!$B:$X,7,0)</f>
        <v>0897L23000030LE</v>
      </c>
      <c r="G378" t="str">
        <f>VLOOKUP($B378,'Obras e Acervos'!$B:$X,5,0)</f>
        <v>COM UMA LETRA MUDO TUDO</v>
      </c>
      <c r="H378">
        <f>VLOOKUP($B378,'Obras e Acervos'!$B:$X,18,0)</f>
        <v>7</v>
      </c>
      <c r="I378">
        <f>VLOOKUP($B378,'Obras e Acervos'!$B:$X,19,0)</f>
        <v>49629</v>
      </c>
      <c r="J378" s="42">
        <f>VLOOKUP($B378,'Obras e Acervos'!$B:$X,20,0)</f>
        <v>6005.1089999999995</v>
      </c>
      <c r="K378" s="31">
        <f>VLOOKUP($B378,'Obras e Acervos'!$B:$X,21,0)</f>
        <v>5.46</v>
      </c>
      <c r="L378" s="31">
        <f t="shared" si="53"/>
        <v>270974.34000000003</v>
      </c>
      <c r="M378" s="1">
        <v>46085</v>
      </c>
      <c r="N378" s="1">
        <f t="shared" si="52"/>
        <v>46305</v>
      </c>
      <c r="O378">
        <f t="shared" si="54"/>
        <v>221</v>
      </c>
      <c r="P378" s="49">
        <f t="shared" si="58"/>
        <v>7.3666666666666663</v>
      </c>
      <c r="Q378" s="34">
        <f>VLOOKUP($G378,Agendamento!$B:$F,5,0)</f>
        <v>8</v>
      </c>
      <c r="R378" s="36">
        <f t="shared" si="55"/>
        <v>50</v>
      </c>
      <c r="S378" s="44">
        <v>2.5499999999999998</v>
      </c>
      <c r="T378" s="44">
        <f t="shared" si="56"/>
        <v>28177.499999999996</v>
      </c>
      <c r="U378" t="s">
        <v>5230</v>
      </c>
      <c r="V378" t="str">
        <f t="shared" si="57"/>
        <v>NF/64307205_20260304_nf_12.pdf</v>
      </c>
      <c r="W378" s="32" t="str">
        <f t="shared" si="59"/>
        <v>NF - COM UMA LETRA MUDO TUDO</v>
      </c>
      <c r="X378" t="s">
        <v>5591</v>
      </c>
    </row>
    <row r="379" spans="1:24" x14ac:dyDescent="0.25">
      <c r="A379" t="str">
        <f>CONCATENATE(D379,"_",TEXT(M379,"ddmmaaaa"),"_",COUNTIF($D$2:D379,D379))</f>
        <v>145463790001-44_04032026_2</v>
      </c>
      <c r="B379" t="str">
        <f>CONCATENATE(Analise!D379,"_",COUNTIF(Analise!$D$2:D379,Analise!D379)-1)</f>
        <v>145463790001-44_1</v>
      </c>
      <c r="C379" s="34">
        <f>COUNTIF('Obras e Acervos'!$C:$C,CONCATENATE(LEFT(D379,12),RIGHT(D379,2)))</f>
        <v>2</v>
      </c>
      <c r="D379" s="35" t="s">
        <v>4731</v>
      </c>
      <c r="E379" t="str">
        <f>VLOOKUP($B379,'Obras e Acervos'!$B:$X,3,0)</f>
        <v>TRGD EDITORIAL LTDA-TRGD EDITORIAL</v>
      </c>
      <c r="F379" t="str">
        <f>VLOOKUP($B379,'Obras e Acervos'!$B:$X,7,0)</f>
        <v>0994L23000030LE</v>
      </c>
      <c r="G379" t="str">
        <f>VLOOKUP($B379,'Obras e Acervos'!$B:$X,5,0)</f>
        <v>SERÁ QUE DÁ PÉ?</v>
      </c>
      <c r="H379">
        <f>VLOOKUP($B379,'Obras e Acervos'!$B:$X,18,0)</f>
        <v>6</v>
      </c>
      <c r="I379">
        <f>VLOOKUP($B379,'Obras e Acervos'!$B:$X,19,0)</f>
        <v>36356</v>
      </c>
      <c r="J379" s="42">
        <f>VLOOKUP($B379,'Obras e Acervos'!$B:$X,20,0)</f>
        <v>3744.6679999999997</v>
      </c>
      <c r="K379" s="31">
        <f>VLOOKUP($B379,'Obras e Acervos'!$B:$X,21,0)</f>
        <v>5.85</v>
      </c>
      <c r="L379" s="31">
        <f t="shared" si="53"/>
        <v>212682.59999999998</v>
      </c>
      <c r="M379" s="1">
        <v>46085</v>
      </c>
      <c r="N379" s="1">
        <f t="shared" si="52"/>
        <v>46305</v>
      </c>
      <c r="O379">
        <f t="shared" si="54"/>
        <v>221</v>
      </c>
      <c r="P379" s="49">
        <f t="shared" si="58"/>
        <v>7.3666666666666663</v>
      </c>
      <c r="Q379" s="34">
        <f>VLOOKUP($G379,Agendamento!$B:$F,5,0)</f>
        <v>5</v>
      </c>
      <c r="R379" s="36">
        <f t="shared" si="55"/>
        <v>37</v>
      </c>
      <c r="S379" s="44">
        <v>2.5499999999999998</v>
      </c>
      <c r="T379" s="44">
        <f t="shared" si="56"/>
        <v>20851.349999999999</v>
      </c>
      <c r="U379" t="s">
        <v>5226</v>
      </c>
      <c r="V379" t="str">
        <f t="shared" si="57"/>
        <v>NF/64307205_20260304_nf_13.pdf</v>
      </c>
      <c r="W379" s="32" t="str">
        <f t="shared" si="59"/>
        <v>NF - SERÁ QUE DÁ PÉ?</v>
      </c>
      <c r="X379" t="s">
        <v>5591</v>
      </c>
    </row>
    <row r="380" spans="1:24" x14ac:dyDescent="0.25">
      <c r="A380" t="str">
        <f>CONCATENATE(D380,"_",TEXT(M380,"ddmmaaaa"),"_",COUNTIF($D$2:D380,D380))</f>
        <v>146078900001-09_04032026_1</v>
      </c>
      <c r="B380" t="str">
        <f>CONCATENATE(Analise!D380,"_",COUNTIF(Analise!$D$2:D380,Analise!D380)+1)</f>
        <v>146078900001-09_2</v>
      </c>
      <c r="C380" s="34">
        <f>COUNTIF('Obras e Acervos'!$C:$C,CONCATENATE(LEFT(D380,12),RIGHT(D380,2)))</f>
        <v>2</v>
      </c>
      <c r="D380" s="35" t="s">
        <v>4733</v>
      </c>
      <c r="E380" t="str">
        <f>VLOOKUP($B380,'Obras e Acervos'!$B:$X,3,0)</f>
        <v>DRAGON LOGISTICA E DISTRIBUICAO EIRELI-DRAGON EDITORIAL</v>
      </c>
      <c r="F380" t="str">
        <f>VLOOKUP($B380,'Obras e Acervos'!$B:$X,7,0)</f>
        <v>0997L23000020LE</v>
      </c>
      <c r="G380" t="str">
        <f>VLOOKUP($B380,'Obras e Acervos'!$B:$X,5,0)</f>
        <v>LARANJA-PERA, COUVE-MANTEIGA</v>
      </c>
      <c r="H380">
        <f>VLOOKUP($B380,'Obras e Acervos'!$B:$X,18,0)</f>
        <v>22</v>
      </c>
      <c r="I380">
        <f>VLOOKUP($B380,'Obras e Acervos'!$B:$X,19,0)</f>
        <v>23858</v>
      </c>
      <c r="J380" s="42">
        <f>VLOOKUP($B380,'Obras e Acervos'!$B:$X,20,0)</f>
        <v>3340.1200000000003</v>
      </c>
      <c r="K380" s="31">
        <f>VLOOKUP($B380,'Obras e Acervos'!$B:$X,21,0)</f>
        <v>8.44</v>
      </c>
      <c r="L380" s="31">
        <f t="shared" si="53"/>
        <v>201361.52</v>
      </c>
      <c r="M380" s="1">
        <v>46085</v>
      </c>
      <c r="N380" s="1">
        <f t="shared" si="52"/>
        <v>46305</v>
      </c>
      <c r="O380">
        <f t="shared" si="54"/>
        <v>221</v>
      </c>
      <c r="P380" s="49">
        <f t="shared" si="58"/>
        <v>7.3666666666666663</v>
      </c>
      <c r="Q380" s="34">
        <f>VLOOKUP($G380,Agendamento!$B:$F,5,0)</f>
        <v>5</v>
      </c>
      <c r="R380" s="36">
        <f t="shared" si="55"/>
        <v>24</v>
      </c>
      <c r="S380" s="44">
        <v>2.5499999999999998</v>
      </c>
      <c r="T380" s="44">
        <f t="shared" si="56"/>
        <v>13525.199999999999</v>
      </c>
      <c r="U380" t="s">
        <v>5228</v>
      </c>
      <c r="V380" t="str">
        <f t="shared" si="57"/>
        <v>NF/64307205_20260304_nf_14.pdf</v>
      </c>
      <c r="W380" s="32" t="str">
        <f t="shared" si="59"/>
        <v>NF - LARANJA-PERA, COUVE-MANTEIGA</v>
      </c>
      <c r="X380" t="s">
        <v>5591</v>
      </c>
    </row>
    <row r="381" spans="1:24" x14ac:dyDescent="0.25">
      <c r="A381" t="str">
        <f>CONCATENATE(D381,"_",TEXT(M381,"ddmmaaaa"),"_",COUNTIF($D$2:D381,D381))</f>
        <v>146078900001-09_04032026_2</v>
      </c>
      <c r="B381" t="str">
        <f>CONCATENATE(Analise!D381,"_",COUNTIF(Analise!$D$2:D381,Analise!D381)-1)</f>
        <v>146078900001-09_1</v>
      </c>
      <c r="C381" s="34">
        <f>COUNTIF('Obras e Acervos'!$C:$C,CONCATENATE(LEFT(D381,12),RIGHT(D381,2)))</f>
        <v>2</v>
      </c>
      <c r="D381" s="35" t="s">
        <v>4733</v>
      </c>
      <c r="E381" t="str">
        <f>VLOOKUP($B381,'Obras e Acervos'!$B:$X,3,0)</f>
        <v>DRAGON LOGISTICA E DISTRIBUICAO EIRELI-DRAGON EDITORIAL</v>
      </c>
      <c r="F381" t="str">
        <f>VLOOKUP($B381,'Obras e Acervos'!$B:$X,7,0)</f>
        <v>0996L23000030LE</v>
      </c>
      <c r="G381" t="str">
        <f>VLOOKUP($B381,'Obras e Acervos'!$B:$X,5,0)</f>
        <v>VERSOS MATEMÁTICOS</v>
      </c>
      <c r="H381">
        <f>VLOOKUP($B381,'Obras e Acervos'!$B:$X,18,0)</f>
        <v>2</v>
      </c>
      <c r="I381">
        <f>VLOOKUP($B381,'Obras e Acervos'!$B:$X,19,0)</f>
        <v>74964</v>
      </c>
      <c r="J381" s="42">
        <f>VLOOKUP($B381,'Obras e Acervos'!$B:$X,20,0)</f>
        <v>9070.6440000000002</v>
      </c>
      <c r="K381" s="31">
        <f>VLOOKUP($B381,'Obras e Acervos'!$B:$X,21,0)</f>
        <v>4.88</v>
      </c>
      <c r="L381" s="31">
        <f t="shared" si="53"/>
        <v>365824.32</v>
      </c>
      <c r="M381" s="1">
        <v>46085</v>
      </c>
      <c r="N381" s="1">
        <f t="shared" si="52"/>
        <v>46305</v>
      </c>
      <c r="O381">
        <f t="shared" si="54"/>
        <v>221</v>
      </c>
      <c r="P381" s="49">
        <f t="shared" si="58"/>
        <v>7.3666666666666663</v>
      </c>
      <c r="Q381" s="34">
        <f>VLOOKUP($G381,Agendamento!$B:$F,5,0)</f>
        <v>12</v>
      </c>
      <c r="R381" s="36">
        <f t="shared" si="55"/>
        <v>75</v>
      </c>
      <c r="S381" s="44">
        <v>2.5499999999999998</v>
      </c>
      <c r="T381" s="44">
        <f t="shared" si="56"/>
        <v>42266.25</v>
      </c>
      <c r="U381" t="s">
        <v>5237</v>
      </c>
      <c r="V381" t="str">
        <f t="shared" si="57"/>
        <v>NF/64307205_20260304_nf_15.pdf</v>
      </c>
      <c r="W381" s="32" t="str">
        <f t="shared" si="59"/>
        <v>NF - VERSOS MATEMÁTICOS</v>
      </c>
      <c r="X381" t="s">
        <v>5591</v>
      </c>
    </row>
    <row r="382" spans="1:24" x14ac:dyDescent="0.25">
      <c r="A382" t="str">
        <f>CONCATENATE(D382,"_",TEXT(M382,"ddmmaaaa"),"_",COUNTIF($D$2:D382,D382))</f>
        <v>434017740001-37_04032026_1</v>
      </c>
      <c r="B382" t="str">
        <f>CONCATENATE(Analise!D382,"_",COUNTIF(Analise!$D$2:D382,Analise!D382))</f>
        <v>434017740001-37_1</v>
      </c>
      <c r="C382" s="34">
        <f>COUNTIF('Obras e Acervos'!$C:$C,CONCATENATE(LEFT(D382,12),RIGHT(D382,2)))</f>
        <v>1</v>
      </c>
      <c r="D382" s="35" t="s">
        <v>4748</v>
      </c>
      <c r="E382" t="str">
        <f>VLOOKUP($B382,'Obras e Acervos'!$B:$X,3,0)</f>
        <v>SERENA EDITORA LTDA-SERENA EDITORA LTDA</v>
      </c>
      <c r="F382" t="str">
        <f>VLOOKUP($B382,'Obras e Acervos'!$B:$X,7,0)</f>
        <v>1158L23000020LE</v>
      </c>
      <c r="G382" t="str">
        <f>VLOOKUP($B382,'Obras e Acervos'!$B:$X,5,0)</f>
        <v>FAMÍLIA DE TODO JEITO</v>
      </c>
      <c r="H382">
        <f>VLOOKUP($B382,'Obras e Acervos'!$B:$X,18,0)</f>
        <v>22</v>
      </c>
      <c r="I382">
        <f>VLOOKUP($B382,'Obras e Acervos'!$B:$X,19,0)</f>
        <v>30161</v>
      </c>
      <c r="J382" s="42">
        <f>VLOOKUP($B382,'Obras e Acervos'!$B:$X,20,0)</f>
        <v>1809.6599999999999</v>
      </c>
      <c r="K382" s="31">
        <f>VLOOKUP($B382,'Obras e Acervos'!$B:$X,21,0)</f>
        <v>5.54</v>
      </c>
      <c r="L382" s="31">
        <f t="shared" si="53"/>
        <v>167091.94</v>
      </c>
      <c r="M382" s="1">
        <v>46085</v>
      </c>
      <c r="N382" s="1">
        <f t="shared" si="52"/>
        <v>46305</v>
      </c>
      <c r="O382">
        <f t="shared" si="54"/>
        <v>221</v>
      </c>
      <c r="P382" s="49">
        <f t="shared" si="58"/>
        <v>7.3666666666666663</v>
      </c>
      <c r="Q382" s="34">
        <f>VLOOKUP($G382,Agendamento!$B:$F,5,0)</f>
        <v>2</v>
      </c>
      <c r="R382" s="36">
        <f t="shared" si="55"/>
        <v>31</v>
      </c>
      <c r="S382" s="44">
        <v>2.5499999999999998</v>
      </c>
      <c r="T382" s="44">
        <f t="shared" si="56"/>
        <v>17470.05</v>
      </c>
      <c r="U382" t="s">
        <v>5252</v>
      </c>
      <c r="V382" t="str">
        <f t="shared" si="57"/>
        <v>NF/64307205_20260304_nf_16.pdf</v>
      </c>
      <c r="W382" s="32" t="str">
        <f t="shared" si="59"/>
        <v>NF - FAMÍLIA DE TODO JEITO</v>
      </c>
      <c r="X382" t="s">
        <v>5591</v>
      </c>
    </row>
    <row r="383" spans="1:24" x14ac:dyDescent="0.25">
      <c r="A383" t="str">
        <f>CONCATENATE(D383,"_",TEXT(M383,"ddmmaaaa"),"_",COUNTIF($D$2:D383,D383))</f>
        <v>434112740001-86_04032026_2</v>
      </c>
      <c r="B383" t="str">
        <f>CONCATENATE(Analise!D383,"_",COUNTIF(Analise!$D$2:D383,Analise!D383))</f>
        <v>434112740001-86_2</v>
      </c>
      <c r="C383" s="34">
        <f>COUNTIF('Obras e Acervos'!$C:$C,CONCATENATE(LEFT(D383,12),RIGHT(D383,2)))</f>
        <v>2</v>
      </c>
      <c r="D383" s="35" t="s">
        <v>4738</v>
      </c>
      <c r="E383" t="str">
        <f>VLOOKUP($B383,'Obras e Acervos'!$B:$X,3,0)</f>
        <v>EDITORA JULIANA LTDA-JULIANA</v>
      </c>
      <c r="F383" t="str">
        <f>VLOOKUP($B383,'Obras e Acervos'!$B:$X,7,0)</f>
        <v>1195L23000020LE</v>
      </c>
      <c r="G383" t="str">
        <f>VLOOKUP($B383,'Obras e Acervos'!$B:$X,5,0)</f>
        <v>CORDEL DO CHICO REI</v>
      </c>
      <c r="H383">
        <f>VLOOKUP($B383,'Obras e Acervos'!$B:$X,18,0)</f>
        <v>22</v>
      </c>
      <c r="I383">
        <f>VLOOKUP($B383,'Obras e Acervos'!$B:$X,19,0)</f>
        <v>26313</v>
      </c>
      <c r="J383" s="42">
        <f>VLOOKUP($B383,'Obras e Acervos'!$B:$X,20,0)</f>
        <v>1789.2840000000001</v>
      </c>
      <c r="K383" s="31">
        <f>VLOOKUP($B383,'Obras e Acervos'!$B:$X,21,0)</f>
        <v>6.45</v>
      </c>
      <c r="L383" s="31">
        <f t="shared" si="53"/>
        <v>169718.85</v>
      </c>
      <c r="M383" s="1">
        <v>46085</v>
      </c>
      <c r="N383" s="1">
        <f t="shared" si="52"/>
        <v>46305</v>
      </c>
      <c r="O383">
        <f t="shared" si="54"/>
        <v>221</v>
      </c>
      <c r="P383" s="49">
        <f t="shared" si="58"/>
        <v>7.3666666666666663</v>
      </c>
      <c r="Q383" s="34">
        <f>VLOOKUP($G383,Agendamento!$B:$F,5,0)</f>
        <v>3</v>
      </c>
      <c r="R383" s="36">
        <f t="shared" si="55"/>
        <v>27</v>
      </c>
      <c r="S383" s="44">
        <v>2.5499999999999998</v>
      </c>
      <c r="T383" s="44">
        <f t="shared" si="56"/>
        <v>15215.849999999999</v>
      </c>
      <c r="U383" t="s">
        <v>5244</v>
      </c>
      <c r="V383" t="str">
        <f t="shared" si="57"/>
        <v>NF/64307205_20260304_nf_17.pdf</v>
      </c>
      <c r="W383" s="32" t="str">
        <f t="shared" si="59"/>
        <v>NF - CORDEL DO CHICO REI</v>
      </c>
      <c r="X383" t="s">
        <v>5591</v>
      </c>
    </row>
    <row r="384" spans="1:24" x14ac:dyDescent="0.25">
      <c r="A384" t="str">
        <f>CONCATENATE(D384,"_",TEXT(M384,"ddmmaaaa"),"_",COUNTIF($D$2:D384,D384))</f>
        <v>433986540001-28_04032026_2</v>
      </c>
      <c r="B384" t="str">
        <f>CONCATENATE(Analise!D384,"_",COUNTIF(Analise!$D$2:D384,Analise!D384))</f>
        <v>433986540001-28_2</v>
      </c>
      <c r="C384" s="34">
        <f>COUNTIF('Obras e Acervos'!$C:$C,CONCATENATE(LEFT(D384,12),RIGHT(D384,2)))</f>
        <v>2</v>
      </c>
      <c r="D384" s="35" t="s">
        <v>4684</v>
      </c>
      <c r="E384" t="str">
        <f>VLOOKUP($B384,'Obras e Acervos'!$B:$X,3,0)</f>
        <v>QUITERIA EDITORA LTDA-QUITERIA EDITORA</v>
      </c>
      <c r="F384" t="str">
        <f>VLOOKUP($B384,'Obras e Acervos'!$B:$X,7,0)</f>
        <v>1167L23000020LE</v>
      </c>
      <c r="G384" t="str">
        <f>VLOOKUP($B384,'Obras e Acervos'!$B:$X,5,0)</f>
        <v>FOLCLORE EM VERSOS: BOITATÁ E CURUPIRA</v>
      </c>
      <c r="H384">
        <f>VLOOKUP($B384,'Obras e Acervos'!$B:$X,18,0)</f>
        <v>12</v>
      </c>
      <c r="I384">
        <f>VLOOKUP($B384,'Obras e Acervos'!$B:$X,19,0)</f>
        <v>34175</v>
      </c>
      <c r="J384" s="42">
        <f>VLOOKUP($B384,'Obras e Acervos'!$B:$X,20,0)</f>
        <v>2939.0499999999997</v>
      </c>
      <c r="K384" s="31">
        <f>VLOOKUP($B384,'Obras e Acervos'!$B:$X,21,0)</f>
        <v>5.93</v>
      </c>
      <c r="L384" s="31">
        <f t="shared" si="53"/>
        <v>202657.75</v>
      </c>
      <c r="M384" s="1">
        <v>46085</v>
      </c>
      <c r="N384" s="1">
        <f t="shared" si="52"/>
        <v>46305</v>
      </c>
      <c r="O384">
        <f t="shared" si="54"/>
        <v>221</v>
      </c>
      <c r="P384" s="49">
        <f t="shared" si="58"/>
        <v>7.3666666666666663</v>
      </c>
      <c r="Q384" s="34">
        <f>VLOOKUP($G384,Agendamento!$B:$F,5,0)</f>
        <v>4</v>
      </c>
      <c r="R384" s="36">
        <f t="shared" si="55"/>
        <v>35</v>
      </c>
      <c r="S384" s="44">
        <v>2.5499999999999998</v>
      </c>
      <c r="T384" s="44">
        <f t="shared" si="56"/>
        <v>19724.25</v>
      </c>
      <c r="U384" t="s">
        <v>5257</v>
      </c>
      <c r="V384" t="str">
        <f t="shared" si="57"/>
        <v>NF/64307205_20260304_nf_18.pdf</v>
      </c>
      <c r="W384" s="32" t="str">
        <f t="shared" si="59"/>
        <v>NF - FOLCLORE EM VERSOS: BOITATÁ E CURUPIRA</v>
      </c>
      <c r="X384" t="s">
        <v>5591</v>
      </c>
    </row>
    <row r="385" spans="1:24" x14ac:dyDescent="0.25">
      <c r="A385" t="str">
        <f>CONCATENATE(D385,"_",TEXT(M385,"ddmmaaaa"),"_",COUNTIF($D$2:D385,D385))</f>
        <v>174234570001-01_04032026_1</v>
      </c>
      <c r="B385" t="str">
        <f>CONCATENATE(Analise!D385,"_",COUNTIF(Analise!$D$2:D385,Analise!D385)+1)</f>
        <v>174234570001-01_2</v>
      </c>
      <c r="C385" s="34">
        <f>COUNTIF('Obras e Acervos'!$C:$C,CONCATENATE(LEFT(D385,12),RIGHT(D385,2)))</f>
        <v>2</v>
      </c>
      <c r="D385" s="35" t="s">
        <v>4742</v>
      </c>
      <c r="E385" t="str">
        <f>VLOOKUP($B385,'Obras e Acervos'!$B:$X,3,0)</f>
        <v>EDITORA BAOBA LTDA-EDITORA BAOBÁ</v>
      </c>
      <c r="F385" t="str">
        <f>VLOOKUP($B385,'Obras e Acervos'!$B:$X,7,0)</f>
        <v>1156L23000020LE</v>
      </c>
      <c r="G385" t="str">
        <f>VLOOKUP($B385,'Obras e Acervos'!$B:$X,5,0)</f>
        <v>SE ESTA CASA FOSSE MINHA...</v>
      </c>
      <c r="H385">
        <f>VLOOKUP($B385,'Obras e Acervos'!$B:$X,18,0)</f>
        <v>15</v>
      </c>
      <c r="I385">
        <f>VLOOKUP($B385,'Obras e Acervos'!$B:$X,19,0)</f>
        <v>35004</v>
      </c>
      <c r="J385" s="42">
        <f>VLOOKUP($B385,'Obras e Acervos'!$B:$X,20,0)</f>
        <v>5705.652</v>
      </c>
      <c r="K385" s="31">
        <f>VLOOKUP($B385,'Obras e Acervos'!$B:$X,21,0)</f>
        <v>8.6199999999999992</v>
      </c>
      <c r="L385" s="31">
        <f t="shared" si="53"/>
        <v>301734.48</v>
      </c>
      <c r="M385" s="1">
        <v>46085</v>
      </c>
      <c r="N385" s="1">
        <f t="shared" si="52"/>
        <v>46305</v>
      </c>
      <c r="O385">
        <f t="shared" si="54"/>
        <v>221</v>
      </c>
      <c r="P385" s="49">
        <f t="shared" si="58"/>
        <v>7.3666666666666663</v>
      </c>
      <c r="Q385" s="34">
        <f>VLOOKUP($G385,Agendamento!$B:$F,5,0)</f>
        <v>6</v>
      </c>
      <c r="R385" s="36">
        <f t="shared" si="55"/>
        <v>36</v>
      </c>
      <c r="S385" s="44">
        <v>2.5499999999999998</v>
      </c>
      <c r="T385" s="44">
        <f t="shared" si="56"/>
        <v>20287.8</v>
      </c>
      <c r="U385" t="s">
        <v>5241</v>
      </c>
      <c r="V385" t="str">
        <f t="shared" si="57"/>
        <v>NF/64307205_20260304_nf_19.pdf</v>
      </c>
      <c r="W385" s="32" t="str">
        <f t="shared" si="59"/>
        <v>NF - SE ESTA CASA FOSSE MINHA...</v>
      </c>
      <c r="X385" t="s">
        <v>5591</v>
      </c>
    </row>
    <row r="386" spans="1:24" x14ac:dyDescent="0.25">
      <c r="A386" t="str">
        <f>CONCATENATE(D386,"_",TEXT(M386,"ddmmaaaa"),"_",COUNTIF($D$2:D386,D386))</f>
        <v>037638640001-53_04032026_2</v>
      </c>
      <c r="B386" t="str">
        <f>CONCATENATE(Analise!D386,"_",COUNTIF(Analise!$D$2:D386,Analise!D386))</f>
        <v>037638640001-53_2</v>
      </c>
      <c r="C386" s="34">
        <f>COUNTIF('Obras e Acervos'!$C:$C,CONCATENATE(LEFT(D386,12),RIGHT(D386,2)))</f>
        <v>2</v>
      </c>
      <c r="D386" s="35" t="s">
        <v>4560</v>
      </c>
      <c r="E386" t="str">
        <f>VLOOKUP($B386,'Obras e Acervos'!$B:$X,3,0)</f>
        <v>BAZAR DO TEMPO PRODUÇÕES E EMPREENDIMENTOS CULTURAIS LTDA.-BAZAR DO TEMPO</v>
      </c>
      <c r="F386" t="str">
        <f>VLOOKUP($B386,'Obras e Acervos'!$B:$X,7,0)</f>
        <v>0520L23000020LE</v>
      </c>
      <c r="G386" t="str">
        <f>VLOOKUP($B386,'Obras e Acervos'!$B:$X,5,0)</f>
        <v>ONDE A ONÇA BEBE ÁGUA</v>
      </c>
      <c r="H386">
        <f>VLOOKUP($B386,'Obras e Acervos'!$B:$X,18,0)</f>
        <v>15</v>
      </c>
      <c r="I386">
        <f>VLOOKUP($B386,'Obras e Acervos'!$B:$X,19,0)</f>
        <v>33322</v>
      </c>
      <c r="J386" s="42">
        <f>VLOOKUP($B386,'Obras e Acervos'!$B:$X,20,0)</f>
        <v>3165.59</v>
      </c>
      <c r="K386" s="31">
        <f>VLOOKUP($B386,'Obras e Acervos'!$B:$X,21,0)</f>
        <v>6.83</v>
      </c>
      <c r="L386" s="31">
        <f t="shared" si="53"/>
        <v>227589.26</v>
      </c>
      <c r="M386" s="1">
        <v>46085</v>
      </c>
      <c r="N386" s="1">
        <f t="shared" ref="N386:N449" si="60">$AB$2</f>
        <v>46305</v>
      </c>
      <c r="O386">
        <f t="shared" si="54"/>
        <v>221</v>
      </c>
      <c r="P386" s="49">
        <f t="shared" si="58"/>
        <v>7.3666666666666663</v>
      </c>
      <c r="Q386" s="34">
        <f>VLOOKUP($G386,Agendamento!$B:$F,5,0)</f>
        <v>5</v>
      </c>
      <c r="R386" s="36">
        <f t="shared" si="55"/>
        <v>34</v>
      </c>
      <c r="S386" s="44">
        <v>2.5499999999999998</v>
      </c>
      <c r="T386" s="44">
        <f t="shared" si="56"/>
        <v>19160.699999999997</v>
      </c>
      <c r="U386" t="s">
        <v>5243</v>
      </c>
      <c r="V386" t="str">
        <f t="shared" si="57"/>
        <v>NF/64307205_20260304_nf_21.pdf</v>
      </c>
      <c r="W386" s="32" t="str">
        <f t="shared" si="59"/>
        <v>NF - ONDE A ONÇA BEBE ÁGUA</v>
      </c>
      <c r="X386" t="s">
        <v>5591</v>
      </c>
    </row>
    <row r="387" spans="1:24" x14ac:dyDescent="0.25">
      <c r="A387" t="str">
        <f>CONCATENATE(D387,"_",TEXT(M387,"ddmmaaaa"),"_",COUNTIF($D$2:D387,D387))</f>
        <v>133919870001-64_04032026_1</v>
      </c>
      <c r="B387" t="str">
        <f>CONCATENATE(Analise!D387,"_",COUNTIF(Analise!$D$2:D387,Analise!D387)+1)</f>
        <v>133919870001-64_2</v>
      </c>
      <c r="C387" s="34">
        <f>COUNTIF('Obras e Acervos'!$C:$C,CONCATENATE(LEFT(D387,12),RIGHT(D387,2)))</f>
        <v>2</v>
      </c>
      <c r="D387" s="35" t="s">
        <v>4747</v>
      </c>
      <c r="E387" t="str">
        <f>VLOOKUP($B387,'Obras e Acervos'!$B:$X,3,0)</f>
        <v>BOOK EDITORA E DISTRIBUIDORA DE LIVROS LTDA.-BOOK EDITORA E DISTRIBUIDORA DE LIVROS LTDA.</v>
      </c>
      <c r="F387" t="str">
        <f>VLOOKUP($B387,'Obras e Acervos'!$B:$X,7,0)</f>
        <v>1028L23000020LE</v>
      </c>
      <c r="G387" t="str">
        <f>VLOOKUP($B387,'Obras e Acervos'!$B:$X,5,0)</f>
        <v>O PEQUENO GRANDE</v>
      </c>
      <c r="H387">
        <f>VLOOKUP($B387,'Obras e Acervos'!$B:$X,18,0)</f>
        <v>22</v>
      </c>
      <c r="I387">
        <f>VLOOKUP($B387,'Obras e Acervos'!$B:$X,19,0)</f>
        <v>23904</v>
      </c>
      <c r="J387" s="42">
        <f>VLOOKUP($B387,'Obras e Acervos'!$B:$X,20,0)</f>
        <v>5569.6320000000005</v>
      </c>
      <c r="K387" s="31">
        <f>VLOOKUP($B387,'Obras e Acervos'!$B:$X,21,0)</f>
        <v>12.23</v>
      </c>
      <c r="L387" s="31">
        <f t="shared" ref="L387:L450" si="61">K387*I387</f>
        <v>292345.92</v>
      </c>
      <c r="M387" s="1">
        <v>46085</v>
      </c>
      <c r="N387" s="1">
        <f t="shared" si="60"/>
        <v>46305</v>
      </c>
      <c r="O387">
        <f t="shared" ref="O387:O450" si="62">IF(M387="",0,(N387-M387)+1)</f>
        <v>221</v>
      </c>
      <c r="P387" s="49">
        <f t="shared" si="58"/>
        <v>7.3666666666666663</v>
      </c>
      <c r="Q387" s="34">
        <f>VLOOKUP($G387,Agendamento!$B:$F,5,0)</f>
        <v>4</v>
      </c>
      <c r="R387" s="36">
        <f t="shared" ref="R387:R450" si="63">IF(U387="",0,ROUNDUP($I387/1000,0))</f>
        <v>24</v>
      </c>
      <c r="S387" s="44">
        <v>2.5499999999999998</v>
      </c>
      <c r="T387" s="44">
        <f t="shared" ref="T387:T450" si="64">O387*R387*S387</f>
        <v>13525.199999999999</v>
      </c>
      <c r="U387" t="s">
        <v>5250</v>
      </c>
      <c r="V387" t="str">
        <f t="shared" ref="V387:V450" si="65">CONCATENATE("NF/",U387)</f>
        <v>NF/64307205_20260304_nf_22.pdf</v>
      </c>
      <c r="W387" s="32" t="str">
        <f t="shared" si="59"/>
        <v>NF - O PEQUENO GRANDE</v>
      </c>
      <c r="X387" t="s">
        <v>5591</v>
      </c>
    </row>
    <row r="388" spans="1:24" x14ac:dyDescent="0.25">
      <c r="A388" t="str">
        <f>CONCATENATE(D388,"_",TEXT(M388,"ddmmaaaa"),"_",COUNTIF($D$2:D388,D388))</f>
        <v>379051280001-04_04032026_1</v>
      </c>
      <c r="B388" t="str">
        <f>CONCATENATE(Analise!D388,"_",COUNTIF(Analise!$D$2:D388,Analise!D388))</f>
        <v>379051280001-04_1</v>
      </c>
      <c r="C388" s="34">
        <f>COUNTIF('Obras e Acervos'!$C:$C,CONCATENATE(LEFT(D388,12),RIGHT(D388,2)))</f>
        <v>1</v>
      </c>
      <c r="D388" s="35" t="s">
        <v>4737</v>
      </c>
      <c r="E388" t="str">
        <f>VLOOKUP($B388,'Obras e Acervos'!$B:$X,3,0)</f>
        <v>CONFETE EDITORIAL LTDA-CONFETE</v>
      </c>
      <c r="F388" t="str">
        <f>VLOOKUP($B388,'Obras e Acervos'!$B:$X,7,0)</f>
        <v>0830L23000020LE</v>
      </c>
      <c r="G388" t="str">
        <f>VLOOKUP($B388,'Obras e Acervos'!$B:$X,5,0)</f>
        <v>ESCOLHAS QUE BRILHAM</v>
      </c>
      <c r="H388">
        <f>VLOOKUP($B388,'Obras e Acervos'!$B:$X,18,0)</f>
        <v>17</v>
      </c>
      <c r="I388">
        <f>VLOOKUP($B388,'Obras e Acervos'!$B:$X,19,0)</f>
        <v>29368</v>
      </c>
      <c r="J388" s="42">
        <f>VLOOKUP($B388,'Obras e Acervos'!$B:$X,20,0)</f>
        <v>5873.6</v>
      </c>
      <c r="K388" s="31">
        <f>VLOOKUP($B388,'Obras e Acervos'!$B:$X,21,0)</f>
        <v>9.33</v>
      </c>
      <c r="L388" s="31">
        <f t="shared" si="61"/>
        <v>274003.44</v>
      </c>
      <c r="M388" s="1">
        <v>46085</v>
      </c>
      <c r="N388" s="1">
        <f t="shared" si="60"/>
        <v>46305</v>
      </c>
      <c r="O388">
        <f t="shared" si="62"/>
        <v>221</v>
      </c>
      <c r="P388" s="49">
        <f t="shared" si="58"/>
        <v>7.3666666666666663</v>
      </c>
      <c r="Q388" s="34">
        <f>VLOOKUP($G388,Agendamento!$B:$F,5,0)</f>
        <v>7</v>
      </c>
      <c r="R388" s="36">
        <f t="shared" si="63"/>
        <v>30</v>
      </c>
      <c r="S388" s="44">
        <v>2.5499999999999998</v>
      </c>
      <c r="T388" s="44">
        <f t="shared" si="64"/>
        <v>16906.5</v>
      </c>
      <c r="U388" t="s">
        <v>5232</v>
      </c>
      <c r="V388" t="str">
        <f t="shared" si="65"/>
        <v>NF/64307205_20260304_nf_24.pdf</v>
      </c>
      <c r="W388" s="32" t="str">
        <f t="shared" si="59"/>
        <v>NF - ESCOLHAS QUE BRILHAM</v>
      </c>
      <c r="X388" t="s">
        <v>5591</v>
      </c>
    </row>
    <row r="389" spans="1:24" x14ac:dyDescent="0.25">
      <c r="A389" t="str">
        <f>CONCATENATE(D389,"_",TEXT(M389,"ddmmaaaa"),"_",COUNTIF($D$2:D389,D389))</f>
        <v>417695750001-50_04032026_1</v>
      </c>
      <c r="B389" t="str">
        <f>CONCATENATE(Analise!D389,"_",COUNTIF(Analise!$D$2:D389,Analise!D389)+1)</f>
        <v>417695750001-50_2</v>
      </c>
      <c r="C389" s="34">
        <f>COUNTIF('Obras e Acervos'!$C:$C,CONCATENATE(LEFT(D389,12),RIGHT(D389,2)))</f>
        <v>2</v>
      </c>
      <c r="D389" s="35" t="s">
        <v>4746</v>
      </c>
      <c r="E389" t="str">
        <f>VLOOKUP($B389,'Obras e Acervos'!$B:$X,3,0)</f>
        <v>ABACATEIRO EDIÇÕES LTDA-A SEMENTE</v>
      </c>
      <c r="F389" t="str">
        <f>VLOOKUP($B389,'Obras e Acervos'!$B:$X,7,0)</f>
        <v>1032L23000020LE</v>
      </c>
      <c r="G389" t="str">
        <f>VLOOKUP($B389,'Obras e Acervos'!$B:$X,5,0)</f>
        <v>O MENINO QUE INVENTOU O SERTÃO</v>
      </c>
      <c r="H389">
        <f>VLOOKUP($B389,'Obras e Acervos'!$B:$X,18,0)</f>
        <v>15</v>
      </c>
      <c r="I389">
        <f>VLOOKUP($B389,'Obras e Acervos'!$B:$X,19,0)</f>
        <v>41155</v>
      </c>
      <c r="J389" s="42">
        <f>VLOOKUP($B389,'Obras e Acervos'!$B:$X,20,0)</f>
        <v>4321.2749999999996</v>
      </c>
      <c r="K389" s="31">
        <f>VLOOKUP($B389,'Obras e Acervos'!$B:$X,21,0)</f>
        <v>5.84</v>
      </c>
      <c r="L389" s="31">
        <f t="shared" si="61"/>
        <v>240345.19999999998</v>
      </c>
      <c r="M389" s="1">
        <v>46085</v>
      </c>
      <c r="N389" s="1">
        <f t="shared" si="60"/>
        <v>46305</v>
      </c>
      <c r="O389">
        <f t="shared" si="62"/>
        <v>221</v>
      </c>
      <c r="P389" s="49">
        <f t="shared" si="58"/>
        <v>7.3666666666666663</v>
      </c>
      <c r="Q389" s="34">
        <f>VLOOKUP($G389,Agendamento!$B:$F,5,0)</f>
        <v>6</v>
      </c>
      <c r="R389" s="36">
        <f t="shared" si="63"/>
        <v>42</v>
      </c>
      <c r="S389" s="44">
        <v>2.5499999999999998</v>
      </c>
      <c r="T389" s="44">
        <f t="shared" si="64"/>
        <v>23669.1</v>
      </c>
      <c r="U389" t="s">
        <v>5248</v>
      </c>
      <c r="V389" t="str">
        <f t="shared" si="65"/>
        <v>NF/64307205_20260304_nf_26.pdf</v>
      </c>
      <c r="W389" s="32" t="str">
        <f t="shared" si="59"/>
        <v>NF - O MENINO QUE INVENTOU O SERTÃO</v>
      </c>
      <c r="X389" t="s">
        <v>5591</v>
      </c>
    </row>
    <row r="390" spans="1:24" x14ac:dyDescent="0.25">
      <c r="A390" t="str">
        <f>CONCATENATE(D390,"_",TEXT(M390,"ddmmaaaa"),"_",COUNTIF($D$2:D390,D390))</f>
        <v>174584520001-14_04032026_1</v>
      </c>
      <c r="B390" t="str">
        <f>CONCATENATE(Analise!D390,"_",COUNTIF(Analise!$D$2:D390,Analise!D390))</f>
        <v>174584520001-14_1</v>
      </c>
      <c r="C390" s="34">
        <f>COUNTIF('Obras e Acervos'!$C:$C,CONCATENATE(LEFT(D390,12),RIGHT(D390,2)))</f>
        <v>1</v>
      </c>
      <c r="D390" s="35" t="s">
        <v>4740</v>
      </c>
      <c r="E390" t="str">
        <f>VLOOKUP($B390,'Obras e Acervos'!$B:$X,3,0)</f>
        <v>EMPREENDIMENTOS MEDEIROS LTDA-D'NIRO</v>
      </c>
      <c r="F390" t="str">
        <f>VLOOKUP($B390,'Obras e Acervos'!$B:$X,7,0)</f>
        <v>1114L23000020LE</v>
      </c>
      <c r="G390" t="str">
        <f>VLOOKUP($B390,'Obras e Acervos'!$B:$X,5,0)</f>
        <v>QUEM COCHICHA O RABO ESPICHA</v>
      </c>
      <c r="H390">
        <f>VLOOKUP($B390,'Obras e Acervos'!$B:$X,18,0)</f>
        <v>16</v>
      </c>
      <c r="I390">
        <f>VLOOKUP($B390,'Obras e Acervos'!$B:$X,19,0)</f>
        <v>32045</v>
      </c>
      <c r="J390" s="42">
        <f>VLOOKUP($B390,'Obras e Acervos'!$B:$X,20,0)</f>
        <v>4806.75</v>
      </c>
      <c r="K390" s="31">
        <f>VLOOKUP($B390,'Obras e Acervos'!$B:$X,21,0)</f>
        <v>6.66</v>
      </c>
      <c r="L390" s="31">
        <f t="shared" si="61"/>
        <v>213419.7</v>
      </c>
      <c r="M390" s="1">
        <v>46085</v>
      </c>
      <c r="N390" s="1">
        <f t="shared" si="60"/>
        <v>46305</v>
      </c>
      <c r="O390">
        <f t="shared" si="62"/>
        <v>221</v>
      </c>
      <c r="P390" s="49">
        <f t="shared" si="58"/>
        <v>7.3666666666666663</v>
      </c>
      <c r="Q390" s="34">
        <f>VLOOKUP($G390,Agendamento!$B:$F,5,0)</f>
        <v>5</v>
      </c>
      <c r="R390" s="36">
        <f t="shared" si="63"/>
        <v>33</v>
      </c>
      <c r="S390" s="44">
        <v>2.5499999999999998</v>
      </c>
      <c r="T390" s="44">
        <f t="shared" si="64"/>
        <v>18597.149999999998</v>
      </c>
      <c r="U390" t="s">
        <v>5236</v>
      </c>
      <c r="V390" t="str">
        <f t="shared" si="65"/>
        <v>NF/64307205_20260304_nf_27.pdf</v>
      </c>
      <c r="W390" s="32" t="str">
        <f t="shared" si="59"/>
        <v>NF - QUEM COCHICHA O RABO ESPICHA</v>
      </c>
      <c r="X390" t="s">
        <v>5591</v>
      </c>
    </row>
    <row r="391" spans="1:24" x14ac:dyDescent="0.25">
      <c r="A391" t="str">
        <f>CONCATENATE(D391,"_",TEXT(M391,"ddmmaaaa"),"_",COUNTIF($D$2:D391,D391))</f>
        <v>367157170001-67_05032026_1</v>
      </c>
      <c r="B391" t="str">
        <f>CONCATENATE(Analise!D391,"_",COUNTIF(Analise!$D$2:D391,Analise!D391))</f>
        <v>367157170001-67_1</v>
      </c>
      <c r="C391" s="34">
        <f>COUNTIF('Obras e Acervos'!$C:$C,CONCATENATE(LEFT(D391,12),RIGHT(D391,2)))</f>
        <v>1</v>
      </c>
      <c r="D391" s="35" t="s">
        <v>5757</v>
      </c>
      <c r="E391" t="str">
        <f>VLOOKUP($B391,'Obras e Acervos'!$B:$X,3,0)</f>
        <v>EDITORA PEQUENO VIAJANTE LTDA-PEQUENO VIAJANTE</v>
      </c>
      <c r="F391" t="str">
        <f>VLOOKUP($B391,'Obras e Acervos'!$B:$X,7,0)</f>
        <v>1294L23000030LE</v>
      </c>
      <c r="G391" t="str">
        <f>VLOOKUP($B391,'Obras e Acervos'!$B:$X,5,0)</f>
        <v>O MUNDO DE FRIDA</v>
      </c>
      <c r="H391">
        <f>VLOOKUP($B391,'Obras e Acervos'!$B:$X,18,0)</f>
        <v>2</v>
      </c>
      <c r="I391">
        <f>VLOOKUP($B391,'Obras e Acervos'!$B:$X,19,0)</f>
        <v>48482</v>
      </c>
      <c r="J391" s="42">
        <f>VLOOKUP($B391,'Obras e Acervos'!$B:$X,20,0)</f>
        <v>4848.2</v>
      </c>
      <c r="K391" s="31">
        <f>VLOOKUP($B391,'Obras e Acervos'!$B:$X,21,0)</f>
        <v>4.43</v>
      </c>
      <c r="L391" s="31">
        <f t="shared" si="61"/>
        <v>214775.25999999998</v>
      </c>
      <c r="M391" s="1">
        <v>46086</v>
      </c>
      <c r="N391" s="1">
        <f t="shared" si="60"/>
        <v>46305</v>
      </c>
      <c r="O391">
        <f t="shared" si="62"/>
        <v>220</v>
      </c>
      <c r="P391" s="49">
        <f t="shared" si="58"/>
        <v>7.333333333333333</v>
      </c>
      <c r="Q391" s="34">
        <f>VLOOKUP($G391,Agendamento!$B:$F,5,0)</f>
        <v>6</v>
      </c>
      <c r="R391" s="36">
        <f t="shared" si="63"/>
        <v>49</v>
      </c>
      <c r="S391" s="44">
        <v>2.5499999999999998</v>
      </c>
      <c r="T391" s="44">
        <f t="shared" si="64"/>
        <v>27488.999999999996</v>
      </c>
      <c r="U391" t="s">
        <v>5255</v>
      </c>
      <c r="V391" t="str">
        <f t="shared" si="65"/>
        <v>NF/64307205_20260304_nf_28.pdf</v>
      </c>
      <c r="W391" s="32" t="str">
        <f t="shared" si="59"/>
        <v>NF - O MUNDO DE FRIDA</v>
      </c>
      <c r="X391" t="s">
        <v>5591</v>
      </c>
    </row>
    <row r="392" spans="1:24" x14ac:dyDescent="0.25">
      <c r="A392" t="str">
        <f>CONCATENATE(D392,"_",TEXT(M392,"ddmmaaaa"),"_",COUNTIF($D$2:D392,D392))</f>
        <v>436806870001-66_04032026_1</v>
      </c>
      <c r="B392" t="str">
        <f>CONCATENATE(Analise!D392,"_",COUNTIF(Analise!$D$2:D392,Analise!D392))</f>
        <v>436806870001-66_1</v>
      </c>
      <c r="C392" s="34">
        <f>COUNTIF('Obras e Acervos'!$C:$C,CONCATENATE(LEFT(D392,12),RIGHT(D392,2)))</f>
        <v>1</v>
      </c>
      <c r="D392" s="35" t="s">
        <v>5756</v>
      </c>
      <c r="E392" t="str">
        <f>VLOOKUP($B392,'Obras e Acervos'!$B:$X,3,0)</f>
        <v>FLUIDEZ EDITORA LTDA-FLUIDEZ EDITORA</v>
      </c>
      <c r="F392" t="str">
        <f>VLOOKUP($B392,'Obras e Acervos'!$B:$X,7,0)</f>
        <v>0578L23000030LE</v>
      </c>
      <c r="G392" t="str">
        <f>VLOOKUP($B392,'Obras e Acervos'!$B:$X,5,0)</f>
        <v>ABC DO BRINCAR: BRINQUEDOS E BRINCADEIRAS DE A A Z</v>
      </c>
      <c r="H392">
        <f>VLOOKUP($B392,'Obras e Acervos'!$B:$X,18,0)</f>
        <v>8</v>
      </c>
      <c r="I392">
        <f>VLOOKUP($B392,'Obras e Acervos'!$B:$X,19,0)</f>
        <v>52753</v>
      </c>
      <c r="J392" s="42">
        <f>VLOOKUP($B392,'Obras e Acervos'!$B:$X,20,0)</f>
        <v>9548.2929999999997</v>
      </c>
      <c r="K392" s="31">
        <f>VLOOKUP($B392,'Obras e Acervos'!$B:$X,21,0)</f>
        <v>7.52</v>
      </c>
      <c r="L392" s="31">
        <f t="shared" si="61"/>
        <v>396702.56</v>
      </c>
      <c r="M392" s="1">
        <v>46085</v>
      </c>
      <c r="N392" s="1">
        <f t="shared" si="60"/>
        <v>46305</v>
      </c>
      <c r="O392">
        <f t="shared" si="62"/>
        <v>221</v>
      </c>
      <c r="P392" s="49">
        <f t="shared" si="58"/>
        <v>7.3666666666666663</v>
      </c>
      <c r="Q392" s="34">
        <f>VLOOKUP($G392,Agendamento!$B:$F,5,0)</f>
        <v>13</v>
      </c>
      <c r="R392" s="36">
        <f t="shared" si="63"/>
        <v>53</v>
      </c>
      <c r="S392" s="44">
        <v>2.5499999999999998</v>
      </c>
      <c r="T392" s="44">
        <f t="shared" si="64"/>
        <v>29868.149999999998</v>
      </c>
      <c r="U392" t="s">
        <v>5258</v>
      </c>
      <c r="V392" t="str">
        <f t="shared" si="65"/>
        <v>NF/64307205_20260304_nf_29.pdf</v>
      </c>
      <c r="W392" s="32" t="str">
        <f t="shared" si="59"/>
        <v>NF - ABC DO BRINCAR: BRINQUEDOS E BRINCADEIRAS DE A A Z</v>
      </c>
      <c r="X392" t="s">
        <v>5591</v>
      </c>
    </row>
    <row r="393" spans="1:24" x14ac:dyDescent="0.25">
      <c r="A393" t="str">
        <f>CONCATENATE(D393,"_",TEXT(M393,"ddmmaaaa"),"_",COUNTIF($D$2:D393,D393))</f>
        <v>157452070001-62_04032026_1</v>
      </c>
      <c r="B393" t="str">
        <f>CONCATENATE(Analise!D393,"_",COUNTIF(Analise!$D$2:D393,Analise!D393)+1)</f>
        <v>157452070001-62_2</v>
      </c>
      <c r="C393" s="34">
        <f>COUNTIF('Obras e Acervos'!$C:$C,CONCATENATE(LEFT(D393,12),RIGHT(D393,2)))</f>
        <v>2</v>
      </c>
      <c r="D393" s="35" t="s">
        <v>4745</v>
      </c>
      <c r="E393" t="str">
        <f>VLOOKUP($B393,'Obras e Acervos'!$B:$X,3,0)</f>
        <v>CRIVO EDITORIAL LTDA-CRIVO EDITORIAL</v>
      </c>
      <c r="F393" t="str">
        <f>VLOOKUP($B393,'Obras e Acervos'!$B:$X,7,0)</f>
        <v>1223L23000020LE</v>
      </c>
      <c r="G393" t="str">
        <f>VLOOKUP($B393,'Obras e Acervos'!$B:$X,5,0)</f>
        <v>PESSOINHAS, BRUXAS E BICHOS</v>
      </c>
      <c r="H393">
        <f>VLOOKUP($B393,'Obras e Acervos'!$B:$X,18,0)</f>
        <v>19</v>
      </c>
      <c r="I393">
        <f>VLOOKUP($B393,'Obras e Acervos'!$B:$X,19,0)</f>
        <v>24164</v>
      </c>
      <c r="J393" s="42">
        <f>VLOOKUP($B393,'Obras e Acervos'!$B:$X,20,0)</f>
        <v>4591.16</v>
      </c>
      <c r="K393" s="31">
        <f>VLOOKUP($B393,'Obras e Acervos'!$B:$X,21,0)</f>
        <v>10.31</v>
      </c>
      <c r="L393" s="31">
        <f t="shared" si="61"/>
        <v>249130.84000000003</v>
      </c>
      <c r="M393" s="1">
        <v>46085</v>
      </c>
      <c r="N393" s="1">
        <f t="shared" si="60"/>
        <v>46305</v>
      </c>
      <c r="O393">
        <f t="shared" si="62"/>
        <v>221</v>
      </c>
      <c r="P393" s="49">
        <f t="shared" si="58"/>
        <v>7.3666666666666663</v>
      </c>
      <c r="Q393" s="34">
        <f>VLOOKUP($G393,Agendamento!$B:$F,5,0)</f>
        <v>7</v>
      </c>
      <c r="R393" s="36">
        <f t="shared" si="63"/>
        <v>25</v>
      </c>
      <c r="S393" s="44">
        <v>2.5499999999999998</v>
      </c>
      <c r="T393" s="44">
        <f t="shared" si="64"/>
        <v>14088.749999999998</v>
      </c>
      <c r="U393" t="s">
        <v>5247</v>
      </c>
      <c r="V393" t="str">
        <f t="shared" si="65"/>
        <v>NF/64307205_20260304_nf_31.pdf</v>
      </c>
      <c r="W393" s="32" t="str">
        <f t="shared" si="59"/>
        <v>NF - PESSOINHAS, BRUXAS E BICHOS</v>
      </c>
      <c r="X393" t="s">
        <v>5591</v>
      </c>
    </row>
    <row r="394" spans="1:24" x14ac:dyDescent="0.25">
      <c r="A394" t="str">
        <f>CONCATENATE(D394,"_",TEXT(M394,"ddmmaaaa"),"_",COUNTIF($D$2:D394,D394))</f>
        <v>151949900001-13_04032026_1</v>
      </c>
      <c r="B394" t="str">
        <f>CONCATENATE(Analise!D394,"_",COUNTIF(Analise!$D$2:D394,Analise!D394))</f>
        <v>151949900001-13_1</v>
      </c>
      <c r="C394" s="34">
        <f>COUNTIF('Obras e Acervos'!$C:$C,CONCATENATE(LEFT(D394,12),RIGHT(D394,2)))</f>
        <v>2</v>
      </c>
      <c r="D394" s="35" t="s">
        <v>4741</v>
      </c>
      <c r="E394" t="str">
        <f>VLOOKUP($B394,'Obras e Acervos'!$B:$X,3,0)</f>
        <v>UNIVERSO DA LITERATURA EDITORA LTDA-UDL EDUCACAO</v>
      </c>
      <c r="F394" t="str">
        <f>VLOOKUP($B394,'Obras e Acervos'!$B:$X,7,0)</f>
        <v>0992L23000030LE</v>
      </c>
      <c r="G394" t="str">
        <f>VLOOKUP($B394,'Obras e Acervos'!$B:$X,5,0)</f>
        <v>HIPO PODE NADAR</v>
      </c>
      <c r="H394">
        <f>VLOOKUP($B394,'Obras e Acervos'!$B:$X,18,0)</f>
        <v>3</v>
      </c>
      <c r="I394">
        <f>VLOOKUP($B394,'Obras e Acervos'!$B:$X,19,0)</f>
        <v>45972</v>
      </c>
      <c r="J394" s="42">
        <f>VLOOKUP($B394,'Obras e Acervos'!$B:$X,20,0)</f>
        <v>4735.116</v>
      </c>
      <c r="K394" s="31">
        <f>VLOOKUP($B394,'Obras e Acervos'!$B:$X,21,0)</f>
        <v>5.03</v>
      </c>
      <c r="L394" s="31">
        <f t="shared" si="61"/>
        <v>231239.16</v>
      </c>
      <c r="M394" s="1">
        <v>46085</v>
      </c>
      <c r="N394" s="1">
        <f t="shared" si="60"/>
        <v>46305</v>
      </c>
      <c r="O394">
        <f t="shared" si="62"/>
        <v>221</v>
      </c>
      <c r="P394" s="49">
        <f t="shared" si="58"/>
        <v>7.3666666666666663</v>
      </c>
      <c r="Q394" s="34">
        <f>VLOOKUP($G394,Agendamento!$B:$F,5,0)</f>
        <v>6</v>
      </c>
      <c r="R394" s="36">
        <f t="shared" si="63"/>
        <v>46</v>
      </c>
      <c r="S394" s="44">
        <v>2.5499999999999998</v>
      </c>
      <c r="T394" s="44">
        <f t="shared" si="64"/>
        <v>25923.3</v>
      </c>
      <c r="U394" t="s">
        <v>5239</v>
      </c>
      <c r="V394" t="str">
        <f t="shared" si="65"/>
        <v>NF/64307205_20260304_nf_32.pdf</v>
      </c>
      <c r="W394" s="32" t="str">
        <f t="shared" si="59"/>
        <v>NF - HIPO PODE NADAR</v>
      </c>
      <c r="X394" t="s">
        <v>5591</v>
      </c>
    </row>
    <row r="395" spans="1:24" x14ac:dyDescent="0.25">
      <c r="A395" t="str">
        <f>CONCATENATE(D395,"_",TEXT(M395,"ddmmaaaa"),"_",COUNTIF($D$2:D395,D395))</f>
        <v>151949900001-13_04032026_2</v>
      </c>
      <c r="B395" t="str">
        <f>CONCATENATE(Analise!D395,"_",COUNTIF(Analise!$D$2:D395,Analise!D395))</f>
        <v>151949900001-13_2</v>
      </c>
      <c r="C395" s="34">
        <f>COUNTIF('Obras e Acervos'!$C:$C,CONCATENATE(LEFT(D395,12),RIGHT(D395,2)))</f>
        <v>2</v>
      </c>
      <c r="D395" s="35" t="s">
        <v>4741</v>
      </c>
      <c r="E395" t="str">
        <f>VLOOKUP($B395,'Obras e Acervos'!$B:$X,3,0)</f>
        <v>UNIVERSO DA LITERATURA EDITORA LTDA-UDL EDUCACAO</v>
      </c>
      <c r="F395" t="str">
        <f>VLOOKUP($B395,'Obras e Acervos'!$B:$X,7,0)</f>
        <v>0993L23000020LE</v>
      </c>
      <c r="G395" t="str">
        <f>VLOOKUP($B395,'Obras e Acervos'!$B:$X,5,0)</f>
        <v>O SORRISO DE ANA</v>
      </c>
      <c r="H395">
        <f>VLOOKUP($B395,'Obras e Acervos'!$B:$X,18,0)</f>
        <v>15</v>
      </c>
      <c r="I395">
        <f>VLOOKUP($B395,'Obras e Acervos'!$B:$X,19,0)</f>
        <v>33989</v>
      </c>
      <c r="J395" s="42">
        <f>VLOOKUP($B395,'Obras e Acervos'!$B:$X,20,0)</f>
        <v>4248.625</v>
      </c>
      <c r="K395" s="31">
        <f>VLOOKUP($B395,'Obras e Acervos'!$B:$X,21,0)</f>
        <v>10.7</v>
      </c>
      <c r="L395" s="31">
        <f t="shared" si="61"/>
        <v>363682.3</v>
      </c>
      <c r="M395" s="1">
        <v>46085</v>
      </c>
      <c r="N395" s="1">
        <f t="shared" si="60"/>
        <v>46305</v>
      </c>
      <c r="O395">
        <f t="shared" si="62"/>
        <v>221</v>
      </c>
      <c r="P395" s="49">
        <f t="shared" si="58"/>
        <v>7.3666666666666663</v>
      </c>
      <c r="Q395" s="34">
        <f>VLOOKUP($G395,Agendamento!$B:$F,5,0)</f>
        <v>6</v>
      </c>
      <c r="R395" s="36">
        <f t="shared" si="63"/>
        <v>34</v>
      </c>
      <c r="S395" s="44">
        <v>2.5499999999999998</v>
      </c>
      <c r="T395" s="44">
        <f t="shared" si="64"/>
        <v>19160.699999999997</v>
      </c>
      <c r="U395" t="s">
        <v>5249</v>
      </c>
      <c r="V395" t="str">
        <f t="shared" si="65"/>
        <v>NF/64307205_20260304_nf_33.pdf</v>
      </c>
      <c r="W395" s="32" t="str">
        <f t="shared" si="59"/>
        <v>NF - O SORRISO DE ANA</v>
      </c>
      <c r="X395" t="s">
        <v>5591</v>
      </c>
    </row>
    <row r="396" spans="1:24" x14ac:dyDescent="0.25">
      <c r="A396" t="str">
        <f>CONCATENATE(D396,"_",TEXT(M396,"ddmmaaaa"),"_",COUNTIF($D$2:D396,D396))</f>
        <v>445512800001-00_04032026_1</v>
      </c>
      <c r="B396" t="str">
        <f>CONCATENATE(Analise!D396,"_",COUNTIF(Analise!$D$2:D396,Analise!D396)+1)</f>
        <v>445512800001-00_2</v>
      </c>
      <c r="C396" s="34">
        <f>COUNTIF('Obras e Acervos'!$C:$C,CONCATENATE(LEFT(D396,12),RIGHT(D396,2)))</f>
        <v>2</v>
      </c>
      <c r="D396" s="35" t="s">
        <v>4743</v>
      </c>
      <c r="E396" t="str">
        <f>VLOOKUP($B396,'Obras e Acervos'!$B:$X,3,0)</f>
        <v>TRIADA EDITORIAL LTDA -TRIADA EDITORIAL</v>
      </c>
      <c r="F396" t="str">
        <f>VLOOKUP($B396,'Obras e Acervos'!$B:$X,7,0)</f>
        <v>1022L23000020LE</v>
      </c>
      <c r="G396" t="str">
        <f>VLOOKUP($B396,'Obras e Acervos'!$B:$X,5,0)</f>
        <v>EXCESSOS E EXAGEROS</v>
      </c>
      <c r="H396">
        <f>VLOOKUP($B396,'Obras e Acervos'!$B:$X,18,0)</f>
        <v>21</v>
      </c>
      <c r="I396">
        <f>VLOOKUP($B396,'Obras e Acervos'!$B:$X,19,0)</f>
        <v>26389</v>
      </c>
      <c r="J396" s="42">
        <f>VLOOKUP($B396,'Obras e Acervos'!$B:$X,20,0)</f>
        <v>4169.4620000000004</v>
      </c>
      <c r="K396" s="31">
        <f>VLOOKUP($B396,'Obras e Acervos'!$B:$X,21,0)</f>
        <v>9.27</v>
      </c>
      <c r="L396" s="31">
        <f t="shared" si="61"/>
        <v>244626.03</v>
      </c>
      <c r="M396" s="1">
        <v>46085</v>
      </c>
      <c r="N396" s="1">
        <f t="shared" si="60"/>
        <v>46305</v>
      </c>
      <c r="O396">
        <f t="shared" si="62"/>
        <v>221</v>
      </c>
      <c r="P396" s="49">
        <f t="shared" si="58"/>
        <v>7.3666666666666663</v>
      </c>
      <c r="Q396" s="34">
        <f>VLOOKUP($G396,Agendamento!$B:$F,5,0)</f>
        <v>6</v>
      </c>
      <c r="R396" s="36">
        <f t="shared" si="63"/>
        <v>27</v>
      </c>
      <c r="S396" s="44">
        <v>2.5499999999999998</v>
      </c>
      <c r="T396" s="44">
        <f t="shared" si="64"/>
        <v>15215.849999999999</v>
      </c>
      <c r="U396" t="s">
        <v>5242</v>
      </c>
      <c r="V396" t="str">
        <f t="shared" si="65"/>
        <v>NF/64307205_20260304_nf_34.pdf</v>
      </c>
      <c r="W396" s="32" t="str">
        <f t="shared" si="59"/>
        <v>NF - EXCESSOS E EXAGEROS</v>
      </c>
      <c r="X396" t="s">
        <v>5591</v>
      </c>
    </row>
    <row r="397" spans="1:24" x14ac:dyDescent="0.25">
      <c r="A397" t="str">
        <f>CONCATENATE(D397,"_",TEXT(M397,"ddmmaaaa"),"_",COUNTIF($D$2:D397,D397))</f>
        <v>445512800001-00_04032026_2</v>
      </c>
      <c r="B397" t="str">
        <f>CONCATENATE(Analise!D397,"_",COUNTIF(Analise!$D$2:D397,Analise!D397)-1)</f>
        <v>445512800001-00_1</v>
      </c>
      <c r="C397" s="34">
        <f>COUNTIF('Obras e Acervos'!$C:$C,CONCATENATE(LEFT(D397,12),RIGHT(D397,2)))</f>
        <v>2</v>
      </c>
      <c r="D397" s="35" t="s">
        <v>4743</v>
      </c>
      <c r="E397" t="str">
        <f>VLOOKUP($B397,'Obras e Acervos'!$B:$X,3,0)</f>
        <v>TRIADA EDITORIAL LTDA -TRIADA EDITORIAL</v>
      </c>
      <c r="F397" t="str">
        <f>VLOOKUP($B397,'Obras e Acervos'!$B:$X,7,0)</f>
        <v>1203L23000030LE</v>
      </c>
      <c r="G397" t="str">
        <f>VLOOKUP($B397,'Obras e Acervos'!$B:$X,5,0)</f>
        <v>GIGI BALANGANDÃ</v>
      </c>
      <c r="H397">
        <f>VLOOKUP($B397,'Obras e Acervos'!$B:$X,18,0)</f>
        <v>2</v>
      </c>
      <c r="I397">
        <f>VLOOKUP($B397,'Obras e Acervos'!$B:$X,19,0)</f>
        <v>43755</v>
      </c>
      <c r="J397" s="42">
        <f>VLOOKUP($B397,'Obras e Acervos'!$B:$X,20,0)</f>
        <v>4506.7649999999994</v>
      </c>
      <c r="K397" s="31">
        <f>VLOOKUP($B397,'Obras e Acervos'!$B:$X,21,0)</f>
        <v>5.08</v>
      </c>
      <c r="L397" s="31">
        <f t="shared" si="61"/>
        <v>222275.4</v>
      </c>
      <c r="M397" s="1">
        <v>46085</v>
      </c>
      <c r="N397" s="1">
        <f t="shared" si="60"/>
        <v>46305</v>
      </c>
      <c r="O397">
        <f t="shared" si="62"/>
        <v>221</v>
      </c>
      <c r="P397" s="49">
        <f t="shared" si="58"/>
        <v>7.3666666666666663</v>
      </c>
      <c r="Q397" s="34">
        <f>VLOOKUP($G397,Agendamento!$B:$F,5,0)</f>
        <v>6</v>
      </c>
      <c r="R397" s="36">
        <f t="shared" si="63"/>
        <v>44</v>
      </c>
      <c r="S397" s="44">
        <v>2.5499999999999998</v>
      </c>
      <c r="T397" s="44">
        <f t="shared" si="64"/>
        <v>24796.199999999997</v>
      </c>
      <c r="U397" t="s">
        <v>5263</v>
      </c>
      <c r="V397" t="str">
        <f t="shared" si="65"/>
        <v>NF/64307205_20260304_nf_35.pdf</v>
      </c>
      <c r="W397" s="32" t="str">
        <f t="shared" si="59"/>
        <v>NF - GIGI BALANGANDÃ</v>
      </c>
      <c r="X397" t="s">
        <v>5591</v>
      </c>
    </row>
    <row r="398" spans="1:24" x14ac:dyDescent="0.25">
      <c r="A398" t="str">
        <f>CONCATENATE(D398,"_",TEXT(M398,"ddmmaaaa"),"_",COUNTIF($D$2:D398,D398))</f>
        <v>076809040001-54_04032026_2</v>
      </c>
      <c r="B398" t="str">
        <f>CONCATENATE(Analise!D398,"_",COUNTIF(Analise!$D$2:D398,Analise!D398))</f>
        <v>076809040001-54_2</v>
      </c>
      <c r="C398" s="34">
        <f>COUNTIF('Obras e Acervos'!$C:$C,CONCATENATE(LEFT(D398,12),RIGHT(D398,2)))</f>
        <v>2</v>
      </c>
      <c r="D398" s="35" t="s">
        <v>4735</v>
      </c>
      <c r="E398" t="str">
        <f>VLOOKUP($B398,'Obras e Acervos'!$B:$X,3,0)</f>
        <v>UNIVERSO DOS LIVROS EDITORA LTDA-UNIVERSO DOS LIVROS</v>
      </c>
      <c r="F398" t="str">
        <f>VLOOKUP($B398,'Obras e Acervos'!$B:$X,7,0)</f>
        <v>0898L23000020LE</v>
      </c>
      <c r="G398" t="str">
        <f>VLOOKUP($B398,'Obras e Acervos'!$B:$X,5,0)</f>
        <v>A GOTINHA FALANTE</v>
      </c>
      <c r="H398">
        <f>VLOOKUP($B398,'Obras e Acervos'!$B:$X,18,0)</f>
        <v>16</v>
      </c>
      <c r="I398">
        <f>VLOOKUP($B398,'Obras e Acervos'!$B:$X,19,0)</f>
        <v>34863</v>
      </c>
      <c r="J398" s="42">
        <f>VLOOKUP($B398,'Obras e Acervos'!$B:$X,20,0)</f>
        <v>4218.4229999999998</v>
      </c>
      <c r="K398" s="31">
        <f>VLOOKUP($B398,'Obras e Acervos'!$B:$X,21,0)</f>
        <v>6.8</v>
      </c>
      <c r="L398" s="31">
        <f t="shared" si="61"/>
        <v>237068.4</v>
      </c>
      <c r="M398" s="1">
        <v>46085</v>
      </c>
      <c r="N398" s="1">
        <f t="shared" si="60"/>
        <v>46305</v>
      </c>
      <c r="O398">
        <f t="shared" si="62"/>
        <v>221</v>
      </c>
      <c r="P398" s="49">
        <f t="shared" si="58"/>
        <v>7.3666666666666663</v>
      </c>
      <c r="Q398" s="34">
        <f>VLOOKUP($G398,Agendamento!$B:$F,5,0)</f>
        <v>6</v>
      </c>
      <c r="R398" s="36">
        <f t="shared" si="63"/>
        <v>35</v>
      </c>
      <c r="S398" s="44">
        <v>2.5499999999999998</v>
      </c>
      <c r="T398" s="44">
        <f t="shared" si="64"/>
        <v>19724.25</v>
      </c>
      <c r="U398" t="s">
        <v>5245</v>
      </c>
      <c r="V398" t="str">
        <f t="shared" si="65"/>
        <v>NF/64307205_20260304_nf_36.pdf</v>
      </c>
      <c r="W398" s="32" t="str">
        <f t="shared" si="59"/>
        <v>NF - A GOTINHA FALANTE</v>
      </c>
      <c r="X398" t="s">
        <v>5591</v>
      </c>
    </row>
    <row r="399" spans="1:24" x14ac:dyDescent="0.25">
      <c r="A399" t="str">
        <f>CONCATENATE(D399,"_",TEXT(M399,"ddmmaaaa"),"_",COUNTIF($D$2:D399,D399))</f>
        <v>435963310001-49_04032026_2</v>
      </c>
      <c r="B399" t="str">
        <f>CONCATENATE(Analise!D399,"_",COUNTIF(Analise!$D$2:D399,Analise!D399))</f>
        <v>435963310001-49_2</v>
      </c>
      <c r="C399" s="34">
        <f>COUNTIF('Obras e Acervos'!$C:$C,CONCATENATE(LEFT(D399,12),RIGHT(D399,2)))</f>
        <v>2</v>
      </c>
      <c r="D399" s="35" t="s">
        <v>4724</v>
      </c>
      <c r="E399" t="str">
        <f>VLOOKUP($B399,'Obras e Acervos'!$B:$X,3,0)</f>
        <v>EDITORA BRASILEIRINHO LTDA-EDITORA BRASILEIRINHO</v>
      </c>
      <c r="F399" t="str">
        <f>VLOOKUP($B399,'Obras e Acervos'!$B:$X,7,0)</f>
        <v>1012L23000020LE</v>
      </c>
      <c r="G399" t="str">
        <f>VLOOKUP($B399,'Obras e Acervos'!$B:$X,5,0)</f>
        <v>CONTOS DE FADAS BRASILEIROS</v>
      </c>
      <c r="H399">
        <f>VLOOKUP($B399,'Obras e Acervos'!$B:$X,18,0)</f>
        <v>13</v>
      </c>
      <c r="I399">
        <f>VLOOKUP($B399,'Obras e Acervos'!$B:$X,19,0)</f>
        <v>41937</v>
      </c>
      <c r="J399" s="42">
        <f>VLOOKUP($B399,'Obras e Acervos'!$B:$X,20,0)</f>
        <v>13168.218000000001</v>
      </c>
      <c r="K399" s="31">
        <f>VLOOKUP($B399,'Obras e Acervos'!$B:$X,21,0)</f>
        <v>14.58</v>
      </c>
      <c r="L399" s="31">
        <f t="shared" si="61"/>
        <v>611441.46</v>
      </c>
      <c r="M399" s="1">
        <v>46085</v>
      </c>
      <c r="N399" s="1">
        <f t="shared" si="60"/>
        <v>46305</v>
      </c>
      <c r="O399">
        <f t="shared" si="62"/>
        <v>221</v>
      </c>
      <c r="P399" s="49">
        <f t="shared" si="58"/>
        <v>7.3666666666666663</v>
      </c>
      <c r="Q399" s="34">
        <f>VLOOKUP($G399,Agendamento!$B:$F,5,0)</f>
        <v>7</v>
      </c>
      <c r="R399" s="36">
        <f t="shared" si="63"/>
        <v>42</v>
      </c>
      <c r="S399" s="44">
        <v>2.5499999999999998</v>
      </c>
      <c r="T399" s="44">
        <f t="shared" si="64"/>
        <v>23669.1</v>
      </c>
      <c r="U399" t="s">
        <v>5261</v>
      </c>
      <c r="V399" t="str">
        <f t="shared" si="65"/>
        <v>NF/64307205_20260304_nf_37.pdf</v>
      </c>
      <c r="W399" s="32" t="str">
        <f t="shared" si="59"/>
        <v>NF - CONTOS DE FADAS BRASILEIROS</v>
      </c>
      <c r="X399" t="s">
        <v>5591</v>
      </c>
    </row>
    <row r="400" spans="1:24" x14ac:dyDescent="0.25">
      <c r="A400" t="str">
        <f>CONCATENATE(D400,"_",TEXT(M400,"ddmmaaaa"),"_",COUNTIF($D$2:D400,D400))</f>
        <v>433984660001-08_04032026_1</v>
      </c>
      <c r="B400" t="str">
        <f>CONCATENATE(Analise!D400,"_",COUNTIF(Analise!$D$2:D400,Analise!D400)+1)</f>
        <v>433984660001-08_2</v>
      </c>
      <c r="C400" s="34">
        <f>COUNTIF('Obras e Acervos'!$C:$C,CONCATENATE(LEFT(D400,12),RIGHT(D400,2)))</f>
        <v>2</v>
      </c>
      <c r="D400" s="35" t="s">
        <v>4751</v>
      </c>
      <c r="E400" t="str">
        <f>VLOOKUP($B400,'Obras e Acervos'!$B:$X,3,0)</f>
        <v>BERTHA EDITORA LTDA-BERTHA EDITORA</v>
      </c>
      <c r="F400" t="str">
        <f>VLOOKUP($B400,'Obras e Acervos'!$B:$X,7,0)</f>
        <v>0450L23000020LE</v>
      </c>
      <c r="G400" t="str">
        <f>VLOOKUP($B400,'Obras e Acervos'!$B:$X,5,0)</f>
        <v>FEITICEIRA</v>
      </c>
      <c r="H400">
        <f>VLOOKUP($B400,'Obras e Acervos'!$B:$X,18,0)</f>
        <v>18</v>
      </c>
      <c r="I400">
        <f>VLOOKUP($B400,'Obras e Acervos'!$B:$X,19,0)</f>
        <v>23700</v>
      </c>
      <c r="J400" s="42">
        <f>VLOOKUP($B400,'Obras e Acervos'!$B:$X,20,0)</f>
        <v>2014.5000000000002</v>
      </c>
      <c r="K400" s="31">
        <f>VLOOKUP($B400,'Obras e Acervos'!$B:$X,21,0)</f>
        <v>5.64</v>
      </c>
      <c r="L400" s="31">
        <f t="shared" si="61"/>
        <v>133668</v>
      </c>
      <c r="M400" s="1">
        <v>46085</v>
      </c>
      <c r="N400" s="1">
        <f t="shared" si="60"/>
        <v>46305</v>
      </c>
      <c r="O400">
        <f t="shared" si="62"/>
        <v>221</v>
      </c>
      <c r="P400" s="49">
        <f t="shared" si="58"/>
        <v>7.3666666666666663</v>
      </c>
      <c r="Q400" s="34">
        <f>VLOOKUP($G400,Agendamento!$B:$F,5,0)</f>
        <v>3</v>
      </c>
      <c r="R400" s="36">
        <f t="shared" si="63"/>
        <v>24</v>
      </c>
      <c r="S400" s="44">
        <v>2.5499999999999998</v>
      </c>
      <c r="T400" s="44">
        <f t="shared" si="64"/>
        <v>13525.199999999999</v>
      </c>
      <c r="U400" t="s">
        <v>5256</v>
      </c>
      <c r="V400" t="str">
        <f t="shared" si="65"/>
        <v>NF/64307205_20260304_nf_39.pdf</v>
      </c>
      <c r="W400" s="32" t="str">
        <f t="shared" si="59"/>
        <v>NF - FEITICEIRA</v>
      </c>
      <c r="X400" t="s">
        <v>5591</v>
      </c>
    </row>
    <row r="401" spans="1:24" x14ac:dyDescent="0.25">
      <c r="A401" t="str">
        <f>CONCATENATE(D401,"_",TEXT(M401,"ddmmaaaa"),"_",COUNTIF($D$2:D401,D401))</f>
        <v>226222130001-98_05032026_1</v>
      </c>
      <c r="B401" t="str">
        <f>CONCATENATE(Analise!D401,"_",COUNTIF(Analise!$D$2:D401,Analise!D401)+1)</f>
        <v>226222130001-98_2</v>
      </c>
      <c r="C401" s="34">
        <f>COUNTIF('Obras e Acervos'!$C:$C,CONCATENATE(LEFT(D401,12),RIGHT(D401,2)))</f>
        <v>2</v>
      </c>
      <c r="D401" s="35" t="s">
        <v>5758</v>
      </c>
      <c r="E401" t="str">
        <f>VLOOKUP($B401,'Obras e Acervos'!$B:$X,3,0)</f>
        <v>BAMBOLE EDITORA E LIVRARIA LTDA-EDITORAS BAMBOLE &amp; ELIPSE</v>
      </c>
      <c r="F401" t="str">
        <f>VLOOKUP($B401,'Obras e Acervos'!$B:$X,7,0)</f>
        <v>0436L23000020LE</v>
      </c>
      <c r="G401" t="str">
        <f>VLOOKUP($B401,'Obras e Acervos'!$B:$X,5,0)</f>
        <v>REINAÇÕES DE EMÍLIA</v>
      </c>
      <c r="H401">
        <f>VLOOKUP($B401,'Obras e Acervos'!$B:$X,18,0)</f>
        <v>12</v>
      </c>
      <c r="I401">
        <f>VLOOKUP($B401,'Obras e Acervos'!$B:$X,19,0)</f>
        <v>48553</v>
      </c>
      <c r="J401" s="42">
        <f>VLOOKUP($B401,'Obras e Acervos'!$B:$X,20,0)</f>
        <v>9710.6</v>
      </c>
      <c r="K401" s="31">
        <f>VLOOKUP($B401,'Obras e Acervos'!$B:$X,21,0)</f>
        <v>8.4600000000000009</v>
      </c>
      <c r="L401" s="31">
        <f t="shared" si="61"/>
        <v>410758.38000000006</v>
      </c>
      <c r="M401" s="1">
        <v>46086</v>
      </c>
      <c r="N401" s="1">
        <f t="shared" si="60"/>
        <v>46305</v>
      </c>
      <c r="O401">
        <f t="shared" si="62"/>
        <v>220</v>
      </c>
      <c r="P401" s="49">
        <f t="shared" si="58"/>
        <v>7.333333333333333</v>
      </c>
      <c r="Q401" s="34">
        <f>VLOOKUP($G401,Agendamento!$B:$F,5,0)</f>
        <v>9</v>
      </c>
      <c r="R401" s="36">
        <f t="shared" si="63"/>
        <v>49</v>
      </c>
      <c r="S401" s="44">
        <v>2.5499999999999998</v>
      </c>
      <c r="T401" s="44">
        <f t="shared" si="64"/>
        <v>27488.999999999996</v>
      </c>
      <c r="U401" t="s">
        <v>5262</v>
      </c>
      <c r="V401" t="str">
        <f t="shared" si="65"/>
        <v>NF/64307205_20260304_nf_40.pdf</v>
      </c>
      <c r="W401" s="32" t="str">
        <f t="shared" si="59"/>
        <v>NF - REINAÇÕES DE EMÍLIA</v>
      </c>
      <c r="X401" t="s">
        <v>5591</v>
      </c>
    </row>
    <row r="402" spans="1:24" x14ac:dyDescent="0.25">
      <c r="A402" t="str">
        <f>CONCATENATE(D402,"_",TEXT(M402,"ddmmaaaa"),"_",COUNTIF($D$2:D402,D402))</f>
        <v>192410260001-50_04032026_1</v>
      </c>
      <c r="B402" t="str">
        <f>CONCATENATE(Analise!D402,"_",COUNTIF(Analise!$D$2:D402,Analise!D402)+1)</f>
        <v>192410260001-50_2</v>
      </c>
      <c r="C402" s="34">
        <f>COUNTIF('Obras e Acervos'!$C:$C,CONCATENATE(LEFT(D402,12),RIGHT(D402,2)))</f>
        <v>2</v>
      </c>
      <c r="D402" s="35" t="s">
        <v>4752</v>
      </c>
      <c r="E402" t="str">
        <f>VLOOKUP($B402,'Obras e Acervos'!$B:$X,3,0)</f>
        <v>FERNANDES &amp; WARTH EDITORA E DISTRIBUIDORA LTDA.-PALLAS MÍNI</v>
      </c>
      <c r="F402" t="str">
        <f>VLOOKUP($B402,'Obras e Acervos'!$B:$X,7,0)</f>
        <v>0939L23000020LE</v>
      </c>
      <c r="G402" t="str">
        <f>VLOOKUP($B402,'Obras e Acervos'!$B:$X,5,0)</f>
        <v>CRIANÇAS</v>
      </c>
      <c r="H402">
        <f>VLOOKUP($B402,'Obras e Acervos'!$B:$X,18,0)</f>
        <v>19</v>
      </c>
      <c r="I402">
        <f>VLOOKUP($B402,'Obras e Acervos'!$B:$X,19,0)</f>
        <v>24437</v>
      </c>
      <c r="J402" s="42">
        <f>VLOOKUP($B402,'Obras e Acervos'!$B:$X,20,0)</f>
        <v>5131.7699999999995</v>
      </c>
      <c r="K402" s="31">
        <f>VLOOKUP($B402,'Obras e Acervos'!$B:$X,21,0)</f>
        <v>12.19</v>
      </c>
      <c r="L402" s="31">
        <f t="shared" si="61"/>
        <v>297887.02999999997</v>
      </c>
      <c r="M402" s="1">
        <v>46085</v>
      </c>
      <c r="N402" s="1">
        <f t="shared" si="60"/>
        <v>46305</v>
      </c>
      <c r="O402">
        <f t="shared" si="62"/>
        <v>221</v>
      </c>
      <c r="P402" s="49">
        <f t="shared" si="58"/>
        <v>7.3666666666666663</v>
      </c>
      <c r="Q402" s="34">
        <f>VLOOKUP($G402,Agendamento!$B:$F,5,0)</f>
        <v>5</v>
      </c>
      <c r="R402" s="36">
        <f t="shared" si="63"/>
        <v>25</v>
      </c>
      <c r="S402" s="44">
        <v>2.5499999999999998</v>
      </c>
      <c r="T402" s="44">
        <f t="shared" si="64"/>
        <v>14088.749999999998</v>
      </c>
      <c r="U402" t="s">
        <v>5259</v>
      </c>
      <c r="V402" t="str">
        <f t="shared" si="65"/>
        <v>NF/64307205_20260304_nf_42.pdf</v>
      </c>
      <c r="W402" s="32" t="str">
        <f t="shared" si="59"/>
        <v>NF - CRIANÇAS</v>
      </c>
      <c r="X402" t="s">
        <v>5591</v>
      </c>
    </row>
    <row r="403" spans="1:24" x14ac:dyDescent="0.25">
      <c r="A403" t="str">
        <f>CONCATENATE(D403,"_",TEXT(M403,"ddmmaaaa"),"_",COUNTIF($D$2:D403,D403))</f>
        <v>286919710001-44_04032026_1</v>
      </c>
      <c r="B403" t="str">
        <f>CONCATENATE(Analise!D403,"_",COUNTIF(Analise!$D$2:D403,Analise!D403)+1)</f>
        <v>286919710001-44_2</v>
      </c>
      <c r="C403" s="34">
        <f>COUNTIF('Obras e Acervos'!$C:$C,CONCATENATE(LEFT(D403,12),RIGHT(D403,2)))</f>
        <v>2</v>
      </c>
      <c r="D403" s="35" t="s">
        <v>4734</v>
      </c>
      <c r="E403" t="str">
        <f>VLOOKUP($B403,'Obras e Acervos'!$B:$X,3,0)</f>
        <v>AV EDIÇÕES E SERVIÇOS EIRELI-BADABUM</v>
      </c>
      <c r="F403" t="str">
        <f>VLOOKUP($B403,'Obras e Acervos'!$B:$X,7,0)</f>
        <v>0677L23000020LE</v>
      </c>
      <c r="G403" t="str">
        <f>VLOOKUP($B403,'Obras e Acervos'!$B:$X,5,0)</f>
        <v>20.000 LÉGUAS SUBMARINAS EM QUADRINHOS</v>
      </c>
      <c r="H403">
        <f>VLOOKUP($B403,'Obras e Acervos'!$B:$X,18,0)</f>
        <v>19</v>
      </c>
      <c r="I403">
        <f>VLOOKUP($B403,'Obras e Acervos'!$B:$X,19,0)</f>
        <v>44859</v>
      </c>
      <c r="J403" s="42">
        <f>VLOOKUP($B403,'Obras e Acervos'!$B:$X,20,0)</f>
        <v>8119.4789999999994</v>
      </c>
      <c r="K403" s="31">
        <f>VLOOKUP($B403,'Obras e Acervos'!$B:$X,21,0)</f>
        <v>8.1999999999999993</v>
      </c>
      <c r="L403" s="31">
        <f t="shared" si="61"/>
        <v>367843.8</v>
      </c>
      <c r="M403" s="1">
        <v>46085</v>
      </c>
      <c r="N403" s="1">
        <f t="shared" si="60"/>
        <v>46305</v>
      </c>
      <c r="O403">
        <f t="shared" si="62"/>
        <v>221</v>
      </c>
      <c r="P403" s="49">
        <f t="shared" si="58"/>
        <v>7.3666666666666663</v>
      </c>
      <c r="Q403" s="34">
        <f>VLOOKUP($G403,Agendamento!$B:$F,5,0)</f>
        <v>11</v>
      </c>
      <c r="R403" s="36">
        <f t="shared" si="63"/>
        <v>45</v>
      </c>
      <c r="S403" s="44">
        <v>2.5499999999999998</v>
      </c>
      <c r="T403" s="44">
        <f t="shared" si="64"/>
        <v>25359.75</v>
      </c>
      <c r="U403" t="s">
        <v>5229</v>
      </c>
      <c r="V403" t="str">
        <f t="shared" si="65"/>
        <v>NF/64307205_20260304_nf_44.pdf</v>
      </c>
      <c r="W403" s="32" t="str">
        <f t="shared" si="59"/>
        <v>NF - 20.000 LÉGUAS SUBMARINAS EM QUADRINHOS</v>
      </c>
      <c r="X403" t="s">
        <v>5591</v>
      </c>
    </row>
    <row r="404" spans="1:24" x14ac:dyDescent="0.25">
      <c r="A404" t="str">
        <f>CONCATENATE(D404,"_",TEXT(M404,"ddmmaaaa"),"_",COUNTIF($D$2:D404,D404))</f>
        <v>302205010001-44_04032026_1</v>
      </c>
      <c r="B404" t="str">
        <f>CONCATENATE(Analise!D404,"_",COUNTIF(Analise!$D$2:D404,Analise!D404)+1)</f>
        <v>302205010001-44_2</v>
      </c>
      <c r="C404" s="34">
        <f>COUNTIF('Obras e Acervos'!$C:$C,CONCATENATE(LEFT(D404,12),RIGHT(D404,2)))</f>
        <v>2</v>
      </c>
      <c r="D404" s="35" t="s">
        <v>4753</v>
      </c>
      <c r="E404" t="str">
        <f>VLOOKUP($B404,'Obras e Acervos'!$B:$X,3,0)</f>
        <v>EDITORA VESTÍGIO LTDA.-VESTÍGIO</v>
      </c>
      <c r="F404" t="str">
        <f>VLOOKUP($B404,'Obras e Acervos'!$B:$X,7,0)</f>
        <v>0719L23000020LE</v>
      </c>
      <c r="G404" t="str">
        <f>VLOOKUP($B404,'Obras e Acervos'!$B:$X,5,0)</f>
        <v>OS DIÁRIOS DE AMORA</v>
      </c>
      <c r="H404">
        <f>VLOOKUP($B404,'Obras e Acervos'!$B:$X,18,0)</f>
        <v>11</v>
      </c>
      <c r="I404">
        <f>VLOOKUP($B404,'Obras e Acervos'!$B:$X,19,0)</f>
        <v>38558</v>
      </c>
      <c r="J404" s="42">
        <f>VLOOKUP($B404,'Obras e Acervos'!$B:$X,20,0)</f>
        <v>8482.76</v>
      </c>
      <c r="K404" s="31">
        <f>VLOOKUP($B404,'Obras e Acervos'!$B:$X,21,0)</f>
        <v>10.48</v>
      </c>
      <c r="L404" s="31">
        <f t="shared" si="61"/>
        <v>404087.84</v>
      </c>
      <c r="M404" s="1">
        <v>46085</v>
      </c>
      <c r="N404" s="1">
        <f t="shared" si="60"/>
        <v>46305</v>
      </c>
      <c r="O404">
        <f t="shared" si="62"/>
        <v>221</v>
      </c>
      <c r="P404" s="49">
        <f t="shared" si="58"/>
        <v>7.3666666666666663</v>
      </c>
      <c r="Q404" s="34">
        <f>VLOOKUP($G404,Agendamento!$B:$F,5,0)</f>
        <v>7</v>
      </c>
      <c r="R404" s="36">
        <f t="shared" si="63"/>
        <v>39</v>
      </c>
      <c r="S404" s="44">
        <v>2.5499999999999998</v>
      </c>
      <c r="T404" s="44">
        <f t="shared" si="64"/>
        <v>21978.449999999997</v>
      </c>
      <c r="U404" t="s">
        <v>5260</v>
      </c>
      <c r="V404" t="str">
        <f t="shared" si="65"/>
        <v>NF/64307205_20260304_nf_46.pdf</v>
      </c>
      <c r="W404" s="32" t="str">
        <f t="shared" si="59"/>
        <v>NF - OS DIÁRIOS DE AMORA</v>
      </c>
      <c r="X404" t="s">
        <v>5591</v>
      </c>
    </row>
    <row r="405" spans="1:24" x14ac:dyDescent="0.25">
      <c r="A405" t="str">
        <f>CONCATENATE(D405,"_",TEXT(M405,"ddmmaaaa"),"_",COUNTIF($D$2:D405,D405))</f>
        <v>422154690001-98_04032026_1</v>
      </c>
      <c r="B405" t="str">
        <f>CONCATENATE(Analise!D405,"_",COUNTIF(Analise!$D$2:D405,Analise!D405)+1)</f>
        <v>422154690001-98_2</v>
      </c>
      <c r="C405" s="34">
        <f>COUNTIF('Obras e Acervos'!$C:$C,CONCATENATE(LEFT(D405,12),RIGHT(D405,2)))</f>
        <v>2</v>
      </c>
      <c r="D405" s="35" t="s">
        <v>4736</v>
      </c>
      <c r="E405" t="str">
        <f>VLOOKUP($B405,'Obras e Acervos'!$B:$X,3,0)</f>
        <v>BÉTULA EDITORIAL LTDA-BÉTULA EDITORIAL</v>
      </c>
      <c r="F405" t="str">
        <f>VLOOKUP($B405,'Obras e Acervos'!$B:$X,7,0)</f>
        <v>0632L23000020LE</v>
      </c>
      <c r="G405" t="str">
        <f>VLOOKUP($B405,'Obras e Acervos'!$B:$X,5,0)</f>
        <v>A RAPOSINHA FRANCESA EM BERLIM</v>
      </c>
      <c r="H405">
        <f>VLOOKUP($B405,'Obras e Acervos'!$B:$X,18,0)</f>
        <v>19</v>
      </c>
      <c r="I405">
        <f>VLOOKUP($B405,'Obras e Acervos'!$B:$X,19,0)</f>
        <v>25028</v>
      </c>
      <c r="J405" s="42">
        <f>VLOOKUP($B405,'Obras e Acervos'!$B:$X,20,0)</f>
        <v>4530.0680000000002</v>
      </c>
      <c r="K405" s="31">
        <f>VLOOKUP($B405,'Obras e Acervos'!$B:$X,21,0)</f>
        <v>10.28</v>
      </c>
      <c r="L405" s="31">
        <f t="shared" si="61"/>
        <v>257287.84</v>
      </c>
      <c r="M405" s="1">
        <v>46085</v>
      </c>
      <c r="N405" s="1">
        <f t="shared" si="60"/>
        <v>46305</v>
      </c>
      <c r="O405">
        <f t="shared" si="62"/>
        <v>221</v>
      </c>
      <c r="P405" s="49">
        <f t="shared" si="58"/>
        <v>7.3666666666666663</v>
      </c>
      <c r="Q405" s="34">
        <f>VLOOKUP($G405,Agendamento!$B:$F,5,0)</f>
        <v>6</v>
      </c>
      <c r="R405" s="36">
        <f t="shared" si="63"/>
        <v>26</v>
      </c>
      <c r="S405" s="44">
        <v>2.5499999999999998</v>
      </c>
      <c r="T405" s="44">
        <f t="shared" si="64"/>
        <v>14652.3</v>
      </c>
      <c r="U405" t="s">
        <v>5231</v>
      </c>
      <c r="V405" t="str">
        <f t="shared" si="65"/>
        <v>NF/64307205_20260304_nf_49.pdf</v>
      </c>
      <c r="W405" s="32" t="str">
        <f t="shared" si="59"/>
        <v>NF - A RAPOSINHA FRANCESA EM BERLIM</v>
      </c>
      <c r="X405" t="s">
        <v>5591</v>
      </c>
    </row>
    <row r="406" spans="1:24" x14ac:dyDescent="0.25">
      <c r="A406" t="str">
        <f>CONCATENATE(D406,"_",TEXT(M406,"ddmmaaaa"),"_",COUNTIF($D$2:D406,D406))</f>
        <v>144418800001-46_04032026_1</v>
      </c>
      <c r="B406" t="str">
        <f>CONCATENATE(Analise!D406,"_",COUNTIF(Analise!$D$2:D406,Analise!D406)+1)</f>
        <v>144418800001-46_2</v>
      </c>
      <c r="C406" s="34">
        <f>COUNTIF('Obras e Acervos'!$C:$C,CONCATENATE(LEFT(D406,12),RIGHT(D406,2)))</f>
        <v>2</v>
      </c>
      <c r="D406" s="35" t="s">
        <v>4749</v>
      </c>
      <c r="E406" t="str">
        <f>VLOOKUP($B406,'Obras e Acervos'!$B:$X,3,0)</f>
        <v>EDITORA VOO LTDA-EDITORA VOO</v>
      </c>
      <c r="F406" t="str">
        <f>VLOOKUP($B406,'Obras e Acervos'!$B:$X,7,0)</f>
        <v>0798L23000020LE</v>
      </c>
      <c r="G406" t="str">
        <f>VLOOKUP($B406,'Obras e Acervos'!$B:$X,5,0)</f>
        <v>POSSIBILIDADES</v>
      </c>
      <c r="H406">
        <f>VLOOKUP($B406,'Obras e Acervos'!$B:$X,18,0)</f>
        <v>16</v>
      </c>
      <c r="I406">
        <f>VLOOKUP($B406,'Obras e Acervos'!$B:$X,19,0)</f>
        <v>30985</v>
      </c>
      <c r="J406" s="42">
        <f>VLOOKUP($B406,'Obras e Acervos'!$B:$X,20,0)</f>
        <v>8056.1</v>
      </c>
      <c r="K406" s="31">
        <f>VLOOKUP($B406,'Obras e Acervos'!$B:$X,21,0)</f>
        <v>13.04</v>
      </c>
      <c r="L406" s="31">
        <f t="shared" si="61"/>
        <v>404044.39999999997</v>
      </c>
      <c r="M406" s="1">
        <v>46085</v>
      </c>
      <c r="N406" s="1">
        <f t="shared" si="60"/>
        <v>46305</v>
      </c>
      <c r="O406">
        <f t="shared" si="62"/>
        <v>221</v>
      </c>
      <c r="P406" s="49">
        <f t="shared" si="58"/>
        <v>7.3666666666666663</v>
      </c>
      <c r="Q406" s="34">
        <f>VLOOKUP($G406,Agendamento!$B:$F,5,0)</f>
        <v>11</v>
      </c>
      <c r="R406" s="36">
        <f t="shared" si="63"/>
        <v>31</v>
      </c>
      <c r="S406" s="44">
        <v>2.5499999999999998</v>
      </c>
      <c r="T406" s="44">
        <f t="shared" si="64"/>
        <v>17470.05</v>
      </c>
      <c r="U406" t="s">
        <v>5253</v>
      </c>
      <c r="V406" t="str">
        <f t="shared" si="65"/>
        <v>NF/64307205_20260304_nf_51.pdf</v>
      </c>
      <c r="W406" s="32" t="str">
        <f t="shared" si="59"/>
        <v>NF - POSSIBILIDADES</v>
      </c>
      <c r="X406" t="s">
        <v>5591</v>
      </c>
    </row>
    <row r="407" spans="1:24" x14ac:dyDescent="0.25">
      <c r="A407" t="str">
        <f>CONCATENATE(D407,"_",TEXT(M407,"ddmmaaaa"),"_",COUNTIF($D$2:D407,D407))</f>
        <v>106894240001-69_04032026_1</v>
      </c>
      <c r="B407" t="str">
        <f>CONCATENATE(Analise!D407,"_",COUNTIF(Analise!$D$2:D407,Analise!D407))</f>
        <v>106894240001-69_1</v>
      </c>
      <c r="C407" s="34">
        <f>COUNTIF('Obras e Acervos'!$C:$C,CONCATENATE(LEFT(D407,12),RIGHT(D407,2)))</f>
        <v>2</v>
      </c>
      <c r="D407" s="35" t="s">
        <v>4754</v>
      </c>
      <c r="E407" t="str">
        <f>VLOOKUP($B407,'Obras e Acervos'!$B:$X,3,0)</f>
        <v>FAROL LITERÁRIO LTDA-FAROL LITERÁRIO</v>
      </c>
      <c r="F407" t="str">
        <f>VLOOKUP($B407,'Obras e Acervos'!$B:$X,7,0)</f>
        <v>1281L23000030LE</v>
      </c>
      <c r="G407" t="str">
        <f>VLOOKUP($B407,'Obras e Acervos'!$B:$X,5,0)</f>
        <v>O MONSTRO MONSTRUOSO DA CAVERNA</v>
      </c>
      <c r="H407">
        <f>VLOOKUP($B407,'Obras e Acervos'!$B:$X,18,0)</f>
        <v>6</v>
      </c>
      <c r="I407">
        <f>VLOOKUP($B407,'Obras e Acervos'!$B:$X,19,0)</f>
        <v>39568</v>
      </c>
      <c r="J407" s="42">
        <f>VLOOKUP($B407,'Obras e Acervos'!$B:$X,20,0)</f>
        <v>3956.8</v>
      </c>
      <c r="K407" s="31">
        <f>VLOOKUP($B407,'Obras e Acervos'!$B:$X,21,0)</f>
        <v>5.44</v>
      </c>
      <c r="L407" s="31">
        <f t="shared" si="61"/>
        <v>215249.92000000001</v>
      </c>
      <c r="M407" s="1">
        <v>46085</v>
      </c>
      <c r="N407" s="1">
        <f t="shared" si="60"/>
        <v>46305</v>
      </c>
      <c r="O407">
        <f t="shared" si="62"/>
        <v>221</v>
      </c>
      <c r="P407" s="49">
        <f t="shared" si="58"/>
        <v>7.3666666666666663</v>
      </c>
      <c r="Q407" s="34">
        <f>VLOOKUP($G407,Agendamento!$B:$F,5,0)</f>
        <v>7</v>
      </c>
      <c r="R407" s="36">
        <f t="shared" si="63"/>
        <v>40</v>
      </c>
      <c r="S407" s="44">
        <v>2.5499999999999998</v>
      </c>
      <c r="T407" s="44">
        <f t="shared" si="64"/>
        <v>22542</v>
      </c>
      <c r="U407" t="s">
        <v>5264</v>
      </c>
      <c r="V407" t="str">
        <f t="shared" si="65"/>
        <v>NF/64307205_20260304_nf_52.pdf</v>
      </c>
      <c r="W407" s="32" t="str">
        <f t="shared" si="59"/>
        <v>NF - O MONSTRO MONSTRUOSO DA CAVERNA</v>
      </c>
      <c r="X407" t="s">
        <v>5591</v>
      </c>
    </row>
    <row r="408" spans="1:24" x14ac:dyDescent="0.25">
      <c r="A408" t="str">
        <f>CONCATENATE(D408,"_",TEXT(M408,"ddmmaaaa"),"_",COUNTIF($D$2:D408,D408))</f>
        <v>106894240001-69_04032026_2</v>
      </c>
      <c r="B408" t="str">
        <f>CONCATENATE(Analise!D408,"_",COUNTIF(Analise!$D$2:D408,Analise!D408))</f>
        <v>106894240001-69_2</v>
      </c>
      <c r="C408" s="34">
        <f>COUNTIF('Obras e Acervos'!$C:$C,CONCATENATE(LEFT(D408,12),RIGHT(D408,2)))</f>
        <v>2</v>
      </c>
      <c r="D408" s="35" t="s">
        <v>4754</v>
      </c>
      <c r="E408" t="str">
        <f>VLOOKUP($B408,'Obras e Acervos'!$B:$X,3,0)</f>
        <v>FAROL LITERÁRIO LTDA-FAROL LITERÁRIO</v>
      </c>
      <c r="F408" t="str">
        <f>VLOOKUP($B408,'Obras e Acervos'!$B:$X,7,0)</f>
        <v>1282L23000020LE</v>
      </c>
      <c r="G408" t="str">
        <f>VLOOKUP($B408,'Obras e Acervos'!$B:$X,5,0)</f>
        <v>BALAIO DE BICHOS</v>
      </c>
      <c r="H408">
        <f>VLOOKUP($B408,'Obras e Acervos'!$B:$X,18,0)</f>
        <v>18</v>
      </c>
      <c r="I408">
        <f>VLOOKUP($B408,'Obras e Acervos'!$B:$X,19,0)</f>
        <v>26018</v>
      </c>
      <c r="J408" s="42">
        <f>VLOOKUP($B408,'Obras e Acervos'!$B:$X,20,0)</f>
        <v>2159.4940000000001</v>
      </c>
      <c r="K408" s="31">
        <f>VLOOKUP($B408,'Obras e Acervos'!$B:$X,21,0)</f>
        <v>5.52</v>
      </c>
      <c r="L408" s="31">
        <f t="shared" si="61"/>
        <v>143619.35999999999</v>
      </c>
      <c r="M408" s="1">
        <v>46085</v>
      </c>
      <c r="N408" s="1">
        <f t="shared" si="60"/>
        <v>46305</v>
      </c>
      <c r="O408">
        <f t="shared" si="62"/>
        <v>221</v>
      </c>
      <c r="P408" s="49">
        <f t="shared" si="58"/>
        <v>7.3666666666666663</v>
      </c>
      <c r="Q408" s="34">
        <f>VLOOKUP($G408,Agendamento!$B:$F,5,0)</f>
        <v>4</v>
      </c>
      <c r="R408" s="36">
        <f t="shared" si="63"/>
        <v>27</v>
      </c>
      <c r="S408" s="44">
        <v>2.5499999999999998</v>
      </c>
      <c r="T408" s="44">
        <f t="shared" si="64"/>
        <v>15215.849999999999</v>
      </c>
      <c r="U408" t="s">
        <v>5264</v>
      </c>
      <c r="V408" t="str">
        <f t="shared" si="65"/>
        <v>NF/64307205_20260304_nf_52.pdf</v>
      </c>
      <c r="W408" s="32" t="str">
        <f t="shared" si="59"/>
        <v>NF - BALAIO DE BICHOS</v>
      </c>
      <c r="X408" t="s">
        <v>5591</v>
      </c>
    </row>
    <row r="409" spans="1:24" x14ac:dyDescent="0.25">
      <c r="A409" t="str">
        <f>CONCATENATE(D409,"_",TEXT(M409,"ddmmaaaa"),"_",COUNTIF($D$2:D409,D409))</f>
        <v>107286130001-01_04032026_2</v>
      </c>
      <c r="B409" t="str">
        <f>CONCATENATE(Analise!D409,"_",COUNTIF(Analise!$D$2:D409,Analise!D409)-1)</f>
        <v>107286130001-01_1</v>
      </c>
      <c r="C409" s="34">
        <f>COUNTIF('Obras e Acervos'!$C:$C,CONCATENATE(LEFT(D409,12),RIGHT(D409,2)))</f>
        <v>2</v>
      </c>
      <c r="D409" s="35" t="s">
        <v>4554</v>
      </c>
      <c r="E409" t="str">
        <f>VLOOKUP($B409,'Obras e Acervos'!$B:$X,3,0)</f>
        <v>UNIVERSO LIVROS EDITORA LTDA-UNIVERSO LIVROS EDITORA</v>
      </c>
      <c r="F409" t="str">
        <f>VLOOKUP($B409,'Obras e Acervos'!$B:$X,7,0)</f>
        <v>1316L23000030LE</v>
      </c>
      <c r="G409" t="str">
        <f>VLOOKUP($B409,'Obras e Acervos'!$B:$X,5,0)</f>
        <v>O ALUÁ DO MACACO E OUTRAS MACAQUICES</v>
      </c>
      <c r="H409">
        <f>VLOOKUP($B409,'Obras e Acervos'!$B:$X,18,0)</f>
        <v>9</v>
      </c>
      <c r="I409">
        <f>VLOOKUP($B409,'Obras e Acervos'!$B:$X,19,0)</f>
        <v>33507</v>
      </c>
      <c r="J409" s="42">
        <f>VLOOKUP($B409,'Obras e Acervos'!$B:$X,20,0)</f>
        <v>2781.0810000000001</v>
      </c>
      <c r="K409" s="31">
        <f>VLOOKUP($B409,'Obras e Acervos'!$B:$X,21,0)</f>
        <v>5.05</v>
      </c>
      <c r="L409" s="31">
        <f t="shared" si="61"/>
        <v>169210.35</v>
      </c>
      <c r="M409" s="1">
        <v>46085</v>
      </c>
      <c r="N409" s="1">
        <f t="shared" si="60"/>
        <v>46305</v>
      </c>
      <c r="O409">
        <f t="shared" si="62"/>
        <v>221</v>
      </c>
      <c r="P409" s="49">
        <f t="shared" si="58"/>
        <v>7.3666666666666663</v>
      </c>
      <c r="Q409" s="34">
        <f>VLOOKUP($G409,Agendamento!$B:$F,5,0)</f>
        <v>6</v>
      </c>
      <c r="R409" s="36">
        <f t="shared" si="63"/>
        <v>34</v>
      </c>
      <c r="S409" s="44">
        <v>2.5499999999999998</v>
      </c>
      <c r="T409" s="44">
        <f t="shared" si="64"/>
        <v>19160.699999999997</v>
      </c>
      <c r="U409" t="s">
        <v>5251</v>
      </c>
      <c r="V409" t="str">
        <f t="shared" si="65"/>
        <v>NF/64307205_20260304_nf_53.pdf</v>
      </c>
      <c r="W409" s="32" t="str">
        <f t="shared" si="59"/>
        <v>NF - O ALUÁ DO MACACO E OUTRAS MACAQUICES</v>
      </c>
      <c r="X409" t="s">
        <v>5591</v>
      </c>
    </row>
    <row r="410" spans="1:24" x14ac:dyDescent="0.25">
      <c r="A410" t="str">
        <f>CONCATENATE(D410,"_",TEXT(M410,"ddmmaaaa"),"_",COUNTIF($D$2:D410,D410))</f>
        <v>604440980001-06_04032026_1</v>
      </c>
      <c r="B410" t="str">
        <f>CONCATENATE(Analise!D410,"_",COUNTIF(Analise!$D$2:D410,Analise!D410))</f>
        <v>604440980001-06_1</v>
      </c>
      <c r="C410" s="34">
        <f>COUNTIF('Obras e Acervos'!$C:$C,CONCATENATE(LEFT(D410,12),RIGHT(D410,2)))</f>
        <v>2</v>
      </c>
      <c r="D410" s="35" t="s">
        <v>4729</v>
      </c>
      <c r="E410" t="str">
        <f>VLOOKUP($B410,'Obras e Acervos'!$B:$X,3,0)</f>
        <v>EDITORA DCL - DIFUSÃO CULTURAL DO LIVRO EIRELI-EDITORA DCL - DIFUSÃO CULTURAL DO LIVRO EIRELI</v>
      </c>
      <c r="F410" t="str">
        <f>VLOOKUP($B410,'Obras e Acervos'!$B:$X,7,0)</f>
        <v>1271L23000030LE</v>
      </c>
      <c r="G410" t="str">
        <f>VLOOKUP($B410,'Obras e Acervos'!$B:$X,5,0)</f>
        <v>MALVINA</v>
      </c>
      <c r="H410">
        <f>VLOOKUP($B410,'Obras e Acervos'!$B:$X,18,0)</f>
        <v>4</v>
      </c>
      <c r="I410">
        <f>VLOOKUP($B410,'Obras e Acervos'!$B:$X,19,0)</f>
        <v>75274</v>
      </c>
      <c r="J410" s="42">
        <f>VLOOKUP($B410,'Obras e Acervos'!$B:$X,20,0)</f>
        <v>7527.4000000000005</v>
      </c>
      <c r="K410" s="31">
        <f>VLOOKUP($B410,'Obras e Acervos'!$B:$X,21,0)</f>
        <v>4.18</v>
      </c>
      <c r="L410" s="31">
        <f t="shared" si="61"/>
        <v>314645.32</v>
      </c>
      <c r="M410" s="1">
        <v>46085</v>
      </c>
      <c r="N410" s="1">
        <f t="shared" si="60"/>
        <v>46305</v>
      </c>
      <c r="O410">
        <f t="shared" si="62"/>
        <v>221</v>
      </c>
      <c r="P410" s="49">
        <f t="shared" si="58"/>
        <v>7.3666666666666663</v>
      </c>
      <c r="Q410" s="34">
        <f>VLOOKUP($G410,Agendamento!$B:$F,5,0)</f>
        <v>13</v>
      </c>
      <c r="R410" s="36">
        <f t="shared" si="63"/>
        <v>76</v>
      </c>
      <c r="S410" s="44">
        <v>2.5499999999999998</v>
      </c>
      <c r="T410" s="44">
        <f t="shared" si="64"/>
        <v>42829.799999999996</v>
      </c>
      <c r="U410" t="s">
        <v>5223</v>
      </c>
      <c r="V410" t="str">
        <f t="shared" si="65"/>
        <v>NF/64307205_20260304_nf_54.pdf</v>
      </c>
      <c r="W410" s="32" t="str">
        <f t="shared" si="59"/>
        <v>NF - MALVINA</v>
      </c>
      <c r="X410" t="s">
        <v>5591</v>
      </c>
    </row>
    <row r="411" spans="1:24" x14ac:dyDescent="0.25">
      <c r="A411" t="str">
        <f>CONCATENATE(D411,"_",TEXT(M411,"ddmmaaaa"),"_",COUNTIF($D$2:D411,D411))</f>
        <v>108502930001-50_05032026_1</v>
      </c>
      <c r="B411" t="str">
        <f>CONCATENATE(Analise!D411,"_",COUNTIF(Analise!$D$2:D411,Analise!D411))</f>
        <v>108502930001-50_1</v>
      </c>
      <c r="C411" s="34">
        <f>COUNTIF('Obras e Acervos'!$C:$C,CONCATENATE(LEFT(D411,12),RIGHT(D411,2)))</f>
        <v>1</v>
      </c>
      <c r="D411" s="35" t="s">
        <v>4755</v>
      </c>
      <c r="E411" t="str">
        <f>VLOOKUP($B411,'Obras e Acervos'!$B:$X,3,0)</f>
        <v>EDITORA CIRCUITO LTDA-CIRCUITO</v>
      </c>
      <c r="F411" t="str">
        <f>VLOOKUP($B411,'Obras e Acervos'!$B:$X,7,0)</f>
        <v>1300L23000030LE</v>
      </c>
      <c r="G411" t="str">
        <f>VLOOKUP($B411,'Obras e Acervos'!$B:$X,5,0)</f>
        <v>PEDRINHO PETRIFICADO</v>
      </c>
      <c r="H411">
        <f>VLOOKUP($B411,'Obras e Acervos'!$B:$X,18,0)</f>
        <v>2</v>
      </c>
      <c r="I411">
        <f>VLOOKUP($B411,'Obras e Acervos'!$B:$X,19,0)</f>
        <v>45119</v>
      </c>
      <c r="J411" s="42">
        <f>VLOOKUP($B411,'Obras e Acervos'!$B:$X,20,0)</f>
        <v>4511.9000000000005</v>
      </c>
      <c r="K411" s="31">
        <f>VLOOKUP($B411,'Obras e Acervos'!$B:$X,21,0)</f>
        <v>5.84</v>
      </c>
      <c r="L411" s="31">
        <f t="shared" si="61"/>
        <v>263494.96000000002</v>
      </c>
      <c r="M411" s="1">
        <v>46086</v>
      </c>
      <c r="N411" s="1">
        <f t="shared" si="60"/>
        <v>46305</v>
      </c>
      <c r="O411">
        <f t="shared" si="62"/>
        <v>220</v>
      </c>
      <c r="P411" s="49">
        <f t="shared" si="58"/>
        <v>7.333333333333333</v>
      </c>
      <c r="Q411" s="34">
        <f>VLOOKUP($G411,Agendamento!$B:$F,5,0)</f>
        <v>7</v>
      </c>
      <c r="R411" s="36">
        <f t="shared" si="63"/>
        <v>46</v>
      </c>
      <c r="S411" s="44">
        <v>2.5499999999999998</v>
      </c>
      <c r="T411" s="44">
        <f t="shared" si="64"/>
        <v>25806</v>
      </c>
      <c r="U411" t="s">
        <v>5265</v>
      </c>
      <c r="V411" t="str">
        <f t="shared" si="65"/>
        <v>NF/64307205_20260305_nf_01.pdf</v>
      </c>
      <c r="W411" s="32" t="str">
        <f t="shared" si="59"/>
        <v>NF - PEDRINHO PETRIFICADO</v>
      </c>
      <c r="X411" t="s">
        <v>5591</v>
      </c>
    </row>
    <row r="412" spans="1:24" x14ac:dyDescent="0.25">
      <c r="A412" t="str">
        <f>CONCATENATE(D412,"_",TEXT(M412,"ddmmaaaa"),"_",COUNTIF($D$2:D412,D412))</f>
        <v>763419570001-63_06032026_1</v>
      </c>
      <c r="B412" t="str">
        <f>CONCATENATE(Analise!D412,"_",COUNTIF(Analise!$D$2:D412,Analise!D412))</f>
        <v>763419570001-63_1</v>
      </c>
      <c r="C412" s="34">
        <f>COUNTIF('Obras e Acervos'!$C:$C,CONCATENATE(LEFT(D412,12),RIGHT(D412,2)))</f>
        <v>1</v>
      </c>
      <c r="D412" s="35" t="s">
        <v>5759</v>
      </c>
      <c r="E412" t="str">
        <f>VLOOKUP($B412,'Obras e Acervos'!$B:$X,3,0)</f>
        <v>CONEL - COMERCIO NACIONAL E EDITORA DE LIVROS LTDA-CONEL - COMERCIO NACIONAL E EDITORA DE LIVROS LTDA</v>
      </c>
      <c r="F412" t="str">
        <f>VLOOKUP($B412,'Obras e Acervos'!$B:$X,7,0)</f>
        <v>0940L23000030LE</v>
      </c>
      <c r="G412" t="str">
        <f>VLOOKUP($B412,'Obras e Acervos'!$B:$X,5,0)</f>
        <v>RIMAS E NÚMEROS</v>
      </c>
      <c r="H412">
        <f>VLOOKUP($B412,'Obras e Acervos'!$B:$X,18,0)</f>
        <v>7</v>
      </c>
      <c r="I412">
        <f>VLOOKUP($B412,'Obras e Acervos'!$B:$X,19,0)</f>
        <v>41600</v>
      </c>
      <c r="J412" s="42">
        <f>VLOOKUP($B412,'Obras e Acervos'!$B:$X,20,0)</f>
        <v>4992</v>
      </c>
      <c r="K412" s="31">
        <f>VLOOKUP($B412,'Obras e Acervos'!$B:$X,21,0)</f>
        <v>5.83</v>
      </c>
      <c r="L412" s="31">
        <f t="shared" si="61"/>
        <v>242528</v>
      </c>
      <c r="M412" s="1">
        <v>46087</v>
      </c>
      <c r="N412" s="1">
        <f t="shared" si="60"/>
        <v>46305</v>
      </c>
      <c r="O412">
        <f t="shared" si="62"/>
        <v>219</v>
      </c>
      <c r="P412" s="49">
        <f t="shared" si="58"/>
        <v>7.3</v>
      </c>
      <c r="Q412" s="34">
        <f>VLOOKUP($G412,Agendamento!$B:$F,5,0)</f>
        <v>6</v>
      </c>
      <c r="R412" s="36">
        <f t="shared" si="63"/>
        <v>42</v>
      </c>
      <c r="S412" s="44">
        <v>2.5499999999999998</v>
      </c>
      <c r="T412" s="44">
        <f t="shared" si="64"/>
        <v>23454.899999999998</v>
      </c>
      <c r="U412" t="s">
        <v>5268</v>
      </c>
      <c r="V412" t="str">
        <f t="shared" si="65"/>
        <v>NF/64307205_20260305_nf_02.pdf</v>
      </c>
      <c r="W412" s="32" t="str">
        <f t="shared" si="59"/>
        <v>NF - RIMAS E NÚMEROS</v>
      </c>
      <c r="X412" t="s">
        <v>5591</v>
      </c>
    </row>
    <row r="413" spans="1:24" x14ac:dyDescent="0.25">
      <c r="A413" t="str">
        <f>CONCATENATE(D413,"_",TEXT(M413,"ddmmaaaa"),"_",COUNTIF($D$2:D413,D413))</f>
        <v>063683960001-00_05032026_1</v>
      </c>
      <c r="B413" t="str">
        <f>CONCATENATE(Analise!D413,"_",COUNTIF(Analise!$D$2:D413,Analise!D413)+1)</f>
        <v>063683960001-00_2</v>
      </c>
      <c r="C413" s="34">
        <f>COUNTIF('Obras e Acervos'!$C:$C,CONCATENATE(LEFT(D413,12),RIGHT(D413,2)))</f>
        <v>2</v>
      </c>
      <c r="D413" s="35" t="s">
        <v>4756</v>
      </c>
      <c r="E413" t="str">
        <f>VLOOKUP($B413,'Obras e Acervos'!$B:$X,3,0)</f>
        <v>EDITORA MUNDO JOVEM 2004 LTDA-EDITORA JOVEM</v>
      </c>
      <c r="F413" t="str">
        <f>VLOOKUP($B413,'Obras e Acervos'!$B:$X,7,0)</f>
        <v>0473L23000020LE</v>
      </c>
      <c r="G413" t="str">
        <f>VLOOKUP($B413,'Obras e Acervos'!$B:$X,5,0)</f>
        <v>DE MÃO EM MÃO</v>
      </c>
      <c r="H413">
        <f>VLOOKUP($B413,'Obras e Acervos'!$B:$X,18,0)</f>
        <v>14</v>
      </c>
      <c r="I413">
        <f>VLOOKUP($B413,'Obras e Acervos'!$B:$X,19,0)</f>
        <v>24273</v>
      </c>
      <c r="J413" s="42">
        <f>VLOOKUP($B413,'Obras e Acervos'!$B:$X,20,0)</f>
        <v>3009.8519999999999</v>
      </c>
      <c r="K413" s="31">
        <f>VLOOKUP($B413,'Obras e Acervos'!$B:$X,21,0)</f>
        <v>7.49</v>
      </c>
      <c r="L413" s="31">
        <f t="shared" si="61"/>
        <v>181804.77000000002</v>
      </c>
      <c r="M413" s="1">
        <v>46086</v>
      </c>
      <c r="N413" s="1">
        <f t="shared" si="60"/>
        <v>46305</v>
      </c>
      <c r="O413">
        <f t="shared" si="62"/>
        <v>220</v>
      </c>
      <c r="P413" s="49">
        <f t="shared" si="58"/>
        <v>7.333333333333333</v>
      </c>
      <c r="Q413" s="34">
        <f>VLOOKUP($G413,Agendamento!$B:$F,5,0)</f>
        <v>4</v>
      </c>
      <c r="R413" s="36">
        <f t="shared" si="63"/>
        <v>25</v>
      </c>
      <c r="S413" s="44">
        <v>2.5499999999999998</v>
      </c>
      <c r="T413" s="44">
        <f t="shared" si="64"/>
        <v>14024.999999999998</v>
      </c>
      <c r="U413" t="s">
        <v>5266</v>
      </c>
      <c r="V413" t="str">
        <f t="shared" si="65"/>
        <v>NF/64307205_20260305_nf_03.pdf</v>
      </c>
      <c r="W413" s="32" t="str">
        <f t="shared" si="59"/>
        <v>NF - DE MÃO EM MÃO</v>
      </c>
      <c r="X413" t="s">
        <v>5591</v>
      </c>
    </row>
    <row r="414" spans="1:24" x14ac:dyDescent="0.25">
      <c r="A414" t="str">
        <f>CONCATENATE(D414,"_",TEXT(M414,"ddmmaaaa"),"_",COUNTIF($D$2:D414,D414))</f>
        <v>015662410001-65_05032026_1</v>
      </c>
      <c r="B414" t="str">
        <f>CONCATENATE(Analise!D414,"_",COUNTIF(Analise!$D$2:D414,Analise!D414))</f>
        <v>015662410001-65_1</v>
      </c>
      <c r="C414" s="34">
        <f>COUNTIF('Obras e Acervos'!$C:$C,CONCATENATE(LEFT(D414,12),RIGHT(D414,2)))</f>
        <v>1</v>
      </c>
      <c r="D414" s="35" t="s">
        <v>4757</v>
      </c>
      <c r="E414" t="str">
        <f>VLOOKUP($B414,'Obras e Acervos'!$B:$X,3,0)</f>
        <v>EPP PUBLICAÇÕES E PUBLICIDADE LTDA-CARAMURÊ PUBLICAÇÕES</v>
      </c>
      <c r="F414" t="str">
        <f>VLOOKUP($B414,'Obras e Acervos'!$B:$X,7,0)</f>
        <v>1215L23000030LE</v>
      </c>
      <c r="G414" t="str">
        <f>VLOOKUP($B414,'Obras e Acervos'!$B:$X,5,0)</f>
        <v>VIAGENS E DESCOBRIMENTOS</v>
      </c>
      <c r="H414">
        <f>VLOOKUP($B414,'Obras e Acervos'!$B:$X,18,0)</f>
        <v>3</v>
      </c>
      <c r="I414">
        <f>VLOOKUP($B414,'Obras e Acervos'!$B:$X,19,0)</f>
        <v>47775</v>
      </c>
      <c r="J414" s="42">
        <f>VLOOKUP($B414,'Obras e Acervos'!$B:$X,20,0)</f>
        <v>6210.75</v>
      </c>
      <c r="K414" s="31">
        <f>VLOOKUP($B414,'Obras e Acervos'!$B:$X,21,0)</f>
        <v>5.49</v>
      </c>
      <c r="L414" s="31">
        <f t="shared" si="61"/>
        <v>262284.75</v>
      </c>
      <c r="M414" s="1">
        <v>46086</v>
      </c>
      <c r="N414" s="1">
        <f t="shared" si="60"/>
        <v>46305</v>
      </c>
      <c r="O414">
        <f t="shared" si="62"/>
        <v>220</v>
      </c>
      <c r="P414" s="49">
        <f t="shared" si="58"/>
        <v>7.333333333333333</v>
      </c>
      <c r="Q414" s="34">
        <f>VLOOKUP($G414,Agendamento!$B:$F,5,0)</f>
        <v>7</v>
      </c>
      <c r="R414" s="36">
        <f t="shared" si="63"/>
        <v>48</v>
      </c>
      <c r="S414" s="44">
        <v>2.5499999999999998</v>
      </c>
      <c r="T414" s="44">
        <f t="shared" si="64"/>
        <v>26927.999999999996</v>
      </c>
      <c r="U414" t="s">
        <v>5267</v>
      </c>
      <c r="V414" t="str">
        <f t="shared" si="65"/>
        <v>NF/64307205_20260305_nf_04.pdf</v>
      </c>
      <c r="W414" s="32" t="str">
        <f t="shared" si="59"/>
        <v>NF - VIAGENS E DESCOBRIMENTOS</v>
      </c>
      <c r="X414" t="s">
        <v>5591</v>
      </c>
    </row>
    <row r="415" spans="1:24" x14ac:dyDescent="0.25">
      <c r="A415" t="str">
        <f>CONCATENATE(D415,"_",TEXT(M415,"ddmmaaaa"),"_",COUNTIF($D$2:D415,D415))</f>
        <v>033235830001-80_05032026_1</v>
      </c>
      <c r="B415" t="str">
        <f>CONCATENATE(Analise!D415,"_",COUNTIF(Analise!$D$2:D415,Analise!D415))</f>
        <v>033235830001-80_1</v>
      </c>
      <c r="C415" s="34">
        <f>COUNTIF('Obras e Acervos'!$C:$C,CONCATENATE(LEFT(D415,12),RIGHT(D415,2)))</f>
        <v>1</v>
      </c>
      <c r="D415" s="35" t="s">
        <v>4759</v>
      </c>
      <c r="E415" t="str">
        <f>VLOOKUP($B415,'Obras e Acervos'!$B:$X,3,0)</f>
        <v>EDITORA CAMPOS LTDA ME-VENETA</v>
      </c>
      <c r="F415" t="str">
        <f>VLOOKUP($B415,'Obras e Acervos'!$B:$X,7,0)</f>
        <v>0406L23000020LE</v>
      </c>
      <c r="G415" t="str">
        <f>VLOOKUP($B415,'Obras e Acervos'!$B:$X,5,0)</f>
        <v>RATOLÂNDIA</v>
      </c>
      <c r="H415">
        <f>VLOOKUP($B415,'Obras e Acervos'!$B:$X,18,0)</f>
        <v>15</v>
      </c>
      <c r="I415">
        <f>VLOOKUP($B415,'Obras e Acervos'!$B:$X,19,0)</f>
        <v>33261</v>
      </c>
      <c r="J415" s="42">
        <f>VLOOKUP($B415,'Obras e Acervos'!$B:$X,20,0)</f>
        <v>5321.76</v>
      </c>
      <c r="K415" s="31">
        <f>VLOOKUP($B415,'Obras e Acervos'!$B:$X,21,0)</f>
        <v>6.83</v>
      </c>
      <c r="L415" s="31">
        <f t="shared" si="61"/>
        <v>227172.63</v>
      </c>
      <c r="M415" s="1">
        <v>46086</v>
      </c>
      <c r="N415" s="1">
        <f t="shared" si="60"/>
        <v>46305</v>
      </c>
      <c r="O415">
        <f t="shared" si="62"/>
        <v>220</v>
      </c>
      <c r="P415" s="49">
        <f t="shared" si="58"/>
        <v>7.333333333333333</v>
      </c>
      <c r="Q415" s="34">
        <f>VLOOKUP($G415,Agendamento!$B:$F,5,0)</f>
        <v>5</v>
      </c>
      <c r="R415" s="36">
        <f t="shared" si="63"/>
        <v>34</v>
      </c>
      <c r="S415" s="44">
        <v>2.5499999999999998</v>
      </c>
      <c r="T415" s="44">
        <f t="shared" si="64"/>
        <v>19074</v>
      </c>
      <c r="U415" t="s">
        <v>5270</v>
      </c>
      <c r="V415" t="str">
        <f t="shared" si="65"/>
        <v>NF/64307205_20260305_nf_06.pdf</v>
      </c>
      <c r="W415" s="32" t="str">
        <f t="shared" si="59"/>
        <v>NF - RATOLÂNDIA</v>
      </c>
      <c r="X415" t="s">
        <v>5591</v>
      </c>
    </row>
    <row r="416" spans="1:24" x14ac:dyDescent="0.25">
      <c r="A416" t="str">
        <f>CONCATENATE(D416,"_",TEXT(M416,"ddmmaaaa"),"_",COUNTIF($D$2:D416,D416))</f>
        <v>435906340001-54_05032026_1</v>
      </c>
      <c r="B416" t="str">
        <f>CONCATENATE(Analise!D416,"_",COUNTIF(Analise!$D$2:D416,Analise!D416)+1)</f>
        <v>435906340001-54_2</v>
      </c>
      <c r="C416" s="34">
        <f>COUNTIF('Obras e Acervos'!$C:$C,CONCATENATE(LEFT(D416,12),RIGHT(D416,2)))</f>
        <v>2</v>
      </c>
      <c r="D416" s="35" t="s">
        <v>4761</v>
      </c>
      <c r="E416" t="str">
        <f>VLOOKUP($B416,'Obras e Acervos'!$B:$X,3,0)</f>
        <v>EDITORA GRAFTEN LTDA-GRAFTEN</v>
      </c>
      <c r="F416" t="str">
        <f>VLOOKUP($B416,'Obras e Acervos'!$B:$X,7,0)</f>
        <v>1144L23000020LE</v>
      </c>
      <c r="G416" t="str">
        <f>VLOOKUP($B416,'Obras e Acervos'!$B:$X,5,0)</f>
        <v>ENGOLIDOR DE ESPELHOS</v>
      </c>
      <c r="H416">
        <f>VLOOKUP($B416,'Obras e Acervos'!$B:$X,18,0)</f>
        <v>17</v>
      </c>
      <c r="I416">
        <f>VLOOKUP($B416,'Obras e Acervos'!$B:$X,19,0)</f>
        <v>27050</v>
      </c>
      <c r="J416" s="42">
        <f>VLOOKUP($B416,'Obras e Acervos'!$B:$X,20,0)</f>
        <v>3354.2</v>
      </c>
      <c r="K416" s="31">
        <f>VLOOKUP($B416,'Obras e Acervos'!$B:$X,21,0)</f>
        <v>7.35</v>
      </c>
      <c r="L416" s="31">
        <f t="shared" si="61"/>
        <v>198817.5</v>
      </c>
      <c r="M416" s="1">
        <v>46086</v>
      </c>
      <c r="N416" s="1">
        <f t="shared" si="60"/>
        <v>46305</v>
      </c>
      <c r="O416">
        <f t="shared" si="62"/>
        <v>220</v>
      </c>
      <c r="P416" s="49">
        <f t="shared" si="58"/>
        <v>7.333333333333333</v>
      </c>
      <c r="Q416" s="34">
        <f>VLOOKUP($G416,Agendamento!$B:$F,5,0)</f>
        <v>4</v>
      </c>
      <c r="R416" s="36">
        <f t="shared" si="63"/>
        <v>28</v>
      </c>
      <c r="S416" s="44">
        <v>2.5499999999999998</v>
      </c>
      <c r="T416" s="44">
        <f t="shared" si="64"/>
        <v>15707.999999999998</v>
      </c>
      <c r="U416" t="s">
        <v>5275</v>
      </c>
      <c r="V416" t="str">
        <f t="shared" si="65"/>
        <v>NF/64307205_20260305_nf_07.pdf</v>
      </c>
      <c r="W416" s="32" t="str">
        <f t="shared" si="59"/>
        <v>NF - ENGOLIDOR DE ESPELHOS</v>
      </c>
      <c r="X416" t="s">
        <v>5591</v>
      </c>
    </row>
    <row r="417" spans="1:24" x14ac:dyDescent="0.25">
      <c r="A417" t="str">
        <f>CONCATENATE(D417,"_",TEXT(M417,"ddmmaaaa"),"_",COUNTIF($D$2:D417,D417))</f>
        <v>435971310001-00_05032026_1</v>
      </c>
      <c r="B417" t="str">
        <f>CONCATENATE(Analise!D417,"_",COUNTIF(Analise!$D$2:D417,Analise!D417))</f>
        <v>435971310001-00_1</v>
      </c>
      <c r="C417" s="34">
        <f>COUNTIF('Obras e Acervos'!$C:$C,CONCATENATE(LEFT(D417,12),RIGHT(D417,2)))</f>
        <v>2</v>
      </c>
      <c r="D417" s="35" t="s">
        <v>4765</v>
      </c>
      <c r="E417" t="str">
        <f>VLOOKUP($B417,'Obras e Acervos'!$B:$X,3,0)</f>
        <v>EDITORA BRASIL MODERNO LTDA-BRASIL MODERNO</v>
      </c>
      <c r="F417" t="str">
        <f>VLOOKUP($B417,'Obras e Acervos'!$B:$X,7,0)</f>
        <v>0868L23000030LE</v>
      </c>
      <c r="G417" t="str">
        <f>VLOOKUP($B417,'Obras e Acervos'!$B:$X,5,0)</f>
        <v>DISCÓRDIA</v>
      </c>
      <c r="H417">
        <f>VLOOKUP($B417,'Obras e Acervos'!$B:$X,18,0)</f>
        <v>6</v>
      </c>
      <c r="I417">
        <f>VLOOKUP($B417,'Obras e Acervos'!$B:$X,19,0)</f>
        <v>36492</v>
      </c>
      <c r="J417" s="42">
        <f>VLOOKUP($B417,'Obras e Acervos'!$B:$X,20,0)</f>
        <v>4123.5960000000005</v>
      </c>
      <c r="K417" s="31">
        <f>VLOOKUP($B417,'Obras e Acervos'!$B:$X,21,0)</f>
        <v>6.75</v>
      </c>
      <c r="L417" s="31">
        <f t="shared" si="61"/>
        <v>246321</v>
      </c>
      <c r="M417" s="1">
        <v>46086</v>
      </c>
      <c r="N417" s="1">
        <f t="shared" si="60"/>
        <v>46305</v>
      </c>
      <c r="O417">
        <f t="shared" si="62"/>
        <v>220</v>
      </c>
      <c r="P417" s="49">
        <f t="shared" si="58"/>
        <v>7.333333333333333</v>
      </c>
      <c r="Q417" s="34">
        <f>VLOOKUP($G417,Agendamento!$B:$F,5,0)</f>
        <v>6</v>
      </c>
      <c r="R417" s="36">
        <f t="shared" si="63"/>
        <v>37</v>
      </c>
      <c r="S417" s="44">
        <v>2.5499999999999998</v>
      </c>
      <c r="T417" s="44">
        <f t="shared" si="64"/>
        <v>20757</v>
      </c>
      <c r="U417" t="s">
        <v>5283</v>
      </c>
      <c r="V417" t="str">
        <f t="shared" si="65"/>
        <v>NF/64307205_20260305_nf_08.pdf</v>
      </c>
      <c r="W417" s="32" t="str">
        <f t="shared" si="59"/>
        <v>NF - DISCÓRDIA</v>
      </c>
      <c r="X417" t="s">
        <v>5591</v>
      </c>
    </row>
    <row r="418" spans="1:24" x14ac:dyDescent="0.25">
      <c r="A418" t="str">
        <f>CONCATENATE(D418,"_",TEXT(M418,"ddmmaaaa"),"_",COUNTIF($D$2:D418,D418))</f>
        <v>261601350001-08_05032026_1</v>
      </c>
      <c r="B418" t="str">
        <f>CONCATENATE(Analise!D418,"_",COUNTIF(Analise!$D$2:D418,Analise!D418))</f>
        <v>261601350001-08_1</v>
      </c>
      <c r="C418" s="34">
        <f>COUNTIF('Obras e Acervos'!$C:$C,CONCATENATE(LEFT(D418,12),RIGHT(D418,2)))</f>
        <v>2</v>
      </c>
      <c r="D418" s="35" t="s">
        <v>4762</v>
      </c>
      <c r="E418" t="str">
        <f>VLOOKUP($B418,'Obras e Acervos'!$B:$X,3,0)</f>
        <v>MAZZA EDIÇÕES LTDA-MAZZA EDIÇÕES</v>
      </c>
      <c r="F418" t="str">
        <f>VLOOKUP($B418,'Obras e Acervos'!$B:$X,7,0)</f>
        <v>1267L23000030LE</v>
      </c>
      <c r="G418" t="str">
        <f>VLOOKUP($B418,'Obras e Acervos'!$B:$X,5,0)</f>
        <v>PEQUENAS ALEGRIAS</v>
      </c>
      <c r="H418">
        <f>VLOOKUP($B418,'Obras e Acervos'!$B:$X,18,0)</f>
        <v>8</v>
      </c>
      <c r="I418">
        <f>VLOOKUP($B418,'Obras e Acervos'!$B:$X,19,0)</f>
        <v>33301</v>
      </c>
      <c r="J418" s="42">
        <f>VLOOKUP($B418,'Obras e Acervos'!$B:$X,20,0)</f>
        <v>2331.0700000000002</v>
      </c>
      <c r="K418" s="31">
        <f>VLOOKUP($B418,'Obras e Acervos'!$B:$X,21,0)</f>
        <v>5.51</v>
      </c>
      <c r="L418" s="31">
        <f t="shared" si="61"/>
        <v>183488.50999999998</v>
      </c>
      <c r="M418" s="1">
        <v>46086</v>
      </c>
      <c r="N418" s="1">
        <f t="shared" si="60"/>
        <v>46305</v>
      </c>
      <c r="O418">
        <f t="shared" si="62"/>
        <v>220</v>
      </c>
      <c r="P418" s="49">
        <f t="shared" si="58"/>
        <v>7.333333333333333</v>
      </c>
      <c r="Q418" s="34">
        <f>VLOOKUP($G418,Agendamento!$B:$F,5,0)</f>
        <v>6</v>
      </c>
      <c r="R418" s="36">
        <f t="shared" si="63"/>
        <v>34</v>
      </c>
      <c r="S418" s="44">
        <v>2.5499999999999998</v>
      </c>
      <c r="T418" s="44">
        <f t="shared" si="64"/>
        <v>19074</v>
      </c>
      <c r="U418" t="s">
        <v>5277</v>
      </c>
      <c r="V418" t="str">
        <f t="shared" si="65"/>
        <v>NF/64307205_20260305_nf_09.pdf</v>
      </c>
      <c r="W418" s="32" t="str">
        <f t="shared" si="59"/>
        <v>NF - PEQUENAS ALEGRIAS</v>
      </c>
      <c r="X418" t="s">
        <v>5591</v>
      </c>
    </row>
    <row r="419" spans="1:24" x14ac:dyDescent="0.25">
      <c r="A419" t="str">
        <f>CONCATENATE(D419,"_",TEXT(M419,"ddmmaaaa"),"_",COUNTIF($D$2:D419,D419))</f>
        <v>045219750001-16_05032026_1</v>
      </c>
      <c r="B419" t="str">
        <f>CONCATENATE(Analise!D419,"_",COUNTIF(Analise!$D$2:D419,Analise!D419))</f>
        <v>045219750001-16_1</v>
      </c>
      <c r="C419" s="34">
        <f>COUNTIF('Obras e Acervos'!$C:$C,CONCATENATE(LEFT(D419,12),RIGHT(D419,2)))</f>
        <v>2</v>
      </c>
      <c r="D419" s="35" t="s">
        <v>4764</v>
      </c>
      <c r="E419" t="str">
        <f>VLOOKUP($B419,'Obras e Acervos'!$B:$X,3,0)</f>
        <v>ESTÚDIO CRIADEIRA LTDA ME-CRIADEIRA LIVROS</v>
      </c>
      <c r="F419" t="str">
        <f>VLOOKUP($B419,'Obras e Acervos'!$B:$X,7,0)</f>
        <v>1210L23000030LE</v>
      </c>
      <c r="G419" t="str">
        <f>VLOOKUP($B419,'Obras e Acervos'!$B:$X,5,0)</f>
        <v>DE JOÃO PARA SEIS IRMÃOS</v>
      </c>
      <c r="H419">
        <f>VLOOKUP($B419,'Obras e Acervos'!$B:$X,18,0)</f>
        <v>5</v>
      </c>
      <c r="I419">
        <f>VLOOKUP($B419,'Obras e Acervos'!$B:$X,19,0)</f>
        <v>37862</v>
      </c>
      <c r="J419" s="42">
        <f>VLOOKUP($B419,'Obras e Acervos'!$B:$X,20,0)</f>
        <v>4694.8879999999999</v>
      </c>
      <c r="K419" s="31">
        <f>VLOOKUP($B419,'Obras e Acervos'!$B:$X,21,0)</f>
        <v>6.32</v>
      </c>
      <c r="L419" s="31">
        <f t="shared" si="61"/>
        <v>239287.84</v>
      </c>
      <c r="M419" s="1">
        <v>46086</v>
      </c>
      <c r="N419" s="1">
        <f t="shared" si="60"/>
        <v>46305</v>
      </c>
      <c r="O419">
        <f t="shared" si="62"/>
        <v>220</v>
      </c>
      <c r="P419" s="49">
        <f t="shared" si="58"/>
        <v>7.333333333333333</v>
      </c>
      <c r="Q419" s="34">
        <f>VLOOKUP($G419,Agendamento!$B:$F,5,0)</f>
        <v>6</v>
      </c>
      <c r="R419" s="36">
        <f t="shared" si="63"/>
        <v>38</v>
      </c>
      <c r="S419" s="44">
        <v>2.5499999999999998</v>
      </c>
      <c r="T419" s="44">
        <f t="shared" si="64"/>
        <v>21318</v>
      </c>
      <c r="U419" t="s">
        <v>5282</v>
      </c>
      <c r="V419" t="str">
        <f t="shared" si="65"/>
        <v>NF/64307205_20260305_nf_11.pdf</v>
      </c>
      <c r="W419" s="32" t="str">
        <f t="shared" si="59"/>
        <v>NF - DE JOÃO PARA SEIS IRMÃOS</v>
      </c>
      <c r="X419" t="s">
        <v>5591</v>
      </c>
    </row>
    <row r="420" spans="1:24" x14ac:dyDescent="0.25">
      <c r="A420" t="str">
        <f>CONCATENATE(D420,"_",TEXT(M420,"ddmmaaaa"),"_",COUNTIF($D$2:D420,D420))</f>
        <v>401901090001-53_05032026_2</v>
      </c>
      <c r="B420" t="str">
        <f>CONCATENATE(Analise!D420,"_",COUNTIF(Analise!$D$2:D420,Analise!D420))</f>
        <v>401901090001-53_2</v>
      </c>
      <c r="C420" s="34">
        <f>COUNTIF('Obras e Acervos'!$C:$C,CONCATENATE(LEFT(D420,12),RIGHT(D420,2)))</f>
        <v>2</v>
      </c>
      <c r="D420" s="35" t="s">
        <v>4707</v>
      </c>
      <c r="E420" t="str">
        <f>VLOOKUP($B420,'Obras e Acervos'!$B:$X,3,0)</f>
        <v>EDITORA MAGRELA LTDA-EDITORA MAGRELA</v>
      </c>
      <c r="F420" t="str">
        <f>VLOOKUP($B420,'Obras e Acervos'!$B:$X,7,0)</f>
        <v>0461L23000020LE</v>
      </c>
      <c r="G420" t="str">
        <f>VLOOKUP($B420,'Obras e Acervos'!$B:$X,5,0)</f>
        <v>A MENINA SAPATEIRA</v>
      </c>
      <c r="H420">
        <f>VLOOKUP($B420,'Obras e Acervos'!$B:$X,18,0)</f>
        <v>17</v>
      </c>
      <c r="I420">
        <f>VLOOKUP($B420,'Obras e Acervos'!$B:$X,19,0)</f>
        <v>35095</v>
      </c>
      <c r="J420" s="42">
        <f>VLOOKUP($B420,'Obras e Acervos'!$B:$X,20,0)</f>
        <v>4562.3500000000004</v>
      </c>
      <c r="K420" s="31">
        <f>VLOOKUP($B420,'Obras e Acervos'!$B:$X,21,0)</f>
        <v>6.8</v>
      </c>
      <c r="L420" s="31">
        <f t="shared" si="61"/>
        <v>238646</v>
      </c>
      <c r="M420" s="1">
        <v>46086</v>
      </c>
      <c r="N420" s="1">
        <f t="shared" si="60"/>
        <v>46305</v>
      </c>
      <c r="O420">
        <f t="shared" si="62"/>
        <v>220</v>
      </c>
      <c r="P420" s="49">
        <f t="shared" si="58"/>
        <v>7.333333333333333</v>
      </c>
      <c r="Q420" s="34">
        <f>VLOOKUP($G420,Agendamento!$B:$F,5,0)</f>
        <v>5</v>
      </c>
      <c r="R420" s="36">
        <f t="shared" si="63"/>
        <v>36</v>
      </c>
      <c r="S420" s="44">
        <v>2.5499999999999998</v>
      </c>
      <c r="T420" s="44">
        <f t="shared" si="64"/>
        <v>20196</v>
      </c>
      <c r="U420" t="s">
        <v>5271</v>
      </c>
      <c r="V420" t="str">
        <f t="shared" si="65"/>
        <v>NF/64307205_20260305_nf_12.pdf</v>
      </c>
      <c r="W420" s="32" t="str">
        <f t="shared" si="59"/>
        <v>NF - A MENINA SAPATEIRA</v>
      </c>
      <c r="X420" t="s">
        <v>5591</v>
      </c>
    </row>
    <row r="421" spans="1:24" x14ac:dyDescent="0.25">
      <c r="A421" t="str">
        <f>CONCATENATE(D421,"_",TEXT(M421,"ddmmaaaa"),"_",COUNTIF($D$2:D421,D421))</f>
        <v>146747400001-18_05032026_1</v>
      </c>
      <c r="B421" t="str">
        <f>CONCATENATE(Analise!D421,"_",COUNTIF(Analise!$D$2:D421,Analise!D421)+2)</f>
        <v>146747400001-18_3</v>
      </c>
      <c r="C421" s="34">
        <f>COUNTIF('Obras e Acervos'!$C:$C,CONCATENATE(LEFT(D421,12),RIGHT(D421,2)))</f>
        <v>3</v>
      </c>
      <c r="D421" s="35" t="s">
        <v>4760</v>
      </c>
      <c r="E421" t="str">
        <f>VLOOKUP($B421,'Obras e Acervos'!$B:$X,3,0)</f>
        <v>ALEXANDRE FONSECA EDITOR E LIVREIRO EIRELI-AF EDITOR E LIVREIRO</v>
      </c>
      <c r="F421" t="str">
        <f>VLOOKUP($B421,'Obras e Acervos'!$B:$X,7,0)</f>
        <v>0642L23000020LE</v>
      </c>
      <c r="G421" t="str">
        <f>VLOOKUP($B421,'Obras e Acervos'!$B:$X,5,0)</f>
        <v>O MACACO MALANDRO E OUTRAS PEÇAS</v>
      </c>
      <c r="H421">
        <f>VLOOKUP($B421,'Obras e Acervos'!$B:$X,18,0)</f>
        <v>17</v>
      </c>
      <c r="I421">
        <f>VLOOKUP($B421,'Obras e Acervos'!$B:$X,19,0)</f>
        <v>27898</v>
      </c>
      <c r="J421" s="42">
        <f>VLOOKUP($B421,'Obras e Acervos'!$B:$X,20,0)</f>
        <v>4184.7</v>
      </c>
      <c r="K421" s="31">
        <f>VLOOKUP($B421,'Obras e Acervos'!$B:$X,21,0)</f>
        <v>13.65</v>
      </c>
      <c r="L421" s="31">
        <f t="shared" si="61"/>
        <v>380807.7</v>
      </c>
      <c r="M421" s="1">
        <v>46086</v>
      </c>
      <c r="N421" s="1">
        <f t="shared" si="60"/>
        <v>46305</v>
      </c>
      <c r="O421">
        <f t="shared" si="62"/>
        <v>220</v>
      </c>
      <c r="P421" s="49">
        <f t="shared" si="58"/>
        <v>7.333333333333333</v>
      </c>
      <c r="Q421" s="34">
        <f>VLOOKUP($G421,Agendamento!$B:$F,5,0)</f>
        <v>9</v>
      </c>
      <c r="R421" s="36">
        <f t="shared" si="63"/>
        <v>28</v>
      </c>
      <c r="S421" s="44">
        <v>2.5499999999999998</v>
      </c>
      <c r="T421" s="44">
        <f t="shared" si="64"/>
        <v>15707.999999999998</v>
      </c>
      <c r="U421" t="s">
        <v>5284</v>
      </c>
      <c r="V421" t="str">
        <f t="shared" si="65"/>
        <v>NF/64307205_20260305_nf_13.pdf</v>
      </c>
      <c r="W421" s="32" t="str">
        <f t="shared" si="59"/>
        <v>NF - O MACACO MALANDRO E OUTRAS PEÇAS</v>
      </c>
      <c r="X421" t="s">
        <v>5591</v>
      </c>
    </row>
    <row r="422" spans="1:24" x14ac:dyDescent="0.25">
      <c r="A422" t="str">
        <f>CONCATENATE(D422,"_",TEXT(M422,"ddmmaaaa"),"_",COUNTIF($D$2:D422,D422))</f>
        <v>146747400001-18_05032026_2</v>
      </c>
      <c r="B422" t="str">
        <f>CONCATENATE(Analise!D422,"_",COUNTIF(Analise!$D$2:D422,Analise!D422))</f>
        <v>146747400001-18_2</v>
      </c>
      <c r="C422" s="34">
        <f>COUNTIF('Obras e Acervos'!$C:$C,CONCATENATE(LEFT(D422,12),RIGHT(D422,2)))</f>
        <v>3</v>
      </c>
      <c r="D422" s="35" t="s">
        <v>4760</v>
      </c>
      <c r="E422" t="str">
        <f>VLOOKUP($B422,'Obras e Acervos'!$B:$X,3,0)</f>
        <v>A MÁQUINA DE IDEIAS DESIGN GRÁFICO E DE OBJETOS S/S LTDA-A MÁQUINA DE IDEIAS</v>
      </c>
      <c r="F422" t="str">
        <f>VLOOKUP($B422,'Obras e Acervos'!$B:$X,7,0)</f>
        <v>0457L23000020LE</v>
      </c>
      <c r="G422" t="str">
        <f>VLOOKUP($B422,'Obras e Acervos'!$B:$X,5,0)</f>
        <v>A CIDADE DOS ARTESÃOS</v>
      </c>
      <c r="H422">
        <f>VLOOKUP($B422,'Obras e Acervos'!$B:$X,18,0)</f>
        <v>16</v>
      </c>
      <c r="I422">
        <f>VLOOKUP($B422,'Obras e Acervos'!$B:$X,19,0)</f>
        <v>33591</v>
      </c>
      <c r="J422" s="42">
        <f>VLOOKUP($B422,'Obras e Acervos'!$B:$X,20,0)</f>
        <v>4702.7400000000007</v>
      </c>
      <c r="K422" s="31">
        <f>VLOOKUP($B422,'Obras e Acervos'!$B:$X,21,0)</f>
        <v>12.15</v>
      </c>
      <c r="L422" s="31">
        <f t="shared" si="61"/>
        <v>408130.65</v>
      </c>
      <c r="M422" s="1">
        <v>46086</v>
      </c>
      <c r="N422" s="1">
        <f t="shared" si="60"/>
        <v>46305</v>
      </c>
      <c r="O422">
        <f t="shared" si="62"/>
        <v>220</v>
      </c>
      <c r="P422" s="49">
        <f t="shared" si="58"/>
        <v>7.333333333333333</v>
      </c>
      <c r="Q422" s="34">
        <f>VLOOKUP($G422,Agendamento!$B:$F,5,0)</f>
        <v>10</v>
      </c>
      <c r="R422" s="36">
        <f t="shared" si="63"/>
        <v>34</v>
      </c>
      <c r="S422" s="44">
        <v>2.5499999999999998</v>
      </c>
      <c r="T422" s="44">
        <f t="shared" si="64"/>
        <v>19074</v>
      </c>
      <c r="U422" t="s">
        <v>5273</v>
      </c>
      <c r="V422" t="str">
        <f t="shared" si="65"/>
        <v>NF/64307205_20260305_nf_15.pdf</v>
      </c>
      <c r="W422" s="32" t="str">
        <f t="shared" si="59"/>
        <v>NF - A CIDADE DOS ARTESÃOS</v>
      </c>
      <c r="X422" t="s">
        <v>5591</v>
      </c>
    </row>
    <row r="423" spans="1:24" x14ac:dyDescent="0.25">
      <c r="A423" t="str">
        <f>CONCATENATE(D423,"_",TEXT(M423,"ddmmaaaa"),"_",COUNTIF($D$2:D423,D423))</f>
        <v>146747400001-18_05032026_3</v>
      </c>
      <c r="B423" t="str">
        <f>CONCATENATE(Analise!D423,"_",COUNTIF(Analise!$D$2:D423,Analise!D423)-2)</f>
        <v>146747400001-18_1</v>
      </c>
      <c r="C423" s="34">
        <f>COUNTIF('Obras e Acervos'!$C:$C,CONCATENATE(LEFT(D423,12),RIGHT(D423,2)))</f>
        <v>3</v>
      </c>
      <c r="D423" s="35" t="s">
        <v>4760</v>
      </c>
      <c r="E423" t="str">
        <f>VLOOKUP($B423,'Obras e Acervos'!$B:$X,3,0)</f>
        <v>EDITORA PERSPECTIVA LTDA-EDITORA PERSPECTIVA</v>
      </c>
      <c r="F423" t="str">
        <f>VLOOKUP($B423,'Obras e Acervos'!$B:$X,7,0)</f>
        <v>0351L23000020LE</v>
      </c>
      <c r="G423" t="str">
        <f>VLOOKUP($B423,'Obras e Acervos'!$B:$X,5,0)</f>
        <v>QUERO A LUA E OUTRAS PEÇAS</v>
      </c>
      <c r="H423">
        <f>VLOOKUP($B423,'Obras e Acervos'!$B:$X,18,0)</f>
        <v>12</v>
      </c>
      <c r="I423">
        <f>VLOOKUP($B423,'Obras e Acervos'!$B:$X,19,0)</f>
        <v>30009</v>
      </c>
      <c r="J423" s="42">
        <f>VLOOKUP($B423,'Obras e Acervos'!$B:$X,20,0)</f>
        <v>5101.5300000000007</v>
      </c>
      <c r="K423" s="31">
        <f>VLOOKUP($B423,'Obras e Acervos'!$B:$X,21,0)</f>
        <v>15.52</v>
      </c>
      <c r="L423" s="31">
        <f t="shared" si="61"/>
        <v>465739.68</v>
      </c>
      <c r="M423" s="1">
        <v>46086</v>
      </c>
      <c r="N423" s="1">
        <f t="shared" si="60"/>
        <v>46305</v>
      </c>
      <c r="O423">
        <f t="shared" si="62"/>
        <v>220</v>
      </c>
      <c r="P423" s="49">
        <f t="shared" si="58"/>
        <v>7.333333333333333</v>
      </c>
      <c r="Q423" s="34">
        <f>VLOOKUP($G423,Agendamento!$B:$F,5,0)</f>
        <v>9</v>
      </c>
      <c r="R423" s="36">
        <f t="shared" si="63"/>
        <v>31</v>
      </c>
      <c r="S423" s="44">
        <v>2.5499999999999998</v>
      </c>
      <c r="T423" s="44">
        <f t="shared" si="64"/>
        <v>17391</v>
      </c>
      <c r="U423" t="s">
        <v>5274</v>
      </c>
      <c r="V423" t="str">
        <f t="shared" si="65"/>
        <v>NF/64307205_20260305_nf_17.pdf</v>
      </c>
      <c r="W423" s="32" t="str">
        <f t="shared" si="59"/>
        <v>NF - QUERO A LUA E OUTRAS PEÇAS</v>
      </c>
      <c r="X423" t="s">
        <v>5591</v>
      </c>
    </row>
    <row r="424" spans="1:24" x14ac:dyDescent="0.25">
      <c r="A424" t="str">
        <f>CONCATENATE(D424,"_",TEXT(M424,"ddmmaaaa"),"_",COUNTIF($D$2:D424,D424))</f>
        <v>380155110001-50_05032026_1</v>
      </c>
      <c r="B424" t="str">
        <f>CONCATENATE(Analise!D424,"_",COUNTIF(Analise!$D$2:D424,Analise!D424)+1)</f>
        <v>380155110001-50_2</v>
      </c>
      <c r="C424" s="34">
        <f>COUNTIF('Obras e Acervos'!$C:$C,CONCATENATE(LEFT(D424,12),RIGHT(D424,2)))</f>
        <v>2</v>
      </c>
      <c r="D424" s="35" t="s">
        <v>4758</v>
      </c>
      <c r="E424" t="str">
        <f>VLOOKUP($B424,'Obras e Acervos'!$B:$X,3,0)</f>
        <v>TROIA EDITORA E DISTRIBUIDORA LTDA-TROIA EDITORA</v>
      </c>
      <c r="F424" t="str">
        <f>VLOOKUP($B424,'Obras e Acervos'!$B:$X,7,0)</f>
        <v>0518L23000020LE</v>
      </c>
      <c r="G424" t="str">
        <f>VLOOKUP($B424,'Obras e Acervos'!$B:$X,5,0)</f>
        <v>LAÇOS DE VIRTUDES</v>
      </c>
      <c r="H424">
        <f>VLOOKUP($B424,'Obras e Acervos'!$B:$X,18,0)</f>
        <v>11</v>
      </c>
      <c r="I424">
        <f>VLOOKUP($B424,'Obras e Acervos'!$B:$X,19,0)</f>
        <v>41361</v>
      </c>
      <c r="J424" s="42">
        <f>VLOOKUP($B424,'Obras e Acervos'!$B:$X,20,0)</f>
        <v>7858.59</v>
      </c>
      <c r="K424" s="31">
        <f>VLOOKUP($B424,'Obras e Acervos'!$B:$X,21,0)</f>
        <v>10.43</v>
      </c>
      <c r="L424" s="31">
        <f t="shared" si="61"/>
        <v>431395.23</v>
      </c>
      <c r="M424" s="1">
        <v>46086</v>
      </c>
      <c r="N424" s="1">
        <f t="shared" si="60"/>
        <v>46305</v>
      </c>
      <c r="O424">
        <f t="shared" si="62"/>
        <v>220</v>
      </c>
      <c r="P424" s="49">
        <f t="shared" si="58"/>
        <v>7.333333333333333</v>
      </c>
      <c r="Q424" s="34">
        <f>VLOOKUP($G424,Agendamento!$B:$F,5,0)</f>
        <v>7</v>
      </c>
      <c r="R424" s="36">
        <f t="shared" si="63"/>
        <v>42</v>
      </c>
      <c r="S424" s="44">
        <v>2.5499999999999998</v>
      </c>
      <c r="T424" s="44">
        <f t="shared" si="64"/>
        <v>23562</v>
      </c>
      <c r="U424" t="s">
        <v>5269</v>
      </c>
      <c r="V424" t="str">
        <f t="shared" si="65"/>
        <v>NF/64307205_20260305_nf_19.pdf</v>
      </c>
      <c r="W424" s="32" t="str">
        <f t="shared" si="59"/>
        <v>NF - LAÇOS DE VIRTUDES</v>
      </c>
      <c r="X424" t="s">
        <v>5591</v>
      </c>
    </row>
    <row r="425" spans="1:24" x14ac:dyDescent="0.25">
      <c r="A425" t="str">
        <f>CONCATENATE(D425,"_",TEXT(M425,"ddmmaaaa"),"_",COUNTIF($D$2:D425,D425))</f>
        <v>115043840001-04_06032026_1</v>
      </c>
      <c r="B425" t="str">
        <f>CONCATENATE(Analise!D425,"_",COUNTIF(Analise!$D$2:D425,Analise!D425))</f>
        <v>115043840001-04_1</v>
      </c>
      <c r="C425" s="34">
        <f>COUNTIF('Obras e Acervos'!$C:$C,CONCATENATE(LEFT(D425,12),RIGHT(D425,2)))</f>
        <v>1</v>
      </c>
      <c r="D425" t="s">
        <v>5761</v>
      </c>
      <c r="E425" t="str">
        <f>VLOOKUP($B425,'Obras e Acervos'!$B:$X,3,0)</f>
        <v>EDITORA VIAJANTE DO TEMPO LTDA-VIAJANTE DO TEMPO</v>
      </c>
      <c r="F425" t="str">
        <f>VLOOKUP($B425,'Obras e Acervos'!$B:$X,7,0)</f>
        <v>1298L23000030LE</v>
      </c>
      <c r="G425" t="str">
        <f>VLOOKUP($B425,'Obras e Acervos'!$B:$X,5,0)</f>
        <v>SABÁ E A PLANTA MÁGICA</v>
      </c>
      <c r="H425">
        <f>VLOOKUP($B425,'Obras e Acervos'!$B:$X,18,0)</f>
        <v>9</v>
      </c>
      <c r="I425">
        <f>VLOOKUP($B425,'Obras e Acervos'!$B:$X,19,0)</f>
        <v>33628</v>
      </c>
      <c r="J425" s="42">
        <f>VLOOKUP($B425,'Obras e Acervos'!$B:$X,20,0)</f>
        <v>4035.3599999999997</v>
      </c>
      <c r="K425" s="31">
        <f>VLOOKUP($B425,'Obras e Acervos'!$B:$X,21,0)</f>
        <v>6.45</v>
      </c>
      <c r="L425" s="31">
        <f t="shared" si="61"/>
        <v>216900.6</v>
      </c>
      <c r="M425" s="1">
        <v>46087</v>
      </c>
      <c r="N425" s="1">
        <f t="shared" si="60"/>
        <v>46305</v>
      </c>
      <c r="O425">
        <f t="shared" si="62"/>
        <v>219</v>
      </c>
      <c r="P425" s="49">
        <f t="shared" si="58"/>
        <v>7.3</v>
      </c>
      <c r="Q425" s="34">
        <f>VLOOKUP($G425,Agendamento!$B:$F,5,0)</f>
        <v>5</v>
      </c>
      <c r="R425" s="36">
        <f t="shared" si="63"/>
        <v>34</v>
      </c>
      <c r="S425" s="44">
        <v>2.5499999999999998</v>
      </c>
      <c r="T425" s="44">
        <f t="shared" si="64"/>
        <v>18987.3</v>
      </c>
      <c r="U425" t="s">
        <v>5280</v>
      </c>
      <c r="V425" t="str">
        <f t="shared" si="65"/>
        <v>NF/64307205_20260305_nf_21.pdf</v>
      </c>
      <c r="W425" s="32" t="str">
        <f t="shared" si="59"/>
        <v>NF - SABÁ E A PLANTA MÁGICA</v>
      </c>
      <c r="X425" t="s">
        <v>5591</v>
      </c>
    </row>
    <row r="426" spans="1:24" x14ac:dyDescent="0.25">
      <c r="A426" t="str">
        <f>CONCATENATE(D426,"_",TEXT(M426,"ddmmaaaa"),"_",COUNTIF($D$2:D426,D426))</f>
        <v>380622820001-24_05032026_1</v>
      </c>
      <c r="B426" t="str">
        <f>CONCATENATE(Analise!D426,"_",COUNTIF(Analise!$D$2:D426,Analise!D426))</f>
        <v>380622820001-24_1</v>
      </c>
      <c r="C426" s="34">
        <f>COUNTIF('Obras e Acervos'!$C:$C,CONCATENATE(LEFT(D426,12),RIGHT(D426,2)))</f>
        <v>2</v>
      </c>
      <c r="D426" s="35" t="s">
        <v>4763</v>
      </c>
      <c r="E426" t="str">
        <f>VLOOKUP($B426,'Obras e Acervos'!$B:$X,3,0)</f>
        <v>ZUM ZUM EDITORA LTDA-ZUM ZUM</v>
      </c>
      <c r="F426" t="str">
        <f>VLOOKUP($B426,'Obras e Acervos'!$B:$X,7,0)</f>
        <v>1136L23000030LE</v>
      </c>
      <c r="G426" t="str">
        <f>VLOOKUP($B426,'Obras e Acervos'!$B:$X,5,0)</f>
        <v>ESCOLA DE PRINCESAS RECATADAS</v>
      </c>
      <c r="H426">
        <f>VLOOKUP($B426,'Obras e Acervos'!$B:$X,18,0)</f>
        <v>1</v>
      </c>
      <c r="I426">
        <f>VLOOKUP($B426,'Obras e Acervos'!$B:$X,19,0)</f>
        <v>62397</v>
      </c>
      <c r="J426" s="42">
        <f>VLOOKUP($B426,'Obras e Acervos'!$B:$X,20,0)</f>
        <v>7487.6399999999994</v>
      </c>
      <c r="K426" s="31">
        <f>VLOOKUP($B426,'Obras e Acervos'!$B:$X,21,0)</f>
        <v>5.23</v>
      </c>
      <c r="L426" s="31">
        <f t="shared" si="61"/>
        <v>326336.31</v>
      </c>
      <c r="M426" s="1">
        <v>46086</v>
      </c>
      <c r="N426" s="1">
        <f t="shared" si="60"/>
        <v>46305</v>
      </c>
      <c r="O426">
        <f t="shared" si="62"/>
        <v>220</v>
      </c>
      <c r="P426" s="49">
        <f t="shared" si="58"/>
        <v>7.333333333333333</v>
      </c>
      <c r="Q426" s="34">
        <f>VLOOKUP($G426,Agendamento!$B:$F,5,0)</f>
        <v>9</v>
      </c>
      <c r="R426" s="36">
        <f t="shared" si="63"/>
        <v>63</v>
      </c>
      <c r="S426" s="44">
        <v>2.5499999999999998</v>
      </c>
      <c r="T426" s="44">
        <f t="shared" si="64"/>
        <v>35343</v>
      </c>
      <c r="U426" t="s">
        <v>5281</v>
      </c>
      <c r="V426" t="str">
        <f t="shared" si="65"/>
        <v>NF/64307205_20260305_nf_22.pdf</v>
      </c>
      <c r="W426" s="32" t="str">
        <f t="shared" si="59"/>
        <v>NF - ESCOLA DE PRINCESAS RECATADAS</v>
      </c>
      <c r="X426" t="s">
        <v>5591</v>
      </c>
    </row>
    <row r="427" spans="1:24" x14ac:dyDescent="0.25">
      <c r="A427" t="str">
        <f>CONCATENATE(D427,"_",TEXT(M427,"ddmmaaaa"),"_",COUNTIF($D$2:D427,D427))</f>
        <v>417695750001-50_05032026_2</v>
      </c>
      <c r="B427" t="str">
        <f>CONCATENATE(Analise!D427,"_",COUNTIF(Analise!$D$2:D427,Analise!D427)-1)</f>
        <v>417695750001-50_1</v>
      </c>
      <c r="C427" s="34">
        <f>COUNTIF('Obras e Acervos'!$C:$C,CONCATENATE(LEFT(D427,12),RIGHT(D427,2)))</f>
        <v>2</v>
      </c>
      <c r="D427" s="35" t="s">
        <v>4746</v>
      </c>
      <c r="E427" t="str">
        <f>VLOOKUP($B427,'Obras e Acervos'!$B:$X,3,0)</f>
        <v>ABACATEIRO EDIÇÕES LTDA-A SEMENTE</v>
      </c>
      <c r="F427" t="str">
        <f>VLOOKUP($B427,'Obras e Acervos'!$B:$X,7,0)</f>
        <v>1031L23000030LE</v>
      </c>
      <c r="G427" t="str">
        <f>VLOOKUP($B427,'Obras e Acervos'!$B:$X,5,0)</f>
        <v>O MENINO E A FLOR</v>
      </c>
      <c r="H427">
        <f>VLOOKUP($B427,'Obras e Acervos'!$B:$X,18,0)</f>
        <v>10</v>
      </c>
      <c r="I427">
        <f>VLOOKUP($B427,'Obras e Acervos'!$B:$X,19,0)</f>
        <v>33116</v>
      </c>
      <c r="J427" s="42">
        <f>VLOOKUP($B427,'Obras e Acervos'!$B:$X,20,0)</f>
        <v>3477.18</v>
      </c>
      <c r="K427" s="31">
        <f>VLOOKUP($B427,'Obras e Acervos'!$B:$X,21,0)</f>
        <v>6.4</v>
      </c>
      <c r="L427" s="31">
        <f t="shared" si="61"/>
        <v>211942.40000000002</v>
      </c>
      <c r="M427" s="1">
        <v>46086</v>
      </c>
      <c r="N427" s="1">
        <f t="shared" si="60"/>
        <v>46305</v>
      </c>
      <c r="O427">
        <f t="shared" si="62"/>
        <v>220</v>
      </c>
      <c r="P427" s="49">
        <f t="shared" ref="P427:P490" si="66">O427/30</f>
        <v>7.333333333333333</v>
      </c>
      <c r="Q427" s="34">
        <f>VLOOKUP($G427,Agendamento!$B:$F,5,0)</f>
        <v>5</v>
      </c>
      <c r="R427" s="36">
        <f t="shared" si="63"/>
        <v>34</v>
      </c>
      <c r="S427" s="44">
        <v>2.5499999999999998</v>
      </c>
      <c r="T427" s="44">
        <f t="shared" si="64"/>
        <v>19074</v>
      </c>
      <c r="U427" t="s">
        <v>5276</v>
      </c>
      <c r="V427" t="str">
        <f t="shared" si="65"/>
        <v>NF/64307205_20260305_nf_23.pdf</v>
      </c>
      <c r="W427" s="32" t="str">
        <f t="shared" ref="W427:W490" si="67">HYPERLINK(CONCATENATE("saida/",U427),CONCATENATE("NF - ",G427))</f>
        <v>NF - O MENINO E A FLOR</v>
      </c>
      <c r="X427" t="s">
        <v>5591</v>
      </c>
    </row>
    <row r="428" spans="1:24" x14ac:dyDescent="0.25">
      <c r="A428" t="str">
        <f>CONCATENATE(D428,"_",TEXT(M428,"ddmmaaaa"),"_",COUNTIF($D$2:D428,D428))</f>
        <v>435976880001-41_06032026_2</v>
      </c>
      <c r="B428" t="str">
        <f>CONCATENATE(Analise!D428,"_",COUNTIF(Analise!$D$2:D428,Analise!D428)-1)</f>
        <v>435976880001-41_1</v>
      </c>
      <c r="C428" s="34">
        <f>COUNTIF('Obras e Acervos'!$C:$C,CONCATENATE(LEFT(D428,12),RIGHT(D428,2)))</f>
        <v>2</v>
      </c>
      <c r="D428" s="35" t="s">
        <v>4592</v>
      </c>
      <c r="E428" t="str">
        <f>VLOOKUP($B428,'Obras e Acervos'!$B:$X,3,0)</f>
        <v>EDITORA OFICINA DO SABER LTDA-OFICINA DO SABER</v>
      </c>
      <c r="F428" t="str">
        <f>VLOOKUP($B428,'Obras e Acervos'!$B:$X,7,0)</f>
        <v>1013L23000030LE</v>
      </c>
      <c r="G428" t="str">
        <f>VLOOKUP($B428,'Obras e Acervos'!$B:$X,5,0)</f>
        <v>O GATO LÁ NO ALTO!</v>
      </c>
      <c r="H428">
        <f>VLOOKUP($B428,'Obras e Acervos'!$B:$X,18,0)</f>
        <v>6</v>
      </c>
      <c r="I428">
        <f>VLOOKUP($B428,'Obras e Acervos'!$B:$X,19,0)</f>
        <v>36659</v>
      </c>
      <c r="J428" s="42">
        <f>VLOOKUP($B428,'Obras e Acervos'!$B:$X,20,0)</f>
        <v>4545.7160000000003</v>
      </c>
      <c r="K428" s="31">
        <f>VLOOKUP($B428,'Obras e Acervos'!$B:$X,21,0)</f>
        <v>6.75</v>
      </c>
      <c r="L428" s="31">
        <f t="shared" si="61"/>
        <v>247448.25</v>
      </c>
      <c r="M428" s="1">
        <v>46087</v>
      </c>
      <c r="N428" s="1">
        <f t="shared" si="60"/>
        <v>46305</v>
      </c>
      <c r="O428">
        <f t="shared" si="62"/>
        <v>219</v>
      </c>
      <c r="P428" s="49">
        <f t="shared" si="66"/>
        <v>7.3</v>
      </c>
      <c r="Q428" s="34">
        <f>VLOOKUP($G428,Agendamento!$B:$F,5,0)</f>
        <v>6</v>
      </c>
      <c r="R428" s="36">
        <f t="shared" si="63"/>
        <v>37</v>
      </c>
      <c r="S428" s="44">
        <v>2.5499999999999998</v>
      </c>
      <c r="T428" s="44">
        <f t="shared" si="64"/>
        <v>20662.649999999998</v>
      </c>
      <c r="U428" t="s">
        <v>5287</v>
      </c>
      <c r="V428" t="str">
        <f t="shared" si="65"/>
        <v>NF/64307304_20260306_nf_01.pdf</v>
      </c>
      <c r="W428" s="32" t="str">
        <f t="shared" si="67"/>
        <v>NF - O GATO LÁ NO ALTO!</v>
      </c>
      <c r="X428" t="s">
        <v>5591</v>
      </c>
    </row>
    <row r="429" spans="1:24" x14ac:dyDescent="0.25">
      <c r="A429" t="str">
        <f>CONCATENATE(D429,"_",TEXT(M429,"ddmmaaaa"),"_",COUNTIF($D$2:D429,D429))</f>
        <v>436808120001-38_06032026_2</v>
      </c>
      <c r="B429" t="str">
        <f>CONCATENATE(Analise!D429,"_",COUNTIF(Analise!$D$2:D429,Analise!D429)-1)</f>
        <v>436808120001-38_1</v>
      </c>
      <c r="C429" s="34">
        <f>COUNTIF('Obras e Acervos'!$C:$C,CONCATENATE(LEFT(D429,12),RIGHT(D429,2)))</f>
        <v>2</v>
      </c>
      <c r="D429" s="35" t="s">
        <v>4704</v>
      </c>
      <c r="E429" t="str">
        <f>VLOOKUP($B429,'Obras e Acervos'!$B:$X,3,0)</f>
        <v>SABIDURÍA EDITORA LTDA-SABIDURÍA</v>
      </c>
      <c r="F429" t="str">
        <f>VLOOKUP($B429,'Obras e Acervos'!$B:$X,7,0)</f>
        <v>0937L23000030LE</v>
      </c>
      <c r="G429" t="str">
        <f>VLOOKUP($B429,'Obras e Acervos'!$B:$X,5,0)</f>
        <v>RODOPIANDO POESIA</v>
      </c>
      <c r="H429">
        <f>VLOOKUP($B429,'Obras e Acervos'!$B:$X,18,0)</f>
        <v>5</v>
      </c>
      <c r="I429">
        <f>VLOOKUP($B429,'Obras e Acervos'!$B:$X,19,0)</f>
        <v>38483</v>
      </c>
      <c r="J429" s="42">
        <f>VLOOKUP($B429,'Obras e Acervos'!$B:$X,20,0)</f>
        <v>4040.7149999999997</v>
      </c>
      <c r="K429" s="31">
        <f>VLOOKUP($B429,'Obras e Acervos'!$B:$X,21,0)</f>
        <v>5.48</v>
      </c>
      <c r="L429" s="31">
        <f t="shared" si="61"/>
        <v>210886.84000000003</v>
      </c>
      <c r="M429" s="1">
        <v>46087</v>
      </c>
      <c r="N429" s="1">
        <f t="shared" si="60"/>
        <v>46305</v>
      </c>
      <c r="O429">
        <f t="shared" si="62"/>
        <v>219</v>
      </c>
      <c r="P429" s="49">
        <f t="shared" si="66"/>
        <v>7.3</v>
      </c>
      <c r="Q429" s="34">
        <f>VLOOKUP($G429,Agendamento!$B:$F,5,0)</f>
        <v>5</v>
      </c>
      <c r="R429" s="36">
        <f t="shared" si="63"/>
        <v>39</v>
      </c>
      <c r="S429" s="44">
        <v>2.5499999999999998</v>
      </c>
      <c r="T429" s="44">
        <f t="shared" si="64"/>
        <v>21779.55</v>
      </c>
      <c r="U429" t="s">
        <v>5291</v>
      </c>
      <c r="V429" t="str">
        <f t="shared" si="65"/>
        <v>NF/64307304_20260306_nf_02.pdf</v>
      </c>
      <c r="W429" s="32" t="str">
        <f t="shared" si="67"/>
        <v>NF - RODOPIANDO POESIA</v>
      </c>
      <c r="X429" t="s">
        <v>5591</v>
      </c>
    </row>
    <row r="430" spans="1:24" x14ac:dyDescent="0.25">
      <c r="A430" t="str">
        <f>CONCATENATE(D430,"_",TEXT(M430,"ddmmaaaa"),"_",COUNTIF($D$2:D430,D430))</f>
        <v>029760330001-05_06032026_1</v>
      </c>
      <c r="B430" t="str">
        <f>CONCATENATE(Analise!D430,"_",COUNTIF(Analise!$D$2:D430,Analise!D430))</f>
        <v>029760330001-05_1</v>
      </c>
      <c r="C430" s="34">
        <f>COUNTIF('Obras e Acervos'!$C:$C,CONCATENATE(LEFT(D430,12),RIGHT(D430,2)))</f>
        <v>2</v>
      </c>
      <c r="D430" s="35" t="s">
        <v>4766</v>
      </c>
      <c r="E430" t="str">
        <f>VLOOKUP($B430,'Obras e Acervos'!$B:$X,3,0)</f>
        <v>CARRION CARRACEDO LTDA - EPP-ENTRELINHAS EDITORA</v>
      </c>
      <c r="F430" t="str">
        <f>VLOOKUP($B430,'Obras e Acervos'!$B:$X,7,0)</f>
        <v>1118L23000030LE</v>
      </c>
      <c r="G430" t="str">
        <f>VLOOKUP($B430,'Obras e Acervos'!$B:$X,5,0)</f>
        <v>A MAMÃE DAS CAVERNAS E A MAMÃE LOBA</v>
      </c>
      <c r="H430">
        <f>VLOOKUP($B430,'Obras e Acervos'!$B:$X,18,0)</f>
        <v>6</v>
      </c>
      <c r="I430">
        <f>VLOOKUP($B430,'Obras e Acervos'!$B:$X,19,0)</f>
        <v>37856</v>
      </c>
      <c r="J430" s="42">
        <f>VLOOKUP($B430,'Obras e Acervos'!$B:$X,20,0)</f>
        <v>6549.0879999999997</v>
      </c>
      <c r="K430" s="31">
        <f>VLOOKUP($B430,'Obras e Acervos'!$B:$X,21,0)</f>
        <v>8.83</v>
      </c>
      <c r="L430" s="31">
        <f t="shared" si="61"/>
        <v>334268.48</v>
      </c>
      <c r="M430" s="1">
        <v>46087</v>
      </c>
      <c r="N430" s="1">
        <f t="shared" si="60"/>
        <v>46305</v>
      </c>
      <c r="O430">
        <f t="shared" si="62"/>
        <v>219</v>
      </c>
      <c r="P430" s="49">
        <f t="shared" si="66"/>
        <v>7.3</v>
      </c>
      <c r="Q430" s="34">
        <f>VLOOKUP($G430,Agendamento!$B:$F,5,0)</f>
        <v>9</v>
      </c>
      <c r="R430" s="36">
        <f t="shared" si="63"/>
        <v>38</v>
      </c>
      <c r="S430" s="44">
        <v>2.5499999999999998</v>
      </c>
      <c r="T430" s="44">
        <f t="shared" si="64"/>
        <v>21221.1</v>
      </c>
      <c r="U430" t="s">
        <v>5286</v>
      </c>
      <c r="V430" t="str">
        <f t="shared" si="65"/>
        <v>NF/64307304_20260306_nf_03.pdf</v>
      </c>
      <c r="W430" s="32" t="str">
        <f t="shared" si="67"/>
        <v>NF - A MAMÃE DAS CAVERNAS E A MAMÃE LOBA</v>
      </c>
      <c r="X430" t="s">
        <v>5591</v>
      </c>
    </row>
    <row r="431" spans="1:24" x14ac:dyDescent="0.25">
      <c r="A431" t="str">
        <f>CONCATENATE(D431,"_",TEXT(M431,"ddmmaaaa"),"_",COUNTIF($D$2:D431,D431))</f>
        <v>063683960001-00_06032026_2</v>
      </c>
      <c r="B431" t="str">
        <f>CONCATENATE(Analise!D431,"_",COUNTIF(Analise!$D$2:D431,Analise!D431)-1)</f>
        <v>063683960001-00_1</v>
      </c>
      <c r="C431" s="34">
        <f>COUNTIF('Obras e Acervos'!$C:$C,CONCATENATE(LEFT(D431,12),RIGHT(D431,2)))</f>
        <v>2</v>
      </c>
      <c r="D431" s="35" t="s">
        <v>4756</v>
      </c>
      <c r="E431" t="str">
        <f>VLOOKUP($B431,'Obras e Acervos'!$B:$X,3,0)</f>
        <v>EDITORA MUNDO JOVEM 2004 LTDA-EDITORA JOVEM</v>
      </c>
      <c r="F431" t="str">
        <f>VLOOKUP($B431,'Obras e Acervos'!$B:$X,7,0)</f>
        <v>0472L23000030LE</v>
      </c>
      <c r="G431" t="str">
        <f>VLOOKUP($B431,'Obras e Acervos'!$B:$X,5,0)</f>
        <v>O GIGANTE VAIDOSO</v>
      </c>
      <c r="H431">
        <f>VLOOKUP($B431,'Obras e Acervos'!$B:$X,18,0)</f>
        <v>4</v>
      </c>
      <c r="I431">
        <f>VLOOKUP($B431,'Obras e Acervos'!$B:$X,19,0)</f>
        <v>40217</v>
      </c>
      <c r="J431" s="42">
        <f>VLOOKUP($B431,'Obras e Acervos'!$B:$X,20,0)</f>
        <v>4986.9080000000004</v>
      </c>
      <c r="K431" s="31">
        <f>VLOOKUP($B431,'Obras e Acervos'!$B:$X,21,0)</f>
        <v>6.27</v>
      </c>
      <c r="L431" s="31">
        <f t="shared" si="61"/>
        <v>252160.59</v>
      </c>
      <c r="M431" s="1">
        <v>46087</v>
      </c>
      <c r="N431" s="1">
        <f t="shared" si="60"/>
        <v>46305</v>
      </c>
      <c r="O431">
        <f t="shared" si="62"/>
        <v>219</v>
      </c>
      <c r="P431" s="49">
        <f t="shared" si="66"/>
        <v>7.3</v>
      </c>
      <c r="Q431" s="34">
        <f>VLOOKUP($G431,Agendamento!$B:$F,5,0)</f>
        <v>6</v>
      </c>
      <c r="R431" s="36">
        <f t="shared" si="63"/>
        <v>41</v>
      </c>
      <c r="S431" s="44">
        <v>2.5499999999999998</v>
      </c>
      <c r="T431" s="44">
        <f t="shared" si="64"/>
        <v>22896.449999999997</v>
      </c>
      <c r="U431" t="s">
        <v>5289</v>
      </c>
      <c r="V431" t="str">
        <f t="shared" si="65"/>
        <v>NF/64307304_20260306_nf_05.pdf</v>
      </c>
      <c r="W431" s="32" t="str">
        <f t="shared" si="67"/>
        <v>NF - O GIGANTE VAIDOSO</v>
      </c>
      <c r="X431" t="s">
        <v>5591</v>
      </c>
    </row>
    <row r="432" spans="1:24" x14ac:dyDescent="0.25">
      <c r="A432" t="str">
        <f>CONCATENATE(D432,"_",TEXT(M432,"ddmmaaaa"),"_",COUNTIF($D$2:D432,D432))</f>
        <v>339677750001-90_06032026_2</v>
      </c>
      <c r="B432" t="str">
        <f>CONCATENATE(Analise!D432,"_",COUNTIF(Analise!$D$2:D432,Analise!D432)-1)</f>
        <v>339677750001-90_1</v>
      </c>
      <c r="C432" s="34">
        <f>COUNTIF('Obras e Acervos'!$C:$C,CONCATENATE(LEFT(D432,12),RIGHT(D432,2)))</f>
        <v>2</v>
      </c>
      <c r="D432" s="35" t="s">
        <v>4494</v>
      </c>
      <c r="E432" t="str">
        <f>VLOOKUP($B432,'Obras e Acervos'!$B:$X,3,0)</f>
        <v>GUTENBERG DISTRIBUIDORA DE LIVROS LTDA.-YELLOWFANTE</v>
      </c>
      <c r="F432" t="str">
        <f>VLOOKUP($B432,'Obras e Acervos'!$B:$X,7,0)</f>
        <v>0986L23000030LE</v>
      </c>
      <c r="G432" t="str">
        <f>VLOOKUP($B432,'Obras e Acervos'!$B:$X,5,0)</f>
        <v>HAI-QUINTAL: HAICAIS DESCOBERTOS NO QUINTAL</v>
      </c>
      <c r="H432">
        <f>VLOOKUP($B432,'Obras e Acervos'!$B:$X,18,0)</f>
        <v>5</v>
      </c>
      <c r="I432">
        <f>VLOOKUP($B432,'Obras e Acervos'!$B:$X,19,0)</f>
        <v>37923</v>
      </c>
      <c r="J432" s="42">
        <f>VLOOKUP($B432,'Obras e Acervos'!$B:$X,20,0)</f>
        <v>4702.4520000000002</v>
      </c>
      <c r="K432" s="31">
        <f>VLOOKUP($B432,'Obras e Acervos'!$B:$X,21,0)</f>
        <v>6.32</v>
      </c>
      <c r="L432" s="31">
        <f t="shared" si="61"/>
        <v>239673.36000000002</v>
      </c>
      <c r="M432" s="1">
        <v>46087</v>
      </c>
      <c r="N432" s="1">
        <f t="shared" si="60"/>
        <v>46305</v>
      </c>
      <c r="O432">
        <f t="shared" si="62"/>
        <v>219</v>
      </c>
      <c r="P432" s="49">
        <f t="shared" si="66"/>
        <v>7.3</v>
      </c>
      <c r="Q432" s="34">
        <f>VLOOKUP($G432,Agendamento!$B:$F,5,0)</f>
        <v>6</v>
      </c>
      <c r="R432" s="36">
        <f t="shared" si="63"/>
        <v>38</v>
      </c>
      <c r="S432" s="44">
        <v>2.5499999999999998</v>
      </c>
      <c r="T432" s="44">
        <f t="shared" si="64"/>
        <v>21221.1</v>
      </c>
      <c r="U432" t="s">
        <v>5290</v>
      </c>
      <c r="V432" t="str">
        <f t="shared" si="65"/>
        <v>NF/64307304_20260306_nf_06.pdf</v>
      </c>
      <c r="W432" s="32" t="str">
        <f t="shared" si="67"/>
        <v>NF - HAI-QUINTAL: HAICAIS DESCOBERTOS NO QUINTAL</v>
      </c>
      <c r="X432" t="s">
        <v>5591</v>
      </c>
    </row>
    <row r="433" spans="1:24" x14ac:dyDescent="0.25">
      <c r="A433" t="str">
        <f>CONCATENATE(D433,"_",TEXT(M433,"ddmmaaaa"),"_",COUNTIF($D$2:D433,D433))</f>
        <v>436816100001-00_06032026_1</v>
      </c>
      <c r="B433" t="str">
        <f>CONCATENATE(Analise!D433,"_",COUNTIF(Analise!$D$2:D433,Analise!D433)+1)</f>
        <v>436816100001-00_2</v>
      </c>
      <c r="C433" s="34">
        <f>COUNTIF('Obras e Acervos'!$C:$C,CONCATENATE(LEFT(D433,12),RIGHT(D433,2)))</f>
        <v>2</v>
      </c>
      <c r="D433" s="35" t="s">
        <v>4899</v>
      </c>
      <c r="E433" t="str">
        <f>VLOOKUP($B433,'Obras e Acervos'!$B:$X,3,0)</f>
        <v>EDITORA SORRISO LTDA-EDITORA SORRISO</v>
      </c>
      <c r="F433" t="str">
        <f>VLOOKUP($B433,'Obras e Acervos'!$B:$X,7,0)</f>
        <v>1280L23000020LE</v>
      </c>
      <c r="G433" t="str">
        <f>VLOOKUP($B433,'Obras e Acervos'!$B:$X,5,0)</f>
        <v>CONTOS DE CRIANÇAS DO BRASIL</v>
      </c>
      <c r="H433">
        <f>VLOOKUP($B433,'Obras e Acervos'!$B:$X,18,0)</f>
        <v>22</v>
      </c>
      <c r="I433">
        <f>VLOOKUP($B433,'Obras e Acervos'!$B:$X,19,0)</f>
        <v>26525</v>
      </c>
      <c r="J433" s="42">
        <f>VLOOKUP($B433,'Obras e Acervos'!$B:$X,20,0)</f>
        <v>10822.199999999999</v>
      </c>
      <c r="K433" s="31">
        <f>VLOOKUP($B433,'Obras e Acervos'!$B:$X,21,0)</f>
        <v>21.49</v>
      </c>
      <c r="L433" s="31">
        <f t="shared" si="61"/>
        <v>570022.25</v>
      </c>
      <c r="M433" s="1">
        <v>46087</v>
      </c>
      <c r="N433" s="1">
        <f t="shared" si="60"/>
        <v>46305</v>
      </c>
      <c r="O433">
        <f t="shared" si="62"/>
        <v>219</v>
      </c>
      <c r="P433" s="49">
        <f t="shared" si="66"/>
        <v>7.3</v>
      </c>
      <c r="Q433" s="34">
        <f>VLOOKUP($G433,Agendamento!$B:$F,5,0)</f>
        <v>5</v>
      </c>
      <c r="R433" s="36">
        <f t="shared" si="63"/>
        <v>27</v>
      </c>
      <c r="S433" s="44">
        <v>2.5499999999999998</v>
      </c>
      <c r="T433" s="44">
        <f t="shared" si="64"/>
        <v>15078.15</v>
      </c>
      <c r="U433" t="s">
        <v>5288</v>
      </c>
      <c r="V433" t="str">
        <f t="shared" si="65"/>
        <v>NF/64307304_20260306_nf_08.pdf</v>
      </c>
      <c r="W433" s="32" t="str">
        <f t="shared" si="67"/>
        <v>NF - CONTOS DE CRIANÇAS DO BRASIL</v>
      </c>
      <c r="X433" t="s">
        <v>5591</v>
      </c>
    </row>
    <row r="434" spans="1:24" x14ac:dyDescent="0.25">
      <c r="A434" t="str">
        <f>CONCATENATE(D434,"_",TEXT(M434,"ddmmaaaa"),"_",COUNTIF($D$2:D434,D434))</f>
        <v>444618360001-69_06032026_2</v>
      </c>
      <c r="B434" t="str">
        <f>CONCATENATE(Analise!D434,"_",COUNTIF(Analise!$D$2:D434,Analise!D434)-1)</f>
        <v>444618360001-69_1</v>
      </c>
      <c r="C434" s="34">
        <f>COUNTIF('Obras e Acervos'!$C:$C,CONCATENATE(LEFT(D434,12),RIGHT(D434,2)))</f>
        <v>2</v>
      </c>
      <c r="D434" s="35" t="s">
        <v>4500</v>
      </c>
      <c r="E434" t="str">
        <f>VLOOKUP($B434,'Obras e Acervos'!$B:$X,3,0)</f>
        <v>EDITORA YELLOWFANTE LTDA-INVENTADEIRA</v>
      </c>
      <c r="F434" t="str">
        <f>VLOOKUP($B434,'Obras e Acervos'!$B:$X,7,0)</f>
        <v>0724L23000030LE</v>
      </c>
      <c r="G434" t="str">
        <f>VLOOKUP($B434,'Obras e Acervos'!$B:$X,5,0)</f>
        <v>O MALUCO DO CÉU</v>
      </c>
      <c r="H434">
        <f>VLOOKUP($B434,'Obras e Acervos'!$B:$X,18,0)</f>
        <v>4</v>
      </c>
      <c r="I434">
        <f>VLOOKUP($B434,'Obras e Acervos'!$B:$X,19,0)</f>
        <v>38308</v>
      </c>
      <c r="J434" s="42">
        <f>VLOOKUP($B434,'Obras e Acervos'!$B:$X,20,0)</f>
        <v>4750.192</v>
      </c>
      <c r="K434" s="31">
        <f>VLOOKUP($B434,'Obras e Acervos'!$B:$X,21,0)</f>
        <v>6.32</v>
      </c>
      <c r="L434" s="31">
        <f t="shared" si="61"/>
        <v>242106.56</v>
      </c>
      <c r="M434" s="1">
        <v>46087</v>
      </c>
      <c r="N434" s="1">
        <f t="shared" si="60"/>
        <v>46305</v>
      </c>
      <c r="O434">
        <f t="shared" si="62"/>
        <v>219</v>
      </c>
      <c r="P434" s="49">
        <f t="shared" si="66"/>
        <v>7.3</v>
      </c>
      <c r="Q434" s="34">
        <f>VLOOKUP($G434,Agendamento!$B:$F,5,0)</f>
        <v>6</v>
      </c>
      <c r="R434" s="36">
        <f t="shared" si="63"/>
        <v>39</v>
      </c>
      <c r="S434" s="44">
        <v>2.5499999999999998</v>
      </c>
      <c r="T434" s="44">
        <f t="shared" si="64"/>
        <v>21779.55</v>
      </c>
      <c r="U434" t="s">
        <v>5285</v>
      </c>
      <c r="V434" t="str">
        <f t="shared" si="65"/>
        <v>NF/64307304_20260306_nf_10.pdf</v>
      </c>
      <c r="W434" s="32" t="str">
        <f t="shared" si="67"/>
        <v>NF - O MALUCO DO CÉU</v>
      </c>
      <c r="X434" t="s">
        <v>5591</v>
      </c>
    </row>
    <row r="435" spans="1:24" x14ac:dyDescent="0.25">
      <c r="A435" t="str">
        <f>CONCATENATE(D435,"_",TEXT(M435,"ddmmaaaa"),"_",COUNTIF($D$2:D435,D435))</f>
        <v>063465660001-56_09032026_1</v>
      </c>
      <c r="B435" t="str">
        <f>CONCATENATE(Analise!D435,"_",COUNTIF(Analise!$D$2:D435,Analise!D435)+1)</f>
        <v>063465660001-56_2</v>
      </c>
      <c r="C435" s="34">
        <f>COUNTIF('Obras e Acervos'!$C:$C,CONCATENATE(LEFT(D435,12),RIGHT(D435,2)))</f>
        <v>2</v>
      </c>
      <c r="D435" s="35" t="s">
        <v>4767</v>
      </c>
      <c r="E435" t="str">
        <f>VLOOKUP($B435,'Obras e Acervos'!$B:$X,3,0)</f>
        <v>FRASE E EFEITO ESTUDIO EDITORIAL EIRELI-JUJUBA EDITORA</v>
      </c>
      <c r="F435" t="str">
        <f>VLOOKUP($B435,'Obras e Acervos'!$B:$X,7,0)</f>
        <v>0319L23000020LE</v>
      </c>
      <c r="G435" t="str">
        <f>VLOOKUP($B435,'Obras e Acervos'!$B:$X,5,0)</f>
        <v>EU - DE CABEÇA PRA BAIXO</v>
      </c>
      <c r="H435">
        <f>VLOOKUP($B435,'Obras e Acervos'!$B:$X,18,0)</f>
        <v>13</v>
      </c>
      <c r="I435">
        <f>VLOOKUP($B435,'Obras e Acervos'!$B:$X,19,0)</f>
        <v>30378</v>
      </c>
      <c r="J435" s="42">
        <f>VLOOKUP($B435,'Obras e Acervos'!$B:$X,20,0)</f>
        <v>3645.3599999999997</v>
      </c>
      <c r="K435" s="31">
        <f>VLOOKUP($B435,'Obras e Acervos'!$B:$X,21,0)</f>
        <v>7.37</v>
      </c>
      <c r="L435" s="31">
        <f t="shared" si="61"/>
        <v>223885.86000000002</v>
      </c>
      <c r="M435" s="1">
        <v>46090</v>
      </c>
      <c r="N435" s="1">
        <f t="shared" si="60"/>
        <v>46305</v>
      </c>
      <c r="O435">
        <f t="shared" si="62"/>
        <v>216</v>
      </c>
      <c r="P435" s="49">
        <f t="shared" si="66"/>
        <v>7.2</v>
      </c>
      <c r="Q435" s="34">
        <f>VLOOKUP($G435,Agendamento!$B:$F,5,0)</f>
        <v>5</v>
      </c>
      <c r="R435" s="36">
        <f t="shared" si="63"/>
        <v>31</v>
      </c>
      <c r="S435" s="44">
        <v>2.5499999999999998</v>
      </c>
      <c r="T435" s="44">
        <f t="shared" si="64"/>
        <v>17074.8</v>
      </c>
      <c r="U435" t="s">
        <v>5293</v>
      </c>
      <c r="V435" t="str">
        <f t="shared" si="65"/>
        <v>NF/64307304_20260309_nf_01.pdf</v>
      </c>
      <c r="W435" s="32" t="str">
        <f t="shared" si="67"/>
        <v>NF - EU - DE CABEÇA PRA BAIXO</v>
      </c>
      <c r="X435" t="s">
        <v>5591</v>
      </c>
    </row>
    <row r="436" spans="1:24" x14ac:dyDescent="0.25">
      <c r="A436" t="str">
        <f>CONCATENATE(D436,"_",TEXT(M436,"ddmmaaaa"),"_",COUNTIF($D$2:D436,D436))</f>
        <v>084628850001-52_09032026_1</v>
      </c>
      <c r="B436" t="str">
        <f>CONCATENATE(Analise!D436,"_",COUNTIF(Analise!$D$2:D436,Analise!D436))</f>
        <v>084628850001-52_1</v>
      </c>
      <c r="C436" s="34">
        <f>COUNTIF('Obras e Acervos'!$C:$C,CONCATENATE(LEFT(D436,12),RIGHT(D436,2)))</f>
        <v>1</v>
      </c>
      <c r="D436" s="35" t="s">
        <v>4773</v>
      </c>
      <c r="E436" t="str">
        <f>VLOOKUP($B436,'Obras e Acervos'!$B:$X,3,0)</f>
        <v>ELEONORA RODRIGUES DE MEDEIROS ME-ESTUDIO NINHO LITERARIO</v>
      </c>
      <c r="F436" t="str">
        <f>VLOOKUP($B436,'Obras e Acervos'!$B:$X,7,0)</f>
        <v>0528L23000020LE</v>
      </c>
      <c r="G436" t="str">
        <f>VLOOKUP($B436,'Obras e Acervos'!$B:$X,5,0)</f>
        <v>BANDELE, O MENINO NASCIDO FORA DE CASA</v>
      </c>
      <c r="H436">
        <f>VLOOKUP($B436,'Obras e Acervos'!$B:$X,18,0)</f>
        <v>22</v>
      </c>
      <c r="I436">
        <f>VLOOKUP($B436,'Obras e Acervos'!$B:$X,19,0)</f>
        <v>23798</v>
      </c>
      <c r="J436" s="42">
        <f>VLOOKUP($B436,'Obras e Acervos'!$B:$X,20,0)</f>
        <v>2974.75</v>
      </c>
      <c r="K436" s="31">
        <f>VLOOKUP($B436,'Obras e Acervos'!$B:$X,21,0)</f>
        <v>7.99</v>
      </c>
      <c r="L436" s="31">
        <f t="shared" si="61"/>
        <v>190146.02000000002</v>
      </c>
      <c r="M436" s="1">
        <v>46090</v>
      </c>
      <c r="N436" s="1">
        <f t="shared" si="60"/>
        <v>46305</v>
      </c>
      <c r="O436">
        <f t="shared" si="62"/>
        <v>216</v>
      </c>
      <c r="P436" s="49">
        <f t="shared" si="66"/>
        <v>7.2</v>
      </c>
      <c r="Q436" s="34">
        <f>VLOOKUP($G436,Agendamento!$B:$F,5,0)</f>
        <v>4</v>
      </c>
      <c r="R436" s="36">
        <f t="shared" si="63"/>
        <v>24</v>
      </c>
      <c r="S436" s="44">
        <v>2.5499999999999998</v>
      </c>
      <c r="T436" s="44">
        <f t="shared" si="64"/>
        <v>13219.199999999999</v>
      </c>
      <c r="U436" t="s">
        <v>5303</v>
      </c>
      <c r="V436" t="str">
        <f t="shared" si="65"/>
        <v>NF/64307304_20260309_nf_02.pdf</v>
      </c>
      <c r="W436" s="32" t="str">
        <f t="shared" si="67"/>
        <v>NF - BANDELE, O MENINO NASCIDO FORA DE CASA</v>
      </c>
      <c r="X436" t="s">
        <v>5591</v>
      </c>
    </row>
    <row r="437" spans="1:24" x14ac:dyDescent="0.25">
      <c r="A437" t="str">
        <f>CONCATENATE(D437,"_",TEXT(M437,"ddmmaaaa"),"_",COUNTIF($D$2:D437,D437))</f>
        <v>433983000001-83_09032026_1</v>
      </c>
      <c r="B437" t="str">
        <f>CONCATENATE(Analise!D437,"_",COUNTIF(Analise!$D$2:D437,Analise!D437)+1)</f>
        <v>433983000001-83_2</v>
      </c>
      <c r="C437" s="34">
        <f>COUNTIF('Obras e Acervos'!$C:$C,CONCATENATE(LEFT(D437,12),RIGHT(D437,2)))</f>
        <v>2</v>
      </c>
      <c r="D437" s="35" t="s">
        <v>4774</v>
      </c>
      <c r="E437" t="str">
        <f>VLOOKUP($B437,'Obras e Acervos'!$B:$X,3,0)</f>
        <v>MARIE EDITORA LTDA-MARIE EDITORA</v>
      </c>
      <c r="F437" t="str">
        <f>VLOOKUP($B437,'Obras e Acervos'!$B:$X,7,0)</f>
        <v>0480L23000020LE</v>
      </c>
      <c r="G437" t="str">
        <f>VLOOKUP($B437,'Obras e Acervos'!$B:$X,5,0)</f>
        <v>FÁBULAS EM QUADRINHAS</v>
      </c>
      <c r="H437">
        <f>VLOOKUP($B437,'Obras e Acervos'!$B:$X,18,0)</f>
        <v>14</v>
      </c>
      <c r="I437">
        <f>VLOOKUP($B437,'Obras e Acervos'!$B:$X,19,0)</f>
        <v>34257</v>
      </c>
      <c r="J437" s="42">
        <f>VLOOKUP($B437,'Obras e Acervos'!$B:$X,20,0)</f>
        <v>4453.41</v>
      </c>
      <c r="K437" s="31">
        <f>VLOOKUP($B437,'Obras e Acervos'!$B:$X,21,0)</f>
        <v>6.81</v>
      </c>
      <c r="L437" s="31">
        <f t="shared" si="61"/>
        <v>233290.16999999998</v>
      </c>
      <c r="M437" s="1">
        <v>46090</v>
      </c>
      <c r="N437" s="1">
        <f t="shared" si="60"/>
        <v>46305</v>
      </c>
      <c r="O437">
        <f t="shared" si="62"/>
        <v>216</v>
      </c>
      <c r="P437" s="49">
        <f t="shared" si="66"/>
        <v>7.2</v>
      </c>
      <c r="Q437" s="34">
        <f>VLOOKUP($G437,Agendamento!$B:$F,5,0)</f>
        <v>5</v>
      </c>
      <c r="R437" s="36">
        <f t="shared" si="63"/>
        <v>35</v>
      </c>
      <c r="S437" s="44">
        <v>2.5499999999999998</v>
      </c>
      <c r="T437" s="44">
        <f t="shared" si="64"/>
        <v>19278</v>
      </c>
      <c r="U437" t="s">
        <v>5306</v>
      </c>
      <c r="V437" t="str">
        <f t="shared" si="65"/>
        <v>NF/64307304_20260309_nf_03.pdf</v>
      </c>
      <c r="W437" s="32" t="str">
        <f t="shared" si="67"/>
        <v>NF - FÁBULAS EM QUADRINHAS</v>
      </c>
      <c r="X437" t="s">
        <v>5591</v>
      </c>
    </row>
    <row r="438" spans="1:24" x14ac:dyDescent="0.25">
      <c r="A438" t="str">
        <f>CONCATENATE(D438,"_",TEXT(M438,"ddmmaaaa"),"_",COUNTIF($D$2:D438,D438))</f>
        <v>286919710001-44_09032026_2</v>
      </c>
      <c r="B438" t="str">
        <f>CONCATENATE(Analise!D438,"_",COUNTIF(Analise!$D$2:D438,Analise!D438)-1)</f>
        <v>286919710001-44_1</v>
      </c>
      <c r="C438" s="34">
        <f>COUNTIF('Obras e Acervos'!$C:$C,CONCATENATE(LEFT(D438,12),RIGHT(D438,2)))</f>
        <v>2</v>
      </c>
      <c r="D438" s="35" t="s">
        <v>4734</v>
      </c>
      <c r="E438" t="str">
        <f>VLOOKUP($B438,'Obras e Acervos'!$B:$X,3,0)</f>
        <v>AV EDIÇÕES E SERVIÇOS EIRELI-BADABUM</v>
      </c>
      <c r="F438" t="str">
        <f>VLOOKUP($B438,'Obras e Acervos'!$B:$X,7,0)</f>
        <v>0676L23000030LE</v>
      </c>
      <c r="G438" t="str">
        <f>VLOOKUP($B438,'Obras e Acervos'!$B:$X,5,0)</f>
        <v>POESIA NA VARANDA</v>
      </c>
      <c r="H438">
        <f>VLOOKUP($B438,'Obras e Acervos'!$B:$X,18,0)</f>
        <v>3</v>
      </c>
      <c r="I438">
        <f>VLOOKUP($B438,'Obras e Acervos'!$B:$X,19,0)</f>
        <v>49714</v>
      </c>
      <c r="J438" s="42">
        <f>VLOOKUP($B438,'Obras e Acervos'!$B:$X,20,0)</f>
        <v>4772.5439999999999</v>
      </c>
      <c r="K438" s="31">
        <f>VLOOKUP($B438,'Obras e Acervos'!$B:$X,21,0)</f>
        <v>4.3499999999999996</v>
      </c>
      <c r="L438" s="31">
        <f t="shared" si="61"/>
        <v>216255.9</v>
      </c>
      <c r="M438" s="1">
        <v>46090</v>
      </c>
      <c r="N438" s="1">
        <f t="shared" si="60"/>
        <v>46305</v>
      </c>
      <c r="O438">
        <f t="shared" si="62"/>
        <v>216</v>
      </c>
      <c r="P438" s="49">
        <f t="shared" si="66"/>
        <v>7.2</v>
      </c>
      <c r="Q438" s="34">
        <f>VLOOKUP($G438,Agendamento!$B:$F,5,0)</f>
        <v>9</v>
      </c>
      <c r="R438" s="36">
        <f t="shared" si="63"/>
        <v>50</v>
      </c>
      <c r="S438" s="44">
        <v>2.5499999999999998</v>
      </c>
      <c r="T438" s="44">
        <f t="shared" si="64"/>
        <v>27539.999999999996</v>
      </c>
      <c r="U438" t="s">
        <v>5292</v>
      </c>
      <c r="V438" t="str">
        <f t="shared" si="65"/>
        <v>NF/64307304_20260309_nf_04.pdf</v>
      </c>
      <c r="W438" s="32" t="str">
        <f t="shared" si="67"/>
        <v>NF - POESIA NA VARANDA</v>
      </c>
      <c r="X438" t="s">
        <v>5591</v>
      </c>
    </row>
    <row r="439" spans="1:24" x14ac:dyDescent="0.25">
      <c r="A439" t="str">
        <f>CONCATENATE(D439,"_",TEXT(M439,"ddmmaaaa"),"_",COUNTIF($D$2:D439,D439))</f>
        <v>261601350001-08_09032026_2</v>
      </c>
      <c r="B439" t="str">
        <f>CONCATENATE(Analise!D439,"_",COUNTIF(Analise!$D$2:D439,Analise!D439))</f>
        <v>261601350001-08_2</v>
      </c>
      <c r="C439" s="34">
        <f>COUNTIF('Obras e Acervos'!$C:$C,CONCATENATE(LEFT(D439,12),RIGHT(D439,2)))</f>
        <v>2</v>
      </c>
      <c r="D439" s="35" t="s">
        <v>4762</v>
      </c>
      <c r="E439" t="str">
        <f>VLOOKUP($B439,'Obras e Acervos'!$B:$X,3,0)</f>
        <v>MAZZA EDIÇÕES LTDA-MAZZA EDIÇÕES</v>
      </c>
      <c r="F439" t="str">
        <f>VLOOKUP($B439,'Obras e Acervos'!$B:$X,7,0)</f>
        <v>1268L23000020LE</v>
      </c>
      <c r="G439" t="str">
        <f>VLOOKUP($B439,'Obras e Acervos'!$B:$X,5,0)</f>
        <v>CHAPEUZINHO VERMELHO E O BOTO-COR-DE-ROSA</v>
      </c>
      <c r="H439">
        <f>VLOOKUP($B439,'Obras e Acervos'!$B:$X,18,0)</f>
        <v>11</v>
      </c>
      <c r="I439">
        <f>VLOOKUP($B439,'Obras e Acervos'!$B:$X,19,0)</f>
        <v>50148</v>
      </c>
      <c r="J439" s="42">
        <f>VLOOKUP($B439,'Obras e Acervos'!$B:$X,20,0)</f>
        <v>3410.0640000000003</v>
      </c>
      <c r="K439" s="31">
        <f>VLOOKUP($B439,'Obras e Acervos'!$B:$X,21,0)</f>
        <v>4.2699999999999996</v>
      </c>
      <c r="L439" s="31">
        <f t="shared" si="61"/>
        <v>214131.96</v>
      </c>
      <c r="M439" s="1">
        <v>46090</v>
      </c>
      <c r="N439" s="1">
        <f t="shared" si="60"/>
        <v>46305</v>
      </c>
      <c r="O439">
        <f t="shared" si="62"/>
        <v>216</v>
      </c>
      <c r="P439" s="49">
        <f t="shared" si="66"/>
        <v>7.2</v>
      </c>
      <c r="Q439" s="34">
        <f>VLOOKUP($G439,Agendamento!$B:$F,5,0)</f>
        <v>9</v>
      </c>
      <c r="R439" s="36">
        <f t="shared" si="63"/>
        <v>51</v>
      </c>
      <c r="S439" s="44">
        <v>2.5499999999999998</v>
      </c>
      <c r="T439" s="44">
        <f t="shared" si="64"/>
        <v>28090.799999999999</v>
      </c>
      <c r="U439" t="s">
        <v>5294</v>
      </c>
      <c r="V439" t="str">
        <f t="shared" si="65"/>
        <v>NF/64307304_20260309_nf_06.pdf</v>
      </c>
      <c r="W439" s="32" t="str">
        <f t="shared" si="67"/>
        <v>NF - CHAPEUZINHO VERMELHO E O BOTO-COR-DE-ROSA</v>
      </c>
      <c r="X439" t="s">
        <v>5591</v>
      </c>
    </row>
    <row r="440" spans="1:24" x14ac:dyDescent="0.25">
      <c r="A440" t="str">
        <f>CONCATENATE(D440,"_",TEXT(M440,"ddmmaaaa"),"_",COUNTIF($D$2:D440,D440))</f>
        <v>201929410001-81_09032026_1</v>
      </c>
      <c r="B440" t="str">
        <f>CONCATENATE(Analise!D440,"_",COUNTIF(Analise!$D$2:D440,Analise!D440))</f>
        <v>201929410001-81_1</v>
      </c>
      <c r="C440" s="34">
        <f>COUNTIF('Obras e Acervos'!$C:$C,CONCATENATE(LEFT(D440,12),RIGHT(D440,2)))</f>
        <v>1</v>
      </c>
      <c r="D440" s="35" t="s">
        <v>4768</v>
      </c>
      <c r="E440" t="str">
        <f>VLOOKUP($B440,'Obras e Acervos'!$B:$X,3,0)</f>
        <v>FB PUBLICAÇÕES EIRELI -FB PUBLICAÇÕES</v>
      </c>
      <c r="F440" t="str">
        <f>VLOOKUP($B440,'Obras e Acervos'!$B:$X,7,0)</f>
        <v>1231L23000020LE</v>
      </c>
      <c r="G440" t="str">
        <f>VLOOKUP($B440,'Obras e Acervos'!$B:$X,5,0)</f>
        <v>ALIKA</v>
      </c>
      <c r="H440">
        <f>VLOOKUP($B440,'Obras e Acervos'!$B:$X,18,0)</f>
        <v>20</v>
      </c>
      <c r="I440">
        <f>VLOOKUP($B440,'Obras e Acervos'!$B:$X,19,0)</f>
        <v>30834</v>
      </c>
      <c r="J440" s="42">
        <f>VLOOKUP($B440,'Obras e Acervos'!$B:$X,20,0)</f>
        <v>4008.42</v>
      </c>
      <c r="K440" s="31">
        <f>VLOOKUP($B440,'Obras e Acervos'!$B:$X,21,0)</f>
        <v>7.34</v>
      </c>
      <c r="L440" s="31">
        <f t="shared" si="61"/>
        <v>226321.56</v>
      </c>
      <c r="M440" s="1">
        <v>46090</v>
      </c>
      <c r="N440" s="1">
        <f t="shared" si="60"/>
        <v>46305</v>
      </c>
      <c r="O440">
        <f t="shared" si="62"/>
        <v>216</v>
      </c>
      <c r="P440" s="49">
        <f t="shared" si="66"/>
        <v>7.2</v>
      </c>
      <c r="Q440" s="34">
        <f>VLOOKUP($G440,Agendamento!$B:$F,5,0)</f>
        <v>5</v>
      </c>
      <c r="R440" s="36">
        <f t="shared" si="63"/>
        <v>31</v>
      </c>
      <c r="S440" s="44">
        <v>2.5499999999999998</v>
      </c>
      <c r="T440" s="44">
        <f t="shared" si="64"/>
        <v>17074.8</v>
      </c>
      <c r="U440" t="s">
        <v>5296</v>
      </c>
      <c r="V440" t="str">
        <f t="shared" si="65"/>
        <v>NF/64307304_20260309_nf_08.pdf</v>
      </c>
      <c r="W440" s="32" t="str">
        <f t="shared" si="67"/>
        <v>NF - ALIKA</v>
      </c>
      <c r="X440" t="s">
        <v>5591</v>
      </c>
    </row>
    <row r="441" spans="1:24" x14ac:dyDescent="0.25">
      <c r="A441" t="str">
        <f>CONCATENATE(D441,"_",TEXT(M441,"ddmmaaaa"),"_",COUNTIF($D$2:D441,D441))</f>
        <v>433913490001-04_09032026_2</v>
      </c>
      <c r="B441" t="str">
        <f>CONCATENATE(Analise!D441,"_",COUNTIF(Analise!$D$2:D441,Analise!D441))</f>
        <v>433913490001-04_2</v>
      </c>
      <c r="C441" s="34">
        <f>COUNTIF('Obras e Acervos'!$C:$C,CONCATENATE(LEFT(D441,12),RIGHT(D441,2)))</f>
        <v>2</v>
      </c>
      <c r="D441" s="35" t="s">
        <v>4712</v>
      </c>
      <c r="E441" t="str">
        <f>VLOOKUP($B441,'Obras e Acervos'!$B:$X,3,0)</f>
        <v>HIPACIA EDITORA LTDA-HIPACIA EDITORA</v>
      </c>
      <c r="F441" t="str">
        <f>VLOOKUP($B441,'Obras e Acervos'!$B:$X,7,0)</f>
        <v>0842L23000020LE</v>
      </c>
      <c r="G441" t="str">
        <f>VLOOKUP($B441,'Obras e Acervos'!$B:$X,5,0)</f>
        <v>HANAMI! BIBI VAI AO JAPÃO</v>
      </c>
      <c r="H441">
        <f>VLOOKUP($B441,'Obras e Acervos'!$B:$X,18,0)</f>
        <v>11</v>
      </c>
      <c r="I441">
        <f>VLOOKUP($B441,'Obras e Acervos'!$B:$X,19,0)</f>
        <v>31574</v>
      </c>
      <c r="J441" s="42">
        <f>VLOOKUP($B441,'Obras e Acervos'!$B:$X,20,0)</f>
        <v>3946.75</v>
      </c>
      <c r="K441" s="31">
        <f>VLOOKUP($B441,'Obras e Acervos'!$B:$X,21,0)</f>
        <v>7.32</v>
      </c>
      <c r="L441" s="31">
        <f t="shared" si="61"/>
        <v>231121.68000000002</v>
      </c>
      <c r="M441" s="1">
        <v>46090</v>
      </c>
      <c r="N441" s="1">
        <f t="shared" si="60"/>
        <v>46305</v>
      </c>
      <c r="O441">
        <f t="shared" si="62"/>
        <v>216</v>
      </c>
      <c r="P441" s="49">
        <f t="shared" si="66"/>
        <v>7.2</v>
      </c>
      <c r="Q441" s="34">
        <f>VLOOKUP($G441,Agendamento!$B:$F,5,0)</f>
        <v>5</v>
      </c>
      <c r="R441" s="36">
        <f t="shared" si="63"/>
        <v>32</v>
      </c>
      <c r="S441" s="44">
        <v>2.5499999999999998</v>
      </c>
      <c r="T441" s="44">
        <f t="shared" si="64"/>
        <v>17625.599999999999</v>
      </c>
      <c r="U441" t="s">
        <v>5304</v>
      </c>
      <c r="V441" t="str">
        <f t="shared" si="65"/>
        <v>NF/64307304_20260309_nf_10.pdf</v>
      </c>
      <c r="W441" s="32" t="str">
        <f t="shared" si="67"/>
        <v>NF - HANAMI! BIBI VAI AO JAPÃO</v>
      </c>
      <c r="X441" t="s">
        <v>5591</v>
      </c>
    </row>
    <row r="442" spans="1:24" x14ac:dyDescent="0.25">
      <c r="A442" t="str">
        <f>CONCATENATE(D442,"_",TEXT(M442,"ddmmaaaa"),"_",COUNTIF($D$2:D442,D442))</f>
        <v>426016760001-80_09032026_1</v>
      </c>
      <c r="B442" t="str">
        <f>CONCATENATE(Analise!D442,"_",COUNTIF(Analise!$D$2:D442,Analise!D442)+1)</f>
        <v>426016760001-80_2</v>
      </c>
      <c r="C442" s="34">
        <f>COUNTIF('Obras e Acervos'!$C:$C,CONCATENATE(LEFT(D442,12),RIGHT(D442,2)))</f>
        <v>2</v>
      </c>
      <c r="D442" s="35" t="s">
        <v>4769</v>
      </c>
      <c r="E442" t="str">
        <f>VLOOKUP($B442,'Obras e Acervos'!$B:$X,3,0)</f>
        <v>EDITORA CAMOMILA LTDA-EDITORA CAMOMILA</v>
      </c>
      <c r="F442" t="str">
        <f>VLOOKUP($B442,'Obras e Acervos'!$B:$X,7,0)</f>
        <v>0778L23000020LE</v>
      </c>
      <c r="G442" t="str">
        <f>VLOOKUP($B442,'Obras e Acervos'!$B:$X,5,0)</f>
        <v>MINHAS PRIMEIRAS LENDAS INDÍGENAS</v>
      </c>
      <c r="H442">
        <f>VLOOKUP($B442,'Obras e Acervos'!$B:$X,18,0)</f>
        <v>16</v>
      </c>
      <c r="I442">
        <f>VLOOKUP($B442,'Obras e Acervos'!$B:$X,19,0)</f>
        <v>37045</v>
      </c>
      <c r="J442" s="42">
        <f>VLOOKUP($B442,'Obras e Acervos'!$B:$X,20,0)</f>
        <v>8112.8549999999996</v>
      </c>
      <c r="K442" s="31">
        <f>VLOOKUP($B442,'Obras e Acervos'!$B:$X,21,0)</f>
        <v>11.2</v>
      </c>
      <c r="L442" s="31">
        <f t="shared" si="61"/>
        <v>414904</v>
      </c>
      <c r="M442" s="1">
        <v>46090</v>
      </c>
      <c r="N442" s="1">
        <f t="shared" si="60"/>
        <v>46305</v>
      </c>
      <c r="O442">
        <f t="shared" si="62"/>
        <v>216</v>
      </c>
      <c r="P442" s="49">
        <f t="shared" si="66"/>
        <v>7.2</v>
      </c>
      <c r="Q442" s="34">
        <f>VLOOKUP($G442,Agendamento!$B:$F,5,0)</f>
        <v>7</v>
      </c>
      <c r="R442" s="36">
        <f t="shared" si="63"/>
        <v>38</v>
      </c>
      <c r="S442" s="44">
        <v>2.5499999999999998</v>
      </c>
      <c r="T442" s="44">
        <f t="shared" si="64"/>
        <v>20930.399999999998</v>
      </c>
      <c r="U442" t="s">
        <v>5297</v>
      </c>
      <c r="V442" t="str">
        <f t="shared" si="65"/>
        <v>NF/64307304_20260309_nf_11.pdf</v>
      </c>
      <c r="W442" s="32" t="str">
        <f t="shared" si="67"/>
        <v>NF - MINHAS PRIMEIRAS LENDAS INDÍGENAS</v>
      </c>
      <c r="X442" t="s">
        <v>5591</v>
      </c>
    </row>
    <row r="443" spans="1:24" x14ac:dyDescent="0.25">
      <c r="A443" t="str">
        <f>CONCATENATE(D443,"_",TEXT(M443,"ddmmaaaa"),"_",COUNTIF($D$2:D443,D443))</f>
        <v>424220060001-05_09032026_1</v>
      </c>
      <c r="B443" t="str">
        <f>CONCATENATE(Analise!D443,"_",COUNTIF(Analise!$D$2:D443,Analise!D443))</f>
        <v>424220060001-05_1</v>
      </c>
      <c r="C443" s="34">
        <f>COUNTIF('Obras e Acervos'!$C:$C,CONCATENATE(LEFT(D443,12),RIGHT(D443,2)))</f>
        <v>1</v>
      </c>
      <c r="D443" s="35" t="s">
        <v>4771</v>
      </c>
      <c r="E443" t="str">
        <f>VLOOKUP($B443,'Obras e Acervos'!$B:$X,3,0)</f>
        <v>PALLAS EDITORA E DISTRIBUIDORA LTDA.-PALLAS EDITORA</v>
      </c>
      <c r="F443" t="str">
        <f>VLOOKUP($B443,'Obras e Acervos'!$B:$X,7,0)</f>
        <v>0904L23000030LE</v>
      </c>
      <c r="G443" t="str">
        <f>VLOOKUP($B443,'Obras e Acervos'!$B:$X,5,0)</f>
        <v>FALANDO TUPI</v>
      </c>
      <c r="H443">
        <f>VLOOKUP($B443,'Obras e Acervos'!$B:$X,18,0)</f>
        <v>10</v>
      </c>
      <c r="I443">
        <f>VLOOKUP($B443,'Obras e Acervos'!$B:$X,19,0)</f>
        <v>36873</v>
      </c>
      <c r="J443" s="42">
        <f>VLOOKUP($B443,'Obras e Acervos'!$B:$X,20,0)</f>
        <v>4387.8869999999997</v>
      </c>
      <c r="K443" s="31">
        <f>VLOOKUP($B443,'Obras e Acervos'!$B:$X,21,0)</f>
        <v>6.73</v>
      </c>
      <c r="L443" s="31">
        <f t="shared" si="61"/>
        <v>248155.29</v>
      </c>
      <c r="M443" s="1">
        <v>46090</v>
      </c>
      <c r="N443" s="1">
        <f t="shared" si="60"/>
        <v>46305</v>
      </c>
      <c r="O443">
        <f t="shared" si="62"/>
        <v>216</v>
      </c>
      <c r="P443" s="49">
        <f t="shared" si="66"/>
        <v>7.2</v>
      </c>
      <c r="Q443" s="34">
        <f>VLOOKUP($G443,Agendamento!$B:$F,5,0)</f>
        <v>6</v>
      </c>
      <c r="R443" s="36">
        <f t="shared" si="63"/>
        <v>37</v>
      </c>
      <c r="S443" s="44">
        <v>2.5499999999999998</v>
      </c>
      <c r="T443" s="44">
        <f t="shared" si="64"/>
        <v>20379.599999999999</v>
      </c>
      <c r="U443" t="s">
        <v>5300</v>
      </c>
      <c r="V443" t="str">
        <f t="shared" si="65"/>
        <v>NF/64307304_20260309_nf_13.pdf</v>
      </c>
      <c r="W443" s="32" t="str">
        <f t="shared" si="67"/>
        <v>NF - FALANDO TUPI</v>
      </c>
      <c r="X443" t="s">
        <v>5591</v>
      </c>
    </row>
    <row r="444" spans="1:24" x14ac:dyDescent="0.25">
      <c r="A444" t="str">
        <f>CONCATENATE(D444,"_",TEXT(M444,"ddmmaaaa"),"_",COUNTIF($D$2:D444,D444))</f>
        <v>063260330001-02_09032026_1</v>
      </c>
      <c r="B444" t="str">
        <f>CONCATENATE(Analise!D444,"_",COUNTIF(Analise!$D$2:D444,Analise!D444)+1)</f>
        <v>063260330001-02_2</v>
      </c>
      <c r="C444" s="34">
        <f>COUNTIF('Obras e Acervos'!$C:$C,CONCATENATE(LEFT(D444,12),RIGHT(D444,2)))</f>
        <v>2</v>
      </c>
      <c r="D444" s="35" t="s">
        <v>4772</v>
      </c>
      <c r="E444" t="str">
        <f>VLOOKUP($B444,'Obras e Acervos'!$B:$X,3,0)</f>
        <v>FOLIA DE LETRAS EDITORA E SERVIÇOS EDITORIAIS LTDA-EDITORA FOLIA DE LETRAS</v>
      </c>
      <c r="F444" t="str">
        <f>VLOOKUP($B444,'Obras e Acervos'!$B:$X,7,0)</f>
        <v>1233L23000020LE</v>
      </c>
      <c r="G444" t="str">
        <f>VLOOKUP($B444,'Obras e Acervos'!$B:$X,5,0)</f>
        <v>DEZ CONTOS CLÁSSICOS EM QUADRINHAS</v>
      </c>
      <c r="H444">
        <f>VLOOKUP($B444,'Obras e Acervos'!$B:$X,18,0)</f>
        <v>20</v>
      </c>
      <c r="I444">
        <f>VLOOKUP($B444,'Obras e Acervos'!$B:$X,19,0)</f>
        <v>33925</v>
      </c>
      <c r="J444" s="42">
        <f>VLOOKUP($B444,'Obras e Acervos'!$B:$X,20,0)</f>
        <v>6140.4250000000002</v>
      </c>
      <c r="K444" s="31">
        <f>VLOOKUP($B444,'Obras e Acervos'!$B:$X,21,0)</f>
        <v>8.56</v>
      </c>
      <c r="L444" s="31">
        <f t="shared" si="61"/>
        <v>290398</v>
      </c>
      <c r="M444" s="1">
        <v>46090</v>
      </c>
      <c r="N444" s="1">
        <f t="shared" si="60"/>
        <v>46305</v>
      </c>
      <c r="O444">
        <f t="shared" si="62"/>
        <v>216</v>
      </c>
      <c r="P444" s="49">
        <f t="shared" si="66"/>
        <v>7.2</v>
      </c>
      <c r="Q444" s="34">
        <f>VLOOKUP($G444,Agendamento!$B:$F,5,0)</f>
        <v>8</v>
      </c>
      <c r="R444" s="36">
        <f t="shared" si="63"/>
        <v>34</v>
      </c>
      <c r="S444" s="44">
        <v>2.5499999999999998</v>
      </c>
      <c r="T444" s="44">
        <f t="shared" si="64"/>
        <v>18727.199999999997</v>
      </c>
      <c r="U444" t="s">
        <v>5301</v>
      </c>
      <c r="V444" t="str">
        <f t="shared" si="65"/>
        <v>NF/64307304_20260309_nf_14.pdf</v>
      </c>
      <c r="W444" s="32" t="str">
        <f t="shared" si="67"/>
        <v>NF - DEZ CONTOS CLÁSSICOS EM QUADRINHAS</v>
      </c>
      <c r="X444" t="s">
        <v>5591</v>
      </c>
    </row>
    <row r="445" spans="1:24" x14ac:dyDescent="0.25">
      <c r="A445" t="str">
        <f>CONCATENATE(D445,"_",TEXT(M445,"ddmmaaaa"),"_",COUNTIF($D$2:D445,D445))</f>
        <v>052881530001-08_09032026_1</v>
      </c>
      <c r="B445" t="str">
        <f>CONCATENATE(Analise!D445,"_",COUNTIF(Analise!$D$2:D445,Analise!D445))</f>
        <v>052881530001-08_1</v>
      </c>
      <c r="C445" s="34">
        <f>COUNTIF('Obras e Acervos'!$C:$C,CONCATENATE(LEFT(D445,12),RIGHT(D445,2)))</f>
        <v>2</v>
      </c>
      <c r="D445" s="35" t="s">
        <v>4770</v>
      </c>
      <c r="E445" t="str">
        <f>VLOOKUP($B445,'Obras e Acervos'!$B:$X,3,0)</f>
        <v>ALAÚDE EDITORIAL LTDA-EDITORA ALAÚDE</v>
      </c>
      <c r="F445" t="str">
        <f>VLOOKUP($B445,'Obras e Acervos'!$B:$X,7,0)</f>
        <v>1227L23000030LE</v>
      </c>
      <c r="G445" t="str">
        <f>VLOOKUP($B445,'Obras e Acervos'!$B:$X,5,0)</f>
        <v>FESTA DO MANECO</v>
      </c>
      <c r="H445">
        <f>VLOOKUP($B445,'Obras e Acervos'!$B:$X,18,0)</f>
        <v>7</v>
      </c>
      <c r="I445">
        <f>VLOOKUP($B445,'Obras e Acervos'!$B:$X,19,0)</f>
        <v>32995</v>
      </c>
      <c r="J445" s="42">
        <f>VLOOKUP($B445,'Obras e Acervos'!$B:$X,20,0)</f>
        <v>4124.375</v>
      </c>
      <c r="K445" s="31">
        <f>VLOOKUP($B445,'Obras e Acervos'!$B:$X,21,0)</f>
        <v>6.86</v>
      </c>
      <c r="L445" s="31">
        <f t="shared" si="61"/>
        <v>226345.7</v>
      </c>
      <c r="M445" s="1">
        <v>46090</v>
      </c>
      <c r="N445" s="1">
        <f t="shared" si="60"/>
        <v>46305</v>
      </c>
      <c r="O445">
        <f t="shared" si="62"/>
        <v>216</v>
      </c>
      <c r="P445" s="49">
        <f t="shared" si="66"/>
        <v>7.2</v>
      </c>
      <c r="Q445" s="34">
        <f>VLOOKUP($G445,Agendamento!$B:$F,5,0)</f>
        <v>5</v>
      </c>
      <c r="R445" s="36">
        <f t="shared" si="63"/>
        <v>33</v>
      </c>
      <c r="S445" s="44">
        <v>2.5499999999999998</v>
      </c>
      <c r="T445" s="44">
        <f t="shared" si="64"/>
        <v>18176.399999999998</v>
      </c>
      <c r="U445" t="s">
        <v>5299</v>
      </c>
      <c r="V445" t="str">
        <f t="shared" si="65"/>
        <v>NF/64307304_20260309_nf_16.pdf</v>
      </c>
      <c r="W445" s="32" t="str">
        <f t="shared" si="67"/>
        <v>NF - FESTA DO MANECO</v>
      </c>
      <c r="X445" t="s">
        <v>5591</v>
      </c>
    </row>
    <row r="446" spans="1:24" x14ac:dyDescent="0.25">
      <c r="A446" t="str">
        <f>CONCATENATE(D446,"_",TEXT(M446,"ddmmaaaa"),"_",COUNTIF($D$2:D446,D446))</f>
        <v>436804970001-49_09032026_2</v>
      </c>
      <c r="B446" t="str">
        <f>CONCATENATE(Analise!D446,"_",COUNTIF(Analise!$D$2:D446,Analise!D446)-1)</f>
        <v>436804970001-49_1</v>
      </c>
      <c r="C446" s="34">
        <f>COUNTIF('Obras e Acervos'!$C:$C,CONCATENATE(LEFT(D446,12),RIGHT(D446,2)))</f>
        <v>2</v>
      </c>
      <c r="D446" s="35" t="s">
        <v>4688</v>
      </c>
      <c r="E446" t="str">
        <f>VLOOKUP($B446,'Obras e Acervos'!$B:$X,3,0)</f>
        <v>IGREJINHA EDITORA LTDA -IGREJINHA</v>
      </c>
      <c r="F446" t="str">
        <f>VLOOKUP($B446,'Obras e Acervos'!$B:$X,7,0)</f>
        <v>0527L23000030LE</v>
      </c>
      <c r="G446" t="str">
        <f>VLOOKUP($B446,'Obras e Acervos'!$B:$X,5,0)</f>
        <v>O MENINO PARAFUSO</v>
      </c>
      <c r="H446">
        <f>VLOOKUP($B446,'Obras e Acervos'!$B:$X,18,0)</f>
        <v>8</v>
      </c>
      <c r="I446">
        <f>VLOOKUP($B446,'Obras e Acervos'!$B:$X,19,0)</f>
        <v>33331</v>
      </c>
      <c r="J446" s="42">
        <f>VLOOKUP($B446,'Obras e Acervos'!$B:$X,20,0)</f>
        <v>4133.0439999999999</v>
      </c>
      <c r="K446" s="31">
        <f>VLOOKUP($B446,'Obras e Acervos'!$B:$X,21,0)</f>
        <v>6.83</v>
      </c>
      <c r="L446" s="31">
        <f t="shared" si="61"/>
        <v>227650.73</v>
      </c>
      <c r="M446" s="1">
        <v>46090</v>
      </c>
      <c r="N446" s="1">
        <f t="shared" si="60"/>
        <v>46305</v>
      </c>
      <c r="O446">
        <f t="shared" si="62"/>
        <v>216</v>
      </c>
      <c r="P446" s="49">
        <f t="shared" si="66"/>
        <v>7.2</v>
      </c>
      <c r="Q446" s="34">
        <f>VLOOKUP($G446,Agendamento!$B:$F,5,0)</f>
        <v>5</v>
      </c>
      <c r="R446" s="36">
        <f t="shared" si="63"/>
        <v>34</v>
      </c>
      <c r="S446" s="44">
        <v>2.5499999999999998</v>
      </c>
      <c r="T446" s="44">
        <f t="shared" si="64"/>
        <v>18727.199999999997</v>
      </c>
      <c r="U446" t="s">
        <v>5302</v>
      </c>
      <c r="V446" t="str">
        <f t="shared" si="65"/>
        <v>NF/64307304_20260309_nf_18.pdf</v>
      </c>
      <c r="W446" s="32" t="str">
        <f t="shared" si="67"/>
        <v>NF - O MENINO PARAFUSO</v>
      </c>
      <c r="X446" t="s">
        <v>5591</v>
      </c>
    </row>
    <row r="447" spans="1:24" x14ac:dyDescent="0.25">
      <c r="A447" t="str">
        <f>CONCATENATE(D447,"_",TEXT(M447,"ddmmaaaa"),"_",COUNTIF($D$2:D447,D447))</f>
        <v>334617510001-64_09032026_2</v>
      </c>
      <c r="B447" t="str">
        <f>CONCATENATE(Analise!D447,"_",COUNTIF(Analise!$D$2:D447,Analise!D447)-1)</f>
        <v>334617510001-64_1</v>
      </c>
      <c r="C447" s="34">
        <f>COUNTIF('Obras e Acervos'!$C:$C,CONCATENATE(LEFT(D447,12),RIGHT(D447,2)))</f>
        <v>2</v>
      </c>
      <c r="D447" s="35" t="s">
        <v>4504</v>
      </c>
      <c r="E447" t="str">
        <f>VLOOKUP($B447,'Obras e Acervos'!$B:$X,3,0)</f>
        <v>D. PADILHA ESTÚDIO EDITORIAL-LITERATURA DE COLO EDITORA</v>
      </c>
      <c r="F447" t="str">
        <f>VLOOKUP($B447,'Obras e Acervos'!$B:$X,7,0)</f>
        <v>0580L23000030LE</v>
      </c>
      <c r="G447" t="str">
        <f>VLOOKUP($B447,'Obras e Acervos'!$B:$X,5,0)</f>
        <v>ALFABETO ESCALAFOBÉTICO</v>
      </c>
      <c r="H447">
        <f>VLOOKUP($B447,'Obras e Acervos'!$B:$X,18,0)</f>
        <v>8</v>
      </c>
      <c r="I447">
        <f>VLOOKUP($B447,'Obras e Acervos'!$B:$X,19,0)</f>
        <v>35210</v>
      </c>
      <c r="J447" s="42">
        <f>VLOOKUP($B447,'Obras e Acervos'!$B:$X,20,0)</f>
        <v>4225.2</v>
      </c>
      <c r="K447" s="31">
        <f>VLOOKUP($B447,'Obras e Acervos'!$B:$X,21,0)</f>
        <v>6.78</v>
      </c>
      <c r="L447" s="31">
        <f t="shared" si="61"/>
        <v>238723.80000000002</v>
      </c>
      <c r="M447" s="1">
        <v>46090</v>
      </c>
      <c r="N447" s="1">
        <f t="shared" si="60"/>
        <v>46305</v>
      </c>
      <c r="O447">
        <f t="shared" si="62"/>
        <v>216</v>
      </c>
      <c r="P447" s="49">
        <f t="shared" si="66"/>
        <v>7.2</v>
      </c>
      <c r="Q447" s="34">
        <f>VLOOKUP($G447,Agendamento!$B:$F,5,0)</f>
        <v>7</v>
      </c>
      <c r="R447" s="36">
        <f t="shared" si="63"/>
        <v>36</v>
      </c>
      <c r="S447" s="44">
        <v>2.5499999999999998</v>
      </c>
      <c r="T447" s="44">
        <f t="shared" si="64"/>
        <v>19828.8</v>
      </c>
      <c r="U447" t="s">
        <v>5295</v>
      </c>
      <c r="V447" t="str">
        <f t="shared" si="65"/>
        <v>NF/64307304_20260309_nf_19.pdf</v>
      </c>
      <c r="W447" s="32" t="str">
        <f t="shared" si="67"/>
        <v>NF - ALFABETO ESCALAFOBÉTICO</v>
      </c>
      <c r="X447" t="s">
        <v>5591</v>
      </c>
    </row>
    <row r="448" spans="1:24" x14ac:dyDescent="0.25">
      <c r="A448" t="str">
        <f>CONCATENATE(D448,"_",TEXT(M448,"ddmmaaaa"),"_",COUNTIF($D$2:D448,D448))</f>
        <v>130421920001-40_09032026_2</v>
      </c>
      <c r="B448" t="str">
        <f>CONCATENATE(Analise!D448,"_",COUNTIF(Analise!$D$2:D448,Analise!D448)-1)</f>
        <v>130421920001-40_1</v>
      </c>
      <c r="C448" s="34">
        <f>COUNTIF('Obras e Acervos'!$C:$C,CONCATENATE(LEFT(D448,12),RIGHT(D448,2)))</f>
        <v>2</v>
      </c>
      <c r="D448" s="35" t="s">
        <v>4651</v>
      </c>
      <c r="E448" t="str">
        <f>VLOOKUP($B448,'Obras e Acervos'!$B:$X,3,0)</f>
        <v>PROMOBOOK EDITORIAL DE LIVROS E PRODUTOS EDUCATIVOS EIRELI-PROMOBOOK</v>
      </c>
      <c r="F448" t="str">
        <f>VLOOKUP($B448,'Obras e Acervos'!$B:$X,7,0)</f>
        <v>0713L23000030LE</v>
      </c>
      <c r="G448" t="str">
        <f>VLOOKUP($B448,'Obras e Acervos'!$B:$X,5,0)</f>
        <v>A PRINCESA QUE MORA NO LIVRO</v>
      </c>
      <c r="H448">
        <f>VLOOKUP($B448,'Obras e Acervos'!$B:$X,18,0)</f>
        <v>6</v>
      </c>
      <c r="I448">
        <f>VLOOKUP($B448,'Obras e Acervos'!$B:$X,19,0)</f>
        <v>45370</v>
      </c>
      <c r="J448" s="42">
        <f>VLOOKUP($B448,'Obras e Acervos'!$B:$X,20,0)</f>
        <v>4355.5200000000004</v>
      </c>
      <c r="K448" s="31">
        <f>VLOOKUP($B448,'Obras e Acervos'!$B:$X,21,0)</f>
        <v>5.84</v>
      </c>
      <c r="L448" s="31">
        <f t="shared" si="61"/>
        <v>264960.8</v>
      </c>
      <c r="M448" s="1">
        <v>46090</v>
      </c>
      <c r="N448" s="1">
        <f t="shared" si="60"/>
        <v>46305</v>
      </c>
      <c r="O448">
        <f t="shared" si="62"/>
        <v>216</v>
      </c>
      <c r="P448" s="49">
        <f t="shared" si="66"/>
        <v>7.2</v>
      </c>
      <c r="Q448" s="34">
        <f>VLOOKUP($G448,Agendamento!$B:$F,5,0)</f>
        <v>5</v>
      </c>
      <c r="R448" s="36">
        <f t="shared" si="63"/>
        <v>46</v>
      </c>
      <c r="S448" s="44">
        <v>2.5499999999999998</v>
      </c>
      <c r="T448" s="44">
        <f t="shared" si="64"/>
        <v>25336.799999999999</v>
      </c>
      <c r="U448" t="s">
        <v>5305</v>
      </c>
      <c r="V448" t="str">
        <f t="shared" si="65"/>
        <v>NF/64307304_20260309_nf_20.pdf</v>
      </c>
      <c r="W448" s="32" t="str">
        <f t="shared" si="67"/>
        <v>NF - A PRINCESA QUE MORA NO LIVRO</v>
      </c>
      <c r="X448" t="s">
        <v>5591</v>
      </c>
    </row>
    <row r="449" spans="1:24" x14ac:dyDescent="0.25">
      <c r="A449" t="str">
        <f>CONCATENATE(D449,"_",TEXT(M449,"ddmmaaaa"),"_",COUNTIF($D$2:D449,D449))</f>
        <v>293414670001-87_09032026_2</v>
      </c>
      <c r="B449" t="str">
        <f>CONCATENATE(Analise!D449,"_",COUNTIF(Analise!$D$2:D449,Analise!D449)-1)</f>
        <v>293414670001-87_1</v>
      </c>
      <c r="C449" s="34">
        <f>COUNTIF('Obras e Acervos'!$C:$C,CONCATENATE(LEFT(D449,12),RIGHT(D449,2)))</f>
        <v>2</v>
      </c>
      <c r="D449" s="35" t="s">
        <v>4728</v>
      </c>
      <c r="E449" t="str">
        <f>VLOOKUP($B449,'Obras e Acervos'!$B:$X,3,0)</f>
        <v>EDITORA ESTRELA CULTURAL LTDA-EDITORA ESTRELA CULTURAL</v>
      </c>
      <c r="F449" t="str">
        <f>VLOOKUP($B449,'Obras e Acervos'!$B:$X,7,0)</f>
        <v>0545L23000030LE</v>
      </c>
      <c r="G449" t="str">
        <f>VLOOKUP($B449,'Obras e Acervos'!$B:$X,5,0)</f>
        <v>GRANDE CIRCO FAVELA</v>
      </c>
      <c r="H449">
        <f>VLOOKUP($B449,'Obras e Acervos'!$B:$X,18,0)</f>
        <v>7</v>
      </c>
      <c r="I449">
        <f>VLOOKUP($B449,'Obras e Acervos'!$B:$X,19,0)</f>
        <v>33404</v>
      </c>
      <c r="J449" s="42">
        <f>VLOOKUP($B449,'Obras e Acervos'!$B:$X,20,0)</f>
        <v>3206.7840000000001</v>
      </c>
      <c r="K449" s="31">
        <f>VLOOKUP($B449,'Obras e Acervos'!$B:$X,21,0)</f>
        <v>6.83</v>
      </c>
      <c r="L449" s="31">
        <f t="shared" si="61"/>
        <v>228149.32</v>
      </c>
      <c r="M449" s="1">
        <v>46090</v>
      </c>
      <c r="N449" s="1">
        <f t="shared" si="60"/>
        <v>46305</v>
      </c>
      <c r="O449">
        <f t="shared" si="62"/>
        <v>216</v>
      </c>
      <c r="P449" s="49">
        <f t="shared" si="66"/>
        <v>7.2</v>
      </c>
      <c r="Q449" s="34">
        <f>VLOOKUP($G449,Agendamento!$B:$F,5,0)</f>
        <v>5</v>
      </c>
      <c r="R449" s="36">
        <f t="shared" si="63"/>
        <v>34</v>
      </c>
      <c r="S449" s="44">
        <v>2.5499999999999998</v>
      </c>
      <c r="T449" s="44">
        <f t="shared" si="64"/>
        <v>18727.199999999997</v>
      </c>
      <c r="U449" t="s">
        <v>5298</v>
      </c>
      <c r="V449" t="str">
        <f t="shared" si="65"/>
        <v>NF/64307304_20260309_nf_21.pdf</v>
      </c>
      <c r="W449" s="32" t="str">
        <f t="shared" si="67"/>
        <v>NF - GRANDE CIRCO FAVELA</v>
      </c>
      <c r="X449" t="s">
        <v>5591</v>
      </c>
    </row>
    <row r="450" spans="1:24" x14ac:dyDescent="0.25">
      <c r="A450" t="str">
        <f>CONCATENATE(D450,"_",TEXT(M450,"ddmmaaaa"),"_",COUNTIF($D$2:D450,D450))</f>
        <v>433983000001-83_10032026_2</v>
      </c>
      <c r="B450" t="str">
        <f>CONCATENATE(Analise!D450,"_",COUNTIF(Analise!$D$2:D450,Analise!D450)-1)</f>
        <v>433983000001-83_1</v>
      </c>
      <c r="C450" s="34">
        <f>COUNTIF('Obras e Acervos'!$C:$C,CONCATENATE(LEFT(D450,12),RIGHT(D450,2)))</f>
        <v>2</v>
      </c>
      <c r="D450" s="35" t="s">
        <v>4774</v>
      </c>
      <c r="E450" t="str">
        <f>VLOOKUP($B450,'Obras e Acervos'!$B:$X,3,0)</f>
        <v>MARIE EDITORA LTDA-MARIE EDITORA</v>
      </c>
      <c r="F450" t="str">
        <f>VLOOKUP($B450,'Obras e Acervos'!$B:$X,7,0)</f>
        <v>0479L23000030LE</v>
      </c>
      <c r="G450" t="str">
        <f>VLOOKUP($B450,'Obras e Acervos'!$B:$X,5,0)</f>
        <v>QUADRINHAS DIVERTIDAS</v>
      </c>
      <c r="H450">
        <f>VLOOKUP($B450,'Obras e Acervos'!$B:$X,18,0)</f>
        <v>6</v>
      </c>
      <c r="I450">
        <f>VLOOKUP($B450,'Obras e Acervos'!$B:$X,19,0)</f>
        <v>40477</v>
      </c>
      <c r="J450" s="42">
        <f>VLOOKUP($B450,'Obras e Acervos'!$B:$X,20,0)</f>
        <v>6071.55</v>
      </c>
      <c r="K450" s="31">
        <f>VLOOKUP($B450,'Obras e Acervos'!$B:$X,21,0)</f>
        <v>7.09</v>
      </c>
      <c r="L450" s="31">
        <f t="shared" si="61"/>
        <v>286981.93</v>
      </c>
      <c r="M450" s="1">
        <v>46091</v>
      </c>
      <c r="N450" s="1">
        <f t="shared" ref="N450:N513" si="68">$AB$2</f>
        <v>46305</v>
      </c>
      <c r="O450">
        <f t="shared" si="62"/>
        <v>215</v>
      </c>
      <c r="P450" s="49">
        <f t="shared" si="66"/>
        <v>7.166666666666667</v>
      </c>
      <c r="Q450" s="34">
        <f>VLOOKUP($G450,Agendamento!$B:$F,5,0)</f>
        <v>7</v>
      </c>
      <c r="R450" s="36">
        <f t="shared" si="63"/>
        <v>41</v>
      </c>
      <c r="S450" s="44">
        <v>2.5499999999999998</v>
      </c>
      <c r="T450" s="44">
        <f t="shared" si="64"/>
        <v>22478.25</v>
      </c>
      <c r="U450" t="s">
        <v>5314</v>
      </c>
      <c r="V450" t="str">
        <f t="shared" si="65"/>
        <v>NF/64307304_20260310_nf_01.pdf</v>
      </c>
      <c r="W450" s="32" t="str">
        <f t="shared" si="67"/>
        <v>NF - QUADRINHAS DIVERTIDAS</v>
      </c>
      <c r="X450" t="s">
        <v>5591</v>
      </c>
    </row>
    <row r="451" spans="1:24" x14ac:dyDescent="0.25">
      <c r="A451" t="str">
        <f>CONCATENATE(D451,"_",TEXT(M451,"ddmmaaaa"),"_",COUNTIF($D$2:D451,D451))</f>
        <v>016001270001-04_10032026_2</v>
      </c>
      <c r="B451" t="str">
        <f>CONCATENATE(Analise!D451,"_",COUNTIF(Analise!$D$2:D451,Analise!D451)-1)</f>
        <v>016001270001-04_1</v>
      </c>
      <c r="C451" s="34">
        <f>COUNTIF('Obras e Acervos'!$C:$C,CONCATENATE(LEFT(D451,12),RIGHT(D451,2)))</f>
        <v>2</v>
      </c>
      <c r="D451" s="35" t="s">
        <v>4676</v>
      </c>
      <c r="E451" t="str">
        <f>VLOOKUP($B451,'Obras e Acervos'!$B:$X,3,0)</f>
        <v>ÁGAPE PRODUÇÕES DIDÁTICAS E LITERÁRIAS EIRELI-EDITORA FLOREAR LIVROS</v>
      </c>
      <c r="F451" t="str">
        <f>VLOOKUP($B451,'Obras e Acervos'!$B:$X,7,0)</f>
        <v>0703L23000030LE</v>
      </c>
      <c r="G451" t="str">
        <f>VLOOKUP($B451,'Obras e Acervos'!$B:$X,5,0)</f>
        <v>MELHORES AMIGOS</v>
      </c>
      <c r="H451">
        <f>VLOOKUP($B451,'Obras e Acervos'!$B:$X,18,0)</f>
        <v>7</v>
      </c>
      <c r="I451">
        <f>VLOOKUP($B451,'Obras e Acervos'!$B:$X,19,0)</f>
        <v>34449</v>
      </c>
      <c r="J451" s="42">
        <f>VLOOKUP($B451,'Obras e Acervos'!$B:$X,20,0)</f>
        <v>4685.0640000000003</v>
      </c>
      <c r="K451" s="31">
        <f>VLOOKUP($B451,'Obras e Acervos'!$B:$X,21,0)</f>
        <v>7.7</v>
      </c>
      <c r="L451" s="31">
        <f t="shared" ref="L451:L514" si="69">K451*I451</f>
        <v>265257.3</v>
      </c>
      <c r="M451" s="1">
        <v>46091</v>
      </c>
      <c r="N451" s="1">
        <f t="shared" si="68"/>
        <v>46305</v>
      </c>
      <c r="O451">
        <f t="shared" ref="O451:O514" si="70">IF(M451="",0,(N451-M451)+1)</f>
        <v>215</v>
      </c>
      <c r="P451" s="49">
        <f t="shared" si="66"/>
        <v>7.166666666666667</v>
      </c>
      <c r="Q451" s="34">
        <f>VLOOKUP($G451,Agendamento!$B:$F,5,0)</f>
        <v>6</v>
      </c>
      <c r="R451" s="36">
        <f t="shared" ref="R451:R514" si="71">IF(U451="",0,ROUNDUP($I451/1000,0))</f>
        <v>35</v>
      </c>
      <c r="S451" s="44">
        <v>2.5499999999999998</v>
      </c>
      <c r="T451" s="44">
        <f t="shared" ref="T451:T514" si="72">O451*R451*S451</f>
        <v>19188.75</v>
      </c>
      <c r="U451" t="s">
        <v>5311</v>
      </c>
      <c r="V451" t="str">
        <f t="shared" ref="V451:V514" si="73">CONCATENATE("NF/",U451)</f>
        <v>NF/64307304_20260310_nf_02.pdf</v>
      </c>
      <c r="W451" s="32" t="str">
        <f t="shared" si="67"/>
        <v>NF - MELHORES AMIGOS</v>
      </c>
      <c r="X451" t="s">
        <v>5591</v>
      </c>
    </row>
    <row r="452" spans="1:24" x14ac:dyDescent="0.25">
      <c r="A452" t="str">
        <f>CONCATENATE(D452,"_",TEXT(M452,"ddmmaaaa"),"_",COUNTIF($D$2:D452,D452))</f>
        <v>192410260001-50_10032026_2</v>
      </c>
      <c r="B452" t="str">
        <f>CONCATENATE(Analise!D452,"_",COUNTIF(Analise!$D$2:D452,Analise!D452)-1)</f>
        <v>192410260001-50_1</v>
      </c>
      <c r="C452" s="34">
        <f>COUNTIF('Obras e Acervos'!$C:$C,CONCATENATE(LEFT(D452,12),RIGHT(D452,2)))</f>
        <v>2</v>
      </c>
      <c r="D452" s="35" t="s">
        <v>4752</v>
      </c>
      <c r="E452" t="str">
        <f>VLOOKUP($B452,'Obras e Acervos'!$B:$X,3,0)</f>
        <v>FERNANDES &amp; WARTH EDITORA E DISTRIBUIDORA LTDA.-PALLAS MÍNI</v>
      </c>
      <c r="F452" t="str">
        <f>VLOOKUP($B452,'Obras e Acervos'!$B:$X,7,0)</f>
        <v>0938L23000030LE</v>
      </c>
      <c r="G452" t="str">
        <f>VLOOKUP($B452,'Obras e Acervos'!$B:$X,5,0)</f>
        <v>O CONVIDADOR DE PIRILAMPOS</v>
      </c>
      <c r="H452">
        <f>VLOOKUP($B452,'Obras e Acervos'!$B:$X,18,0)</f>
        <v>1</v>
      </c>
      <c r="I452">
        <f>VLOOKUP($B452,'Obras e Acervos'!$B:$X,19,0)</f>
        <v>48444</v>
      </c>
      <c r="J452" s="42">
        <f>VLOOKUP($B452,'Obras e Acervos'!$B:$X,20,0)</f>
        <v>8380.8119999999999</v>
      </c>
      <c r="K452" s="31">
        <f>VLOOKUP($B452,'Obras e Acervos'!$B:$X,21,0)</f>
        <v>7.71</v>
      </c>
      <c r="L452" s="31">
        <f t="shared" si="69"/>
        <v>373503.24</v>
      </c>
      <c r="M452" s="1">
        <v>46091</v>
      </c>
      <c r="N452" s="1">
        <f t="shared" si="68"/>
        <v>46305</v>
      </c>
      <c r="O452">
        <f t="shared" si="70"/>
        <v>215</v>
      </c>
      <c r="P452" s="49">
        <f t="shared" si="66"/>
        <v>7.166666666666667</v>
      </c>
      <c r="Q452" s="34">
        <f>VLOOKUP($G452,Agendamento!$B:$F,5,0)</f>
        <v>12</v>
      </c>
      <c r="R452" s="36">
        <f t="shared" si="71"/>
        <v>49</v>
      </c>
      <c r="S452" s="44">
        <v>2.5499999999999998</v>
      </c>
      <c r="T452" s="44">
        <f t="shared" si="72"/>
        <v>26864.249999999996</v>
      </c>
      <c r="U452" t="s">
        <v>5309</v>
      </c>
      <c r="V452" t="str">
        <f t="shared" si="73"/>
        <v>NF/64307304_20260310_nf_03.pdf</v>
      </c>
      <c r="W452" s="32" t="str">
        <f t="shared" si="67"/>
        <v>NF - O CONVIDADOR DE PIRILAMPOS</v>
      </c>
      <c r="X452" t="s">
        <v>5591</v>
      </c>
    </row>
    <row r="453" spans="1:24" x14ac:dyDescent="0.25">
      <c r="A453" t="str">
        <f>CONCATENATE(D453,"_",TEXT(M453,"ddmmaaaa"),"_",COUNTIF($D$2:D453,D453))</f>
        <v>415730170001-15_10032026_1</v>
      </c>
      <c r="B453" t="str">
        <f>CONCATENATE(Analise!D453,"_",COUNTIF(Analise!$D$2:D453,Analise!D453))</f>
        <v>415730170001-15_1</v>
      </c>
      <c r="C453" s="34">
        <f>COUNTIF('Obras e Acervos'!$C:$C,CONCATENATE(LEFT(D453,12),RIGHT(D453,2)))</f>
        <v>1</v>
      </c>
      <c r="D453" s="35" t="s">
        <v>4775</v>
      </c>
      <c r="E453" t="str">
        <f>VLOOKUP($B453,'Obras e Acervos'!$B:$X,3,0)</f>
        <v>EDITORA ENIGMA DO TEMPO LTDA-ENIGMA DO TEMPO</v>
      </c>
      <c r="F453" t="str">
        <f>VLOOKUP($B453,'Obras e Acervos'!$B:$X,7,0)</f>
        <v>1257L23000020LE</v>
      </c>
      <c r="G453" t="str">
        <f>VLOOKUP($B453,'Obras e Acervos'!$B:$X,5,0)</f>
        <v>IEMANJÁ</v>
      </c>
      <c r="H453">
        <f>VLOOKUP($B453,'Obras e Acervos'!$B:$X,18,0)</f>
        <v>17</v>
      </c>
      <c r="I453">
        <f>VLOOKUP($B453,'Obras e Acervos'!$B:$X,19,0)</f>
        <v>28338</v>
      </c>
      <c r="J453" s="42">
        <f>VLOOKUP($B453,'Obras e Acervos'!$B:$X,20,0)</f>
        <v>3683.94</v>
      </c>
      <c r="K453" s="31">
        <f>VLOOKUP($B453,'Obras e Acervos'!$B:$X,21,0)</f>
        <v>6.9</v>
      </c>
      <c r="L453" s="31">
        <f t="shared" si="69"/>
        <v>195532.2</v>
      </c>
      <c r="M453" s="1">
        <v>46091</v>
      </c>
      <c r="N453" s="1">
        <f t="shared" si="68"/>
        <v>46305</v>
      </c>
      <c r="O453">
        <f t="shared" si="70"/>
        <v>215</v>
      </c>
      <c r="P453" s="49">
        <f t="shared" si="66"/>
        <v>7.166666666666667</v>
      </c>
      <c r="Q453" s="34">
        <f>VLOOKUP($G453,Agendamento!$B:$F,5,0)</f>
        <v>5</v>
      </c>
      <c r="R453" s="36">
        <f t="shared" si="71"/>
        <v>29</v>
      </c>
      <c r="S453" s="44">
        <v>2.5499999999999998</v>
      </c>
      <c r="T453" s="44">
        <f t="shared" si="72"/>
        <v>15899.249999999998</v>
      </c>
      <c r="U453" t="s">
        <v>5307</v>
      </c>
      <c r="V453" t="str">
        <f t="shared" si="73"/>
        <v>NF/64307304_20260310_nf_05.pdf</v>
      </c>
      <c r="W453" s="32" t="str">
        <f t="shared" si="67"/>
        <v>NF - IEMANJÁ</v>
      </c>
      <c r="X453" t="s">
        <v>5591</v>
      </c>
    </row>
    <row r="454" spans="1:24" x14ac:dyDescent="0.25">
      <c r="A454" t="str">
        <f>CONCATENATE(D454,"_",TEXT(M454,"ddmmaaaa"),"_",COUNTIF($D$2:D454,D454))</f>
        <v>404984990001-23_10032026_1</v>
      </c>
      <c r="B454" t="str">
        <f>CONCATENATE(Analise!D454,"_",COUNTIF(Analise!$D$2:D454,Analise!D454)+1)</f>
        <v>404984990001-23_2</v>
      </c>
      <c r="C454" s="34">
        <f>COUNTIF('Obras e Acervos'!$C:$C,CONCATENATE(LEFT(D454,12),RIGHT(D454,2)))</f>
        <v>2</v>
      </c>
      <c r="D454" s="35" t="s">
        <v>4778</v>
      </c>
      <c r="E454" t="str">
        <f>VLOOKUP($B454,'Obras e Acervos'!$B:$X,3,0)</f>
        <v>INSTITUTO CULTURAL ALETRIA LTDA -CAFUNE EDIÇÕES</v>
      </c>
      <c r="F454" t="str">
        <f>VLOOKUP($B454,'Obras e Acervos'!$B:$X,7,0)</f>
        <v>0816L23000020LE</v>
      </c>
      <c r="G454" t="str">
        <f>VLOOKUP($B454,'Obras e Acervos'!$B:$X,5,0)</f>
        <v>QUIQUINHO E PIOPIO: CORDEL DO ACORDO FEITO E FIRMADO ENTRE MENINO E PASSARINHO</v>
      </c>
      <c r="H454">
        <f>VLOOKUP($B454,'Obras e Acervos'!$B:$X,18,0)</f>
        <v>15</v>
      </c>
      <c r="I454">
        <f>VLOOKUP($B454,'Obras e Acervos'!$B:$X,19,0)</f>
        <v>33064</v>
      </c>
      <c r="J454" s="42">
        <f>VLOOKUP($B454,'Obras e Acervos'!$B:$X,20,0)</f>
        <v>5951.5199999999995</v>
      </c>
      <c r="K454" s="31">
        <f>VLOOKUP($B454,'Obras e Acervos'!$B:$X,21,0)</f>
        <v>6.4</v>
      </c>
      <c r="L454" s="31">
        <f t="shared" si="69"/>
        <v>211609.60000000001</v>
      </c>
      <c r="M454" s="1">
        <v>46091</v>
      </c>
      <c r="N454" s="1">
        <f t="shared" si="68"/>
        <v>46305</v>
      </c>
      <c r="O454">
        <f t="shared" si="70"/>
        <v>215</v>
      </c>
      <c r="P454" s="49">
        <f t="shared" si="66"/>
        <v>7.166666666666667</v>
      </c>
      <c r="Q454" s="34">
        <f>VLOOKUP($G454,Agendamento!$B:$F,5,0)</f>
        <v>5</v>
      </c>
      <c r="R454" s="36">
        <f t="shared" si="71"/>
        <v>34</v>
      </c>
      <c r="S454" s="44">
        <v>2.5499999999999998</v>
      </c>
      <c r="T454" s="44">
        <f t="shared" si="72"/>
        <v>18640.5</v>
      </c>
      <c r="U454" t="s">
        <v>5317</v>
      </c>
      <c r="V454" t="str">
        <f t="shared" si="73"/>
        <v>NF/64307304_20260310_nf_07.pdf</v>
      </c>
      <c r="W454" s="32" t="str">
        <f t="shared" si="67"/>
        <v>NF - QUIQUINHO E PIOPIO: CORDEL DO ACORDO FEITO E FIRMADO ENTRE MENINO E PASSARINHO</v>
      </c>
      <c r="X454" t="s">
        <v>5591</v>
      </c>
    </row>
    <row r="455" spans="1:24" x14ac:dyDescent="0.25">
      <c r="A455" t="str">
        <f>CONCATENATE(D455,"_",TEXT(M455,"ddmmaaaa"),"_",COUNTIF($D$2:D455,D455))</f>
        <v>084891540001-09_10032026_1</v>
      </c>
      <c r="B455" t="str">
        <f>CONCATENATE(Analise!D455,"_",COUNTIF(Analise!$D$2:D455,Analise!D455))</f>
        <v>084891540001-09_1</v>
      </c>
      <c r="C455" s="34">
        <f>COUNTIF('Obras e Acervos'!$C:$C,CONCATENATE(LEFT(D455,12),RIGHT(D455,2)))</f>
        <v>1</v>
      </c>
      <c r="D455" s="35" t="s">
        <v>4777</v>
      </c>
      <c r="E455" t="str">
        <f>VLOOKUP($B455,'Obras e Acervos'!$B:$X,3,0)</f>
        <v>MARIETA EDITORA E GRAFICA LTDA-</v>
      </c>
      <c r="F455" t="str">
        <f>VLOOKUP($B455,'Obras e Acervos'!$B:$X,7,0)</f>
        <v>0443L23000020LE</v>
      </c>
      <c r="G455" t="str">
        <f>VLOOKUP($B455,'Obras e Acervos'!$B:$X,5,0)</f>
        <v>SOCORRO, PIRATAS!</v>
      </c>
      <c r="H455">
        <f>VLOOKUP($B455,'Obras e Acervos'!$B:$X,18,0)</f>
        <v>22</v>
      </c>
      <c r="I455">
        <f>VLOOKUP($B455,'Obras e Acervos'!$B:$X,19,0)</f>
        <v>23889</v>
      </c>
      <c r="J455" s="42">
        <f>VLOOKUP($B455,'Obras e Acervos'!$B:$X,20,0)</f>
        <v>3105.57</v>
      </c>
      <c r="K455" s="31">
        <f>VLOOKUP($B455,'Obras e Acervos'!$B:$X,21,0)</f>
        <v>7.52</v>
      </c>
      <c r="L455" s="31">
        <f t="shared" si="69"/>
        <v>179645.28</v>
      </c>
      <c r="M455" s="1">
        <v>46091</v>
      </c>
      <c r="N455" s="1">
        <f t="shared" si="68"/>
        <v>46305</v>
      </c>
      <c r="O455">
        <f t="shared" si="70"/>
        <v>215</v>
      </c>
      <c r="P455" s="49">
        <f t="shared" si="66"/>
        <v>7.166666666666667</v>
      </c>
      <c r="Q455" s="34">
        <f>VLOOKUP($G455,Agendamento!$B:$F,5,0)</f>
        <v>4</v>
      </c>
      <c r="R455" s="36">
        <f t="shared" si="71"/>
        <v>24</v>
      </c>
      <c r="S455" s="44">
        <v>2.5499999999999998</v>
      </c>
      <c r="T455" s="44">
        <f t="shared" si="72"/>
        <v>13157.999999999998</v>
      </c>
      <c r="U455" t="s">
        <v>5313</v>
      </c>
      <c r="V455" t="str">
        <f t="shared" si="73"/>
        <v>NF/64307304_20260310_nf_09.pdf</v>
      </c>
      <c r="W455" s="32" t="str">
        <f t="shared" si="67"/>
        <v>NF - SOCORRO, PIRATAS!</v>
      </c>
      <c r="X455" t="s">
        <v>5591</v>
      </c>
    </row>
    <row r="456" spans="1:24" x14ac:dyDescent="0.25">
      <c r="A456" t="str">
        <f>CONCATENATE(D456,"_",TEXT(M456,"ddmmaaaa"),"_",COUNTIF($D$2:D456,D456))</f>
        <v>421578060001-38_10032026_1</v>
      </c>
      <c r="B456" t="str">
        <f>CONCATENATE(Analise!D456,"_",COUNTIF(Analise!$D$2:D456,Analise!D456)+1)</f>
        <v>421578060001-38_2</v>
      </c>
      <c r="C456" s="34">
        <f>COUNTIF('Obras e Acervos'!$C:$C,CONCATENATE(LEFT(D456,12),RIGHT(D456,2)))</f>
        <v>2</v>
      </c>
      <c r="D456" s="35" t="s">
        <v>4776</v>
      </c>
      <c r="E456" t="str">
        <f>VLOOKUP($B456,'Obras e Acervos'!$B:$X,3,0)</f>
        <v>ARACARI EDITORA E ASSESSORIA LTDA -ARACARI EDITORIAL</v>
      </c>
      <c r="F456" t="str">
        <f>VLOOKUP($B456,'Obras e Acervos'!$B:$X,7,0)</f>
        <v>0953L23000020LE</v>
      </c>
      <c r="G456" t="str">
        <f>VLOOKUP($B456,'Obras e Acervos'!$B:$X,5,0)</f>
        <v>CLÉO E O MAPINGUARI</v>
      </c>
      <c r="H456">
        <f>VLOOKUP($B456,'Obras e Acervos'!$B:$X,18,0)</f>
        <v>17</v>
      </c>
      <c r="I456">
        <f>VLOOKUP($B456,'Obras e Acervos'!$B:$X,19,0)</f>
        <v>27004</v>
      </c>
      <c r="J456" s="42">
        <f>VLOOKUP($B456,'Obras e Acervos'!$B:$X,20,0)</f>
        <v>3510.52</v>
      </c>
      <c r="K456" s="31">
        <f>VLOOKUP($B456,'Obras e Acervos'!$B:$X,21,0)</f>
        <v>7.82</v>
      </c>
      <c r="L456" s="31">
        <f t="shared" si="69"/>
        <v>211171.28</v>
      </c>
      <c r="M456" s="1">
        <v>46091</v>
      </c>
      <c r="N456" s="1">
        <f t="shared" si="68"/>
        <v>46305</v>
      </c>
      <c r="O456">
        <f t="shared" si="70"/>
        <v>215</v>
      </c>
      <c r="P456" s="49">
        <f t="shared" si="66"/>
        <v>7.166666666666667</v>
      </c>
      <c r="Q456" s="34">
        <f>VLOOKUP($G456,Agendamento!$B:$F,5,0)</f>
        <v>5</v>
      </c>
      <c r="R456" s="36">
        <f t="shared" si="71"/>
        <v>28</v>
      </c>
      <c r="S456" s="44">
        <v>2.5499999999999998</v>
      </c>
      <c r="T456" s="44">
        <f t="shared" si="72"/>
        <v>15350.999999999998</v>
      </c>
      <c r="U456" t="s">
        <v>5312</v>
      </c>
      <c r="V456" t="str">
        <f t="shared" si="73"/>
        <v>NF/64307304_20260310_nf_10.pdf</v>
      </c>
      <c r="W456" s="32" t="str">
        <f t="shared" si="67"/>
        <v>NF - CLÉO E O MAPINGUARI</v>
      </c>
      <c r="X456" t="s">
        <v>5591</v>
      </c>
    </row>
    <row r="457" spans="1:24" x14ac:dyDescent="0.25">
      <c r="A457" t="str">
        <f>CONCATENATE(D457,"_",TEXT(M457,"ddmmaaaa"),"_",COUNTIF($D$2:D457,D457))</f>
        <v>409978130001-12_10032026_2</v>
      </c>
      <c r="B457" t="str">
        <f>CONCATENATE(Analise!D457,"_",COUNTIF(Analise!$D$2:D457,Analise!D457)-1)</f>
        <v>409978130001-12_1</v>
      </c>
      <c r="C457" s="34">
        <f>COUNTIF('Obras e Acervos'!$C:$C,CONCATENATE(LEFT(D457,12),RIGHT(D457,2)))</f>
        <v>2</v>
      </c>
      <c r="D457" s="35" t="s">
        <v>4713</v>
      </c>
      <c r="E457" t="str">
        <f>VLOOKUP($B457,'Obras e Acervos'!$B:$X,3,0)</f>
        <v>BELA BRAVA CULTURAL LTDA.-EDITORA BELA BRAVA</v>
      </c>
      <c r="F457" t="str">
        <f>VLOOKUP($B457,'Obras e Acervos'!$B:$X,7,0)</f>
        <v>1252L23000030LE</v>
      </c>
      <c r="G457" t="str">
        <f>VLOOKUP($B457,'Obras e Acervos'!$B:$X,5,0)</f>
        <v>AQUI ONDE EU MORO</v>
      </c>
      <c r="H457">
        <f>VLOOKUP($B457,'Obras e Acervos'!$B:$X,18,0)</f>
        <v>9</v>
      </c>
      <c r="I457">
        <f>VLOOKUP($B457,'Obras e Acervos'!$B:$X,19,0)</f>
        <v>34749</v>
      </c>
      <c r="J457" s="42">
        <f>VLOOKUP($B457,'Obras e Acervos'!$B:$X,20,0)</f>
        <v>6289.5689999999995</v>
      </c>
      <c r="K457" s="31">
        <f>VLOOKUP($B457,'Obras e Acervos'!$B:$X,21,0)</f>
        <v>9.4700000000000006</v>
      </c>
      <c r="L457" s="31">
        <f t="shared" si="69"/>
        <v>329073.03000000003</v>
      </c>
      <c r="M457" s="1">
        <v>46091</v>
      </c>
      <c r="N457" s="1">
        <f t="shared" si="68"/>
        <v>46305</v>
      </c>
      <c r="O457">
        <f t="shared" si="70"/>
        <v>215</v>
      </c>
      <c r="P457" s="49">
        <f t="shared" si="66"/>
        <v>7.166666666666667</v>
      </c>
      <c r="Q457" s="34">
        <f>VLOOKUP($G457,Agendamento!$B:$F,5,0)</f>
        <v>6</v>
      </c>
      <c r="R457" s="36">
        <f t="shared" si="71"/>
        <v>35</v>
      </c>
      <c r="S457" s="44">
        <v>2.5499999999999998</v>
      </c>
      <c r="T457" s="44">
        <f t="shared" si="72"/>
        <v>19188.75</v>
      </c>
      <c r="U457" t="s">
        <v>5320</v>
      </c>
      <c r="V457" t="str">
        <f t="shared" si="73"/>
        <v>NF/64307304_20260310_nf_12.pdf</v>
      </c>
      <c r="W457" s="32" t="str">
        <f t="shared" si="67"/>
        <v>NF - AQUI ONDE EU MORO</v>
      </c>
      <c r="X457" t="s">
        <v>5591</v>
      </c>
    </row>
    <row r="458" spans="1:24" x14ac:dyDescent="0.25">
      <c r="A458" t="str">
        <f>CONCATENATE(D458,"_",TEXT(M458,"ddmmaaaa"),"_",COUNTIF($D$2:D458,D458))</f>
        <v>045219750001-16_10032026_2</v>
      </c>
      <c r="B458" t="str">
        <f>CONCATENATE(Analise!D458,"_",COUNTIF(Analise!$D$2:D458,Analise!D458))</f>
        <v>045219750001-16_2</v>
      </c>
      <c r="C458" s="34">
        <f>COUNTIF('Obras e Acervos'!$C:$C,CONCATENATE(LEFT(D458,12),RIGHT(D458,2)))</f>
        <v>2</v>
      </c>
      <c r="D458" s="35" t="s">
        <v>4764</v>
      </c>
      <c r="E458" t="str">
        <f>VLOOKUP($B458,'Obras e Acervos'!$B:$X,3,0)</f>
        <v>ESTÚDIO CRIADEIRA LTDA ME-CRIADEIRA LIVROS</v>
      </c>
      <c r="F458" t="str">
        <f>VLOOKUP($B458,'Obras e Acervos'!$B:$X,7,0)</f>
        <v>1211L23000020LE</v>
      </c>
      <c r="G458" t="str">
        <f>VLOOKUP($B458,'Obras e Acervos'!$B:$X,5,0)</f>
        <v>JANEIRO BRASILEIRO</v>
      </c>
      <c r="H458">
        <f>VLOOKUP($B458,'Obras e Acervos'!$B:$X,18,0)</f>
        <v>17</v>
      </c>
      <c r="I458">
        <f>VLOOKUP($B458,'Obras e Acervos'!$B:$X,19,0)</f>
        <v>31489</v>
      </c>
      <c r="J458" s="42">
        <f>VLOOKUP($B458,'Obras e Acervos'!$B:$X,20,0)</f>
        <v>5699.509</v>
      </c>
      <c r="K458" s="31">
        <f>VLOOKUP($B458,'Obras e Acervos'!$B:$X,21,0)</f>
        <v>10.17</v>
      </c>
      <c r="L458" s="31">
        <f t="shared" si="69"/>
        <v>320243.13</v>
      </c>
      <c r="M458" s="1">
        <v>46091</v>
      </c>
      <c r="N458" s="1">
        <f t="shared" si="68"/>
        <v>46305</v>
      </c>
      <c r="O458">
        <f t="shared" si="70"/>
        <v>215</v>
      </c>
      <c r="P458" s="49">
        <f t="shared" si="66"/>
        <v>7.166666666666667</v>
      </c>
      <c r="Q458" s="34">
        <f>VLOOKUP($G458,Agendamento!$B:$F,5,0)</f>
        <v>6</v>
      </c>
      <c r="R458" s="36">
        <f t="shared" si="71"/>
        <v>32</v>
      </c>
      <c r="S458" s="44">
        <v>2.5499999999999998</v>
      </c>
      <c r="T458" s="44">
        <f t="shared" si="72"/>
        <v>17544</v>
      </c>
      <c r="U458" t="s">
        <v>5321</v>
      </c>
      <c r="V458" t="str">
        <f t="shared" si="73"/>
        <v>NF/64307304_20260310_nf_15.pdf</v>
      </c>
      <c r="W458" s="32" t="str">
        <f t="shared" si="67"/>
        <v>NF - JANEIRO BRASILEIRO</v>
      </c>
      <c r="X458" t="s">
        <v>5591</v>
      </c>
    </row>
    <row r="459" spans="1:24" x14ac:dyDescent="0.25">
      <c r="A459" t="str">
        <f>CONCATENATE(D459,"_",TEXT(M459,"ddmmaaaa"),"_",COUNTIF($D$2:D459,D459))</f>
        <v>030020180001-10_10032026_1</v>
      </c>
      <c r="B459" t="str">
        <f>CONCATENATE(Analise!D459,"_",COUNTIF(Analise!$D$2:D459,Analise!D459))</f>
        <v>030020180001-10_1</v>
      </c>
      <c r="C459" s="34">
        <f>COUNTIF('Obras e Acervos'!$C:$C,CONCATENATE(LEFT(D459,12),RIGHT(D459,2)))</f>
        <v>2</v>
      </c>
      <c r="D459" s="35" t="s">
        <v>4779</v>
      </c>
      <c r="E459" t="str">
        <f>VLOOKUP($B459,'Obras e Acervos'!$B:$X,3,0)</f>
        <v>DUNA DUETO EDITORA LTDA.-DUNA DUETO</v>
      </c>
      <c r="F459" t="str">
        <f>VLOOKUP($B459,'Obras e Acervos'!$B:$X,7,0)</f>
        <v>0617L23000030LE</v>
      </c>
      <c r="G459" t="str">
        <f>VLOOKUP($B459,'Obras e Acervos'!$B:$X,5,0)</f>
        <v>QUAL É A SUA PEGADA?</v>
      </c>
      <c r="H459">
        <f>VLOOKUP($B459,'Obras e Acervos'!$B:$X,18,0)</f>
        <v>4</v>
      </c>
      <c r="I459">
        <f>VLOOKUP($B459,'Obras e Acervos'!$B:$X,19,0)</f>
        <v>38399</v>
      </c>
      <c r="J459" s="42">
        <f>VLOOKUP($B459,'Obras e Acervos'!$B:$X,20,0)</f>
        <v>3455.91</v>
      </c>
      <c r="K459" s="31">
        <f>VLOOKUP($B459,'Obras e Acervos'!$B:$X,21,0)</f>
        <v>5.9</v>
      </c>
      <c r="L459" s="31">
        <f t="shared" si="69"/>
        <v>226554.1</v>
      </c>
      <c r="M459" s="1">
        <v>46091</v>
      </c>
      <c r="N459" s="1">
        <f t="shared" si="68"/>
        <v>46305</v>
      </c>
      <c r="O459">
        <f t="shared" si="70"/>
        <v>215</v>
      </c>
      <c r="P459" s="49">
        <f t="shared" si="66"/>
        <v>7.166666666666667</v>
      </c>
      <c r="Q459" s="34">
        <f>VLOOKUP($G459,Agendamento!$B:$F,5,0)</f>
        <v>5</v>
      </c>
      <c r="R459" s="36">
        <f t="shared" si="71"/>
        <v>39</v>
      </c>
      <c r="S459" s="44">
        <v>2.5499999999999998</v>
      </c>
      <c r="T459" s="44">
        <f t="shared" si="72"/>
        <v>21381.75</v>
      </c>
      <c r="U459" t="s">
        <v>5323</v>
      </c>
      <c r="V459" t="str">
        <f t="shared" si="73"/>
        <v>NF/64307304_20260310_nf_17.pdf</v>
      </c>
      <c r="W459" s="32" t="str">
        <f t="shared" si="67"/>
        <v>NF - QUAL É A SUA PEGADA?</v>
      </c>
      <c r="X459" t="s">
        <v>5591</v>
      </c>
    </row>
    <row r="460" spans="1:24" x14ac:dyDescent="0.25">
      <c r="A460" t="str">
        <f>CONCATENATE(D460,"_",TEXT(M460,"ddmmaaaa"),"_",COUNTIF($D$2:D460,D460))</f>
        <v>423246590001-43_10032026_1</v>
      </c>
      <c r="B460" t="str">
        <f>CONCATENATE(Analise!D460,"_",COUNTIF(Analise!$D$2:D460,Analise!D460))</f>
        <v>423246590001-43_1</v>
      </c>
      <c r="C460" s="34">
        <f>COUNTIF('Obras e Acervos'!$C:$C,CONCATENATE(LEFT(D460,12),RIGHT(D460,2)))</f>
        <v>2</v>
      </c>
      <c r="D460" s="35" t="s">
        <v>4780</v>
      </c>
      <c r="E460" t="str">
        <f>VLOOKUP($B460,'Obras e Acervos'!$B:$X,3,0)</f>
        <v>BELLABOOKS GRAFICA E EDITORA LTDA-BELLABOOKS EDICOES</v>
      </c>
      <c r="F460" t="str">
        <f>VLOOKUP($B460,'Obras e Acervos'!$B:$X,7,0)</f>
        <v>0984L23000030LE</v>
      </c>
      <c r="G460" t="str">
        <f>VLOOKUP($B460,'Obras e Acervos'!$B:$X,5,0)</f>
        <v>COISINHA À TOA</v>
      </c>
      <c r="H460">
        <f>VLOOKUP($B460,'Obras e Acervos'!$B:$X,18,0)</f>
        <v>10</v>
      </c>
      <c r="I460">
        <f>VLOOKUP($B460,'Obras e Acervos'!$B:$X,19,0)</f>
        <v>33298</v>
      </c>
      <c r="J460" s="42">
        <f>VLOOKUP($B460,'Obras e Acervos'!$B:$X,20,0)</f>
        <v>4761.6139999999996</v>
      </c>
      <c r="K460" s="31">
        <f>VLOOKUP($B460,'Obras e Acervos'!$B:$X,21,0)</f>
        <v>7.73</v>
      </c>
      <c r="L460" s="31">
        <f t="shared" si="69"/>
        <v>257393.54</v>
      </c>
      <c r="M460" s="1">
        <v>46091</v>
      </c>
      <c r="N460" s="1">
        <f t="shared" si="68"/>
        <v>46305</v>
      </c>
      <c r="O460">
        <f t="shared" si="70"/>
        <v>215</v>
      </c>
      <c r="P460" s="49">
        <f t="shared" si="66"/>
        <v>7.166666666666667</v>
      </c>
      <c r="Q460" s="34">
        <f>VLOOKUP($G460,Agendamento!$B:$F,5,0)</f>
        <v>6</v>
      </c>
      <c r="R460" s="36">
        <f t="shared" si="71"/>
        <v>34</v>
      </c>
      <c r="S460" s="44">
        <v>2.5499999999999998</v>
      </c>
      <c r="T460" s="44">
        <f t="shared" si="72"/>
        <v>18640.5</v>
      </c>
      <c r="U460" t="s">
        <v>5319</v>
      </c>
      <c r="V460" t="str">
        <f t="shared" si="73"/>
        <v>NF/64307304_20260310_nf_19.pdf</v>
      </c>
      <c r="W460" s="32" t="str">
        <f t="shared" si="67"/>
        <v>NF - COISINHA À TOA</v>
      </c>
      <c r="X460" t="s">
        <v>5591</v>
      </c>
    </row>
    <row r="461" spans="1:24" x14ac:dyDescent="0.25">
      <c r="A461" t="str">
        <f>CONCATENATE(D461,"_",TEXT(M461,"ddmmaaaa"),"_",COUNTIF($D$2:D461,D461))</f>
        <v>030020180001-10_10032026_2</v>
      </c>
      <c r="B461" t="str">
        <f>CONCATENATE(Analise!D461,"_",COUNTIF(Analise!$D$2:D461,Analise!D461))</f>
        <v>030020180001-10_2</v>
      </c>
      <c r="C461" s="34">
        <f>COUNTIF('Obras e Acervos'!$C:$C,CONCATENATE(LEFT(D461,12),RIGHT(D461,2)))</f>
        <v>2</v>
      </c>
      <c r="D461" s="35" t="s">
        <v>4779</v>
      </c>
      <c r="E461" t="str">
        <f>VLOOKUP($B461,'Obras e Acervos'!$B:$X,3,0)</f>
        <v>DUNA DUETO EDITORA LTDA.-DUNA DUETO</v>
      </c>
      <c r="F461" t="str">
        <f>VLOOKUP($B461,'Obras e Acervos'!$B:$X,7,0)</f>
        <v>0734L23000020LE</v>
      </c>
      <c r="G461" t="str">
        <f>VLOOKUP($B461,'Obras e Acervos'!$B:$X,5,0)</f>
        <v>CANÇÃO PARA CHAMAR O VENTO</v>
      </c>
      <c r="H461">
        <f>VLOOKUP($B461,'Obras e Acervos'!$B:$X,18,0)</f>
        <v>14</v>
      </c>
      <c r="I461">
        <f>VLOOKUP($B461,'Obras e Acervos'!$B:$X,19,0)</f>
        <v>24258</v>
      </c>
      <c r="J461" s="42">
        <f>VLOOKUP($B461,'Obras e Acervos'!$B:$X,20,0)</f>
        <v>3396.1200000000003</v>
      </c>
      <c r="K461" s="31">
        <f>VLOOKUP($B461,'Obras e Acervos'!$B:$X,21,0)</f>
        <v>8.43</v>
      </c>
      <c r="L461" s="31">
        <f t="shared" si="69"/>
        <v>204494.94</v>
      </c>
      <c r="M461" s="1">
        <v>46091</v>
      </c>
      <c r="N461" s="1">
        <f t="shared" si="68"/>
        <v>46305</v>
      </c>
      <c r="O461">
        <f t="shared" si="70"/>
        <v>215</v>
      </c>
      <c r="P461" s="49">
        <f t="shared" si="66"/>
        <v>7.166666666666667</v>
      </c>
      <c r="Q461" s="34">
        <f>VLOOKUP($G461,Agendamento!$B:$F,5,0)</f>
        <v>4</v>
      </c>
      <c r="R461" s="36">
        <f t="shared" si="71"/>
        <v>25</v>
      </c>
      <c r="S461" s="44">
        <v>2.5499999999999998</v>
      </c>
      <c r="T461" s="44">
        <f t="shared" si="72"/>
        <v>13706.249999999998</v>
      </c>
      <c r="U461" t="s">
        <v>5318</v>
      </c>
      <c r="V461" t="str">
        <f t="shared" si="73"/>
        <v>NF/64307304_20260310_nf_20.pdf</v>
      </c>
      <c r="W461" s="32" t="str">
        <f t="shared" si="67"/>
        <v>NF - CANÇÃO PARA CHAMAR O VENTO</v>
      </c>
      <c r="X461" t="s">
        <v>5591</v>
      </c>
    </row>
    <row r="462" spans="1:24" x14ac:dyDescent="0.25">
      <c r="A462" t="str">
        <f>CONCATENATE(D462,"_",TEXT(M462,"ddmmaaaa"),"_",COUNTIF($D$2:D462,D462))</f>
        <v>061813040001-89_10032026_2</v>
      </c>
      <c r="B462" t="str">
        <f>CONCATENATE(Analise!D462,"_",COUNTIF(Analise!$D$2:D462,Analise!D462))</f>
        <v>061813040001-89_2</v>
      </c>
      <c r="C462" s="34">
        <f>COUNTIF('Obras e Acervos'!$C:$C,CONCATENATE(LEFT(D462,12),RIGHT(D462,2)))</f>
        <v>2</v>
      </c>
      <c r="D462" s="35" t="s">
        <v>4710</v>
      </c>
      <c r="E462" t="str">
        <f>VLOOKUP($B462,'Obras e Acervos'!$B:$X,3,0)</f>
        <v>JOANINHA EDICOES E GRAFICA LTDA-JOANINHA</v>
      </c>
      <c r="F462" t="str">
        <f>VLOOKUP($B462,'Obras e Acervos'!$B:$X,7,0)</f>
        <v>0437L23000020LE</v>
      </c>
      <c r="G462" t="str">
        <f>VLOOKUP($B462,'Obras e Acervos'!$B:$X,5,0)</f>
        <v>CEM GRILOS E OUTRAS HISTÓRIAS</v>
      </c>
      <c r="H462">
        <f>VLOOKUP($B462,'Obras e Acervos'!$B:$X,18,0)</f>
        <v>19</v>
      </c>
      <c r="I462">
        <f>VLOOKUP($B462,'Obras e Acervos'!$B:$X,19,0)</f>
        <v>24543</v>
      </c>
      <c r="J462" s="42">
        <f>VLOOKUP($B462,'Obras e Acervos'!$B:$X,20,0)</f>
        <v>3681.45</v>
      </c>
      <c r="K462" s="31">
        <f>VLOOKUP($B462,'Obras e Acervos'!$B:$X,21,0)</f>
        <v>8.2899999999999991</v>
      </c>
      <c r="L462" s="31">
        <f t="shared" si="69"/>
        <v>203461.46999999997</v>
      </c>
      <c r="M462" s="1">
        <v>46091</v>
      </c>
      <c r="N462" s="1">
        <f t="shared" si="68"/>
        <v>46305</v>
      </c>
      <c r="O462">
        <f t="shared" si="70"/>
        <v>215</v>
      </c>
      <c r="P462" s="49">
        <f t="shared" si="66"/>
        <v>7.166666666666667</v>
      </c>
      <c r="Q462" s="34">
        <f>VLOOKUP($G462,Agendamento!$B:$F,5,0)</f>
        <v>4</v>
      </c>
      <c r="R462" s="36">
        <f t="shared" si="71"/>
        <v>25</v>
      </c>
      <c r="S462" s="44">
        <v>2.5499999999999998</v>
      </c>
      <c r="T462" s="44">
        <f t="shared" si="72"/>
        <v>13706.249999999998</v>
      </c>
      <c r="U462" t="s">
        <v>5315</v>
      </c>
      <c r="V462" t="str">
        <f t="shared" si="73"/>
        <v>NF/64307304_20260310_nf_22.pdf</v>
      </c>
      <c r="W462" s="32" t="str">
        <f t="shared" si="67"/>
        <v>NF - CEM GRILOS E OUTRAS HISTÓRIAS</v>
      </c>
      <c r="X462" t="s">
        <v>5591</v>
      </c>
    </row>
    <row r="463" spans="1:24" x14ac:dyDescent="0.25">
      <c r="A463" t="str">
        <f>CONCATENATE(D463,"_",TEXT(M463,"ddmmaaaa"),"_",COUNTIF($D$2:D463,D463))</f>
        <v>040929430001-42_10032026_2</v>
      </c>
      <c r="B463" t="str">
        <f>CONCATENATE(Analise!D463,"_",COUNTIF(Analise!$D$2:D463,Analise!D463))</f>
        <v>040929430001-42_2</v>
      </c>
      <c r="C463" s="34">
        <f>COUNTIF('Obras e Acervos'!$C:$C,CONCATENATE(LEFT(D463,12),RIGHT(D463,2)))</f>
        <v>2</v>
      </c>
      <c r="D463" s="35" t="s">
        <v>4687</v>
      </c>
      <c r="E463" t="str">
        <f>VLOOKUP($B463,'Obras e Acervos'!$B:$X,3,0)</f>
        <v>BOM BINI EDITORA E ASSESSORIA LTDA-BAMBOOZINHO</v>
      </c>
      <c r="F463" t="str">
        <f>VLOOKUP($B463,'Obras e Acervos'!$B:$X,7,0)</f>
        <v>0949L23000020LE</v>
      </c>
      <c r="G463" t="str">
        <f>VLOOKUP($B463,'Obras e Acervos'!$B:$X,5,0)</f>
        <v>A PALAVRA PREFERIDA</v>
      </c>
      <c r="H463">
        <f>VLOOKUP($B463,'Obras e Acervos'!$B:$X,18,0)</f>
        <v>19</v>
      </c>
      <c r="I463">
        <f>VLOOKUP($B463,'Obras e Acervos'!$B:$X,19,0)</f>
        <v>35815</v>
      </c>
      <c r="J463" s="42">
        <f>VLOOKUP($B463,'Obras e Acervos'!$B:$X,20,0)</f>
        <v>4978.2850000000008</v>
      </c>
      <c r="K463" s="31">
        <f>VLOOKUP($B463,'Obras e Acervos'!$B:$X,21,0)</f>
        <v>7.65</v>
      </c>
      <c r="L463" s="31">
        <f t="shared" si="69"/>
        <v>273984.75</v>
      </c>
      <c r="M463" s="1">
        <v>46091</v>
      </c>
      <c r="N463" s="1">
        <f t="shared" si="68"/>
        <v>46305</v>
      </c>
      <c r="O463">
        <f t="shared" si="70"/>
        <v>215</v>
      </c>
      <c r="P463" s="49">
        <f t="shared" si="66"/>
        <v>7.166666666666667</v>
      </c>
      <c r="Q463" s="34">
        <f>VLOOKUP($G463,Agendamento!$B:$F,5,0)</f>
        <v>6</v>
      </c>
      <c r="R463" s="36">
        <f t="shared" si="71"/>
        <v>36</v>
      </c>
      <c r="S463" s="44">
        <v>2.5499999999999998</v>
      </c>
      <c r="T463" s="44">
        <f t="shared" si="72"/>
        <v>19737</v>
      </c>
      <c r="U463" t="s">
        <v>5316</v>
      </c>
      <c r="V463" t="str">
        <f t="shared" si="73"/>
        <v>NF/64307304_20260310_nf_23.pdf</v>
      </c>
      <c r="W463" s="32" t="str">
        <f t="shared" si="67"/>
        <v>NF - A PALAVRA PREFERIDA</v>
      </c>
      <c r="X463" t="s">
        <v>5591</v>
      </c>
    </row>
    <row r="464" spans="1:24" x14ac:dyDescent="0.25">
      <c r="A464" t="str">
        <f>CONCATENATE(D464,"_",TEXT(M464,"ddmmaaaa"),"_",COUNTIF($D$2:D464,D464))</f>
        <v>285670730002-60_10032026_1</v>
      </c>
      <c r="B464" t="str">
        <f>CONCATENATE(Analise!D464,"_",COUNTIF(Analise!$D$2:D464,Analise!D464))</f>
        <v>285670730002-60_1</v>
      </c>
      <c r="C464" s="34">
        <f>COUNTIF('Obras e Acervos'!$C:$C,CONCATENATE(LEFT(D464,12),RIGHT(D464,2)))</f>
        <v>2</v>
      </c>
      <c r="D464" s="35" t="s">
        <v>4781</v>
      </c>
      <c r="E464" t="str">
        <f>VLOOKUP($B464,'Obras e Acervos'!$B:$X,3,0)</f>
        <v>SB SISTEMA DE ENSINO E EDITORA LTDA.-SB SISTEMA DE ENSINO</v>
      </c>
      <c r="F464" t="str">
        <f>VLOOKUP($B464,'Obras e Acervos'!$B:$X,7,0)</f>
        <v>0412L23000030LE</v>
      </c>
      <c r="G464" t="str">
        <f>VLOOKUP($B464,'Obras e Acervos'!$B:$X,5,0)</f>
        <v>É TUDO INVENÇÃO</v>
      </c>
      <c r="H464">
        <f>VLOOKUP($B464,'Obras e Acervos'!$B:$X,18,0)</f>
        <v>8</v>
      </c>
      <c r="I464">
        <f>VLOOKUP($B464,'Obras e Acervos'!$B:$X,19,0)</f>
        <v>37497</v>
      </c>
      <c r="J464" s="42">
        <f>VLOOKUP($B464,'Obras e Acervos'!$B:$X,20,0)</f>
        <v>4499.6399999999994</v>
      </c>
      <c r="K464" s="31">
        <f>VLOOKUP($B464,'Obras e Acervos'!$B:$X,21,0)</f>
        <v>6.72</v>
      </c>
      <c r="L464" s="31">
        <f t="shared" si="69"/>
        <v>251979.84</v>
      </c>
      <c r="M464" s="1">
        <v>46091</v>
      </c>
      <c r="N464" s="1">
        <f t="shared" si="68"/>
        <v>46305</v>
      </c>
      <c r="O464">
        <f t="shared" si="70"/>
        <v>215</v>
      </c>
      <c r="P464" s="49">
        <f t="shared" si="66"/>
        <v>7.166666666666667</v>
      </c>
      <c r="Q464" s="34">
        <f>VLOOKUP($G464,Agendamento!$B:$F,5,0)</f>
        <v>6</v>
      </c>
      <c r="R464" s="36">
        <f t="shared" si="71"/>
        <v>38</v>
      </c>
      <c r="S464" s="44">
        <v>2.5499999999999998</v>
      </c>
      <c r="T464" s="44">
        <f t="shared" si="72"/>
        <v>20833.5</v>
      </c>
      <c r="U464" t="s">
        <v>5325</v>
      </c>
      <c r="V464" t="str">
        <f t="shared" si="73"/>
        <v>NF/64307304_20260310_nf_25.pdf</v>
      </c>
      <c r="W464" s="32" t="str">
        <f t="shared" si="67"/>
        <v>NF - É TUDO INVENÇÃO</v>
      </c>
      <c r="X464" t="s">
        <v>5591</v>
      </c>
    </row>
    <row r="465" spans="1:24" x14ac:dyDescent="0.25">
      <c r="A465" t="str">
        <f>CONCATENATE(D465,"_",TEXT(M465,"ddmmaaaa"),"_",COUNTIF($D$2:D465,D465))</f>
        <v>285670730002-60_10032026_2</v>
      </c>
      <c r="B465" t="str">
        <f>CONCATENATE(Analise!D465,"_",COUNTIF(Analise!$D$2:D465,Analise!D465))</f>
        <v>285670730002-60_2</v>
      </c>
      <c r="C465" s="34">
        <f>COUNTIF('Obras e Acervos'!$C:$C,CONCATENATE(LEFT(D465,12),RIGHT(D465,2)))</f>
        <v>2</v>
      </c>
      <c r="D465" s="35" t="s">
        <v>4781</v>
      </c>
      <c r="E465" t="str">
        <f>VLOOKUP($B465,'Obras e Acervos'!$B:$X,3,0)</f>
        <v>SB SISTEMA DE ENSINO E EDITORA LTDA.-SB SISTEMA DE ENSINO</v>
      </c>
      <c r="F465" t="str">
        <f>VLOOKUP($B465,'Obras e Acervos'!$B:$X,7,0)</f>
        <v>0413L23000020LE</v>
      </c>
      <c r="G465" t="str">
        <f>VLOOKUP($B465,'Obras e Acervos'!$B:$X,5,0)</f>
        <v>O LIVRO IMPERDÍVEL DE UM ENGENHOSO CAVALEIRO DOIDO</v>
      </c>
      <c r="H465">
        <f>VLOOKUP($B465,'Obras e Acervos'!$B:$X,18,0)</f>
        <v>18</v>
      </c>
      <c r="I465">
        <f>VLOOKUP($B465,'Obras e Acervos'!$B:$X,19,0)</f>
        <v>23715</v>
      </c>
      <c r="J465" s="42">
        <f>VLOOKUP($B465,'Obras e Acervos'!$B:$X,20,0)</f>
        <v>2395.2150000000001</v>
      </c>
      <c r="K465" s="31">
        <f>VLOOKUP($B465,'Obras e Acervos'!$B:$X,21,0)</f>
        <v>6.59</v>
      </c>
      <c r="L465" s="31">
        <f t="shared" si="69"/>
        <v>156281.85</v>
      </c>
      <c r="M465" s="1">
        <v>46091</v>
      </c>
      <c r="N465" s="1">
        <f t="shared" si="68"/>
        <v>46305</v>
      </c>
      <c r="O465">
        <f t="shared" si="70"/>
        <v>215</v>
      </c>
      <c r="P465" s="49">
        <f t="shared" si="66"/>
        <v>7.166666666666667</v>
      </c>
      <c r="Q465" s="34">
        <f>VLOOKUP($G465,Agendamento!$B:$F,5,0)</f>
        <v>3</v>
      </c>
      <c r="R465" s="36">
        <f t="shared" si="71"/>
        <v>24</v>
      </c>
      <c r="S465" s="44">
        <v>2.5499999999999998</v>
      </c>
      <c r="T465" s="44">
        <f t="shared" si="72"/>
        <v>13157.999999999998</v>
      </c>
      <c r="U465" t="s">
        <v>5325</v>
      </c>
      <c r="V465" t="str">
        <f t="shared" si="73"/>
        <v>NF/64307304_20260310_nf_25.pdf</v>
      </c>
      <c r="W465" s="32" t="str">
        <f t="shared" si="67"/>
        <v>NF - O LIVRO IMPERDÍVEL DE UM ENGENHOSO CAVALEIRO DOIDO</v>
      </c>
      <c r="X465" t="s">
        <v>5591</v>
      </c>
    </row>
    <row r="466" spans="1:24" x14ac:dyDescent="0.25">
      <c r="A466" t="str">
        <f>CONCATENATE(D466,"_",TEXT(M466,"ddmmaaaa"),"_",COUNTIF($D$2:D466,D466))</f>
        <v>073723960001-47_23022026_1</v>
      </c>
      <c r="B466" t="str">
        <f>CONCATENATE(Analise!D466,"_",COUNTIF(Analise!$D$2:D466,Analise!D466)+1)</f>
        <v>073723960001-47_2</v>
      </c>
      <c r="C466" s="34">
        <f>COUNTIF('Obras e Acervos'!$C:$C,CONCATENATE(LEFT(D466,12),RIGHT(D466,2)))</f>
        <v>2</v>
      </c>
      <c r="D466" s="35" t="s">
        <v>4792</v>
      </c>
      <c r="E466" t="str">
        <f>VLOOKUP($B466,'Obras e Acervos'!$B:$X,3,0)</f>
        <v>IMPERIAL NOVO MILÊNIO GRÁFICA E EDITORA LTDA-IMPERIAL NOVO MILÊNIO</v>
      </c>
      <c r="F466" t="str">
        <f>VLOOKUP($B466,'Obras e Acervos'!$B:$X,7,0)</f>
        <v>0854L23000020LE</v>
      </c>
      <c r="G466" t="str">
        <f>VLOOKUP($B466,'Obras e Acervos'!$B:$X,5,0)</f>
        <v>A AMIZADE ABANA O RABO</v>
      </c>
      <c r="H466">
        <f>VLOOKUP($B466,'Obras e Acervos'!$B:$X,18,0)</f>
        <v>14</v>
      </c>
      <c r="I466">
        <f>VLOOKUP($B466,'Obras e Acervos'!$B:$X,19,0)</f>
        <v>30318</v>
      </c>
      <c r="J466" s="42">
        <f>VLOOKUP($B466,'Obras e Acervos'!$B:$X,20,0)</f>
        <v>4214.2020000000002</v>
      </c>
      <c r="K466" s="31">
        <f>VLOOKUP($B466,'Obras e Acervos'!$B:$X,21,0)</f>
        <v>8.32</v>
      </c>
      <c r="L466" s="31">
        <f t="shared" si="69"/>
        <v>252245.76000000001</v>
      </c>
      <c r="M466" s="1">
        <v>46076</v>
      </c>
      <c r="N466" s="1">
        <f t="shared" si="68"/>
        <v>46305</v>
      </c>
      <c r="O466">
        <f t="shared" si="70"/>
        <v>230</v>
      </c>
      <c r="P466" s="49">
        <f t="shared" si="66"/>
        <v>7.666666666666667</v>
      </c>
      <c r="Q466" s="34">
        <f>VLOOKUP($G466,Agendamento!$B:$F,5,0)</f>
        <v>5</v>
      </c>
      <c r="R466" s="36">
        <f t="shared" si="71"/>
        <v>31</v>
      </c>
      <c r="S466" s="44">
        <v>2.5499999999999998</v>
      </c>
      <c r="T466" s="44">
        <f t="shared" si="72"/>
        <v>18181.5</v>
      </c>
      <c r="U466" t="s">
        <v>5338</v>
      </c>
      <c r="V466" t="str">
        <f t="shared" si="73"/>
        <v>NF/64307505_20260223_nf_01.pdf</v>
      </c>
      <c r="W466" s="32" t="str">
        <f t="shared" si="67"/>
        <v>NF - A AMIZADE ABANA O RABO</v>
      </c>
      <c r="X466" t="s">
        <v>5591</v>
      </c>
    </row>
    <row r="467" spans="1:24" x14ac:dyDescent="0.25">
      <c r="A467" t="str">
        <f>CONCATENATE(D467,"_",TEXT(M467,"ddmmaaaa"),"_",COUNTIF($D$2:D467,D467))</f>
        <v>052881530001-08_23022026_2</v>
      </c>
      <c r="B467" t="str">
        <f>CONCATENATE(Analise!D467,"_",COUNTIF(Analise!$D$2:D467,Analise!D467))</f>
        <v>052881530001-08_2</v>
      </c>
      <c r="C467" s="34">
        <f>COUNTIF('Obras e Acervos'!$C:$C,CONCATENATE(LEFT(D467,12),RIGHT(D467,2)))</f>
        <v>2</v>
      </c>
      <c r="D467" s="35" t="s">
        <v>4770</v>
      </c>
      <c r="E467" t="str">
        <f>VLOOKUP($B467,'Obras e Acervos'!$B:$X,3,0)</f>
        <v>ALAÚDE EDITORIAL LTDA-EDITORA ALAÚDE</v>
      </c>
      <c r="F467" t="str">
        <f>VLOOKUP($B467,'Obras e Acervos'!$B:$X,7,0)</f>
        <v>1228L23000020LE</v>
      </c>
      <c r="G467" t="str">
        <f>VLOOKUP($B467,'Obras e Acervos'!$B:$X,5,0)</f>
        <v>O ENIGMA DO SETE-ESTRELAS E OUTROS CONTOS UNIVERSAIS</v>
      </c>
      <c r="H467">
        <f>VLOOKUP($B467,'Obras e Acervos'!$B:$X,18,0)</f>
        <v>20</v>
      </c>
      <c r="I467">
        <f>VLOOKUP($B467,'Obras e Acervos'!$B:$X,19,0)</f>
        <v>30259</v>
      </c>
      <c r="J467" s="42">
        <f>VLOOKUP($B467,'Obras e Acervos'!$B:$X,20,0)</f>
        <v>4236.26</v>
      </c>
      <c r="K467" s="31">
        <f>VLOOKUP($B467,'Obras e Acervos'!$B:$X,21,0)</f>
        <v>8.32</v>
      </c>
      <c r="L467" s="31">
        <f t="shared" si="69"/>
        <v>251754.88</v>
      </c>
      <c r="M467" s="1">
        <v>46076</v>
      </c>
      <c r="N467" s="1">
        <f t="shared" si="68"/>
        <v>46305</v>
      </c>
      <c r="O467">
        <f t="shared" si="70"/>
        <v>230</v>
      </c>
      <c r="P467" s="49">
        <f t="shared" si="66"/>
        <v>7.666666666666667</v>
      </c>
      <c r="Q467" s="34">
        <f>VLOOKUP($G467,Agendamento!$B:$F,5,0)</f>
        <v>5</v>
      </c>
      <c r="R467" s="36">
        <f t="shared" si="71"/>
        <v>31</v>
      </c>
      <c r="S467" s="44">
        <v>2.5499999999999998</v>
      </c>
      <c r="T467" s="44">
        <f t="shared" si="72"/>
        <v>18181.5</v>
      </c>
      <c r="U467" t="s">
        <v>5329</v>
      </c>
      <c r="V467" t="str">
        <f t="shared" si="73"/>
        <v>NF/64307505_20260223_nf_02.pdf</v>
      </c>
      <c r="W467" s="32" t="str">
        <f t="shared" si="67"/>
        <v>NF - O ENIGMA DO SETE-ESTRELAS E OUTROS CONTOS UNIVERSAIS</v>
      </c>
      <c r="X467" t="s">
        <v>5591</v>
      </c>
    </row>
    <row r="468" spans="1:24" x14ac:dyDescent="0.25">
      <c r="A468" t="str">
        <f>CONCATENATE(D468,"_",TEXT(M468,"ddmmaaaa"),"_",COUNTIF($D$2:D468,D468))</f>
        <v>076353830001-13_23022026_1</v>
      </c>
      <c r="B468" t="str">
        <f>CONCATENATE(Analise!D468,"_",COUNTIF(Analise!$D$2:D468,Analise!D468))</f>
        <v>076353830001-13_1</v>
      </c>
      <c r="C468" s="34">
        <f>COUNTIF('Obras e Acervos'!$C:$C,CONCATENATE(LEFT(D468,12),RIGHT(D468,2)))</f>
        <v>1</v>
      </c>
      <c r="D468" s="35" t="s">
        <v>4784</v>
      </c>
      <c r="E468" t="str">
        <f>VLOOKUP($B468,'Obras e Acervos'!$B:$X,3,0)</f>
        <v>TM CASCABULHO EDITORA ME-THIAGO MACHADO CASCABULHO</v>
      </c>
      <c r="F468" t="str">
        <f>VLOOKUP($B468,'Obras e Acervos'!$B:$X,7,0)</f>
        <v>0312L23000020LE</v>
      </c>
      <c r="G468" t="str">
        <f>VLOOKUP($B468,'Obras e Acervos'!$B:$X,5,0)</f>
        <v>LUA, COLAR, CORAL, MAR</v>
      </c>
      <c r="H468">
        <f>VLOOKUP($B468,'Obras e Acervos'!$B:$X,18,0)</f>
        <v>18</v>
      </c>
      <c r="I468">
        <f>VLOOKUP($B468,'Obras e Acervos'!$B:$X,19,0)</f>
        <v>24003</v>
      </c>
      <c r="J468" s="42">
        <f>VLOOKUP($B468,'Obras e Acervos'!$B:$X,20,0)</f>
        <v>4800.6000000000004</v>
      </c>
      <c r="K468" s="31">
        <f>VLOOKUP($B468,'Obras e Acervos'!$B:$X,21,0)</f>
        <v>10.32</v>
      </c>
      <c r="L468" s="31">
        <f t="shared" si="69"/>
        <v>247710.96000000002</v>
      </c>
      <c r="M468" s="1">
        <v>46076</v>
      </c>
      <c r="N468" s="1">
        <f t="shared" si="68"/>
        <v>46305</v>
      </c>
      <c r="O468">
        <f t="shared" si="70"/>
        <v>230</v>
      </c>
      <c r="P468" s="49">
        <f t="shared" si="66"/>
        <v>7.666666666666667</v>
      </c>
      <c r="Q468" s="34">
        <f>VLOOKUP($G468,Agendamento!$B:$F,5,0)</f>
        <v>6</v>
      </c>
      <c r="R468" s="36">
        <f t="shared" si="71"/>
        <v>25</v>
      </c>
      <c r="S468" s="44">
        <v>2.5499999999999998</v>
      </c>
      <c r="T468" s="44">
        <f t="shared" si="72"/>
        <v>14662.499999999998</v>
      </c>
      <c r="U468" t="s">
        <v>5328</v>
      </c>
      <c r="V468" t="str">
        <f t="shared" si="73"/>
        <v>NF/64307505_20260223_nf_03.pdf</v>
      </c>
      <c r="W468" s="32" t="str">
        <f t="shared" si="67"/>
        <v>NF - LUA, COLAR, CORAL, MAR</v>
      </c>
      <c r="X468" t="s">
        <v>5591</v>
      </c>
    </row>
    <row r="469" spans="1:24" x14ac:dyDescent="0.25">
      <c r="A469" t="str">
        <f>CONCATENATE(D469,"_",TEXT(M469,"ddmmaaaa"),"_",COUNTIF($D$2:D469,D469))</f>
        <v>192702060001-60_23022026_1</v>
      </c>
      <c r="B469" t="str">
        <f>CONCATENATE(Analise!D469,"_",COUNTIF(Analise!$D$2:D469,Analise!D469))</f>
        <v>192702060001-60_1</v>
      </c>
      <c r="C469" s="34">
        <f>COUNTIF('Obras e Acervos'!$C:$C,CONCATENATE(LEFT(D469,12),RIGHT(D469,2)))</f>
        <v>2</v>
      </c>
      <c r="D469" s="35" t="s">
        <v>4795</v>
      </c>
      <c r="E469" t="str">
        <f>VLOOKUP($B469,'Obras e Acervos'!$B:$X,3,0)</f>
        <v>RONA EDITORA LTDA-RONA</v>
      </c>
      <c r="F469" t="str">
        <f>VLOOKUP($B469,'Obras e Acervos'!$B:$X,7,0)</f>
        <v>0629L23000030LE</v>
      </c>
      <c r="G469" t="str">
        <f>VLOOKUP($B469,'Obras e Acervos'!$B:$X,5,0)</f>
        <v>CAMA DE MENINO, QUARTO DE MONSTRO</v>
      </c>
      <c r="H469">
        <f>VLOOKUP($B469,'Obras e Acervos'!$B:$X,18,0)</f>
        <v>5</v>
      </c>
      <c r="I469">
        <f>VLOOKUP($B469,'Obras e Acervos'!$B:$X,19,0)</f>
        <v>38559</v>
      </c>
      <c r="J469" s="42">
        <f>VLOOKUP($B469,'Obras e Acervos'!$B:$X,20,0)</f>
        <v>5012.67</v>
      </c>
      <c r="K469" s="31">
        <f>VLOOKUP($B469,'Obras e Acervos'!$B:$X,21,0)</f>
        <v>6.37</v>
      </c>
      <c r="L469" s="31">
        <f t="shared" si="69"/>
        <v>245620.83000000002</v>
      </c>
      <c r="M469" s="1">
        <v>46076</v>
      </c>
      <c r="N469" s="1">
        <f t="shared" si="68"/>
        <v>46305</v>
      </c>
      <c r="O469">
        <f t="shared" si="70"/>
        <v>230</v>
      </c>
      <c r="P469" s="49">
        <f t="shared" si="66"/>
        <v>7.666666666666667</v>
      </c>
      <c r="Q469" s="34">
        <f>VLOOKUP($G469,Agendamento!$B:$F,5,0)</f>
        <v>5</v>
      </c>
      <c r="R469" s="36">
        <f t="shared" si="71"/>
        <v>39</v>
      </c>
      <c r="S469" s="44">
        <v>2.5499999999999998</v>
      </c>
      <c r="T469" s="44">
        <f t="shared" si="72"/>
        <v>22873.5</v>
      </c>
      <c r="U469" t="s">
        <v>5344</v>
      </c>
      <c r="V469" t="str">
        <f t="shared" si="73"/>
        <v>NF/64307505_20260223_nf_04.pdf</v>
      </c>
      <c r="W469" s="32" t="str">
        <f t="shared" si="67"/>
        <v>NF - CAMA DE MENINO, QUARTO DE MONSTRO</v>
      </c>
      <c r="X469" t="s">
        <v>5591</v>
      </c>
    </row>
    <row r="470" spans="1:24" x14ac:dyDescent="0.25">
      <c r="A470" t="str">
        <f>CONCATENATE(D470,"_",TEXT(M470,"ddmmaaaa"),"_",COUNTIF($D$2:D470,D470))</f>
        <v>192702060001-60_23022026_2</v>
      </c>
      <c r="B470" t="str">
        <f>CONCATENATE(Analise!D470,"_",COUNTIF(Analise!$D$2:D470,Analise!D470))</f>
        <v>192702060001-60_2</v>
      </c>
      <c r="C470" s="34">
        <f>COUNTIF('Obras e Acervos'!$C:$C,CONCATENATE(LEFT(D470,12),RIGHT(D470,2)))</f>
        <v>2</v>
      </c>
      <c r="D470" s="35" t="s">
        <v>4795</v>
      </c>
      <c r="E470" t="str">
        <f>VLOOKUP($B470,'Obras e Acervos'!$B:$X,3,0)</f>
        <v>RONA EDITORA LTDA-RONA</v>
      </c>
      <c r="F470" t="str">
        <f>VLOOKUP($B470,'Obras e Acervos'!$B:$X,7,0)</f>
        <v>0630L23000020LE</v>
      </c>
      <c r="G470" t="str">
        <f>VLOOKUP($B470,'Obras e Acervos'!$B:$X,5,0)</f>
        <v>A TARTARUGA E O COELHO: UMA OUTRA HISTÓRIA</v>
      </c>
      <c r="H470">
        <f>VLOOKUP($B470,'Obras e Acervos'!$B:$X,18,0)</f>
        <v>11</v>
      </c>
      <c r="I470">
        <f>VLOOKUP($B470,'Obras e Acervos'!$B:$X,19,0)</f>
        <v>45315</v>
      </c>
      <c r="J470" s="42">
        <f>VLOOKUP($B470,'Obras e Acervos'!$B:$X,20,0)</f>
        <v>5890.95</v>
      </c>
      <c r="K470" s="31">
        <f>VLOOKUP($B470,'Obras e Acervos'!$B:$X,21,0)</f>
        <v>5.9</v>
      </c>
      <c r="L470" s="31">
        <f t="shared" si="69"/>
        <v>267358.5</v>
      </c>
      <c r="M470" s="1">
        <v>46076</v>
      </c>
      <c r="N470" s="1">
        <f t="shared" si="68"/>
        <v>46305</v>
      </c>
      <c r="O470">
        <f t="shared" si="70"/>
        <v>230</v>
      </c>
      <c r="P470" s="49">
        <f t="shared" si="66"/>
        <v>7.666666666666667</v>
      </c>
      <c r="Q470" s="34">
        <f>VLOOKUP($G470,Agendamento!$B:$F,5,0)</f>
        <v>8</v>
      </c>
      <c r="R470" s="36">
        <f t="shared" si="71"/>
        <v>46</v>
      </c>
      <c r="S470" s="44">
        <v>2.5499999999999998</v>
      </c>
      <c r="T470" s="44">
        <f t="shared" si="72"/>
        <v>26978.999999999996</v>
      </c>
      <c r="U470" t="s">
        <v>5344</v>
      </c>
      <c r="V470" t="str">
        <f t="shared" si="73"/>
        <v>NF/64307505_20260223_nf_04.pdf</v>
      </c>
      <c r="W470" s="32" t="str">
        <f t="shared" si="67"/>
        <v>NF - A TARTARUGA E O COELHO: UMA OUTRA HISTÓRIA</v>
      </c>
      <c r="X470" t="s">
        <v>5591</v>
      </c>
    </row>
    <row r="471" spans="1:24" x14ac:dyDescent="0.25">
      <c r="A471" t="str">
        <f>CONCATENATE(D471,"_",TEXT(M471,"ddmmaaaa"),"_",COUNTIF($D$2:D471,D471))</f>
        <v>310100970001-47_23022026_1</v>
      </c>
      <c r="B471" t="str">
        <f>CONCATENATE(Analise!D471,"_",COUNTIF(Analise!$D$2:D471,Analise!D471))</f>
        <v>310100970001-47_1</v>
      </c>
      <c r="C471" s="34">
        <f>COUNTIF('Obras e Acervos'!$C:$C,CONCATENATE(LEFT(D471,12),RIGHT(D471,2)))</f>
        <v>2</v>
      </c>
      <c r="D471" s="35" t="s">
        <v>4794</v>
      </c>
      <c r="E471" t="str">
        <f>VLOOKUP($B471,'Obras e Acervos'!$B:$X,3,0)</f>
        <v>WAGNER SACCHETTO GOMES JUNIOR - EPP-VW EDITORA GRÁFICA E COMERCIO</v>
      </c>
      <c r="F471" t="str">
        <f>VLOOKUP($B471,'Obras e Acervos'!$B:$X,7,0)</f>
        <v>0623L23000030LE</v>
      </c>
      <c r="G471" t="str">
        <f>VLOOKUP($B471,'Obras e Acervos'!$B:$X,5,0)</f>
        <v>UM DIA DE LIA</v>
      </c>
      <c r="H471">
        <f>VLOOKUP($B471,'Obras e Acervos'!$B:$X,18,0)</f>
        <v>7</v>
      </c>
      <c r="I471">
        <f>VLOOKUP($B471,'Obras e Acervos'!$B:$X,19,0)</f>
        <v>33177</v>
      </c>
      <c r="J471" s="42">
        <f>VLOOKUP($B471,'Obras e Acervos'!$B:$X,20,0)</f>
        <v>3151.8150000000001</v>
      </c>
      <c r="K471" s="31">
        <f>VLOOKUP($B471,'Obras e Acervos'!$B:$X,21,0)</f>
        <v>5.1100000000000003</v>
      </c>
      <c r="L471" s="31">
        <f t="shared" si="69"/>
        <v>169534.47</v>
      </c>
      <c r="M471" s="1">
        <v>46076</v>
      </c>
      <c r="N471" s="1">
        <f t="shared" si="68"/>
        <v>46305</v>
      </c>
      <c r="O471">
        <f t="shared" si="70"/>
        <v>230</v>
      </c>
      <c r="P471" s="49">
        <f t="shared" si="66"/>
        <v>7.666666666666667</v>
      </c>
      <c r="Q471" s="34">
        <f>VLOOKUP($G471,Agendamento!$B:$F,5,0)</f>
        <v>4</v>
      </c>
      <c r="R471" s="36">
        <f t="shared" si="71"/>
        <v>34</v>
      </c>
      <c r="S471" s="44">
        <v>2.5499999999999998</v>
      </c>
      <c r="T471" s="44">
        <f t="shared" si="72"/>
        <v>19941</v>
      </c>
      <c r="U471" t="s">
        <v>5340</v>
      </c>
      <c r="V471" t="str">
        <f t="shared" si="73"/>
        <v>NF/64307505_20260223_nf_05.pdf</v>
      </c>
      <c r="W471" s="32" t="str">
        <f t="shared" si="67"/>
        <v>NF - UM DIA DE LIA</v>
      </c>
      <c r="X471" t="s">
        <v>5591</v>
      </c>
    </row>
    <row r="472" spans="1:24" x14ac:dyDescent="0.25">
      <c r="A472" t="str">
        <f>CONCATENATE(D472,"_",TEXT(M472,"ddmmaaaa"),"_",COUNTIF($D$2:D472,D472))</f>
        <v>310100970001-47_23022026_2</v>
      </c>
      <c r="B472" t="str">
        <f>CONCATENATE(Analise!D472,"_",COUNTIF(Analise!$D$2:D472,Analise!D472))</f>
        <v>310100970001-47_2</v>
      </c>
      <c r="C472" s="34">
        <f>COUNTIF('Obras e Acervos'!$C:$C,CONCATENATE(LEFT(D472,12),RIGHT(D472,2)))</f>
        <v>2</v>
      </c>
      <c r="D472" s="35" t="s">
        <v>4794</v>
      </c>
      <c r="E472" t="str">
        <f>VLOOKUP($B472,'Obras e Acervos'!$B:$X,3,0)</f>
        <v>WAGNER SACCHETTO GOMES JUNIOR - EPP-VW EDITORA GRÁFICA E COMERCIO</v>
      </c>
      <c r="F472" t="str">
        <f>VLOOKUP($B472,'Obras e Acervos'!$B:$X,7,0)</f>
        <v>0624L23000020LE</v>
      </c>
      <c r="G472" t="str">
        <f>VLOOKUP($B472,'Obras e Acervos'!$B:$X,5,0)</f>
        <v>A NAVE DAS AVES</v>
      </c>
      <c r="H472">
        <f>VLOOKUP($B472,'Obras e Acervos'!$B:$X,18,0)</f>
        <v>11</v>
      </c>
      <c r="I472">
        <f>VLOOKUP($B472,'Obras e Acervos'!$B:$X,19,0)</f>
        <v>35073</v>
      </c>
      <c r="J472" s="42">
        <f>VLOOKUP($B472,'Obras e Acervos'!$B:$X,20,0)</f>
        <v>4559.49</v>
      </c>
      <c r="K472" s="31">
        <f>VLOOKUP($B472,'Obras e Acervos'!$B:$X,21,0)</f>
        <v>6.83</v>
      </c>
      <c r="L472" s="31">
        <f t="shared" si="69"/>
        <v>239548.59</v>
      </c>
      <c r="M472" s="1">
        <v>46076</v>
      </c>
      <c r="N472" s="1">
        <f t="shared" si="68"/>
        <v>46305</v>
      </c>
      <c r="O472">
        <f t="shared" si="70"/>
        <v>230</v>
      </c>
      <c r="P472" s="49">
        <f t="shared" si="66"/>
        <v>7.666666666666667</v>
      </c>
      <c r="Q472" s="34">
        <f>VLOOKUP($G472,Agendamento!$B:$F,5,0)</f>
        <v>5</v>
      </c>
      <c r="R472" s="36">
        <f t="shared" si="71"/>
        <v>36</v>
      </c>
      <c r="S472" s="44">
        <v>2.5499999999999998</v>
      </c>
      <c r="T472" s="44">
        <f t="shared" si="72"/>
        <v>21114</v>
      </c>
      <c r="U472" t="s">
        <v>5340</v>
      </c>
      <c r="V472" t="str">
        <f t="shared" si="73"/>
        <v>NF/64307505_20260223_nf_05.pdf</v>
      </c>
      <c r="W472" s="32" t="str">
        <f t="shared" si="67"/>
        <v>NF - A NAVE DAS AVES</v>
      </c>
      <c r="X472" t="s">
        <v>5591</v>
      </c>
    </row>
    <row r="473" spans="1:24" x14ac:dyDescent="0.25">
      <c r="A473" t="str">
        <f>CONCATENATE(D473,"_",TEXT(M473,"ddmmaaaa"),"_",COUNTIF($D$2:D473,D473))</f>
        <v>044860300001-00_23022026_1</v>
      </c>
      <c r="B473" t="str">
        <f>CONCATENATE(Analise!D473,"_",COUNTIF(Analise!$D$2:D473,Analise!D473))</f>
        <v>044860300001-00_1</v>
      </c>
      <c r="C473" s="34">
        <f>COUNTIF('Obras e Acervos'!$C:$C,CONCATENATE(LEFT(D473,12),RIGHT(D473,2)))</f>
        <v>1</v>
      </c>
      <c r="D473" s="35" t="s">
        <v>4785</v>
      </c>
      <c r="E473" t="str">
        <f>VLOOKUP($B473,'Obras e Acervos'!$B:$X,3,0)</f>
        <v>LUCCA CULTURA LTDA-LUCCA</v>
      </c>
      <c r="F473" t="str">
        <f>VLOOKUP($B473,'Obras e Acervos'!$B:$X,7,0)</f>
        <v>1044L23000030LE</v>
      </c>
      <c r="G473" t="str">
        <f>VLOOKUP($B473,'Obras e Acervos'!$B:$X,5,0)</f>
        <v>EDUMAR, EDURREI</v>
      </c>
      <c r="H473">
        <f>VLOOKUP($B473,'Obras e Acervos'!$B:$X,18,0)</f>
        <v>3</v>
      </c>
      <c r="I473">
        <f>VLOOKUP($B473,'Obras e Acervos'!$B:$X,19,0)</f>
        <v>45563</v>
      </c>
      <c r="J473" s="42">
        <f>VLOOKUP($B473,'Obras e Acervos'!$B:$X,20,0)</f>
        <v>5695.375</v>
      </c>
      <c r="K473" s="31">
        <f>VLOOKUP($B473,'Obras e Acervos'!$B:$X,21,0)</f>
        <v>5.49</v>
      </c>
      <c r="L473" s="31">
        <f t="shared" si="69"/>
        <v>250140.87</v>
      </c>
      <c r="M473" s="1">
        <v>46076</v>
      </c>
      <c r="N473" s="1">
        <f t="shared" si="68"/>
        <v>46305</v>
      </c>
      <c r="O473">
        <f t="shared" si="70"/>
        <v>230</v>
      </c>
      <c r="P473" s="49">
        <f t="shared" si="66"/>
        <v>7.666666666666667</v>
      </c>
      <c r="Q473" s="34">
        <f>VLOOKUP($G473,Agendamento!$B:$F,5,0)</f>
        <v>7</v>
      </c>
      <c r="R473" s="36">
        <f t="shared" si="71"/>
        <v>46</v>
      </c>
      <c r="S473" s="44">
        <v>2.5499999999999998</v>
      </c>
      <c r="T473" s="44">
        <f t="shared" si="72"/>
        <v>26978.999999999996</v>
      </c>
      <c r="U473" t="s">
        <v>5330</v>
      </c>
      <c r="V473" t="str">
        <f t="shared" si="73"/>
        <v>NF/64307505_20260223_nf_06.pdf</v>
      </c>
      <c r="W473" s="32" t="str">
        <f t="shared" si="67"/>
        <v>NF - EDUMAR, EDURREI</v>
      </c>
      <c r="X473" t="s">
        <v>5591</v>
      </c>
    </row>
    <row r="474" spans="1:24" x14ac:dyDescent="0.25">
      <c r="A474" t="str">
        <f>CONCATENATE(D474,"_",TEXT(M474,"ddmmaaaa"),"_",COUNTIF($D$2:D474,D474))</f>
        <v>014472430001-35_23022026_1</v>
      </c>
      <c r="B474" t="str">
        <f>CONCATENATE(Analise!D474,"_",COUNTIF(Analise!$D$2:D474,Analise!D474))</f>
        <v>014472430001-35_1</v>
      </c>
      <c r="C474" s="34">
        <f>COUNTIF('Obras e Acervos'!$C:$C,CONCATENATE(LEFT(D474,12),RIGHT(D474,2)))</f>
        <v>1</v>
      </c>
      <c r="D474" s="35" t="s">
        <v>4786</v>
      </c>
      <c r="E474" t="str">
        <f>VLOOKUP($B474,'Obras e Acervos'!$B:$X,3,0)</f>
        <v>TERRAS BONSUCESSO LTDA-BONSUCESSO</v>
      </c>
      <c r="F474" t="str">
        <f>VLOOKUP($B474,'Obras e Acervos'!$B:$X,7,0)</f>
        <v>0882L23000030LE</v>
      </c>
      <c r="G474" t="str">
        <f>VLOOKUP($B474,'Obras e Acervos'!$B:$X,5,0)</f>
        <v>SÓ SEI QUE FOI ASSIM VOL. 1</v>
      </c>
      <c r="H474">
        <f>VLOOKUP($B474,'Obras e Acervos'!$B:$X,18,0)</f>
        <v>10</v>
      </c>
      <c r="I474">
        <f>VLOOKUP($B474,'Obras e Acervos'!$B:$X,19,0)</f>
        <v>33207</v>
      </c>
      <c r="J474" s="42">
        <f>VLOOKUP($B474,'Obras e Acervos'!$B:$X,20,0)</f>
        <v>9430.7879999999986</v>
      </c>
      <c r="K474" s="31">
        <f>VLOOKUP($B474,'Obras e Acervos'!$B:$X,21,0)</f>
        <v>9.08</v>
      </c>
      <c r="L474" s="31">
        <f t="shared" si="69"/>
        <v>301519.56</v>
      </c>
      <c r="M474" s="1">
        <v>46076</v>
      </c>
      <c r="N474" s="1">
        <f t="shared" si="68"/>
        <v>46305</v>
      </c>
      <c r="O474">
        <f t="shared" si="70"/>
        <v>230</v>
      </c>
      <c r="P474" s="49">
        <f t="shared" si="66"/>
        <v>7.666666666666667</v>
      </c>
      <c r="Q474" s="34">
        <f>VLOOKUP($G474,Agendamento!$B:$F,5,0)</f>
        <v>7</v>
      </c>
      <c r="R474" s="36">
        <f t="shared" si="71"/>
        <v>34</v>
      </c>
      <c r="S474" s="44">
        <v>2.5499999999999998</v>
      </c>
      <c r="T474" s="44">
        <f t="shared" si="72"/>
        <v>19941</v>
      </c>
      <c r="U474" t="s">
        <v>5331</v>
      </c>
      <c r="V474" t="str">
        <f t="shared" si="73"/>
        <v>NF/64307505_20260223_nf_07.pdf</v>
      </c>
      <c r="W474" s="32" t="str">
        <f t="shared" si="67"/>
        <v>NF - SÓ SEI QUE FOI ASSIM VOL. 1</v>
      </c>
      <c r="X474" t="s">
        <v>5591</v>
      </c>
    </row>
    <row r="475" spans="1:24" x14ac:dyDescent="0.25">
      <c r="A475" t="str">
        <f>CONCATENATE(D475,"_",TEXT(M475,"ddmmaaaa"),"_",COUNTIF($D$2:D475,D475))</f>
        <v>607301080001-61_23022026_1</v>
      </c>
      <c r="B475" t="str">
        <f>CONCATENATE(Analise!D475,"_",COUNTIF(Analise!$D$2:D475,Analise!D475))</f>
        <v>607301080001-61_1</v>
      </c>
      <c r="C475" s="34">
        <f>COUNTIF('Obras e Acervos'!$C:$C,CONCATENATE(LEFT(D475,12),RIGHT(D475,2)))</f>
        <v>2</v>
      </c>
      <c r="D475" s="35" t="s">
        <v>4789</v>
      </c>
      <c r="E475" t="str">
        <f>VLOOKUP($B475,'Obras e Acervos'!$B:$X,3,0)</f>
        <v>MELHORAMENTOS DE SÃO PAULO LIVRARIAS LIMITADA-LIVROLUZ</v>
      </c>
      <c r="F475" t="str">
        <f>VLOOKUP($B475,'Obras e Acervos'!$B:$X,7,0)</f>
        <v>0863L23000030LE</v>
      </c>
      <c r="G475" t="str">
        <f>VLOOKUP($B475,'Obras e Acervos'!$B:$X,5,0)</f>
        <v>O RAIOZINHO E A FURIOSA</v>
      </c>
      <c r="H475">
        <f>VLOOKUP($B475,'Obras e Acervos'!$B:$X,18,0)</f>
        <v>5</v>
      </c>
      <c r="I475">
        <f>VLOOKUP($B475,'Obras e Acervos'!$B:$X,19,0)</f>
        <v>38938</v>
      </c>
      <c r="J475" s="42">
        <f>VLOOKUP($B475,'Obras e Acervos'!$B:$X,20,0)</f>
        <v>6152.2039999999997</v>
      </c>
      <c r="K475" s="31">
        <f>VLOOKUP($B475,'Obras e Acervos'!$B:$X,21,0)</f>
        <v>5.46</v>
      </c>
      <c r="L475" s="31">
        <f t="shared" si="69"/>
        <v>212601.48</v>
      </c>
      <c r="M475" s="1">
        <v>46076</v>
      </c>
      <c r="N475" s="1">
        <f t="shared" si="68"/>
        <v>46305</v>
      </c>
      <c r="O475">
        <f t="shared" si="70"/>
        <v>230</v>
      </c>
      <c r="P475" s="49">
        <f t="shared" si="66"/>
        <v>7.666666666666667</v>
      </c>
      <c r="Q475" s="34">
        <f>VLOOKUP($G475,Agendamento!$B:$F,5,0)</f>
        <v>3</v>
      </c>
      <c r="R475" s="36">
        <f t="shared" si="71"/>
        <v>39</v>
      </c>
      <c r="S475" s="44">
        <v>2.5499999999999998</v>
      </c>
      <c r="T475" s="44">
        <f t="shared" si="72"/>
        <v>22873.5</v>
      </c>
      <c r="U475" t="s">
        <v>5335</v>
      </c>
      <c r="V475" t="str">
        <f t="shared" si="73"/>
        <v>NF/64307505_20260223_nf_08.pdf</v>
      </c>
      <c r="W475" s="32" t="str">
        <f t="shared" si="67"/>
        <v>NF - O RAIOZINHO E A FURIOSA</v>
      </c>
      <c r="X475" t="s">
        <v>5591</v>
      </c>
    </row>
    <row r="476" spans="1:24" x14ac:dyDescent="0.25">
      <c r="A476" t="str">
        <f>CONCATENATE(D476,"_",TEXT(M476,"ddmmaaaa"),"_",COUNTIF($D$2:D476,D476))</f>
        <v>607301080001-61_23022026_2</v>
      </c>
      <c r="B476" t="str">
        <f>CONCATENATE(Analise!D476,"_",COUNTIF(Analise!$D$2:D476,Analise!D476))</f>
        <v>607301080001-61_2</v>
      </c>
      <c r="C476" s="34">
        <f>COUNTIF('Obras e Acervos'!$C:$C,CONCATENATE(LEFT(D476,12),RIGHT(D476,2)))</f>
        <v>2</v>
      </c>
      <c r="D476" s="35" t="s">
        <v>4789</v>
      </c>
      <c r="E476" t="str">
        <f>VLOOKUP($B476,'Obras e Acervos'!$B:$X,3,0)</f>
        <v>MELHORAMENTOS DE SÃO PAULO LIVRARIAS LIMITADA-LIVROLUZ</v>
      </c>
      <c r="F476" t="str">
        <f>VLOOKUP($B476,'Obras e Acervos'!$B:$X,7,0)</f>
        <v>0864L23000020LE</v>
      </c>
      <c r="G476" t="str">
        <f>VLOOKUP($B476,'Obras e Acervos'!$B:$X,5,0)</f>
        <v>NANDI, O BOI DA ÍNDIA</v>
      </c>
      <c r="H476">
        <f>VLOOKUP($B476,'Obras e Acervos'!$B:$X,18,0)</f>
        <v>19</v>
      </c>
      <c r="I476">
        <f>VLOOKUP($B476,'Obras e Acervos'!$B:$X,19,0)</f>
        <v>24482</v>
      </c>
      <c r="J476" s="42">
        <f>VLOOKUP($B476,'Obras e Acervos'!$B:$X,20,0)</f>
        <v>3623.3359999999998</v>
      </c>
      <c r="K476" s="31">
        <f>VLOOKUP($B476,'Obras e Acervos'!$B:$X,21,0)</f>
        <v>8.7799999999999994</v>
      </c>
      <c r="L476" s="31">
        <f t="shared" si="69"/>
        <v>214951.96</v>
      </c>
      <c r="M476" s="1">
        <v>46076</v>
      </c>
      <c r="N476" s="1">
        <f t="shared" si="68"/>
        <v>46305</v>
      </c>
      <c r="O476">
        <f t="shared" si="70"/>
        <v>230</v>
      </c>
      <c r="P476" s="49">
        <f t="shared" si="66"/>
        <v>7.666666666666667</v>
      </c>
      <c r="Q476" s="34">
        <f>VLOOKUP($G476,Agendamento!$B:$F,5,0)</f>
        <v>6</v>
      </c>
      <c r="R476" s="36">
        <f t="shared" si="71"/>
        <v>25</v>
      </c>
      <c r="S476" s="44">
        <v>2.5499999999999998</v>
      </c>
      <c r="T476" s="44">
        <f t="shared" si="72"/>
        <v>14662.499999999998</v>
      </c>
      <c r="U476" t="s">
        <v>5335</v>
      </c>
      <c r="V476" t="str">
        <f t="shared" si="73"/>
        <v>NF/64307505_20260223_nf_08.pdf</v>
      </c>
      <c r="W476" s="32" t="str">
        <f t="shared" si="67"/>
        <v>NF - NANDI, O BOI DA ÍNDIA</v>
      </c>
      <c r="X476" t="s">
        <v>5591</v>
      </c>
    </row>
    <row r="477" spans="1:24" x14ac:dyDescent="0.25">
      <c r="A477" t="str">
        <f>CONCATENATE(D477,"_",TEXT(M477,"ddmmaaaa"),"_",COUNTIF($D$2:D477,D477))</f>
        <v>037967580001-76_23022026_1</v>
      </c>
      <c r="B477" t="str">
        <f>CONCATENATE(Analise!D477,"_",COUNTIF(Analise!$D$2:D477,Analise!D477))</f>
        <v>037967580001-76_1</v>
      </c>
      <c r="C477" s="34">
        <f>COUNTIF('Obras e Acervos'!$C:$C,CONCATENATE(LEFT(D477,12),RIGHT(D477,2)))</f>
        <v>2</v>
      </c>
      <c r="D477" s="35" t="s">
        <v>4798</v>
      </c>
      <c r="E477" t="str">
        <f>VLOOKUP($B477,'Obras e Acervos'!$B:$X,3,0)</f>
        <v>EDITORA MELHORAMENTOS LTDA-EDITORA MELHORAMENTOS</v>
      </c>
      <c r="F477" t="str">
        <f>VLOOKUP($B477,'Obras e Acervos'!$B:$X,7,0)</f>
        <v>0660L23000030LE</v>
      </c>
      <c r="G477" t="str">
        <f>VLOOKUP($B477,'Obras e Acervos'!$B:$X,5,0)</f>
        <v>TALVEZ EU SEJA UM ELEFANTE</v>
      </c>
      <c r="H477">
        <f>VLOOKUP($B477,'Obras e Acervos'!$B:$X,18,0)</f>
        <v>6</v>
      </c>
      <c r="I477">
        <f>VLOOKUP($B477,'Obras e Acervos'!$B:$X,19,0)</f>
        <v>37235</v>
      </c>
      <c r="J477" s="42">
        <f>VLOOKUP($B477,'Obras e Acervos'!$B:$X,20,0)</f>
        <v>8564.0500000000011</v>
      </c>
      <c r="K477" s="31">
        <f>VLOOKUP($B477,'Obras e Acervos'!$B:$X,21,0)</f>
        <v>7.63</v>
      </c>
      <c r="L477" s="31">
        <f t="shared" si="69"/>
        <v>284103.05</v>
      </c>
      <c r="M477" s="1">
        <v>46076</v>
      </c>
      <c r="N477" s="1">
        <f t="shared" si="68"/>
        <v>46305</v>
      </c>
      <c r="O477">
        <f t="shared" si="70"/>
        <v>230</v>
      </c>
      <c r="P477" s="49">
        <f t="shared" si="66"/>
        <v>7.666666666666667</v>
      </c>
      <c r="Q477" s="34">
        <f>VLOOKUP($G477,Agendamento!$B:$F,5,0)</f>
        <v>7</v>
      </c>
      <c r="R477" s="36">
        <f t="shared" si="71"/>
        <v>38</v>
      </c>
      <c r="S477" s="44">
        <v>2.5499999999999998</v>
      </c>
      <c r="T477" s="44">
        <f t="shared" si="72"/>
        <v>22287</v>
      </c>
      <c r="U477" t="s">
        <v>5348</v>
      </c>
      <c r="V477" t="str">
        <f t="shared" si="73"/>
        <v>NF/64307505_20260223_nf_09.pdf</v>
      </c>
      <c r="W477" s="32" t="str">
        <f t="shared" si="67"/>
        <v>NF - TALVEZ EU SEJA UM ELEFANTE</v>
      </c>
      <c r="X477" t="s">
        <v>5591</v>
      </c>
    </row>
    <row r="478" spans="1:24" x14ac:dyDescent="0.25">
      <c r="A478" t="str">
        <f>CONCATENATE(D478,"_",TEXT(M478,"ddmmaaaa"),"_",COUNTIF($D$2:D478,D478))</f>
        <v>037967580001-76_23022026_2</v>
      </c>
      <c r="B478" t="str">
        <f>CONCATENATE(Analise!D478,"_",COUNTIF(Analise!$D$2:D478,Analise!D478))</f>
        <v>037967580001-76_2</v>
      </c>
      <c r="C478" s="34">
        <f>COUNTIF('Obras e Acervos'!$C:$C,CONCATENATE(LEFT(D478,12),RIGHT(D478,2)))</f>
        <v>2</v>
      </c>
      <c r="D478" s="35" t="s">
        <v>4798</v>
      </c>
      <c r="E478" t="str">
        <f>VLOOKUP($B478,'Obras e Acervos'!$B:$X,3,0)</f>
        <v>EDITORA MELHORAMENTOS LTDA-EDITORA MELHORAMENTOS</v>
      </c>
      <c r="F478" t="str">
        <f>VLOOKUP($B478,'Obras e Acervos'!$B:$X,7,0)</f>
        <v>0661L23000020LE</v>
      </c>
      <c r="G478" t="str">
        <f>VLOOKUP($B478,'Obras e Acervos'!$B:$X,5,0)</f>
        <v>E A TERRA ESCREVEU UMA CARTA...</v>
      </c>
      <c r="H478">
        <f>VLOOKUP($B478,'Obras e Acervos'!$B:$X,18,0)</f>
        <v>22</v>
      </c>
      <c r="I478">
        <f>VLOOKUP($B478,'Obras e Acervos'!$B:$X,19,0)</f>
        <v>37130</v>
      </c>
      <c r="J478" s="42">
        <f>VLOOKUP($B478,'Obras e Acervos'!$B:$X,20,0)</f>
        <v>8539.9</v>
      </c>
      <c r="K478" s="31">
        <f>VLOOKUP($B478,'Obras e Acervos'!$B:$X,21,0)</f>
        <v>7.63</v>
      </c>
      <c r="L478" s="31">
        <f t="shared" si="69"/>
        <v>283301.90000000002</v>
      </c>
      <c r="M478" s="1">
        <v>46076</v>
      </c>
      <c r="N478" s="1">
        <f t="shared" si="68"/>
        <v>46305</v>
      </c>
      <c r="O478">
        <f t="shared" si="70"/>
        <v>230</v>
      </c>
      <c r="P478" s="49">
        <f t="shared" si="66"/>
        <v>7.666666666666667</v>
      </c>
      <c r="Q478" s="34">
        <f>VLOOKUP($G478,Agendamento!$B:$F,5,0)</f>
        <v>7</v>
      </c>
      <c r="R478" s="36">
        <f t="shared" si="71"/>
        <v>38</v>
      </c>
      <c r="S478" s="44">
        <v>2.5499999999999998</v>
      </c>
      <c r="T478" s="44">
        <f t="shared" si="72"/>
        <v>22287</v>
      </c>
      <c r="U478" t="s">
        <v>5348</v>
      </c>
      <c r="V478" t="str">
        <f t="shared" si="73"/>
        <v>NF/64307505_20260223_nf_09.pdf</v>
      </c>
      <c r="W478" s="32" t="str">
        <f t="shared" si="67"/>
        <v>NF - E A TERRA ESCREVEU UMA CARTA...</v>
      </c>
      <c r="X478" t="s">
        <v>5591</v>
      </c>
    </row>
    <row r="479" spans="1:24" x14ac:dyDescent="0.25">
      <c r="A479" t="str">
        <f>CONCATENATE(D479,"_",TEXT(M479,"ddmmaaaa"),"_",COUNTIF($D$2:D479,D479))</f>
        <v>286948930001-31_23022026_1</v>
      </c>
      <c r="B479" t="str">
        <f>CONCATENATE(Analise!D479,"_",COUNTIF(Analise!$D$2:D479,Analise!D479))</f>
        <v>286948930001-31_1</v>
      </c>
      <c r="C479" s="34">
        <f>COUNTIF('Obras e Acervos'!$C:$C,CONCATENATE(LEFT(D479,12),RIGHT(D479,2)))</f>
        <v>1</v>
      </c>
      <c r="D479" s="35" t="s">
        <v>4788</v>
      </c>
      <c r="E479" t="str">
        <f>VLOOKUP($B479,'Obras e Acervos'!$B:$X,3,0)</f>
        <v>BOX EDITORA LTDA -MAR AZUL</v>
      </c>
      <c r="F479" t="str">
        <f>VLOOKUP($B479,'Obras e Acervos'!$B:$X,7,0)</f>
        <v>0706L23000020LE</v>
      </c>
      <c r="G479" t="str">
        <f>VLOOKUP($B479,'Obras e Acervos'!$B:$X,5,0)</f>
        <v>30 FÁBULAS CONTEMPORÂNEAS PARA CRIANÇAS</v>
      </c>
      <c r="H479">
        <f>VLOOKUP($B479,'Obras e Acervos'!$B:$X,18,0)</f>
        <v>21</v>
      </c>
      <c r="I479">
        <f>VLOOKUP($B479,'Obras e Acervos'!$B:$X,19,0)</f>
        <v>71733</v>
      </c>
      <c r="J479" s="42">
        <f>VLOOKUP($B479,'Obras e Acervos'!$B:$X,20,0)</f>
        <v>12840.207</v>
      </c>
      <c r="K479" s="31">
        <f>VLOOKUP($B479,'Obras e Acervos'!$B:$X,21,0)</f>
        <v>7.67</v>
      </c>
      <c r="L479" s="31">
        <f t="shared" si="69"/>
        <v>550192.11</v>
      </c>
      <c r="M479" s="1">
        <v>46076</v>
      </c>
      <c r="N479" s="1">
        <f t="shared" si="68"/>
        <v>46305</v>
      </c>
      <c r="O479">
        <f t="shared" si="70"/>
        <v>230</v>
      </c>
      <c r="P479" s="49">
        <f t="shared" si="66"/>
        <v>7.666666666666667</v>
      </c>
      <c r="Q479" s="34">
        <f>VLOOKUP($G479,Agendamento!$B:$F,5,0)</f>
        <v>18</v>
      </c>
      <c r="R479" s="36">
        <f t="shared" si="71"/>
        <v>72</v>
      </c>
      <c r="S479" s="44">
        <v>2.5499999999999998</v>
      </c>
      <c r="T479" s="44">
        <f t="shared" si="72"/>
        <v>42228</v>
      </c>
      <c r="U479" t="s">
        <v>5334</v>
      </c>
      <c r="V479" t="str">
        <f t="shared" si="73"/>
        <v>NF/64307505_20260223_nf_10.pdf</v>
      </c>
      <c r="W479" s="32" t="str">
        <f t="shared" si="67"/>
        <v>NF - 30 FÁBULAS CONTEMPORÂNEAS PARA CRIANÇAS</v>
      </c>
      <c r="X479" t="s">
        <v>5591</v>
      </c>
    </row>
    <row r="480" spans="1:24" x14ac:dyDescent="0.25">
      <c r="A480" t="str">
        <f>CONCATENATE(D480,"_",TEXT(M480,"ddmmaaaa"),"_",COUNTIF($D$2:D480,D480))</f>
        <v>206356920001-51_23022026_1</v>
      </c>
      <c r="B480" t="str">
        <f>CONCATENATE(Analise!D480,"_",COUNTIF(Analise!$D$2:D480,Analise!D480)+1)</f>
        <v>206356920001-51_2</v>
      </c>
      <c r="C480" s="34">
        <f>COUNTIF('Obras e Acervos'!$C:$C,CONCATENATE(LEFT(D480,12),RIGHT(D480,2)))</f>
        <v>2</v>
      </c>
      <c r="D480" s="35" t="s">
        <v>4782</v>
      </c>
      <c r="E480" t="str">
        <f>VLOOKUP($B480,'Obras e Acervos'!$B:$X,3,0)</f>
        <v>A. GERARDI-GERARDI EDITORIAL</v>
      </c>
      <c r="F480" t="str">
        <f>VLOOKUP($B480,'Obras e Acervos'!$B:$X,7,0)</f>
        <v>1018L23000020LE</v>
      </c>
      <c r="G480" t="str">
        <f>VLOOKUP($B480,'Obras e Acervos'!$B:$X,5,0)</f>
        <v>EM BUSCA DO AMOR PERDIDO</v>
      </c>
      <c r="H480">
        <f>VLOOKUP($B480,'Obras e Acervos'!$B:$X,18,0)</f>
        <v>14</v>
      </c>
      <c r="I480">
        <f>VLOOKUP($B480,'Obras e Acervos'!$B:$X,19,0)</f>
        <v>25061</v>
      </c>
      <c r="J480" s="42">
        <f>VLOOKUP($B480,'Obras e Acervos'!$B:$X,20,0)</f>
        <v>2882.0150000000003</v>
      </c>
      <c r="K480" s="31">
        <f>VLOOKUP($B480,'Obras e Acervos'!$B:$X,21,0)</f>
        <v>11.69</v>
      </c>
      <c r="L480" s="31">
        <f t="shared" si="69"/>
        <v>292963.08999999997</v>
      </c>
      <c r="M480" s="1">
        <v>46076</v>
      </c>
      <c r="N480" s="1">
        <f t="shared" si="68"/>
        <v>46305</v>
      </c>
      <c r="O480">
        <f t="shared" si="70"/>
        <v>230</v>
      </c>
      <c r="P480" s="49">
        <f t="shared" si="66"/>
        <v>7.666666666666667</v>
      </c>
      <c r="Q480" s="34">
        <f>VLOOKUP($G480,Agendamento!$B:$F,5,0)</f>
        <v>4</v>
      </c>
      <c r="R480" s="36">
        <f t="shared" si="71"/>
        <v>26</v>
      </c>
      <c r="S480" s="44">
        <v>2.5499999999999998</v>
      </c>
      <c r="T480" s="44">
        <f t="shared" si="72"/>
        <v>15248.999999999998</v>
      </c>
      <c r="U480" t="s">
        <v>5342</v>
      </c>
      <c r="V480" t="str">
        <f t="shared" si="73"/>
        <v>NF/64307505_20260223_nf_11.pdf</v>
      </c>
      <c r="W480" s="32" t="str">
        <f t="shared" si="67"/>
        <v>NF - EM BUSCA DO AMOR PERDIDO</v>
      </c>
      <c r="X480" t="s">
        <v>5591</v>
      </c>
    </row>
    <row r="481" spans="1:24" x14ac:dyDescent="0.25">
      <c r="A481" t="str">
        <f>CONCATENATE(D481,"_",TEXT(M481,"ddmmaaaa"),"_",COUNTIF($D$2:D481,D481))</f>
        <v>206356920001-51_23022026_2</v>
      </c>
      <c r="B481" t="str">
        <f>CONCATENATE(Analise!D481,"_",COUNTIF(Analise!$D$2:D481,Analise!D481)-1)</f>
        <v>206356920001-51_1</v>
      </c>
      <c r="C481" s="34">
        <f>COUNTIF('Obras e Acervos'!$C:$C,CONCATENATE(LEFT(D481,12),RIGHT(D481,2)))</f>
        <v>2</v>
      </c>
      <c r="D481" s="35" t="s">
        <v>4782</v>
      </c>
      <c r="E481" t="str">
        <f>VLOOKUP($B481,'Obras e Acervos'!$B:$X,3,0)</f>
        <v>A. GERARDI-GERARDI EDITORIAL</v>
      </c>
      <c r="F481" t="str">
        <f>VLOOKUP($B481,'Obras e Acervos'!$B:$X,7,0)</f>
        <v>1017L23000030LE</v>
      </c>
      <c r="G481" t="str">
        <f>VLOOKUP($B481,'Obras e Acervos'!$B:$X,5,0)</f>
        <v>A TELA</v>
      </c>
      <c r="H481">
        <f>VLOOKUP($B481,'Obras e Acervos'!$B:$X,18,0)</f>
        <v>4</v>
      </c>
      <c r="I481">
        <f>VLOOKUP($B481,'Obras e Acervos'!$B:$X,19,0)</f>
        <v>39763</v>
      </c>
      <c r="J481" s="42">
        <f>VLOOKUP($B481,'Obras e Acervos'!$B:$X,20,0)</f>
        <v>4811.3229999999994</v>
      </c>
      <c r="K481" s="31">
        <f>VLOOKUP($B481,'Obras e Acervos'!$B:$X,21,0)</f>
        <v>6.27</v>
      </c>
      <c r="L481" s="31">
        <f t="shared" si="69"/>
        <v>249314.00999999998</v>
      </c>
      <c r="M481" s="1">
        <v>46076</v>
      </c>
      <c r="N481" s="1">
        <f t="shared" si="68"/>
        <v>46305</v>
      </c>
      <c r="O481">
        <f t="shared" si="70"/>
        <v>230</v>
      </c>
      <c r="P481" s="49">
        <f t="shared" si="66"/>
        <v>7.666666666666667</v>
      </c>
      <c r="Q481" s="34">
        <f>VLOOKUP($G481,Agendamento!$B:$F,5,0)</f>
        <v>6</v>
      </c>
      <c r="R481" s="36">
        <f t="shared" si="71"/>
        <v>40</v>
      </c>
      <c r="S481" s="44">
        <v>2.5499999999999998</v>
      </c>
      <c r="T481" s="44">
        <f t="shared" si="72"/>
        <v>23460</v>
      </c>
      <c r="U481" t="s">
        <v>5326</v>
      </c>
      <c r="V481" t="str">
        <f t="shared" si="73"/>
        <v>NF/64307505_20260223_nf_12.pdf</v>
      </c>
      <c r="W481" s="32" t="str">
        <f t="shared" si="67"/>
        <v>NF - A TELA</v>
      </c>
      <c r="X481" t="s">
        <v>5591</v>
      </c>
    </row>
    <row r="482" spans="1:24" x14ac:dyDescent="0.25">
      <c r="A482" t="str">
        <f>CONCATENATE(D482,"_",TEXT(M482,"ddmmaaaa"),"_",COUNTIF($D$2:D482,D482))</f>
        <v>150589190001-03_23022026_1</v>
      </c>
      <c r="B482" t="str">
        <f>CONCATENATE(Analise!D482,"_",COUNTIF(Analise!$D$2:D482,Analise!D482))</f>
        <v>150589190001-03_1</v>
      </c>
      <c r="C482" s="34">
        <f>COUNTIF('Obras e Acervos'!$C:$C,CONCATENATE(LEFT(D482,12),RIGHT(D482,2)))</f>
        <v>2</v>
      </c>
      <c r="D482" s="35" t="s">
        <v>4790</v>
      </c>
      <c r="E482" t="str">
        <f>VLOOKUP($B482,'Obras e Acervos'!$B:$X,3,0)</f>
        <v>P S D DE VASCONCELLOS-PÓ DE ESTRELAS</v>
      </c>
      <c r="F482" t="str">
        <f>VLOOKUP($B482,'Obras e Acervos'!$B:$X,7,0)</f>
        <v>0954L23000030LE</v>
      </c>
      <c r="G482" t="str">
        <f>VLOOKUP($B482,'Obras e Acervos'!$B:$X,5,0)</f>
        <v>DO OUTRO LADO DO RIO</v>
      </c>
      <c r="H482">
        <f>VLOOKUP($B482,'Obras e Acervos'!$B:$X,18,0)</f>
        <v>9</v>
      </c>
      <c r="I482">
        <f>VLOOKUP($B482,'Obras e Acervos'!$B:$X,19,0)</f>
        <v>33234</v>
      </c>
      <c r="J482" s="42">
        <f>VLOOKUP($B482,'Obras e Acervos'!$B:$X,20,0)</f>
        <v>4752.4619999999995</v>
      </c>
      <c r="K482" s="31">
        <f>VLOOKUP($B482,'Obras e Acervos'!$B:$X,21,0)</f>
        <v>7.73</v>
      </c>
      <c r="L482" s="31">
        <f t="shared" si="69"/>
        <v>256898.82</v>
      </c>
      <c r="M482" s="1">
        <v>46076</v>
      </c>
      <c r="N482" s="1">
        <f t="shared" si="68"/>
        <v>46305</v>
      </c>
      <c r="O482">
        <f t="shared" si="70"/>
        <v>230</v>
      </c>
      <c r="P482" s="49">
        <f t="shared" si="66"/>
        <v>7.666666666666667</v>
      </c>
      <c r="Q482" s="34">
        <f>VLOOKUP($G482,Agendamento!$B:$F,5,0)</f>
        <v>6</v>
      </c>
      <c r="R482" s="36">
        <f t="shared" si="71"/>
        <v>34</v>
      </c>
      <c r="S482" s="44">
        <v>2.5499999999999998</v>
      </c>
      <c r="T482" s="44">
        <f t="shared" si="72"/>
        <v>19941</v>
      </c>
      <c r="U482" t="s">
        <v>5336</v>
      </c>
      <c r="V482" t="str">
        <f t="shared" si="73"/>
        <v>NF/64307505_20260223_nf_13.pdf</v>
      </c>
      <c r="W482" s="32" t="str">
        <f t="shared" si="67"/>
        <v>NF - DO OUTRO LADO DO RIO</v>
      </c>
      <c r="X482" t="s">
        <v>5591</v>
      </c>
    </row>
    <row r="483" spans="1:24" x14ac:dyDescent="0.25">
      <c r="A483" t="str">
        <f>CONCATENATE(D483,"_",TEXT(M483,"ddmmaaaa"),"_",COUNTIF($D$2:D483,D483))</f>
        <v>249954930001-05_23022026_1</v>
      </c>
      <c r="B483" t="str">
        <f>CONCATENATE(Analise!D483,"_",COUNTIF(Analise!$D$2:D483,Analise!D483))</f>
        <v>249954930001-05_1</v>
      </c>
      <c r="C483" s="34">
        <f>COUNTIF('Obras e Acervos'!$C:$C,CONCATENATE(LEFT(D483,12),RIGHT(D483,2)))</f>
        <v>2</v>
      </c>
      <c r="D483" s="35" t="s">
        <v>4791</v>
      </c>
      <c r="E483" t="str">
        <f>VLOOKUP($B483,'Obras e Acervos'!$B:$X,3,0)</f>
        <v>EDITORA LAGO DE HISTORIAS LTDA - ME-EDITORA LAGO DE HISTORIAS</v>
      </c>
      <c r="F483" t="str">
        <f>VLOOKUP($B483,'Obras e Acervos'!$B:$X,7,0)</f>
        <v>0912L23000030LE</v>
      </c>
      <c r="G483" t="str">
        <f>VLOOKUP($B483,'Obras e Acervos'!$B:$X,5,0)</f>
        <v>SOFIA E A LARGA TIXA, A LAGARTIXA</v>
      </c>
      <c r="H483">
        <f>VLOOKUP($B483,'Obras e Acervos'!$B:$X,18,0)</f>
        <v>10</v>
      </c>
      <c r="I483">
        <f>VLOOKUP($B483,'Obras e Acervos'!$B:$X,19,0)</f>
        <v>33555</v>
      </c>
      <c r="J483" s="42">
        <f>VLOOKUP($B483,'Obras e Acervos'!$B:$X,20,0)</f>
        <v>4697.7000000000007</v>
      </c>
      <c r="K483" s="31">
        <f>VLOOKUP($B483,'Obras e Acervos'!$B:$X,21,0)</f>
        <v>7.73</v>
      </c>
      <c r="L483" s="31">
        <f t="shared" si="69"/>
        <v>259380.15000000002</v>
      </c>
      <c r="M483" s="1">
        <v>46076</v>
      </c>
      <c r="N483" s="1">
        <f t="shared" si="68"/>
        <v>46305</v>
      </c>
      <c r="O483">
        <f t="shared" si="70"/>
        <v>230</v>
      </c>
      <c r="P483" s="49">
        <f t="shared" si="66"/>
        <v>7.666666666666667</v>
      </c>
      <c r="Q483" s="34">
        <f>VLOOKUP($G483,Agendamento!$B:$F,5,0)</f>
        <v>6</v>
      </c>
      <c r="R483" s="36">
        <f t="shared" si="71"/>
        <v>34</v>
      </c>
      <c r="S483" s="44">
        <v>2.5499999999999998</v>
      </c>
      <c r="T483" s="44">
        <f t="shared" si="72"/>
        <v>19941</v>
      </c>
      <c r="U483" t="s">
        <v>5337</v>
      </c>
      <c r="V483" t="str">
        <f t="shared" si="73"/>
        <v>NF/64307505_20260223_nf_14.pdf</v>
      </c>
      <c r="W483" s="32" t="str">
        <f t="shared" si="67"/>
        <v>NF - SOFIA E A LARGA TIXA, A LAGARTIXA</v>
      </c>
      <c r="X483" t="s">
        <v>5591</v>
      </c>
    </row>
    <row r="484" spans="1:24" x14ac:dyDescent="0.25">
      <c r="A484" t="str">
        <f>CONCATENATE(D484,"_",TEXT(M484,"ddmmaaaa"),"_",COUNTIF($D$2:D484,D484))</f>
        <v>327726850001-80_23022026_1</v>
      </c>
      <c r="B484" t="str">
        <f>CONCATENATE(Analise!D484,"_",COUNTIF(Analise!$D$2:D484,Analise!D484))</f>
        <v>327726850001-80_1</v>
      </c>
      <c r="C484" s="34">
        <f>COUNTIF('Obras e Acervos'!$C:$C,CONCATENATE(LEFT(D484,12),RIGHT(D484,2)))</f>
        <v>2</v>
      </c>
      <c r="D484" s="35" t="s">
        <v>4793</v>
      </c>
      <c r="E484" t="str">
        <f>VLOOKUP($B484,'Obras e Acervos'!$B:$X,3,0)</f>
        <v>MUTANTE EDITORA LTDA-MUTANTE</v>
      </c>
      <c r="F484" t="str">
        <f>VLOOKUP($B484,'Obras e Acervos'!$B:$X,7,0)</f>
        <v>0709L23000030LE</v>
      </c>
      <c r="G484" t="str">
        <f>VLOOKUP($B484,'Obras e Acervos'!$B:$X,5,0)</f>
        <v>BOI DA CARA PRETA</v>
      </c>
      <c r="H484">
        <f>VLOOKUP($B484,'Obras e Acervos'!$B:$X,18,0)</f>
        <v>5</v>
      </c>
      <c r="I484">
        <f>VLOOKUP($B484,'Obras e Acervos'!$B:$X,19,0)</f>
        <v>39392</v>
      </c>
      <c r="J484" s="42">
        <f>VLOOKUP($B484,'Obras e Acervos'!$B:$X,20,0)</f>
        <v>6263.3280000000004</v>
      </c>
      <c r="K484" s="31">
        <f>VLOOKUP($B484,'Obras e Acervos'!$B:$X,21,0)</f>
        <v>8.7899999999999991</v>
      </c>
      <c r="L484" s="31">
        <f t="shared" si="69"/>
        <v>346255.68</v>
      </c>
      <c r="M484" s="1">
        <v>46076</v>
      </c>
      <c r="N484" s="1">
        <f t="shared" si="68"/>
        <v>46305</v>
      </c>
      <c r="O484">
        <f t="shared" si="70"/>
        <v>230</v>
      </c>
      <c r="P484" s="49">
        <f t="shared" si="66"/>
        <v>7.666666666666667</v>
      </c>
      <c r="Q484" s="34">
        <f>VLOOKUP($G484,Agendamento!$B:$F,5,0)</f>
        <v>9</v>
      </c>
      <c r="R484" s="36">
        <f t="shared" si="71"/>
        <v>40</v>
      </c>
      <c r="S484" s="44">
        <v>2.5499999999999998</v>
      </c>
      <c r="T484" s="44">
        <f t="shared" si="72"/>
        <v>23460</v>
      </c>
      <c r="U484" t="s">
        <v>5339</v>
      </c>
      <c r="V484" t="str">
        <f t="shared" si="73"/>
        <v>NF/64307505_20260223_nf_15.pdf</v>
      </c>
      <c r="W484" s="32" t="str">
        <f t="shared" si="67"/>
        <v>NF - BOI DA CARA PRETA</v>
      </c>
      <c r="X484" t="s">
        <v>5591</v>
      </c>
    </row>
    <row r="485" spans="1:24" x14ac:dyDescent="0.25">
      <c r="A485" t="str">
        <f>CONCATENATE(D485,"_",TEXT(M485,"ddmmaaaa"),"_",COUNTIF($D$2:D485,D485))</f>
        <v>327726850001-80_23022026_2</v>
      </c>
      <c r="B485" t="str">
        <f>CONCATENATE(Analise!D485,"_",COUNTIF(Analise!$D$2:D485,Analise!D485))</f>
        <v>327726850001-80_2</v>
      </c>
      <c r="C485" s="34">
        <f>COUNTIF('Obras e Acervos'!$C:$C,CONCATENATE(LEFT(D485,12),RIGHT(D485,2)))</f>
        <v>2</v>
      </c>
      <c r="D485" s="35" t="s">
        <v>4793</v>
      </c>
      <c r="E485" t="str">
        <f>VLOOKUP($B485,'Obras e Acervos'!$B:$X,3,0)</f>
        <v>MUTANTE EDITORA LTDA-MUTANTE</v>
      </c>
      <c r="F485" t="str">
        <f>VLOOKUP($B485,'Obras e Acervos'!$B:$X,7,0)</f>
        <v>0710L23000020LE</v>
      </c>
      <c r="G485" t="str">
        <f>VLOOKUP($B485,'Obras e Acervos'!$B:$X,5,0)</f>
        <v>PENNY PERIGO SÓ ATRAI CONFUSÃO</v>
      </c>
      <c r="H485">
        <f>VLOOKUP($B485,'Obras e Acervos'!$B:$X,18,0)</f>
        <v>17</v>
      </c>
      <c r="I485">
        <f>VLOOKUP($B485,'Obras e Acervos'!$B:$X,19,0)</f>
        <v>27489</v>
      </c>
      <c r="J485" s="42">
        <f>VLOOKUP($B485,'Obras e Acervos'!$B:$X,20,0)</f>
        <v>4783.0859999999993</v>
      </c>
      <c r="K485" s="31">
        <f>VLOOKUP($B485,'Obras e Acervos'!$B:$X,21,0)</f>
        <v>12.89</v>
      </c>
      <c r="L485" s="31">
        <f t="shared" si="69"/>
        <v>354333.21</v>
      </c>
      <c r="M485" s="1">
        <v>46076</v>
      </c>
      <c r="N485" s="1">
        <f t="shared" si="68"/>
        <v>46305</v>
      </c>
      <c r="O485">
        <f t="shared" si="70"/>
        <v>230</v>
      </c>
      <c r="P485" s="49">
        <f t="shared" si="66"/>
        <v>7.666666666666667</v>
      </c>
      <c r="Q485" s="34">
        <f>VLOOKUP($G485,Agendamento!$B:$F,5,0)</f>
        <v>6</v>
      </c>
      <c r="R485" s="36">
        <f t="shared" si="71"/>
        <v>28</v>
      </c>
      <c r="S485" s="44">
        <v>2.5499999999999998</v>
      </c>
      <c r="T485" s="44">
        <f t="shared" si="72"/>
        <v>16422</v>
      </c>
      <c r="U485" t="s">
        <v>5339</v>
      </c>
      <c r="V485" t="str">
        <f t="shared" si="73"/>
        <v>NF/64307505_20260223_nf_15.pdf</v>
      </c>
      <c r="W485" s="32" t="str">
        <f t="shared" si="67"/>
        <v>NF - PENNY PERIGO SÓ ATRAI CONFUSÃO</v>
      </c>
      <c r="X485" t="s">
        <v>5591</v>
      </c>
    </row>
    <row r="486" spans="1:24" x14ac:dyDescent="0.25">
      <c r="A486" t="str">
        <f>CONCATENATE(D486,"_",TEXT(M486,"ddmmaaaa"),"_",COUNTIF($D$2:D486,D486))</f>
        <v>408431650001-40_23022026_1</v>
      </c>
      <c r="B486" t="str">
        <f>CONCATENATE(Analise!D486,"_",COUNTIF(Analise!$D$2:D486,Analise!D486))</f>
        <v>408431650001-40_1</v>
      </c>
      <c r="C486" s="34">
        <f>COUNTIF('Obras e Acervos'!$C:$C,CONCATENATE(LEFT(D486,12),RIGHT(D486,2)))</f>
        <v>2</v>
      </c>
      <c r="D486" s="35" t="s">
        <v>4783</v>
      </c>
      <c r="E486" t="str">
        <f>VLOOKUP($B486,'Obras e Acervos'!$B:$X,3,0)</f>
        <v>MELHORAMENTOS LIVROS LTDA-MELHORAMENTOS LIVROS</v>
      </c>
      <c r="F486" t="str">
        <f>VLOOKUP($B486,'Obras e Acervos'!$B:$X,7,0)</f>
        <v>0895L23000030LE</v>
      </c>
      <c r="G486" t="str">
        <f>VLOOKUP($B486,'Obras e Acervos'!$B:$X,5,0)</f>
        <v>COM QUAL PENTEADO EU VOU?</v>
      </c>
      <c r="H486">
        <f>VLOOKUP($B486,'Obras e Acervos'!$B:$X,18,0)</f>
        <v>9</v>
      </c>
      <c r="I486">
        <f>VLOOKUP($B486,'Obras e Acervos'!$B:$X,19,0)</f>
        <v>45248</v>
      </c>
      <c r="J486" s="42">
        <f>VLOOKUP($B486,'Obras e Acervos'!$B:$X,20,0)</f>
        <v>10407.040000000001</v>
      </c>
      <c r="K486" s="31">
        <f>VLOOKUP($B486,'Obras e Acervos'!$B:$X,21,0)</f>
        <v>6.62</v>
      </c>
      <c r="L486" s="31">
        <f t="shared" si="69"/>
        <v>299541.76000000001</v>
      </c>
      <c r="M486" s="1">
        <v>46076</v>
      </c>
      <c r="N486" s="1">
        <f t="shared" si="68"/>
        <v>46305</v>
      </c>
      <c r="O486">
        <f t="shared" si="70"/>
        <v>230</v>
      </c>
      <c r="P486" s="49">
        <f t="shared" si="66"/>
        <v>7.666666666666667</v>
      </c>
      <c r="Q486" s="34">
        <f>VLOOKUP($G486,Agendamento!$B:$F,5,0)</f>
        <v>9</v>
      </c>
      <c r="R486" s="36">
        <f t="shared" si="71"/>
        <v>46</v>
      </c>
      <c r="S486" s="44">
        <v>2.5499999999999998</v>
      </c>
      <c r="T486" s="44">
        <f t="shared" si="72"/>
        <v>26978.999999999996</v>
      </c>
      <c r="U486" t="s">
        <v>5327</v>
      </c>
      <c r="V486" t="str">
        <f t="shared" si="73"/>
        <v>NF/64307505_20260223_nf_16.pdf</v>
      </c>
      <c r="W486" s="32" t="str">
        <f t="shared" si="67"/>
        <v>NF - COM QUAL PENTEADO EU VOU?</v>
      </c>
      <c r="X486" t="s">
        <v>5591</v>
      </c>
    </row>
    <row r="487" spans="1:24" x14ac:dyDescent="0.25">
      <c r="A487" t="str">
        <f>CONCATENATE(D487,"_",TEXT(M487,"ddmmaaaa"),"_",COUNTIF($D$2:D487,D487))</f>
        <v>408431650001-40_23022026_2</v>
      </c>
      <c r="B487" t="str">
        <f>CONCATENATE(Analise!D487,"_",COUNTIF(Analise!$D$2:D487,Analise!D487))</f>
        <v>408431650001-40_2</v>
      </c>
      <c r="C487" s="34">
        <f>COUNTIF('Obras e Acervos'!$C:$C,CONCATENATE(LEFT(D487,12),RIGHT(D487,2)))</f>
        <v>2</v>
      </c>
      <c r="D487" s="35" t="s">
        <v>4783</v>
      </c>
      <c r="E487" t="str">
        <f>VLOOKUP($B487,'Obras e Acervos'!$B:$X,3,0)</f>
        <v>MELHORAMENTOS LIVROS LTDA-MELHORAMENTOS LIVROS</v>
      </c>
      <c r="F487" t="str">
        <f>VLOOKUP($B487,'Obras e Acervos'!$B:$X,7,0)</f>
        <v>0896L23000020LE</v>
      </c>
      <c r="G487" t="str">
        <f>VLOOKUP($B487,'Obras e Acervos'!$B:$X,5,0)</f>
        <v>AGORA PODE CHOVER</v>
      </c>
      <c r="H487">
        <f>VLOOKUP($B487,'Obras e Acervos'!$B:$X,18,0)</f>
        <v>13</v>
      </c>
      <c r="I487">
        <f>VLOOKUP($B487,'Obras e Acervos'!$B:$X,19,0)</f>
        <v>30954</v>
      </c>
      <c r="J487" s="42">
        <f>VLOOKUP($B487,'Obras e Acervos'!$B:$X,20,0)</f>
        <v>4890.732</v>
      </c>
      <c r="K487" s="31">
        <f>VLOOKUP($B487,'Obras e Acervos'!$B:$X,21,0)</f>
        <v>6.39</v>
      </c>
      <c r="L487" s="31">
        <f t="shared" si="69"/>
        <v>197796.06</v>
      </c>
      <c r="M487" s="1">
        <v>46076</v>
      </c>
      <c r="N487" s="1">
        <f t="shared" si="68"/>
        <v>46305</v>
      </c>
      <c r="O487">
        <f t="shared" si="70"/>
        <v>230</v>
      </c>
      <c r="P487" s="49">
        <f t="shared" si="66"/>
        <v>7.666666666666667</v>
      </c>
      <c r="Q487" s="34">
        <f>VLOOKUP($G487,Agendamento!$B:$F,5,0)</f>
        <v>5</v>
      </c>
      <c r="R487" s="36">
        <f t="shared" si="71"/>
        <v>31</v>
      </c>
      <c r="S487" s="44">
        <v>2.5499999999999998</v>
      </c>
      <c r="T487" s="44">
        <f t="shared" si="72"/>
        <v>18181.5</v>
      </c>
      <c r="U487" t="s">
        <v>5327</v>
      </c>
      <c r="V487" t="str">
        <f t="shared" si="73"/>
        <v>NF/64307505_20260223_nf_16.pdf</v>
      </c>
      <c r="W487" s="32" t="str">
        <f t="shared" si="67"/>
        <v>NF - AGORA PODE CHOVER</v>
      </c>
      <c r="X487" t="s">
        <v>5591</v>
      </c>
    </row>
    <row r="488" spans="1:24" x14ac:dyDescent="0.25">
      <c r="A488" t="str">
        <f>CONCATENATE(D488,"_",TEXT(M488,"ddmmaaaa"),"_",COUNTIF($D$2:D488,D488))</f>
        <v>120282750001-12_23022026_1</v>
      </c>
      <c r="B488" t="str">
        <f>CONCATENATE(Analise!D488,"_",COUNTIF(Analise!$D$2:D488,Analise!D488))</f>
        <v>120282750001-12_1</v>
      </c>
      <c r="C488" s="34">
        <f>COUNTIF('Obras e Acervos'!$C:$C,CONCATENATE(LEFT(D488,12),RIGHT(D488,2)))</f>
        <v>2</v>
      </c>
      <c r="D488" s="35" t="s">
        <v>4801</v>
      </c>
      <c r="E488" t="str">
        <f>VLOOKUP($B488,'Obras e Acervos'!$B:$X,3,0)</f>
        <v>BOCIANOSKI VAREJISTA DE REVISTA LTDA-BOCIANOSKI VAREJISTA DE REVISTA LTDA</v>
      </c>
      <c r="F488" t="str">
        <f>VLOOKUP($B488,'Obras e Acervos'!$B:$X,7,0)</f>
        <v>1045L23000030LE</v>
      </c>
      <c r="G488" t="str">
        <f>VLOOKUP($B488,'Obras e Acervos'!$B:$X,5,0)</f>
        <v>A GIRAFA MANUELA</v>
      </c>
      <c r="H488">
        <f>VLOOKUP($B488,'Obras e Acervos'!$B:$X,18,0)</f>
        <v>9</v>
      </c>
      <c r="I488">
        <f>VLOOKUP($B488,'Obras e Acervos'!$B:$X,19,0)</f>
        <v>43748</v>
      </c>
      <c r="J488" s="42">
        <f>VLOOKUP($B488,'Obras e Acervos'!$B:$X,20,0)</f>
        <v>3718.5800000000004</v>
      </c>
      <c r="K488" s="31">
        <f>VLOOKUP($B488,'Obras e Acervos'!$B:$X,21,0)</f>
        <v>4.99</v>
      </c>
      <c r="L488" s="31">
        <f t="shared" si="69"/>
        <v>218302.52000000002</v>
      </c>
      <c r="M488" s="1">
        <v>46076</v>
      </c>
      <c r="N488" s="1">
        <f t="shared" si="68"/>
        <v>46305</v>
      </c>
      <c r="O488">
        <f t="shared" si="70"/>
        <v>230</v>
      </c>
      <c r="P488" s="49">
        <f t="shared" si="66"/>
        <v>7.666666666666667</v>
      </c>
      <c r="Q488" s="34">
        <f>VLOOKUP($G488,Agendamento!$B:$F,5,0)</f>
        <v>4</v>
      </c>
      <c r="R488" s="36">
        <f t="shared" si="71"/>
        <v>44</v>
      </c>
      <c r="S488" s="44">
        <v>2.5499999999999998</v>
      </c>
      <c r="T488" s="44">
        <f t="shared" si="72"/>
        <v>25806</v>
      </c>
      <c r="U488" t="s">
        <v>5351</v>
      </c>
      <c r="V488" t="str">
        <f t="shared" si="73"/>
        <v>NF/64307505_20260223_nf_17.pdf</v>
      </c>
      <c r="W488" s="32" t="str">
        <f t="shared" si="67"/>
        <v>NF - A GIRAFA MANUELA</v>
      </c>
      <c r="X488" t="s">
        <v>5591</v>
      </c>
    </row>
    <row r="489" spans="1:24" x14ac:dyDescent="0.25">
      <c r="A489" t="str">
        <f>CONCATENATE(D489,"_",TEXT(M489,"ddmmaaaa"),"_",COUNTIF($D$2:D489,D489))</f>
        <v>120282750001-12_23022026_2</v>
      </c>
      <c r="B489" t="str">
        <f>CONCATENATE(Analise!D489,"_",COUNTIF(Analise!$D$2:D489,Analise!D489))</f>
        <v>120282750001-12_2</v>
      </c>
      <c r="C489" s="34">
        <f>COUNTIF('Obras e Acervos'!$C:$C,CONCATENATE(LEFT(D489,12),RIGHT(D489,2)))</f>
        <v>2</v>
      </c>
      <c r="D489" s="35" t="s">
        <v>4801</v>
      </c>
      <c r="E489" t="str">
        <f>VLOOKUP($B489,'Obras e Acervos'!$B:$X,3,0)</f>
        <v>BOCIANOSKI VAREJISTA DE REVISTA LTDA-BOCIANOSKI VAREJISTA DE REVISTA LTDA</v>
      </c>
      <c r="F489" t="str">
        <f>VLOOKUP($B489,'Obras e Acervos'!$B:$X,7,0)</f>
        <v>1046L23000020LE</v>
      </c>
      <c r="G489" t="str">
        <f>VLOOKUP($B489,'Obras e Acervos'!$B:$X,5,0)</f>
        <v>JOÃO E MARIA</v>
      </c>
      <c r="H489">
        <f>VLOOKUP($B489,'Obras e Acervos'!$B:$X,18,0)</f>
        <v>21</v>
      </c>
      <c r="I489">
        <f>VLOOKUP($B489,'Obras e Acervos'!$B:$X,19,0)</f>
        <v>36828</v>
      </c>
      <c r="J489" s="42">
        <f>VLOOKUP($B489,'Obras e Acervos'!$B:$X,20,0)</f>
        <v>3793.2839999999997</v>
      </c>
      <c r="K489" s="31">
        <f>VLOOKUP($B489,'Obras e Acervos'!$B:$X,21,0)</f>
        <v>5.83</v>
      </c>
      <c r="L489" s="31">
        <f t="shared" si="69"/>
        <v>214707.24</v>
      </c>
      <c r="M489" s="1">
        <v>46076</v>
      </c>
      <c r="N489" s="1">
        <f t="shared" si="68"/>
        <v>46305</v>
      </c>
      <c r="O489">
        <f t="shared" si="70"/>
        <v>230</v>
      </c>
      <c r="P489" s="49">
        <f t="shared" si="66"/>
        <v>7.666666666666667</v>
      </c>
      <c r="Q489" s="34">
        <f>VLOOKUP($G489,Agendamento!$B:$F,5,0)</f>
        <v>4</v>
      </c>
      <c r="R489" s="36">
        <f t="shared" si="71"/>
        <v>37</v>
      </c>
      <c r="S489" s="44">
        <v>2.5499999999999998</v>
      </c>
      <c r="T489" s="44">
        <f t="shared" si="72"/>
        <v>21700.5</v>
      </c>
      <c r="U489" t="s">
        <v>5351</v>
      </c>
      <c r="V489" t="str">
        <f t="shared" si="73"/>
        <v>NF/64307505_20260223_nf_17.pdf</v>
      </c>
      <c r="W489" s="32" t="str">
        <f t="shared" si="67"/>
        <v>NF - JOÃO E MARIA</v>
      </c>
      <c r="X489" t="s">
        <v>5591</v>
      </c>
    </row>
    <row r="490" spans="1:24" x14ac:dyDescent="0.25">
      <c r="A490" t="str">
        <f>CONCATENATE(D490,"_",TEXT(M490,"ddmmaaaa"),"_",COUNTIF($D$2:D490,D490))</f>
        <v>087310590001-61_23022026_1</v>
      </c>
      <c r="B490" t="str">
        <f>CONCATENATE(Analise!D490,"_",COUNTIF(Analise!$D$2:D490,Analise!D490)+1)</f>
        <v>087310590001-61_2</v>
      </c>
      <c r="C490" s="34">
        <f>COUNTIF('Obras e Acervos'!$C:$C,CONCATENATE(LEFT(D490,12),RIGHT(D490,2)))</f>
        <v>2</v>
      </c>
      <c r="D490" s="35" t="s">
        <v>4787</v>
      </c>
      <c r="E490" t="str">
        <f>VLOOKUP($B490,'Obras e Acervos'!$B:$X,3,0)</f>
        <v>DOMO 72 EMPREENDIMENTOS E PARTICIPACOES LTDA-DOMO 72 EDITORIAL</v>
      </c>
      <c r="F490" t="str">
        <f>VLOOKUP($B490,'Obras e Acervos'!$B:$X,7,0)</f>
        <v>1001L23000020LE</v>
      </c>
      <c r="G490" t="str">
        <f>VLOOKUP($B490,'Obras e Acervos'!$B:$X,5,0)</f>
        <v>O LIVRO DOS INSETOS</v>
      </c>
      <c r="H490">
        <f>VLOOKUP($B490,'Obras e Acervos'!$B:$X,18,0)</f>
        <v>21</v>
      </c>
      <c r="I490">
        <f>VLOOKUP($B490,'Obras e Acervos'!$B:$X,19,0)</f>
        <v>23693</v>
      </c>
      <c r="J490" s="42">
        <f>VLOOKUP($B490,'Obras e Acervos'!$B:$X,20,0)</f>
        <v>2866.8530000000001</v>
      </c>
      <c r="K490" s="31">
        <f>VLOOKUP($B490,'Obras e Acervos'!$B:$X,21,0)</f>
        <v>7.52</v>
      </c>
      <c r="L490" s="31">
        <f t="shared" si="69"/>
        <v>178171.36</v>
      </c>
      <c r="M490" s="1">
        <v>46076</v>
      </c>
      <c r="N490" s="1">
        <f t="shared" si="68"/>
        <v>46305</v>
      </c>
      <c r="O490">
        <f t="shared" si="70"/>
        <v>230</v>
      </c>
      <c r="P490" s="49">
        <f t="shared" si="66"/>
        <v>7.666666666666667</v>
      </c>
      <c r="Q490" s="34">
        <f>VLOOKUP($G490,Agendamento!$B:$F,5,0)</f>
        <v>4</v>
      </c>
      <c r="R490" s="36">
        <f t="shared" si="71"/>
        <v>24</v>
      </c>
      <c r="S490" s="44">
        <v>2.5499999999999998</v>
      </c>
      <c r="T490" s="44">
        <f t="shared" si="72"/>
        <v>14075.999999999998</v>
      </c>
      <c r="U490" t="s">
        <v>5332</v>
      </c>
      <c r="V490" t="str">
        <f t="shared" si="73"/>
        <v>NF/64307505_20260223_nf_18.pdf</v>
      </c>
      <c r="W490" s="32" t="str">
        <f t="shared" si="67"/>
        <v>NF - O LIVRO DOS INSETOS</v>
      </c>
      <c r="X490" t="s">
        <v>5591</v>
      </c>
    </row>
    <row r="491" spans="1:24" x14ac:dyDescent="0.25">
      <c r="A491" t="str">
        <f>CONCATENATE(D491,"_",TEXT(M491,"ddmmaaaa"),"_",COUNTIF($D$2:D491,D491))</f>
        <v>401056020001-28_23022026_1</v>
      </c>
      <c r="B491" t="str">
        <f>CONCATENATE(Analise!D491,"_",COUNTIF(Analise!$D$2:D491,Analise!D491))</f>
        <v>401056020001-28_1</v>
      </c>
      <c r="C491" s="34">
        <f>COUNTIF('Obras e Acervos'!$C:$C,CONCATENATE(LEFT(D491,12),RIGHT(D491,2)))</f>
        <v>1</v>
      </c>
      <c r="D491" s="35" t="s">
        <v>4797</v>
      </c>
      <c r="E491" t="str">
        <f>VLOOKUP($B491,'Obras e Acervos'!$B:$X,3,0)</f>
        <v>TOTE EDITORA LTDA-TOTE EDITORA</v>
      </c>
      <c r="F491" t="str">
        <f>VLOOKUP($B491,'Obras e Acervos'!$B:$X,7,0)</f>
        <v>0926L23000020LE</v>
      </c>
      <c r="G491" t="str">
        <f>VLOOKUP($B491,'Obras e Acervos'!$B:$X,5,0)</f>
        <v>SÍTIO DO PICAPAU AMARELO EM QUADRINHAS - MEMÓRIAS DA EMÍLIA E OUTRAS HISTÓRIAS</v>
      </c>
      <c r="H491">
        <f>VLOOKUP($B491,'Obras e Acervos'!$B:$X,18,0)</f>
        <v>21</v>
      </c>
      <c r="I491">
        <f>VLOOKUP($B491,'Obras e Acervos'!$B:$X,19,0)</f>
        <v>32464</v>
      </c>
      <c r="J491" s="42">
        <f>VLOOKUP($B491,'Obras e Acervos'!$B:$X,20,0)</f>
        <v>5648.7359999999999</v>
      </c>
      <c r="K491" s="31">
        <f>VLOOKUP($B491,'Obras e Acervos'!$B:$X,21,0)</f>
        <v>10.130000000000001</v>
      </c>
      <c r="L491" s="31">
        <f t="shared" si="69"/>
        <v>328860.32</v>
      </c>
      <c r="M491" s="1">
        <v>46076</v>
      </c>
      <c r="N491" s="1">
        <f t="shared" si="68"/>
        <v>46305</v>
      </c>
      <c r="O491">
        <f t="shared" si="70"/>
        <v>230</v>
      </c>
      <c r="P491" s="49">
        <f t="shared" ref="P491:P554" si="74">O491/30</f>
        <v>7.666666666666667</v>
      </c>
      <c r="Q491" s="34">
        <f>VLOOKUP($G491,Agendamento!$B:$F,5,0)</f>
        <v>7</v>
      </c>
      <c r="R491" s="36">
        <f t="shared" si="71"/>
        <v>33</v>
      </c>
      <c r="S491" s="44">
        <v>2.5499999999999998</v>
      </c>
      <c r="T491" s="44">
        <f t="shared" si="72"/>
        <v>19354.5</v>
      </c>
      <c r="U491" t="s">
        <v>5347</v>
      </c>
      <c r="V491" t="str">
        <f t="shared" si="73"/>
        <v>NF/64307505_20260223_nf_19.pdf</v>
      </c>
      <c r="W491" s="32" t="str">
        <f t="shared" ref="W491:W554" si="75">HYPERLINK(CONCATENATE("saida/",U491),CONCATENATE("NF - ",G491))</f>
        <v>NF - SÍTIO DO PICAPAU AMARELO EM QUADRINHAS - MEMÓRIAS DA EMÍLIA E OUTRAS HISTÓRIAS</v>
      </c>
      <c r="X491" t="s">
        <v>5591</v>
      </c>
    </row>
    <row r="492" spans="1:24" x14ac:dyDescent="0.25">
      <c r="A492" t="str">
        <f>CONCATENATE(D492,"_",TEXT(M492,"ddmmaaaa"),"_",COUNTIF($D$2:D492,D492))</f>
        <v>400869740001-54_23022026_1</v>
      </c>
      <c r="B492" t="str">
        <f>CONCATENATE(Analise!D492,"_",COUNTIF(Analise!$D$2:D492,Analise!D492))</f>
        <v>400869740001-54_1</v>
      </c>
      <c r="C492" s="34">
        <f>COUNTIF('Obras e Acervos'!$C:$C,CONCATENATE(LEFT(D492,12),RIGHT(D492,2)))</f>
        <v>1</v>
      </c>
      <c r="D492" s="35" t="s">
        <v>4799</v>
      </c>
      <c r="E492" t="str">
        <f>VLOOKUP($B492,'Obras e Acervos'!$B:$X,3,0)</f>
        <v>NISABA EDITORA LTDA-NISABA EDITORA</v>
      </c>
      <c r="F492" t="str">
        <f>VLOOKUP($B492,'Obras e Acervos'!$B:$X,7,0)</f>
        <v>0927L23000030LE</v>
      </c>
      <c r="G492" t="str">
        <f>VLOOKUP($B492,'Obras e Acervos'!$B:$X,5,0)</f>
        <v>O SOLDADINHO DE CHUMBO EM QUADRINHAS</v>
      </c>
      <c r="H492">
        <f>VLOOKUP($B492,'Obras e Acervos'!$B:$X,18,0)</f>
        <v>9</v>
      </c>
      <c r="I492">
        <f>VLOOKUP($B492,'Obras e Acervos'!$B:$X,19,0)</f>
        <v>33143</v>
      </c>
      <c r="J492" s="42">
        <f>VLOOKUP($B492,'Obras e Acervos'!$B:$X,20,0)</f>
        <v>3314.3</v>
      </c>
      <c r="K492" s="31">
        <f>VLOOKUP($B492,'Obras e Acervos'!$B:$X,21,0)</f>
        <v>5.96</v>
      </c>
      <c r="L492" s="31">
        <f t="shared" si="69"/>
        <v>197532.28</v>
      </c>
      <c r="M492" s="1">
        <v>46076</v>
      </c>
      <c r="N492" s="1">
        <f t="shared" si="68"/>
        <v>46305</v>
      </c>
      <c r="O492">
        <f t="shared" si="70"/>
        <v>230</v>
      </c>
      <c r="P492" s="49">
        <f t="shared" si="74"/>
        <v>7.666666666666667</v>
      </c>
      <c r="Q492" s="34">
        <f>VLOOKUP($G492,Agendamento!$B:$F,5,0)</f>
        <v>4</v>
      </c>
      <c r="R492" s="36">
        <f t="shared" si="71"/>
        <v>34</v>
      </c>
      <c r="S492" s="44">
        <v>2.5499999999999998</v>
      </c>
      <c r="T492" s="44">
        <f t="shared" si="72"/>
        <v>19941</v>
      </c>
      <c r="U492" t="s">
        <v>5349</v>
      </c>
      <c r="V492" t="str">
        <f t="shared" si="73"/>
        <v>NF/64307505_20260223_nf_20.pdf</v>
      </c>
      <c r="W492" s="32" t="str">
        <f t="shared" si="75"/>
        <v>NF - O SOLDADINHO DE CHUMBO EM QUADRINHAS</v>
      </c>
      <c r="X492" t="s">
        <v>5591</v>
      </c>
    </row>
    <row r="493" spans="1:24" x14ac:dyDescent="0.25">
      <c r="A493" t="str">
        <f>CONCATENATE(D493,"_",TEXT(M493,"ddmmaaaa"),"_",COUNTIF($D$2:D493,D493))</f>
        <v>016001240001-70_23022026_2</v>
      </c>
      <c r="B493" t="str">
        <f>CONCATENATE(Analise!D493,"_",COUNTIF(Analise!$D$2:D493,Analise!D493)-1)</f>
        <v>016001240001-70_1</v>
      </c>
      <c r="C493" s="34">
        <f>COUNTIF('Obras e Acervos'!$C:$C,CONCATENATE(LEFT(D493,12),RIGHT(D493,2)))</f>
        <v>2</v>
      </c>
      <c r="D493" s="35" t="s">
        <v>4640</v>
      </c>
      <c r="E493" t="str">
        <f>VLOOKUP($B493,'Obras e Acervos'!$B:$X,3,0)</f>
        <v>ALUMBRE PRODUÇÕES DIDÁTICAS E LITERÁRIAS LTDA.-EDITORA ALUMBRE</v>
      </c>
      <c r="F493" t="str">
        <f>VLOOKUP($B493,'Obras e Acervos'!$B:$X,7,0)</f>
        <v>0640L23000030LE</v>
      </c>
      <c r="G493" t="str">
        <f>VLOOKUP($B493,'Obras e Acervos'!$B:$X,5,0)</f>
        <v>LILA E TUTU</v>
      </c>
      <c r="H493">
        <f>VLOOKUP($B493,'Obras e Acervos'!$B:$X,18,0)</f>
        <v>7</v>
      </c>
      <c r="I493">
        <f>VLOOKUP($B493,'Obras e Acervos'!$B:$X,19,0)</f>
        <v>33070</v>
      </c>
      <c r="J493" s="42">
        <f>VLOOKUP($B493,'Obras e Acervos'!$B:$X,20,0)</f>
        <v>4729.0099999999993</v>
      </c>
      <c r="K493" s="31">
        <f>VLOOKUP($B493,'Obras e Acervos'!$B:$X,21,0)</f>
        <v>7.75</v>
      </c>
      <c r="L493" s="31">
        <f t="shared" si="69"/>
        <v>256292.5</v>
      </c>
      <c r="M493" s="1">
        <v>46076</v>
      </c>
      <c r="N493" s="1">
        <f t="shared" si="68"/>
        <v>46305</v>
      </c>
      <c r="O493">
        <f t="shared" si="70"/>
        <v>230</v>
      </c>
      <c r="P493" s="49">
        <f t="shared" si="74"/>
        <v>7.666666666666667</v>
      </c>
      <c r="Q493" s="34">
        <f>VLOOKUP($G493,Agendamento!$B:$F,5,0)</f>
        <v>6</v>
      </c>
      <c r="R493" s="36">
        <f t="shared" si="71"/>
        <v>34</v>
      </c>
      <c r="S493" s="44">
        <v>2.5499999999999998</v>
      </c>
      <c r="T493" s="44">
        <f t="shared" si="72"/>
        <v>19941</v>
      </c>
      <c r="U493" t="s">
        <v>5341</v>
      </c>
      <c r="V493" t="str">
        <f t="shared" si="73"/>
        <v>NF/64307505_20260223_nf_21.pdf</v>
      </c>
      <c r="W493" s="32" t="str">
        <f t="shared" si="75"/>
        <v>NF - LILA E TUTU</v>
      </c>
      <c r="X493" t="s">
        <v>5591</v>
      </c>
    </row>
    <row r="494" spans="1:24" x14ac:dyDescent="0.25">
      <c r="A494" t="str">
        <f>CONCATENATE(D494,"_",TEXT(M494,"ddmmaaaa"),"_",COUNTIF($D$2:D494,D494))</f>
        <v>146514220001-31_23022026_1</v>
      </c>
      <c r="B494" t="str">
        <f>CONCATENATE(Analise!D494,"_",COUNTIF(Analise!$D$2:D494,Analise!D494))</f>
        <v>146514220001-31_1</v>
      </c>
      <c r="C494" s="34">
        <f>COUNTIF('Obras e Acervos'!$C:$C,CONCATENATE(LEFT(D494,12),RIGHT(D494,2)))</f>
        <v>2</v>
      </c>
      <c r="D494" s="35" t="s">
        <v>4800</v>
      </c>
      <c r="E494" t="str">
        <f>VLOOKUP($B494,'Obras e Acervos'!$B:$X,3,0)</f>
        <v>EDITORA BMH LTDA-EDITORA BMH</v>
      </c>
      <c r="F494" t="str">
        <f>VLOOKUP($B494,'Obras e Acervos'!$B:$X,7,0)</f>
        <v>0609L23000030LE</v>
      </c>
      <c r="G494" t="str">
        <f>VLOOKUP($B494,'Obras e Acervos'!$B:$X,5,0)</f>
        <v>O CIRCO DA CONFUSÃO</v>
      </c>
      <c r="H494">
        <f>VLOOKUP($B494,'Obras e Acervos'!$B:$X,18,0)</f>
        <v>8</v>
      </c>
      <c r="I494">
        <f>VLOOKUP($B494,'Obras e Acervos'!$B:$X,19,0)</f>
        <v>38891</v>
      </c>
      <c r="J494" s="42">
        <f>VLOOKUP($B494,'Obras e Acervos'!$B:$X,20,0)</f>
        <v>3305.7350000000001</v>
      </c>
      <c r="K494" s="31">
        <f>VLOOKUP($B494,'Obras e Acervos'!$B:$X,21,0)</f>
        <v>4.63</v>
      </c>
      <c r="L494" s="31">
        <f t="shared" si="69"/>
        <v>180065.33</v>
      </c>
      <c r="M494" s="1">
        <v>46076</v>
      </c>
      <c r="N494" s="1">
        <f t="shared" si="68"/>
        <v>46305</v>
      </c>
      <c r="O494">
        <f t="shared" si="70"/>
        <v>230</v>
      </c>
      <c r="P494" s="49">
        <f t="shared" si="74"/>
        <v>7.666666666666667</v>
      </c>
      <c r="Q494" s="34">
        <f>VLOOKUP($G494,Agendamento!$B:$F,5,0)</f>
        <v>5</v>
      </c>
      <c r="R494" s="36">
        <f t="shared" si="71"/>
        <v>39</v>
      </c>
      <c r="S494" s="44">
        <v>2.5499999999999998</v>
      </c>
      <c r="T494" s="44">
        <f t="shared" si="72"/>
        <v>22873.5</v>
      </c>
      <c r="U494" t="s">
        <v>5350</v>
      </c>
      <c r="V494" t="str">
        <f t="shared" si="73"/>
        <v>NF/64307505_20260223_nf_23.pdf</v>
      </c>
      <c r="W494" s="32" t="str">
        <f t="shared" si="75"/>
        <v>NF - O CIRCO DA CONFUSÃO</v>
      </c>
      <c r="X494" t="s">
        <v>5591</v>
      </c>
    </row>
    <row r="495" spans="1:24" x14ac:dyDescent="0.25">
      <c r="A495" t="str">
        <f>CONCATENATE(D495,"_",TEXT(M495,"ddmmaaaa"),"_",COUNTIF($D$2:D495,D495))</f>
        <v>146514220001-31_23022026_2</v>
      </c>
      <c r="B495" t="str">
        <f>CONCATENATE(Analise!D495,"_",COUNTIF(Analise!$D$2:D495,Analise!D495))</f>
        <v>146514220001-31_2</v>
      </c>
      <c r="C495" s="34">
        <f>COUNTIF('Obras e Acervos'!$C:$C,CONCATENATE(LEFT(D495,12),RIGHT(D495,2)))</f>
        <v>2</v>
      </c>
      <c r="D495" s="35" t="s">
        <v>4800</v>
      </c>
      <c r="E495" t="str">
        <f>VLOOKUP($B495,'Obras e Acervos'!$B:$X,3,0)</f>
        <v>EDITORA BMH LTDA-EDITORA BMH</v>
      </c>
      <c r="F495" t="str">
        <f>VLOOKUP($B495,'Obras e Acervos'!$B:$X,7,0)</f>
        <v>0610L23000020LE</v>
      </c>
      <c r="G495" t="str">
        <f>VLOOKUP($B495,'Obras e Acervos'!$B:$X,5,0)</f>
        <v>O COZINHEIRO DO NOBRE</v>
      </c>
      <c r="H495">
        <f>VLOOKUP($B495,'Obras e Acervos'!$B:$X,18,0)</f>
        <v>20</v>
      </c>
      <c r="I495">
        <f>VLOOKUP($B495,'Obras e Acervos'!$B:$X,19,0)</f>
        <v>26562</v>
      </c>
      <c r="J495" s="42">
        <f>VLOOKUP($B495,'Obras e Acervos'!$B:$X,20,0)</f>
        <v>2735.886</v>
      </c>
      <c r="K495" s="31">
        <f>VLOOKUP($B495,'Obras e Acervos'!$B:$X,21,0)</f>
        <v>6.43</v>
      </c>
      <c r="L495" s="31">
        <f t="shared" si="69"/>
        <v>170793.66</v>
      </c>
      <c r="M495" s="1">
        <v>46076</v>
      </c>
      <c r="N495" s="1">
        <f t="shared" si="68"/>
        <v>46305</v>
      </c>
      <c r="O495">
        <f t="shared" si="70"/>
        <v>230</v>
      </c>
      <c r="P495" s="49">
        <f t="shared" si="74"/>
        <v>7.666666666666667</v>
      </c>
      <c r="Q495" s="34">
        <f>VLOOKUP($G495,Agendamento!$B:$F,5,0)</f>
        <v>4</v>
      </c>
      <c r="R495" s="36">
        <f t="shared" si="71"/>
        <v>27</v>
      </c>
      <c r="S495" s="44">
        <v>2.5499999999999998</v>
      </c>
      <c r="T495" s="44">
        <f t="shared" si="72"/>
        <v>15835.499999999998</v>
      </c>
      <c r="U495" t="s">
        <v>5350</v>
      </c>
      <c r="V495" t="str">
        <f t="shared" si="73"/>
        <v>NF/64307505_20260223_nf_23.pdf</v>
      </c>
      <c r="W495" s="32" t="str">
        <f t="shared" si="75"/>
        <v>NF - O COZINHEIRO DO NOBRE</v>
      </c>
      <c r="X495" t="s">
        <v>5591</v>
      </c>
    </row>
    <row r="496" spans="1:24" x14ac:dyDescent="0.25">
      <c r="A496" t="str">
        <f>CONCATENATE(D496,"_",TEXT(M496,"ddmmaaaa"),"_",COUNTIF($D$2:D496,D496))</f>
        <v>039872280001-05_23022026_2</v>
      </c>
      <c r="B496" t="str">
        <f>CONCATENATE(Analise!D496,"_",COUNTIF(Analise!$D$2:D496,Analise!D496))</f>
        <v>039872280001-05_2</v>
      </c>
      <c r="C496" s="34">
        <f>COUNTIF('Obras e Acervos'!$C:$C,CONCATENATE(LEFT(D496,12),RIGHT(D496,2)))</f>
        <v>2</v>
      </c>
      <c r="D496" s="35" t="s">
        <v>4531</v>
      </c>
      <c r="E496" t="str">
        <f>VLOOKUP($B496,'Obras e Acervos'!$B:$X,3,0)</f>
        <v>PONTES LIVROS EIRELI -PONTES LIVROS</v>
      </c>
      <c r="F496" t="str">
        <f>VLOOKUP($B496,'Obras e Acervos'!$B:$X,7,0)</f>
        <v>0508L23000020LE</v>
      </c>
      <c r="G496" t="str">
        <f>VLOOKUP($B496,'Obras e Acervos'!$B:$X,5,0)</f>
        <v>ADORÁVEL DORA</v>
      </c>
      <c r="H496">
        <f>VLOOKUP($B496,'Obras e Acervos'!$B:$X,18,0)</f>
        <v>13</v>
      </c>
      <c r="I496">
        <f>VLOOKUP($B496,'Obras e Acervos'!$B:$X,19,0)</f>
        <v>30681</v>
      </c>
      <c r="J496" s="42">
        <f>VLOOKUP($B496,'Obras e Acervos'!$B:$X,20,0)</f>
        <v>3528.3150000000001</v>
      </c>
      <c r="K496" s="31">
        <f>VLOOKUP($B496,'Obras e Acervos'!$B:$X,21,0)</f>
        <v>8.31</v>
      </c>
      <c r="L496" s="31">
        <f t="shared" si="69"/>
        <v>254959.11000000002</v>
      </c>
      <c r="M496" s="1">
        <v>46076</v>
      </c>
      <c r="N496" s="1">
        <f t="shared" si="68"/>
        <v>46305</v>
      </c>
      <c r="O496">
        <f t="shared" si="70"/>
        <v>230</v>
      </c>
      <c r="P496" s="49">
        <f t="shared" si="74"/>
        <v>7.666666666666667</v>
      </c>
      <c r="Q496" s="34">
        <f>VLOOKUP($G496,Agendamento!$B:$F,5,0)</f>
        <v>5</v>
      </c>
      <c r="R496" s="36">
        <f t="shared" si="71"/>
        <v>31</v>
      </c>
      <c r="S496" s="44">
        <v>2.5499999999999998</v>
      </c>
      <c r="T496" s="44">
        <f t="shared" si="72"/>
        <v>18181.5</v>
      </c>
      <c r="U496" t="s">
        <v>5343</v>
      </c>
      <c r="V496" t="str">
        <f t="shared" si="73"/>
        <v>NF/64307505_20260223_nf_24.pdf</v>
      </c>
      <c r="W496" s="32" t="str">
        <f t="shared" si="75"/>
        <v>NF - ADORÁVEL DORA</v>
      </c>
      <c r="X496" t="s">
        <v>5591</v>
      </c>
    </row>
    <row r="497" spans="1:24" x14ac:dyDescent="0.25">
      <c r="A497" t="str">
        <f>CONCATENATE(D497,"_",TEXT(M497,"ddmmaaaa"),"_",COUNTIF($D$2:D497,D497))</f>
        <v>249954930001-05_23022026_2</v>
      </c>
      <c r="B497" t="str">
        <f>CONCATENATE(Analise!D497,"_",COUNTIF(Analise!$D$2:D497,Analise!D497))</f>
        <v>249954930001-05_2</v>
      </c>
      <c r="C497" s="34">
        <f>COUNTIF('Obras e Acervos'!$C:$C,CONCATENATE(LEFT(D497,12),RIGHT(D497,2)))</f>
        <v>2</v>
      </c>
      <c r="D497" s="35" t="s">
        <v>4791</v>
      </c>
      <c r="E497" t="str">
        <f>VLOOKUP($B497,'Obras e Acervos'!$B:$X,3,0)</f>
        <v>EDITORA LAGO DE HISTORIAS LTDA - ME-EDITORA LAGO DE HISTORIAS</v>
      </c>
      <c r="F497" t="str">
        <f>VLOOKUP($B497,'Obras e Acervos'!$B:$X,7,0)</f>
        <v>0913L23000020LE</v>
      </c>
      <c r="G497" t="str">
        <f>VLOOKUP($B497,'Obras e Acervos'!$B:$X,5,0)</f>
        <v>ANTES DE DORMIR</v>
      </c>
      <c r="H497">
        <f>VLOOKUP($B497,'Obras e Acervos'!$B:$X,18,0)</f>
        <v>14</v>
      </c>
      <c r="I497">
        <f>VLOOKUP($B497,'Obras e Acervos'!$B:$X,19,0)</f>
        <v>24576</v>
      </c>
      <c r="J497" s="42">
        <f>VLOOKUP($B497,'Obras e Acervos'!$B:$X,20,0)</f>
        <v>3440.6400000000003</v>
      </c>
      <c r="K497" s="31">
        <f>VLOOKUP($B497,'Obras e Acervos'!$B:$X,21,0)</f>
        <v>8.42</v>
      </c>
      <c r="L497" s="31">
        <f t="shared" si="69"/>
        <v>206929.91999999998</v>
      </c>
      <c r="M497" s="1">
        <v>46076</v>
      </c>
      <c r="N497" s="1">
        <f t="shared" si="68"/>
        <v>46305</v>
      </c>
      <c r="O497">
        <f t="shared" si="70"/>
        <v>230</v>
      </c>
      <c r="P497" s="49">
        <f t="shared" si="74"/>
        <v>7.666666666666667</v>
      </c>
      <c r="Q497" s="34">
        <f>VLOOKUP($G497,Agendamento!$B:$F,5,0)</f>
        <v>4</v>
      </c>
      <c r="R497" s="36">
        <f t="shared" si="71"/>
        <v>25</v>
      </c>
      <c r="S497" s="44">
        <v>2.5499999999999998</v>
      </c>
      <c r="T497" s="44">
        <f t="shared" si="72"/>
        <v>14662.499999999998</v>
      </c>
      <c r="U497" t="s">
        <v>5354</v>
      </c>
      <c r="V497" t="str">
        <f t="shared" si="73"/>
        <v>NF/64307505_20260223_nf_25.pdf</v>
      </c>
      <c r="W497" s="32" t="str">
        <f t="shared" si="75"/>
        <v>NF - ANTES DE DORMIR</v>
      </c>
      <c r="X497" t="s">
        <v>5591</v>
      </c>
    </row>
    <row r="498" spans="1:24" x14ac:dyDescent="0.25">
      <c r="A498" t="str">
        <f>CONCATENATE(D498,"_",TEXT(M498,"ddmmaaaa"),"_",COUNTIF($D$2:D498,D498))</f>
        <v>008459260001-88_23022026_1</v>
      </c>
      <c r="B498" t="str">
        <f>CONCATENATE(Analise!D498,"_",COUNTIF(Analise!$D$2:D498,Analise!D498))</f>
        <v>008459260001-88_1</v>
      </c>
      <c r="C498" s="34">
        <f>COUNTIF('Obras e Acervos'!$C:$C,CONCATENATE(LEFT(D498,12),RIGHT(D498,2)))</f>
        <v>1</v>
      </c>
      <c r="D498" s="35" t="s">
        <v>4796</v>
      </c>
      <c r="E498" t="str">
        <f>VLOOKUP($B498,'Obras e Acervos'!$B:$X,3,0)</f>
        <v>GIRASSOL BRASIL EDIÇÕES LTDA.-GIRASSOL</v>
      </c>
      <c r="F498" t="str">
        <f>VLOOKUP($B498,'Obras e Acervos'!$B:$X,7,0)</f>
        <v>1204L23000020LE</v>
      </c>
      <c r="G498" t="str">
        <f>VLOOKUP($B498,'Obras e Acervos'!$B:$X,5,0)</f>
        <v>TIBÚRCIO</v>
      </c>
      <c r="H498">
        <f>VLOOKUP($B498,'Obras e Acervos'!$B:$X,18,0)</f>
        <v>18</v>
      </c>
      <c r="I498">
        <f>VLOOKUP($B498,'Obras e Acervos'!$B:$X,19,0)</f>
        <v>23609</v>
      </c>
      <c r="J498" s="42">
        <f>VLOOKUP($B498,'Obras e Acervos'!$B:$X,20,0)</f>
        <v>3305.26</v>
      </c>
      <c r="K498" s="31">
        <f>VLOOKUP($B498,'Obras e Acervos'!$B:$X,21,0)</f>
        <v>8.25</v>
      </c>
      <c r="L498" s="31">
        <f t="shared" si="69"/>
        <v>194774.25</v>
      </c>
      <c r="M498" s="1">
        <v>46076</v>
      </c>
      <c r="N498" s="1">
        <f t="shared" si="68"/>
        <v>46305</v>
      </c>
      <c r="O498">
        <f t="shared" si="70"/>
        <v>230</v>
      </c>
      <c r="P498" s="49">
        <f t="shared" si="74"/>
        <v>7.666666666666667</v>
      </c>
      <c r="Q498" s="34">
        <f>VLOOKUP($G498,Agendamento!$B:$F,5,0)</f>
        <v>4</v>
      </c>
      <c r="R498" s="36">
        <f t="shared" si="71"/>
        <v>24</v>
      </c>
      <c r="S498" s="44">
        <v>2.5499999999999998</v>
      </c>
      <c r="T498" s="44">
        <f t="shared" si="72"/>
        <v>14075.999999999998</v>
      </c>
      <c r="U498" t="s">
        <v>5345</v>
      </c>
      <c r="V498" t="str">
        <f t="shared" si="73"/>
        <v>NF/64307505_20260223_nf_26.pdf</v>
      </c>
      <c r="W498" s="32" t="str">
        <f t="shared" si="75"/>
        <v>NF - TIBÚRCIO</v>
      </c>
      <c r="X498" t="s">
        <v>5591</v>
      </c>
    </row>
    <row r="499" spans="1:24" x14ac:dyDescent="0.25">
      <c r="A499" t="str">
        <f>CONCATENATE(D499,"_",TEXT(M499,"ddmmaaaa"),"_",COUNTIF($D$2:D499,D499))</f>
        <v>150589190001-03_23022026_2</v>
      </c>
      <c r="B499" t="str">
        <f>CONCATENATE(Analise!D499,"_",COUNTIF(Analise!$D$2:D499,Analise!D499))</f>
        <v>150589190001-03_2</v>
      </c>
      <c r="C499" s="34">
        <f>COUNTIF('Obras e Acervos'!$C:$C,CONCATENATE(LEFT(D499,12),RIGHT(D499,2)))</f>
        <v>2</v>
      </c>
      <c r="D499" s="35" t="s">
        <v>4790</v>
      </c>
      <c r="E499" t="str">
        <f>VLOOKUP($B499,'Obras e Acervos'!$B:$X,3,0)</f>
        <v>P S D DE VASCONCELLOS-PÓ DE ESTRELAS</v>
      </c>
      <c r="F499" t="str">
        <f>VLOOKUP($B499,'Obras e Acervos'!$B:$X,7,0)</f>
        <v>0955L23000020LE</v>
      </c>
      <c r="G499" t="str">
        <f>VLOOKUP($B499,'Obras e Acervos'!$B:$X,5,0)</f>
        <v>O PRÍNCIPE E AS CHAVES</v>
      </c>
      <c r="H499">
        <f>VLOOKUP($B499,'Obras e Acervos'!$B:$X,18,0)</f>
        <v>16</v>
      </c>
      <c r="I499">
        <f>VLOOKUP($B499,'Obras e Acervos'!$B:$X,19,0)</f>
        <v>30364</v>
      </c>
      <c r="J499" s="42">
        <f>VLOOKUP($B499,'Obras e Acervos'!$B:$X,20,0)</f>
        <v>4342.0519999999997</v>
      </c>
      <c r="K499" s="31">
        <f>VLOOKUP($B499,'Obras e Acervos'!$B:$X,21,0)</f>
        <v>8.31</v>
      </c>
      <c r="L499" s="31">
        <f t="shared" si="69"/>
        <v>252324.84000000003</v>
      </c>
      <c r="M499" s="1">
        <v>46076</v>
      </c>
      <c r="N499" s="1">
        <f t="shared" si="68"/>
        <v>46305</v>
      </c>
      <c r="O499">
        <f t="shared" si="70"/>
        <v>230</v>
      </c>
      <c r="P499" s="49">
        <f t="shared" si="74"/>
        <v>7.666666666666667</v>
      </c>
      <c r="Q499" s="34">
        <f>VLOOKUP($G499,Agendamento!$B:$F,5,0)</f>
        <v>5</v>
      </c>
      <c r="R499" s="36">
        <f t="shared" si="71"/>
        <v>31</v>
      </c>
      <c r="S499" s="44">
        <v>2.5499999999999998</v>
      </c>
      <c r="T499" s="44">
        <f t="shared" si="72"/>
        <v>18181.5</v>
      </c>
      <c r="U499" t="s">
        <v>5346</v>
      </c>
      <c r="V499" t="str">
        <f t="shared" si="73"/>
        <v>NF/64307505_20260223_nf_27.pdf</v>
      </c>
      <c r="W499" s="32" t="str">
        <f t="shared" si="75"/>
        <v>NF - O PRÍNCIPE E AS CHAVES</v>
      </c>
      <c r="X499" t="s">
        <v>5591</v>
      </c>
    </row>
    <row r="500" spans="1:24" x14ac:dyDescent="0.25">
      <c r="A500" t="str">
        <f>CONCATENATE(D500,"_",TEXT(M500,"ddmmaaaa"),"_",COUNTIF($D$2:D500,D500))</f>
        <v>297790710001-16_23022026_1</v>
      </c>
      <c r="B500" t="str">
        <f>CONCATENATE(Analise!D500,"_",COUNTIF(Analise!$D$2:D500,Analise!D500)+1)</f>
        <v>297790710001-16_2</v>
      </c>
      <c r="C500" s="34">
        <f>COUNTIF('Obras e Acervos'!$C:$C,CONCATENATE(LEFT(D500,12),RIGHT(D500,2)))</f>
        <v>2</v>
      </c>
      <c r="D500" s="35" t="s">
        <v>4802</v>
      </c>
      <c r="E500" t="str">
        <f>VLOOKUP($B500,'Obras e Acervos'!$B:$X,3,0)</f>
        <v>FLORESCER LIVRARIA E EDITORA LTDA-FLORESCER DISTRIBUIDORA DE LIVROS</v>
      </c>
      <c r="F500" t="str">
        <f>VLOOKUP($B500,'Obras e Acervos'!$B:$X,7,0)</f>
        <v>1218L23000020LE</v>
      </c>
      <c r="G500" t="str">
        <f>VLOOKUP($B500,'Obras e Acervos'!$B:$X,5,0)</f>
        <v>A VIDA SEM LÉO</v>
      </c>
      <c r="H500">
        <f>VLOOKUP($B500,'Obras e Acervos'!$B:$X,18,0)</f>
        <v>22</v>
      </c>
      <c r="I500">
        <f>VLOOKUP($B500,'Obras e Acervos'!$B:$X,19,0)</f>
        <v>23616</v>
      </c>
      <c r="J500" s="42">
        <f>VLOOKUP($B500,'Obras e Acervos'!$B:$X,20,0)</f>
        <v>3377.0879999999997</v>
      </c>
      <c r="K500" s="31">
        <f>VLOOKUP($B500,'Obras e Acervos'!$B:$X,21,0)</f>
        <v>8.4700000000000006</v>
      </c>
      <c r="L500" s="31">
        <f t="shared" si="69"/>
        <v>200027.52000000002</v>
      </c>
      <c r="M500" s="1">
        <v>46076</v>
      </c>
      <c r="N500" s="1">
        <f t="shared" si="68"/>
        <v>46305</v>
      </c>
      <c r="O500">
        <f t="shared" si="70"/>
        <v>230</v>
      </c>
      <c r="P500" s="49">
        <f t="shared" si="74"/>
        <v>7.666666666666667</v>
      </c>
      <c r="Q500" s="34">
        <f>VLOOKUP($G500,Agendamento!$B:$F,5,0)</f>
        <v>4</v>
      </c>
      <c r="R500" s="36">
        <f t="shared" si="71"/>
        <v>24</v>
      </c>
      <c r="S500" s="44">
        <v>2.5499999999999998</v>
      </c>
      <c r="T500" s="44">
        <f t="shared" si="72"/>
        <v>14075.999999999998</v>
      </c>
      <c r="U500" t="s">
        <v>5352</v>
      </c>
      <c r="V500" t="str">
        <f t="shared" si="73"/>
        <v>NF/64307505_20260223_nf_28.pdf</v>
      </c>
      <c r="W500" s="32" t="str">
        <f t="shared" si="75"/>
        <v>NF - A VIDA SEM LÉO</v>
      </c>
      <c r="X500" t="s">
        <v>5591</v>
      </c>
    </row>
    <row r="501" spans="1:24" x14ac:dyDescent="0.25">
      <c r="A501" t="str">
        <f>CONCATENATE(D501,"_",TEXT(M501,"ddmmaaaa"),"_",COUNTIF($D$2:D501,D501))</f>
        <v>303088620001-47_23022026_1</v>
      </c>
      <c r="B501" t="str">
        <f>CONCATENATE(Analise!D501,"_",COUNTIF(Analise!$D$2:D501,Analise!D501)+1)</f>
        <v>303088620001-47_2</v>
      </c>
      <c r="C501" s="34">
        <f>COUNTIF('Obras e Acervos'!$C:$C,CONCATENATE(LEFT(D501,12),RIGHT(D501,2)))</f>
        <v>2</v>
      </c>
      <c r="D501" s="35" t="s">
        <v>4803</v>
      </c>
      <c r="E501" t="str">
        <f>VLOOKUP($B501,'Obras e Acervos'!$B:$X,3,0)</f>
        <v>RETICÊNCIAS PRODUÇÕES LITERÁRIAS E EDITORIAIS LTDA-RETICÊNCIAS...</v>
      </c>
      <c r="F501" t="str">
        <f>VLOOKUP($B501,'Obras e Acervos'!$B:$X,7,0)</f>
        <v>0644L23000020LE</v>
      </c>
      <c r="G501" t="str">
        <f>VLOOKUP($B501,'Obras e Acervos'!$B:$X,5,0)</f>
        <v>JÔNATAS E DAVI</v>
      </c>
      <c r="H501">
        <f>VLOOKUP($B501,'Obras e Acervos'!$B:$X,18,0)</f>
        <v>20</v>
      </c>
      <c r="I501">
        <f>VLOOKUP($B501,'Obras e Acervos'!$B:$X,19,0)</f>
        <v>26441</v>
      </c>
      <c r="J501" s="42">
        <f>VLOOKUP($B501,'Obras e Acervos'!$B:$X,20,0)</f>
        <v>3781.0629999999996</v>
      </c>
      <c r="K501" s="31">
        <f>VLOOKUP($B501,'Obras e Acervos'!$B:$X,21,0)</f>
        <v>8.33</v>
      </c>
      <c r="L501" s="31">
        <f t="shared" si="69"/>
        <v>220253.53</v>
      </c>
      <c r="M501" s="1">
        <v>46076</v>
      </c>
      <c r="N501" s="1">
        <f t="shared" si="68"/>
        <v>46305</v>
      </c>
      <c r="O501">
        <f t="shared" si="70"/>
        <v>230</v>
      </c>
      <c r="P501" s="49">
        <f t="shared" si="74"/>
        <v>7.666666666666667</v>
      </c>
      <c r="Q501" s="34">
        <f>VLOOKUP($G501,Agendamento!$B:$F,5,0)</f>
        <v>5</v>
      </c>
      <c r="R501" s="36">
        <f t="shared" si="71"/>
        <v>27</v>
      </c>
      <c r="S501" s="44">
        <v>2.5499999999999998</v>
      </c>
      <c r="T501" s="44">
        <f t="shared" si="72"/>
        <v>15835.499999999998</v>
      </c>
      <c r="U501" t="s">
        <v>5353</v>
      </c>
      <c r="V501" t="str">
        <f t="shared" si="73"/>
        <v>NF/64307505_20260223_nf_29.pdf</v>
      </c>
      <c r="W501" s="32" t="str">
        <f t="shared" si="75"/>
        <v>NF - JÔNATAS E DAVI</v>
      </c>
      <c r="X501" t="s">
        <v>5591</v>
      </c>
    </row>
    <row r="502" spans="1:24" x14ac:dyDescent="0.25">
      <c r="A502" t="str">
        <f>CONCATENATE(D502,"_",TEXT(M502,"ddmmaaaa"),"_",COUNTIF($D$2:D502,D502))</f>
        <v>435970000001-23_11032026_1</v>
      </c>
      <c r="B502" t="str">
        <f>CONCATENATE(Analise!D502,"_",COUNTIF(Analise!$D$2:D502,Analise!D502)+1)</f>
        <v>435970000001-23_2</v>
      </c>
      <c r="C502" s="34">
        <f>COUNTIF('Obras e Acervos'!$C:$C,CONCATENATE(LEFT(D502,12),RIGHT(D502,2)))</f>
        <v>2</v>
      </c>
      <c r="D502" s="35" t="s">
        <v>4806</v>
      </c>
      <c r="E502" t="str">
        <f>VLOOKUP($B502,'Obras e Acervos'!$B:$X,3,0)</f>
        <v>EDITORA MENINO DO RIO LTDA-MENINO DO RIO</v>
      </c>
      <c r="F502" t="str">
        <f>VLOOKUP($B502,'Obras e Acervos'!$B:$X,7,0)</f>
        <v>1145L23000020LE</v>
      </c>
      <c r="G502" t="str">
        <f>VLOOKUP($B502,'Obras e Acervos'!$B:$X,5,0)</f>
        <v>QUEM GOSTA DE SASEMERBOS?</v>
      </c>
      <c r="H502">
        <f>VLOOKUP($B502,'Obras e Acervos'!$B:$X,18,0)</f>
        <v>11</v>
      </c>
      <c r="I502">
        <f>VLOOKUP($B502,'Obras e Acervos'!$B:$X,19,0)</f>
        <v>31346</v>
      </c>
      <c r="J502" s="42">
        <f>VLOOKUP($B502,'Obras e Acervos'!$B:$X,20,0)</f>
        <v>3886.904</v>
      </c>
      <c r="K502" s="31">
        <f>VLOOKUP($B502,'Obras e Acervos'!$B:$X,21,0)</f>
        <v>7.32</v>
      </c>
      <c r="L502" s="31">
        <f t="shared" si="69"/>
        <v>229452.72</v>
      </c>
      <c r="M502" s="1">
        <v>46092</v>
      </c>
      <c r="N502" s="1">
        <f t="shared" si="68"/>
        <v>46305</v>
      </c>
      <c r="O502">
        <f t="shared" si="70"/>
        <v>214</v>
      </c>
      <c r="P502" s="49">
        <f t="shared" si="74"/>
        <v>7.1333333333333337</v>
      </c>
      <c r="Q502" s="34">
        <f>VLOOKUP($G502,Agendamento!$B:$F,5,0)</f>
        <v>5</v>
      </c>
      <c r="R502" s="36">
        <f t="shared" si="71"/>
        <v>32</v>
      </c>
      <c r="S502" s="44">
        <v>2.5499999999999998</v>
      </c>
      <c r="T502" s="44">
        <f t="shared" si="72"/>
        <v>17462.399999999998</v>
      </c>
      <c r="U502" t="s">
        <v>5361</v>
      </c>
      <c r="V502" t="str">
        <f t="shared" si="73"/>
        <v>NF/64307505_20260311_nf_01.pdf</v>
      </c>
      <c r="W502" s="32" t="str">
        <f t="shared" si="75"/>
        <v>NF - QUEM GOSTA DE SASEMERBOS?</v>
      </c>
      <c r="X502" t="s">
        <v>5591</v>
      </c>
    </row>
    <row r="503" spans="1:24" x14ac:dyDescent="0.25">
      <c r="A503" t="str">
        <f>CONCATENATE(D503,"_",TEXT(M503,"ddmmaaaa"),"_",COUNTIF($D$2:D503,D503))</f>
        <v>063260330001-02_11032026_2</v>
      </c>
      <c r="B503" t="str">
        <f>CONCATENATE(Analise!D503,"_",COUNTIF(Analise!$D$2:D503,Analise!D503)-1)</f>
        <v>063260330001-02_1</v>
      </c>
      <c r="C503" s="34">
        <f>COUNTIF('Obras e Acervos'!$C:$C,CONCATENATE(LEFT(D503,12),RIGHT(D503,2)))</f>
        <v>2</v>
      </c>
      <c r="D503" s="35" t="s">
        <v>4772</v>
      </c>
      <c r="E503" t="str">
        <f>VLOOKUP($B503,'Obras e Acervos'!$B:$X,3,0)</f>
        <v>FOLIA DE LETRAS EDITORA E SERVIÇOS EDITORIAIS LTDA-EDITORA FOLIA DE LETRAS</v>
      </c>
      <c r="F503" t="str">
        <f>VLOOKUP($B503,'Obras e Acervos'!$B:$X,7,0)</f>
        <v>1232L23000030LE</v>
      </c>
      <c r="G503" t="str">
        <f>VLOOKUP($B503,'Obras e Acervos'!$B:$X,5,0)</f>
        <v>... E O LOBO MAU SE DEU BEM</v>
      </c>
      <c r="H503">
        <f>VLOOKUP($B503,'Obras e Acervos'!$B:$X,18,0)</f>
        <v>6</v>
      </c>
      <c r="I503">
        <f>VLOOKUP($B503,'Obras e Acervos'!$B:$X,19,0)</f>
        <v>84897</v>
      </c>
      <c r="J503" s="42">
        <f>VLOOKUP($B503,'Obras e Acervos'!$B:$X,20,0)</f>
        <v>10527.227999999999</v>
      </c>
      <c r="K503" s="31">
        <f>VLOOKUP($B503,'Obras e Acervos'!$B:$X,21,0)</f>
        <v>4.82</v>
      </c>
      <c r="L503" s="31">
        <f t="shared" si="69"/>
        <v>409203.54000000004</v>
      </c>
      <c r="M503" s="1">
        <v>46092</v>
      </c>
      <c r="N503" s="1">
        <f t="shared" si="68"/>
        <v>46305</v>
      </c>
      <c r="O503">
        <f t="shared" si="70"/>
        <v>214</v>
      </c>
      <c r="P503" s="49">
        <f t="shared" si="74"/>
        <v>7.1333333333333337</v>
      </c>
      <c r="Q503" s="34">
        <f>VLOOKUP($G503,Agendamento!$B:$F,5,0)</f>
        <v>12</v>
      </c>
      <c r="R503" s="36">
        <f t="shared" si="71"/>
        <v>85</v>
      </c>
      <c r="S503" s="44">
        <v>2.5499999999999998</v>
      </c>
      <c r="T503" s="44">
        <f t="shared" si="72"/>
        <v>46384.5</v>
      </c>
      <c r="U503" t="s">
        <v>5355</v>
      </c>
      <c r="V503" t="str">
        <f t="shared" si="73"/>
        <v>NF/64307505_20260311_nf_02.pdf</v>
      </c>
      <c r="W503" s="32" t="str">
        <f t="shared" si="75"/>
        <v>NF - ... E O LOBO MAU SE DEU BEM</v>
      </c>
      <c r="X503" t="s">
        <v>5591</v>
      </c>
    </row>
    <row r="504" spans="1:24" x14ac:dyDescent="0.25">
      <c r="A504" t="str">
        <f>CONCATENATE(D504,"_",TEXT(M504,"ddmmaaaa"),"_",COUNTIF($D$2:D504,D504))</f>
        <v>435971310001-00_11032026_2</v>
      </c>
      <c r="B504" t="str">
        <f>CONCATENATE(Analise!D504,"_",COUNTIF(Analise!$D$2:D504,Analise!D504))</f>
        <v>435971310001-00_2</v>
      </c>
      <c r="C504" s="34">
        <f>COUNTIF('Obras e Acervos'!$C:$C,CONCATENATE(LEFT(D504,12),RIGHT(D504,2)))</f>
        <v>2</v>
      </c>
      <c r="D504" s="35" t="s">
        <v>4765</v>
      </c>
      <c r="E504" t="str">
        <f>VLOOKUP($B504,'Obras e Acervos'!$B:$X,3,0)</f>
        <v>EDITORA BRASIL MODERNO LTDA-BRASIL MODERNO</v>
      </c>
      <c r="F504" t="str">
        <f>VLOOKUP($B504,'Obras e Acervos'!$B:$X,7,0)</f>
        <v>1141L23000020LE</v>
      </c>
      <c r="G504" t="str">
        <f>VLOOKUP($B504,'Obras e Acervos'!$B:$X,5,0)</f>
        <v>GUIA DO CONSUMIDOR MIRIM</v>
      </c>
      <c r="H504">
        <f>VLOOKUP($B504,'Obras e Acervos'!$B:$X,18,0)</f>
        <v>12</v>
      </c>
      <c r="I504">
        <f>VLOOKUP($B504,'Obras e Acervos'!$B:$X,19,0)</f>
        <v>33100</v>
      </c>
      <c r="J504" s="42">
        <f>VLOOKUP($B504,'Obras e Acervos'!$B:$X,20,0)</f>
        <v>4303</v>
      </c>
      <c r="K504" s="31">
        <f>VLOOKUP($B504,'Obras e Acervos'!$B:$X,21,0)</f>
        <v>6.86</v>
      </c>
      <c r="L504" s="31">
        <f t="shared" si="69"/>
        <v>227066</v>
      </c>
      <c r="M504" s="1">
        <v>46092</v>
      </c>
      <c r="N504" s="1">
        <f t="shared" si="68"/>
        <v>46305</v>
      </c>
      <c r="O504">
        <f t="shared" si="70"/>
        <v>214</v>
      </c>
      <c r="P504" s="49">
        <f t="shared" si="74"/>
        <v>7.1333333333333337</v>
      </c>
      <c r="Q504" s="34">
        <f>VLOOKUP($G504,Agendamento!$B:$F,5,0)</f>
        <v>5</v>
      </c>
      <c r="R504" s="36">
        <f t="shared" si="71"/>
        <v>34</v>
      </c>
      <c r="S504" s="44">
        <v>2.5499999999999998</v>
      </c>
      <c r="T504" s="44">
        <f t="shared" si="72"/>
        <v>18553.8</v>
      </c>
      <c r="U504" t="s">
        <v>5356</v>
      </c>
      <c r="V504" t="str">
        <f t="shared" si="73"/>
        <v>NF/64307505_20260311_nf_03.pdf</v>
      </c>
      <c r="W504" s="32" t="str">
        <f t="shared" si="75"/>
        <v>NF - GUIA DO CONSUMIDOR MIRIM</v>
      </c>
      <c r="X504" t="s">
        <v>5591</v>
      </c>
    </row>
    <row r="505" spans="1:24" x14ac:dyDescent="0.25">
      <c r="A505" t="str">
        <f>CONCATENATE(D505,"_",TEXT(M505,"ddmmaaaa"),"_",COUNTIF($D$2:D505,D505))</f>
        <v>435970000001-23_11032026_2</v>
      </c>
      <c r="B505" t="str">
        <f>CONCATENATE(Analise!D505,"_",COUNTIF(Analise!$D$2:D505,Analise!D505)-1)</f>
        <v>435970000001-23_1</v>
      </c>
      <c r="C505" s="34">
        <f>COUNTIF('Obras e Acervos'!$C:$C,CONCATENATE(LEFT(D505,12),RIGHT(D505,2)))</f>
        <v>2</v>
      </c>
      <c r="D505" s="35" t="s">
        <v>4806</v>
      </c>
      <c r="E505" t="str">
        <f>VLOOKUP($B505,'Obras e Acervos'!$B:$X,3,0)</f>
        <v>EDITORA MENINO DO RIO LTDA-MENINO DO RIO</v>
      </c>
      <c r="F505" t="str">
        <f>VLOOKUP($B505,'Obras e Acervos'!$B:$X,7,0)</f>
        <v>0869L23000030LE</v>
      </c>
      <c r="G505" t="str">
        <f>VLOOKUP($B505,'Obras e Acervos'!$B:$X,5,0)</f>
        <v>ATÉ QUE ENFIM SERAFIM</v>
      </c>
      <c r="H505">
        <f>VLOOKUP($B505,'Obras e Acervos'!$B:$X,18,0)</f>
        <v>8</v>
      </c>
      <c r="I505">
        <f>VLOOKUP($B505,'Obras e Acervos'!$B:$X,19,0)</f>
        <v>33558</v>
      </c>
      <c r="J505" s="42">
        <f>VLOOKUP($B505,'Obras e Acervos'!$B:$X,20,0)</f>
        <v>5033.7</v>
      </c>
      <c r="K505" s="31">
        <f>VLOOKUP($B505,'Obras e Acervos'!$B:$X,21,0)</f>
        <v>7.73</v>
      </c>
      <c r="L505" s="31">
        <f t="shared" si="69"/>
        <v>259403.34000000003</v>
      </c>
      <c r="M505" s="1">
        <v>46092</v>
      </c>
      <c r="N505" s="1">
        <f t="shared" si="68"/>
        <v>46305</v>
      </c>
      <c r="O505">
        <f t="shared" si="70"/>
        <v>214</v>
      </c>
      <c r="P505" s="49">
        <f t="shared" si="74"/>
        <v>7.1333333333333337</v>
      </c>
      <c r="Q505" s="34">
        <f>VLOOKUP($G505,Agendamento!$B:$F,5,0)</f>
        <v>6</v>
      </c>
      <c r="R505" s="36">
        <f t="shared" si="71"/>
        <v>34</v>
      </c>
      <c r="S505" s="44">
        <v>2.5499999999999998</v>
      </c>
      <c r="T505" s="44">
        <f t="shared" si="72"/>
        <v>18553.8</v>
      </c>
      <c r="U505" t="s">
        <v>5360</v>
      </c>
      <c r="V505" t="str">
        <f t="shared" si="73"/>
        <v>NF/64307505_20260311_nf_04.pdf</v>
      </c>
      <c r="W505" s="32" t="str">
        <f t="shared" si="75"/>
        <v>NF - ATÉ QUE ENFIM SERAFIM</v>
      </c>
      <c r="X505" t="s">
        <v>5591</v>
      </c>
    </row>
    <row r="506" spans="1:24" x14ac:dyDescent="0.25">
      <c r="A506" t="str">
        <f>CONCATENATE(D506,"_",TEXT(M506,"ddmmaaaa"),"_",COUNTIF($D$2:D506,D506))</f>
        <v>438868230001-79_11032026_1</v>
      </c>
      <c r="B506" t="str">
        <f>CONCATENATE(Analise!D506,"_",COUNTIF(Analise!$D$2:D506,Analise!D506))</f>
        <v>438868230001-79_1</v>
      </c>
      <c r="C506" s="34">
        <f>COUNTIF('Obras e Acervos'!$C:$C,CONCATENATE(LEFT(D506,12),RIGHT(D506,2)))</f>
        <v>2</v>
      </c>
      <c r="D506" s="35" t="s">
        <v>4807</v>
      </c>
      <c r="E506" t="str">
        <f>VLOOKUP($B506,'Obras e Acervos'!$B:$X,3,0)</f>
        <v>EDITORA ZAGUINHA LTDA-ZAGUINHA</v>
      </c>
      <c r="F506" t="str">
        <f>VLOOKUP($B506,'Obras e Acervos'!$B:$X,7,0)</f>
        <v>1075L23000030LE</v>
      </c>
      <c r="G506" t="str">
        <f>VLOOKUP($B506,'Obras e Acervos'!$B:$X,5,0)</f>
        <v>UM MAR DE GENTE</v>
      </c>
      <c r="H506">
        <f>VLOOKUP($B506,'Obras e Acervos'!$B:$X,18,0)</f>
        <v>5</v>
      </c>
      <c r="I506">
        <f>VLOOKUP($B506,'Obras e Acervos'!$B:$X,19,0)</f>
        <v>37620</v>
      </c>
      <c r="J506" s="42">
        <f>VLOOKUP($B506,'Obras e Acervos'!$B:$X,20,0)</f>
        <v>6094.4400000000005</v>
      </c>
      <c r="K506" s="31">
        <f>VLOOKUP($B506,'Obras e Acervos'!$B:$X,21,0)</f>
        <v>8</v>
      </c>
      <c r="L506" s="31">
        <f t="shared" si="69"/>
        <v>300960</v>
      </c>
      <c r="M506" s="1">
        <v>46092</v>
      </c>
      <c r="N506" s="1">
        <f t="shared" si="68"/>
        <v>46305</v>
      </c>
      <c r="O506">
        <f t="shared" si="70"/>
        <v>214</v>
      </c>
      <c r="P506" s="49">
        <f t="shared" si="74"/>
        <v>7.1333333333333337</v>
      </c>
      <c r="Q506" s="34">
        <f>VLOOKUP($G506,Agendamento!$B:$F,5,0)</f>
        <v>5</v>
      </c>
      <c r="R506" s="36">
        <f t="shared" si="71"/>
        <v>38</v>
      </c>
      <c r="S506" s="44">
        <v>2.5499999999999998</v>
      </c>
      <c r="T506" s="44">
        <f t="shared" si="72"/>
        <v>20736.599999999999</v>
      </c>
      <c r="U506" t="s">
        <v>5384</v>
      </c>
      <c r="V506" t="str">
        <f t="shared" si="73"/>
        <v>NF/64307505_20260311_nf_05.pdf</v>
      </c>
      <c r="W506" s="32" t="str">
        <f t="shared" si="75"/>
        <v>NF - UM MAR DE GENTE</v>
      </c>
      <c r="X506" t="s">
        <v>5591</v>
      </c>
    </row>
    <row r="507" spans="1:24" x14ac:dyDescent="0.25">
      <c r="A507" t="str">
        <f>CONCATENATE(D507,"_",TEXT(M507,"ddmmaaaa"),"_",COUNTIF($D$2:D507,D507))</f>
        <v>056659540001-37_11032026_1</v>
      </c>
      <c r="B507" t="str">
        <f>CONCATENATE(Analise!D507,"_",COUNTIF(Analise!$D$2:D507,Analise!D507))</f>
        <v>056659540001-37_1</v>
      </c>
      <c r="C507" s="34">
        <f>COUNTIF('Obras e Acervos'!$C:$C,CONCATENATE(LEFT(D507,12),RIGHT(D507,2)))</f>
        <v>2</v>
      </c>
      <c r="D507" s="35" t="s">
        <v>4804</v>
      </c>
      <c r="E507" t="str">
        <f>VLOOKUP($B507,'Obras e Acervos'!$B:$X,3,0)</f>
        <v>EDITORA DA PONTE SOLUÇÕES EM EDUCAÇÃO LTDA-EDITORA DA PONTE</v>
      </c>
      <c r="F507" t="str">
        <f>VLOOKUP($B507,'Obras e Acervos'!$B:$X,7,0)</f>
        <v>1310L23000030LE</v>
      </c>
      <c r="G507" t="str">
        <f>VLOOKUP($B507,'Obras e Acervos'!$B:$X,5,0)</f>
        <v>QUANTO MUNDO CABE NA GENTE?</v>
      </c>
      <c r="H507">
        <f>VLOOKUP($B507,'Obras e Acervos'!$B:$X,18,0)</f>
        <v>4</v>
      </c>
      <c r="I507">
        <f>VLOOKUP($B507,'Obras e Acervos'!$B:$X,19,0)</f>
        <v>42475</v>
      </c>
      <c r="J507" s="42">
        <f>VLOOKUP($B507,'Obras e Acervos'!$B:$X,20,0)</f>
        <v>6073.9249999999993</v>
      </c>
      <c r="K507" s="31">
        <f>VLOOKUP($B507,'Obras e Acervos'!$B:$X,21,0)</f>
        <v>7.07</v>
      </c>
      <c r="L507" s="31">
        <f t="shared" si="69"/>
        <v>300298.25</v>
      </c>
      <c r="M507" s="1">
        <v>46092</v>
      </c>
      <c r="N507" s="1">
        <f t="shared" si="68"/>
        <v>46305</v>
      </c>
      <c r="O507">
        <f t="shared" si="70"/>
        <v>214</v>
      </c>
      <c r="P507" s="49">
        <f t="shared" si="74"/>
        <v>7.1333333333333337</v>
      </c>
      <c r="Q507" s="34">
        <f>VLOOKUP($G507,Agendamento!$B:$F,5,0)</f>
        <v>7</v>
      </c>
      <c r="R507" s="36">
        <f t="shared" si="71"/>
        <v>43</v>
      </c>
      <c r="S507" s="44">
        <v>2.5499999999999998</v>
      </c>
      <c r="T507" s="44">
        <f t="shared" si="72"/>
        <v>23465.1</v>
      </c>
      <c r="U507" t="s">
        <v>5357</v>
      </c>
      <c r="V507" t="str">
        <f t="shared" si="73"/>
        <v>NF/64307505_20260311_nf_06.pdf</v>
      </c>
      <c r="W507" s="32" t="str">
        <f t="shared" si="75"/>
        <v>NF - QUANTO MUNDO CABE NA GENTE?</v>
      </c>
      <c r="X507" t="s">
        <v>5591</v>
      </c>
    </row>
    <row r="508" spans="1:24" x14ac:dyDescent="0.25">
      <c r="A508" t="str">
        <f>CONCATENATE(D508,"_",TEXT(M508,"ddmmaaaa"),"_",COUNTIF($D$2:D508,D508))</f>
        <v>573033560001-11_11032026_1</v>
      </c>
      <c r="B508" t="str">
        <f>CONCATENATE(Analise!D508,"_",COUNTIF(Analise!$D$2:D508,Analise!D508))</f>
        <v>573033560001-11_1</v>
      </c>
      <c r="C508" s="34">
        <f>COUNTIF('Obras e Acervos'!$C:$C,CONCATENATE(LEFT(D508,12),RIGHT(D508,2)))</f>
        <v>2</v>
      </c>
      <c r="D508" s="35" t="s">
        <v>4817</v>
      </c>
      <c r="E508" t="str">
        <f>VLOOKUP($B508,'Obras e Acervos'!$B:$X,3,0)</f>
        <v>CALLIS EDITORA LTDA.-CALLIS</v>
      </c>
      <c r="F508" t="str">
        <f>VLOOKUP($B508,'Obras e Acervos'!$B:$X,7,0)</f>
        <v>0655L23000030LE</v>
      </c>
      <c r="G508" t="str">
        <f>VLOOKUP($B508,'Obras e Acervos'!$B:$X,5,0)</f>
        <v>O POÇO</v>
      </c>
      <c r="H508">
        <f>VLOOKUP($B508,'Obras e Acervos'!$B:$X,18,0)</f>
        <v>2</v>
      </c>
      <c r="I508">
        <f>VLOOKUP($B508,'Obras e Acervos'!$B:$X,19,0)</f>
        <v>44195</v>
      </c>
      <c r="J508" s="42">
        <f>VLOOKUP($B508,'Obras e Acervos'!$B:$X,20,0)</f>
        <v>3756.5750000000003</v>
      </c>
      <c r="K508" s="31">
        <f>VLOOKUP($B508,'Obras e Acervos'!$B:$X,21,0)</f>
        <v>5.85</v>
      </c>
      <c r="L508" s="31">
        <f t="shared" si="69"/>
        <v>258540.74999999997</v>
      </c>
      <c r="M508" s="1">
        <v>46092</v>
      </c>
      <c r="N508" s="1">
        <f t="shared" si="68"/>
        <v>46305</v>
      </c>
      <c r="O508">
        <f t="shared" si="70"/>
        <v>214</v>
      </c>
      <c r="P508" s="49">
        <f t="shared" si="74"/>
        <v>7.1333333333333337</v>
      </c>
      <c r="Q508" s="34">
        <f>VLOOKUP($G508,Agendamento!$B:$F,5,0)</f>
        <v>7</v>
      </c>
      <c r="R508" s="36">
        <f t="shared" si="71"/>
        <v>45</v>
      </c>
      <c r="S508" s="44">
        <v>2.5499999999999998</v>
      </c>
      <c r="T508" s="44">
        <f t="shared" si="72"/>
        <v>24556.5</v>
      </c>
      <c r="U508" t="s">
        <v>5382</v>
      </c>
      <c r="V508" t="str">
        <f t="shared" si="73"/>
        <v>NF/64307505_20260311_nf_07.pdf</v>
      </c>
      <c r="W508" s="32" t="str">
        <f t="shared" si="75"/>
        <v>NF - O POÇO</v>
      </c>
      <c r="X508" t="s">
        <v>5591</v>
      </c>
    </row>
    <row r="509" spans="1:24" x14ac:dyDescent="0.25">
      <c r="A509" t="str">
        <f>CONCATENATE(D509,"_",TEXT(M509,"ddmmaaaa"),"_",COUNTIF($D$2:D509,D509))</f>
        <v>133919870001-64_11032026_2</v>
      </c>
      <c r="B509" t="str">
        <f>CONCATENATE(Analise!D509,"_",COUNTIF(Analise!$D$2:D509,Analise!D509)-1)</f>
        <v>133919870001-64_1</v>
      </c>
      <c r="C509" s="34">
        <f>COUNTIF('Obras e Acervos'!$C:$C,CONCATENATE(LEFT(D509,12),RIGHT(D509,2)))</f>
        <v>2</v>
      </c>
      <c r="D509" s="35" t="s">
        <v>4747</v>
      </c>
      <c r="E509" t="str">
        <f>VLOOKUP($B509,'Obras e Acervos'!$B:$X,3,0)</f>
        <v>BOOK EDITORA E DISTRIBUIDORA DE LIVROS LTDA.-BOOK EDITORA E DISTRIBUIDORA DE LIVROS LTDA.</v>
      </c>
      <c r="F509" t="str">
        <f>VLOOKUP($B509,'Obras e Acervos'!$B:$X,7,0)</f>
        <v>1027L23000030LE</v>
      </c>
      <c r="G509" t="str">
        <f>VLOOKUP($B509,'Obras e Acervos'!$B:$X,5,0)</f>
        <v>O CASO DO BOLO DE MILHO QUE VIROU FARELO</v>
      </c>
      <c r="H509">
        <f>VLOOKUP($B509,'Obras e Acervos'!$B:$X,18,0)</f>
        <v>6</v>
      </c>
      <c r="I509">
        <f>VLOOKUP($B509,'Obras e Acervos'!$B:$X,19,0)</f>
        <v>40128</v>
      </c>
      <c r="J509" s="42">
        <f>VLOOKUP($B509,'Obras e Acervos'!$B:$X,20,0)</f>
        <v>3731.904</v>
      </c>
      <c r="K509" s="31">
        <f>VLOOKUP($B509,'Obras e Acervos'!$B:$X,21,0)</f>
        <v>5.44</v>
      </c>
      <c r="L509" s="31">
        <f t="shared" si="69"/>
        <v>218296.32000000001</v>
      </c>
      <c r="M509" s="1">
        <v>46092</v>
      </c>
      <c r="N509" s="1">
        <f t="shared" si="68"/>
        <v>46305</v>
      </c>
      <c r="O509">
        <f t="shared" si="70"/>
        <v>214</v>
      </c>
      <c r="P509" s="49">
        <f t="shared" si="74"/>
        <v>7.1333333333333337</v>
      </c>
      <c r="Q509" s="34">
        <f>VLOOKUP($G509,Agendamento!$B:$F,5,0)</f>
        <v>5</v>
      </c>
      <c r="R509" s="36">
        <f t="shared" si="71"/>
        <v>41</v>
      </c>
      <c r="S509" s="44">
        <v>2.5499999999999998</v>
      </c>
      <c r="T509" s="44">
        <f t="shared" si="72"/>
        <v>22373.699999999997</v>
      </c>
      <c r="U509" t="s">
        <v>5358</v>
      </c>
      <c r="V509" t="str">
        <f t="shared" si="73"/>
        <v>NF/64307505_20260311_nf_08.pdf</v>
      </c>
      <c r="W509" s="32" t="str">
        <f t="shared" si="75"/>
        <v>NF - O CASO DO BOLO DE MILHO QUE VIROU FARELO</v>
      </c>
      <c r="X509" t="s">
        <v>5591</v>
      </c>
    </row>
    <row r="510" spans="1:24" x14ac:dyDescent="0.25">
      <c r="A510" t="str">
        <f>CONCATENATE(D510,"_",TEXT(M510,"ddmmaaaa"),"_",COUNTIF($D$2:D510,D510))</f>
        <v>172430150001-83_11032026_1</v>
      </c>
      <c r="B510" t="str">
        <f>CONCATENATE(Analise!D510,"_",COUNTIF(Analise!$D$2:D510,Analise!D510)+1)</f>
        <v>172430150001-83_2</v>
      </c>
      <c r="C510" s="34">
        <f>COUNTIF('Obras e Acervos'!$C:$C,CONCATENATE(LEFT(D510,12),RIGHT(D510,2)))</f>
        <v>2</v>
      </c>
      <c r="D510" s="35" t="s">
        <v>4805</v>
      </c>
      <c r="E510" t="str">
        <f>VLOOKUP($B510,'Obras e Acervos'!$B:$X,3,0)</f>
        <v>EDITORA LÊ LTDA-EDITORA LÊ</v>
      </c>
      <c r="F510" t="str">
        <f>VLOOKUP($B510,'Obras e Acervos'!$B:$X,7,0)</f>
        <v>1024L23000020LE</v>
      </c>
      <c r="G510" t="str">
        <f>VLOOKUP($B510,'Obras e Acervos'!$B:$X,5,0)</f>
        <v>METADE PAI METADE MUNDO</v>
      </c>
      <c r="H510">
        <f>VLOOKUP($B510,'Obras e Acervos'!$B:$X,18,0)</f>
        <v>16</v>
      </c>
      <c r="I510">
        <f>VLOOKUP($B510,'Obras e Acervos'!$B:$X,19,0)</f>
        <v>29727</v>
      </c>
      <c r="J510" s="42">
        <f>VLOOKUP($B510,'Obras e Acervos'!$B:$X,20,0)</f>
        <v>9364.0049999999992</v>
      </c>
      <c r="K510" s="31">
        <f>VLOOKUP($B510,'Obras e Acervos'!$B:$X,21,0)</f>
        <v>13.94</v>
      </c>
      <c r="L510" s="31">
        <f t="shared" si="69"/>
        <v>414394.38</v>
      </c>
      <c r="M510" s="1">
        <v>46092</v>
      </c>
      <c r="N510" s="1">
        <f t="shared" si="68"/>
        <v>46305</v>
      </c>
      <c r="O510">
        <f t="shared" si="70"/>
        <v>214</v>
      </c>
      <c r="P510" s="49">
        <f t="shared" si="74"/>
        <v>7.1333333333333337</v>
      </c>
      <c r="Q510" s="34">
        <f>VLOOKUP($G510,Agendamento!$B:$F,5,0)</f>
        <v>5</v>
      </c>
      <c r="R510" s="36">
        <f t="shared" si="71"/>
        <v>30</v>
      </c>
      <c r="S510" s="44">
        <v>2.5499999999999998</v>
      </c>
      <c r="T510" s="44">
        <f t="shared" si="72"/>
        <v>16370.999999999998</v>
      </c>
      <c r="U510" t="s">
        <v>5359</v>
      </c>
      <c r="V510" t="str">
        <f t="shared" si="73"/>
        <v>NF/64307505_20260311_nf_09.pdf</v>
      </c>
      <c r="W510" s="32" t="str">
        <f t="shared" si="75"/>
        <v>NF - METADE PAI METADE MUNDO</v>
      </c>
      <c r="X510" t="s">
        <v>5591</v>
      </c>
    </row>
    <row r="511" spans="1:24" x14ac:dyDescent="0.25">
      <c r="A511" t="str">
        <f>CONCATENATE(D511,"_",TEXT(M511,"ddmmaaaa"),"_",COUNTIF($D$2:D511,D511))</f>
        <v>438868800001-58_11032026_1</v>
      </c>
      <c r="B511" t="str">
        <f>CONCATENATE(Analise!D511,"_",COUNTIF(Analise!$D$2:D511,Analise!D511)+1)</f>
        <v>438868800001-58_2</v>
      </c>
      <c r="C511" s="34">
        <f>COUNTIF('Obras e Acervos'!$C:$C,CONCATENATE(LEFT(D511,12),RIGHT(D511,2)))</f>
        <v>2</v>
      </c>
      <c r="D511" s="35" t="s">
        <v>4810</v>
      </c>
      <c r="E511" t="str">
        <f>VLOOKUP($B511,'Obras e Acervos'!$B:$X,3,0)</f>
        <v>EDITORA SAMBA LELE LTDA-EDITORA CORRE COTIA LTDA</v>
      </c>
      <c r="F511" t="str">
        <f>VLOOKUP($B511,'Obras e Acervos'!$B:$X,7,0)</f>
        <v>1078L23000020LE</v>
      </c>
      <c r="G511" t="str">
        <f>VLOOKUP($B511,'Obras e Acervos'!$B:$X,5,0)</f>
        <v>BOCA DE DRAGÃO</v>
      </c>
      <c r="H511">
        <f>VLOOKUP($B511,'Obras e Acervos'!$B:$X,18,0)</f>
        <v>19</v>
      </c>
      <c r="I511">
        <f>VLOOKUP($B511,'Obras e Acervos'!$B:$X,19,0)</f>
        <v>24482</v>
      </c>
      <c r="J511" s="42">
        <f>VLOOKUP($B511,'Obras e Acervos'!$B:$X,20,0)</f>
        <v>2570.61</v>
      </c>
      <c r="K511" s="31">
        <f>VLOOKUP($B511,'Obras e Acervos'!$B:$X,21,0)</f>
        <v>6.54</v>
      </c>
      <c r="L511" s="31">
        <f t="shared" si="69"/>
        <v>160112.28</v>
      </c>
      <c r="M511" s="1">
        <v>46092</v>
      </c>
      <c r="N511" s="1">
        <f t="shared" si="68"/>
        <v>46305</v>
      </c>
      <c r="O511">
        <f t="shared" si="70"/>
        <v>214</v>
      </c>
      <c r="P511" s="49">
        <f t="shared" si="74"/>
        <v>7.1333333333333337</v>
      </c>
      <c r="Q511" s="34">
        <f>VLOOKUP($G511,Agendamento!$B:$F,5,0)</f>
        <v>3</v>
      </c>
      <c r="R511" s="36">
        <f t="shared" si="71"/>
        <v>25</v>
      </c>
      <c r="S511" s="44">
        <v>2.5499999999999998</v>
      </c>
      <c r="T511" s="44">
        <f t="shared" si="72"/>
        <v>13642.499999999998</v>
      </c>
      <c r="U511" t="s">
        <v>5367</v>
      </c>
      <c r="V511" t="str">
        <f t="shared" si="73"/>
        <v>NF/64307505_20260311_nf_11.pdf</v>
      </c>
      <c r="W511" s="32" t="str">
        <f t="shared" si="75"/>
        <v>NF - BOCA DE DRAGÃO</v>
      </c>
      <c r="X511" t="s">
        <v>5591</v>
      </c>
    </row>
    <row r="512" spans="1:24" x14ac:dyDescent="0.25">
      <c r="A512" t="str">
        <f>CONCATENATE(D512,"_",TEXT(M512,"ddmmaaaa"),"_",COUNTIF($D$2:D512,D512))</f>
        <v>442905940001-98_11032026_2</v>
      </c>
      <c r="B512" t="str">
        <f>CONCATENATE(Analise!D512,"_",COUNTIF(Analise!$D$2:D512,Analise!D512)-1)</f>
        <v>442905940001-98_1</v>
      </c>
      <c r="C512" s="34">
        <f>COUNTIF('Obras e Acervos'!$C:$C,CONCATENATE(LEFT(D512,12),RIGHT(D512,2)))</f>
        <v>2</v>
      </c>
      <c r="D512" s="35" t="s">
        <v>4711</v>
      </c>
      <c r="E512" t="str">
        <f>VLOOKUP($B512,'Obras e Acervos'!$B:$X,3,0)</f>
        <v>ALETRIA CONTOS E OUTRAS HISTORIAS LTDA -ALEGRIÔ EDIÇÕES</v>
      </c>
      <c r="F512" t="str">
        <f>VLOOKUP($B512,'Obras e Acervos'!$B:$X,7,0)</f>
        <v>1132L23000030LE</v>
      </c>
      <c r="G512" t="str">
        <f>VLOOKUP($B512,'Obras e Acervos'!$B:$X,5,0)</f>
        <v>NÓS DE AXÉ</v>
      </c>
      <c r="H512">
        <f>VLOOKUP($B512,'Obras e Acervos'!$B:$X,18,0)</f>
        <v>4</v>
      </c>
      <c r="I512">
        <f>VLOOKUP($B512,'Obras e Acervos'!$B:$X,19,0)</f>
        <v>44459</v>
      </c>
      <c r="J512" s="42">
        <f>VLOOKUP($B512,'Obras e Acervos'!$B:$X,20,0)</f>
        <v>5335.08</v>
      </c>
      <c r="K512" s="31">
        <f>VLOOKUP($B512,'Obras e Acervos'!$B:$X,21,0)</f>
        <v>5.85</v>
      </c>
      <c r="L512" s="31">
        <f t="shared" si="69"/>
        <v>260085.15</v>
      </c>
      <c r="M512" s="1">
        <v>46092</v>
      </c>
      <c r="N512" s="1">
        <f t="shared" si="68"/>
        <v>46305</v>
      </c>
      <c r="O512">
        <f t="shared" si="70"/>
        <v>214</v>
      </c>
      <c r="P512" s="49">
        <f t="shared" si="74"/>
        <v>7.1333333333333337</v>
      </c>
      <c r="Q512" s="34">
        <f>VLOOKUP($G512,Agendamento!$B:$F,5,0)</f>
        <v>7</v>
      </c>
      <c r="R512" s="36">
        <f t="shared" si="71"/>
        <v>45</v>
      </c>
      <c r="S512" s="44">
        <v>2.5499999999999998</v>
      </c>
      <c r="T512" s="44">
        <f t="shared" si="72"/>
        <v>24556.5</v>
      </c>
      <c r="U512" t="s">
        <v>5369</v>
      </c>
      <c r="V512" t="str">
        <f t="shared" si="73"/>
        <v>NF/64307505_20260311_nf_12.pdf</v>
      </c>
      <c r="W512" s="32" t="str">
        <f t="shared" si="75"/>
        <v>NF - NÓS DE AXÉ</v>
      </c>
      <c r="X512" t="s">
        <v>5591</v>
      </c>
    </row>
    <row r="513" spans="1:24" x14ac:dyDescent="0.25">
      <c r="A513" t="str">
        <f>CONCATENATE(D513,"_",TEXT(M513,"ddmmaaaa"),"_",COUNTIF($D$2:D513,D513))</f>
        <v>223441030001-01_11032026_1</v>
      </c>
      <c r="B513" t="str">
        <f>CONCATENATE(Analise!D513,"_",COUNTIF(Analise!$D$2:D513,Analise!D513)+1)</f>
        <v>223441030001-01_2</v>
      </c>
      <c r="C513" s="34">
        <f>COUNTIF('Obras e Acervos'!$C:$C,CONCATENATE(LEFT(D513,12),RIGHT(D513,2)))</f>
        <v>2</v>
      </c>
      <c r="D513" s="35" t="s">
        <v>4815</v>
      </c>
      <c r="E513" t="str">
        <f>VLOOKUP($B513,'Obras e Acervos'!$B:$X,3,0)</f>
        <v>LUISE BARROS COSTA LIMA-MIL CARAMIOLAS</v>
      </c>
      <c r="F513" t="str">
        <f>VLOOKUP($B513,'Obras e Acervos'!$B:$X,7,0)</f>
        <v>0555L23000020LE</v>
      </c>
      <c r="G513" t="str">
        <f>VLOOKUP($B513,'Obras e Acervos'!$B:$X,5,0)</f>
        <v>O MENINO E O MAR</v>
      </c>
      <c r="H513">
        <f>VLOOKUP($B513,'Obras e Acervos'!$B:$X,18,0)</f>
        <v>16</v>
      </c>
      <c r="I513">
        <f>VLOOKUP($B513,'Obras e Acervos'!$B:$X,19,0)</f>
        <v>30333</v>
      </c>
      <c r="J513" s="42">
        <f>VLOOKUP($B513,'Obras e Acervos'!$B:$X,20,0)</f>
        <v>3791.625</v>
      </c>
      <c r="K513" s="31">
        <f>VLOOKUP($B513,'Obras e Acervos'!$B:$X,21,0)</f>
        <v>8.85</v>
      </c>
      <c r="L513" s="31">
        <f t="shared" si="69"/>
        <v>268447.05</v>
      </c>
      <c r="M513" s="1">
        <v>46092</v>
      </c>
      <c r="N513" s="1">
        <f t="shared" si="68"/>
        <v>46305</v>
      </c>
      <c r="O513">
        <f t="shared" si="70"/>
        <v>214</v>
      </c>
      <c r="P513" s="49">
        <f t="shared" si="74"/>
        <v>7.1333333333333337</v>
      </c>
      <c r="Q513" s="34">
        <f>VLOOKUP($G513,Agendamento!$B:$F,5,0)</f>
        <v>6</v>
      </c>
      <c r="R513" s="36">
        <f t="shared" si="71"/>
        <v>31</v>
      </c>
      <c r="S513" s="44">
        <v>2.5499999999999998</v>
      </c>
      <c r="T513" s="44">
        <f t="shared" si="72"/>
        <v>16916.699999999997</v>
      </c>
      <c r="U513" t="s">
        <v>5377</v>
      </c>
      <c r="V513" t="str">
        <f t="shared" si="73"/>
        <v>NF/64307505_20260311_nf_14.pdf</v>
      </c>
      <c r="W513" s="32" t="str">
        <f t="shared" si="75"/>
        <v>NF - O MENINO E O MAR</v>
      </c>
      <c r="X513" t="s">
        <v>5591</v>
      </c>
    </row>
    <row r="514" spans="1:24" x14ac:dyDescent="0.25">
      <c r="A514" t="str">
        <f>CONCATENATE(D514,"_",TEXT(M514,"ddmmaaaa"),"_",COUNTIF($D$2:D514,D514))</f>
        <v>898407970001-49_11032026_1</v>
      </c>
      <c r="B514" t="str">
        <f>CONCATENATE(Analise!D514,"_",COUNTIF(Analise!$D$2:D514,Analise!D514)+1)</f>
        <v>898407970001-49_2</v>
      </c>
      <c r="C514" s="34">
        <f>COUNTIF('Obras e Acervos'!$C:$C,CONCATENATE(LEFT(D514,12),RIGHT(D514,2)))</f>
        <v>2</v>
      </c>
      <c r="D514" s="35" t="s">
        <v>4808</v>
      </c>
      <c r="E514" t="str">
        <f>VLOOKUP($B514,'Obras e Acervos'!$B:$X,3,0)</f>
        <v>GRÁFICA E EDITORA COMUNICAÇÃO IMPRESSA LTDA-COMUNICAÇÃO IMPRESSA</v>
      </c>
      <c r="F514" t="str">
        <f>VLOOKUP($B514,'Obras e Acervos'!$B:$X,7,0)</f>
        <v>0762L23000020LE</v>
      </c>
      <c r="G514" t="str">
        <f>VLOOKUP($B514,'Obras e Acervos'!$B:$X,5,0)</f>
        <v>DÁRIO SEM DATA DE UMA GATA</v>
      </c>
      <c r="H514">
        <f>VLOOKUP($B514,'Obras e Acervos'!$B:$X,18,0)</f>
        <v>19</v>
      </c>
      <c r="I514">
        <f>VLOOKUP($B514,'Obras e Acervos'!$B:$X,19,0)</f>
        <v>24573</v>
      </c>
      <c r="J514" s="42">
        <f>VLOOKUP($B514,'Obras e Acervos'!$B:$X,20,0)</f>
        <v>1474.3799999999999</v>
      </c>
      <c r="K514" s="31">
        <f>VLOOKUP($B514,'Obras e Acervos'!$B:$X,21,0)</f>
        <v>6.07</v>
      </c>
      <c r="L514" s="31">
        <f t="shared" si="69"/>
        <v>149158.11000000002</v>
      </c>
      <c r="M514" s="1">
        <v>46092</v>
      </c>
      <c r="N514" s="1">
        <f t="shared" ref="N514:N577" si="76">$AB$2</f>
        <v>46305</v>
      </c>
      <c r="O514">
        <f t="shared" si="70"/>
        <v>214</v>
      </c>
      <c r="P514" s="49">
        <f t="shared" si="74"/>
        <v>7.1333333333333337</v>
      </c>
      <c r="Q514" s="34">
        <f>VLOOKUP($G514,Agendamento!$B:$F,5,0)</f>
        <v>3</v>
      </c>
      <c r="R514" s="36">
        <f t="shared" si="71"/>
        <v>25</v>
      </c>
      <c r="S514" s="44">
        <v>2.5499999999999998</v>
      </c>
      <c r="T514" s="44">
        <f t="shared" si="72"/>
        <v>13642.499999999998</v>
      </c>
      <c r="U514" t="s">
        <v>5364</v>
      </c>
      <c r="V514" t="str">
        <f t="shared" si="73"/>
        <v>NF/64307505_20260311_nf_15.pdf</v>
      </c>
      <c r="W514" s="32" t="str">
        <f t="shared" si="75"/>
        <v>NF - DÁRIO SEM DATA DE UMA GATA</v>
      </c>
      <c r="X514" t="s">
        <v>5591</v>
      </c>
    </row>
    <row r="515" spans="1:24" x14ac:dyDescent="0.25">
      <c r="A515" t="str">
        <f>CONCATENATE(D515,"_",TEXT(M515,"ddmmaaaa"),"_",COUNTIF($D$2:D515,D515))</f>
        <v>063465660001-56_11032026_2</v>
      </c>
      <c r="B515" t="str">
        <f>CONCATENATE(Analise!D515,"_",COUNTIF(Analise!$D$2:D515,Analise!D515)-1)</f>
        <v>063465660001-56_1</v>
      </c>
      <c r="C515" s="34">
        <f>COUNTIF('Obras e Acervos'!$C:$C,CONCATENATE(LEFT(D515,12),RIGHT(D515,2)))</f>
        <v>2</v>
      </c>
      <c r="D515" s="35" t="s">
        <v>4767</v>
      </c>
      <c r="E515" t="str">
        <f>VLOOKUP($B515,'Obras e Acervos'!$B:$X,3,0)</f>
        <v>FRASE E EFEITO ESTUDIO EDITORIAL EIRELI-JUJUBA EDITORA</v>
      </c>
      <c r="F515" t="str">
        <f>VLOOKUP($B515,'Obras e Acervos'!$B:$X,7,0)</f>
        <v>0318L23000030LE</v>
      </c>
      <c r="G515" t="str">
        <f>VLOOKUP($B515,'Obras e Acervos'!$B:$X,5,0)</f>
        <v>ÔNIBUS</v>
      </c>
      <c r="H515">
        <f>VLOOKUP($B515,'Obras e Acervos'!$B:$X,18,0)</f>
        <v>7</v>
      </c>
      <c r="I515">
        <f>VLOOKUP($B515,'Obras e Acervos'!$B:$X,19,0)</f>
        <v>33298</v>
      </c>
      <c r="J515" s="42">
        <f>VLOOKUP($B515,'Obras e Acervos'!$B:$X,20,0)</f>
        <v>4661.72</v>
      </c>
      <c r="K515" s="31">
        <f>VLOOKUP($B515,'Obras e Acervos'!$B:$X,21,0)</f>
        <v>7.73</v>
      </c>
      <c r="L515" s="31">
        <f t="shared" ref="L515:L578" si="77">K515*I515</f>
        <v>257393.54</v>
      </c>
      <c r="M515" s="1">
        <v>46092</v>
      </c>
      <c r="N515" s="1">
        <f t="shared" si="76"/>
        <v>46305</v>
      </c>
      <c r="O515">
        <f t="shared" ref="O515:O578" si="78">IF(M515="",0,(N515-M515)+1)</f>
        <v>214</v>
      </c>
      <c r="P515" s="49">
        <f t="shared" si="74"/>
        <v>7.1333333333333337</v>
      </c>
      <c r="Q515" s="34">
        <f>VLOOKUP($G515,Agendamento!$B:$F,5,0)</f>
        <v>6</v>
      </c>
      <c r="R515" s="36">
        <f t="shared" ref="R515:R578" si="79">IF(U515="",0,ROUNDUP($I515/1000,0))</f>
        <v>34</v>
      </c>
      <c r="S515" s="44">
        <v>2.5499999999999998</v>
      </c>
      <c r="T515" s="44">
        <f t="shared" ref="T515:T578" si="80">O515*R515*S515</f>
        <v>18553.8</v>
      </c>
      <c r="U515" t="s">
        <v>5370</v>
      </c>
      <c r="V515" t="str">
        <f t="shared" ref="V515:V578" si="81">CONCATENATE("NF/",U515)</f>
        <v>NF/64307505_20260311_nf_16.pdf</v>
      </c>
      <c r="W515" s="32" t="str">
        <f t="shared" si="75"/>
        <v>NF - ÔNIBUS</v>
      </c>
      <c r="X515" t="s">
        <v>5591</v>
      </c>
    </row>
    <row r="516" spans="1:24" x14ac:dyDescent="0.25">
      <c r="A516" t="str">
        <f>CONCATENATE(D516,"_",TEXT(M516,"ddmmaaaa"),"_",COUNTIF($D$2:D516,D516))</f>
        <v>313453190001-82_11032026_1</v>
      </c>
      <c r="B516" t="str">
        <f>CONCATENATE(Analise!D516,"_",COUNTIF(Analise!$D$2:D516,Analise!D516)+1)</f>
        <v>313453190001-82_2</v>
      </c>
      <c r="C516" s="34">
        <f>COUNTIF('Obras e Acervos'!$C:$C,CONCATENATE(LEFT(D516,12),RIGHT(D516,2)))</f>
        <v>2</v>
      </c>
      <c r="D516" s="35" t="s">
        <v>4809</v>
      </c>
      <c r="E516" t="str">
        <f>VLOOKUP($B516,'Obras e Acervos'!$B:$X,3,0)</f>
        <v>QUASE OITO EDITORA E LIVRARIA LTDA.-QUASE OITO</v>
      </c>
      <c r="F516" t="str">
        <f>VLOOKUP($B516,'Obras e Acervos'!$B:$X,7,0)</f>
        <v>0691L23000020LE</v>
      </c>
      <c r="G516" t="str">
        <f>VLOOKUP($B516,'Obras e Acervos'!$B:$X,5,0)</f>
        <v>PÁSSARO AZUL</v>
      </c>
      <c r="H516">
        <f>VLOOKUP($B516,'Obras e Acervos'!$B:$X,18,0)</f>
        <v>18</v>
      </c>
      <c r="I516">
        <f>VLOOKUP($B516,'Obras e Acervos'!$B:$X,19,0)</f>
        <v>24018</v>
      </c>
      <c r="J516" s="42">
        <f>VLOOKUP($B516,'Obras e Acervos'!$B:$X,20,0)</f>
        <v>888.66599999999994</v>
      </c>
      <c r="K516" s="31">
        <f>VLOOKUP($B516,'Obras e Acervos'!$B:$X,21,0)</f>
        <v>5.73</v>
      </c>
      <c r="L516" s="31">
        <f t="shared" si="77"/>
        <v>137623.14000000001</v>
      </c>
      <c r="M516" s="1">
        <v>46092</v>
      </c>
      <c r="N516" s="1">
        <f t="shared" si="76"/>
        <v>46305</v>
      </c>
      <c r="O516">
        <f t="shared" si="78"/>
        <v>214</v>
      </c>
      <c r="P516" s="49">
        <f t="shared" si="74"/>
        <v>7.1333333333333337</v>
      </c>
      <c r="Q516" s="34">
        <f>VLOOKUP($G516,Agendamento!$B:$F,5,0)</f>
        <v>3</v>
      </c>
      <c r="R516" s="36">
        <f t="shared" si="79"/>
        <v>25</v>
      </c>
      <c r="S516" s="44">
        <v>2.5499999999999998</v>
      </c>
      <c r="T516" s="44">
        <f t="shared" si="80"/>
        <v>13642.499999999998</v>
      </c>
      <c r="U516" t="s">
        <v>5365</v>
      </c>
      <c r="V516" t="str">
        <f t="shared" si="81"/>
        <v>NF/64307505_20260311_nf_17.pdf</v>
      </c>
      <c r="W516" s="32" t="str">
        <f t="shared" si="75"/>
        <v>NF - PÁSSARO AZUL</v>
      </c>
      <c r="X516" t="s">
        <v>5591</v>
      </c>
    </row>
    <row r="517" spans="1:24" x14ac:dyDescent="0.25">
      <c r="A517" t="str">
        <f>CONCATENATE(D517,"_",TEXT(M517,"ddmmaaaa"),"_",COUNTIF($D$2:D517,D517))</f>
        <v>226222130001-98_11032026_2</v>
      </c>
      <c r="B517" t="str">
        <f>CONCATENATE(Analise!D517,"_",COUNTIF(Analise!$D$2:D517,Analise!D517)-1)</f>
        <v>226222130001-98_1</v>
      </c>
      <c r="C517" s="34">
        <f>COUNTIF('Obras e Acervos'!$C:$C,CONCATENATE(LEFT(D517,12),RIGHT(D517,2)))</f>
        <v>2</v>
      </c>
      <c r="D517" s="35" t="s">
        <v>5758</v>
      </c>
      <c r="E517" t="str">
        <f>VLOOKUP($B517,'Obras e Acervos'!$B:$X,3,0)</f>
        <v>BAMBOLE EDITORA E LIVRARIA LTDA-EDITORAS BAMBOLE &amp; ELIPSE</v>
      </c>
      <c r="F517" t="str">
        <f>VLOOKUP($B517,'Obras e Acervos'!$B:$X,7,0)</f>
        <v>0435L23000030LE</v>
      </c>
      <c r="G517" t="str">
        <f>VLOOKUP($B517,'Obras e Acervos'!$B:$X,5,0)</f>
        <v>MEU AMIGO INVISÍVEL</v>
      </c>
      <c r="H517">
        <f>VLOOKUP($B517,'Obras e Acervos'!$B:$X,18,0)</f>
        <v>6</v>
      </c>
      <c r="I517">
        <f>VLOOKUP($B517,'Obras e Acervos'!$B:$X,19,0)</f>
        <v>37765</v>
      </c>
      <c r="J517" s="42">
        <f>VLOOKUP($B517,'Obras e Acervos'!$B:$X,20,0)</f>
        <v>5400.3949999999995</v>
      </c>
      <c r="K517" s="31">
        <f>VLOOKUP($B517,'Obras e Acervos'!$B:$X,21,0)</f>
        <v>7.17</v>
      </c>
      <c r="L517" s="31">
        <f t="shared" si="77"/>
        <v>270775.05</v>
      </c>
      <c r="M517" s="1">
        <v>46092</v>
      </c>
      <c r="N517" s="1">
        <f t="shared" si="76"/>
        <v>46305</v>
      </c>
      <c r="O517">
        <f t="shared" si="78"/>
        <v>214</v>
      </c>
      <c r="P517" s="49">
        <f t="shared" si="74"/>
        <v>7.1333333333333337</v>
      </c>
      <c r="Q517" s="34">
        <f>VLOOKUP($G517,Agendamento!$B:$F,5,0)</f>
        <v>6</v>
      </c>
      <c r="R517" s="36">
        <f t="shared" si="79"/>
        <v>38</v>
      </c>
      <c r="S517" s="44">
        <v>2.5499999999999998</v>
      </c>
      <c r="T517" s="44">
        <f t="shared" si="80"/>
        <v>20736.599999999999</v>
      </c>
      <c r="U517" t="s">
        <v>5368</v>
      </c>
      <c r="V517" t="str">
        <f t="shared" si="81"/>
        <v>NF/64307505_20260311_nf_19.pdf</v>
      </c>
      <c r="W517" s="32" t="str">
        <f t="shared" si="75"/>
        <v>NF - MEU AMIGO INVISÍVEL</v>
      </c>
      <c r="X517" t="s">
        <v>5591</v>
      </c>
    </row>
    <row r="518" spans="1:24" x14ac:dyDescent="0.25">
      <c r="A518" t="str">
        <f>CONCATENATE(D518,"_",TEXT(M518,"ddmmaaaa"),"_",COUNTIF($D$2:D518,D518))</f>
        <v>416366290001-00_11032026_1</v>
      </c>
      <c r="B518" t="str">
        <f>CONCATENATE(Analise!D518,"_",COUNTIF(Analise!$D$2:D518,Analise!D518))</f>
        <v>416366290001-00_1</v>
      </c>
      <c r="C518" s="34">
        <f>COUNTIF('Obras e Acervos'!$C:$C,CONCATENATE(LEFT(D518,12),RIGHT(D518,2)))</f>
        <v>2</v>
      </c>
      <c r="D518" s="35" t="s">
        <v>4812</v>
      </c>
      <c r="E518" t="str">
        <f>VLOOKUP($B518,'Obras e Acervos'!$B:$X,3,0)</f>
        <v>OPALA EDITORA E LIVRARIA LTDA-EDITORA OPALA</v>
      </c>
      <c r="F518" t="str">
        <f>VLOOKUP($B518,'Obras e Acervos'!$B:$X,7,0)</f>
        <v>0433L23000030LE</v>
      </c>
      <c r="G518" t="str">
        <f>VLOOKUP($B518,'Obras e Acervos'!$B:$X,5,0)</f>
        <v>QUAL É O INSETO?</v>
      </c>
      <c r="H518">
        <f>VLOOKUP($B518,'Obras e Acervos'!$B:$X,18,0)</f>
        <v>10</v>
      </c>
      <c r="I518">
        <f>VLOOKUP($B518,'Obras e Acervos'!$B:$X,19,0)</f>
        <v>33177</v>
      </c>
      <c r="J518" s="42">
        <f>VLOOKUP($B518,'Obras e Acervos'!$B:$X,20,0)</f>
        <v>4744.3109999999997</v>
      </c>
      <c r="K518" s="31">
        <f>VLOOKUP($B518,'Obras e Acervos'!$B:$X,21,0)</f>
        <v>7.73</v>
      </c>
      <c r="L518" s="31">
        <f t="shared" si="77"/>
        <v>256458.21000000002</v>
      </c>
      <c r="M518" s="1">
        <v>46092</v>
      </c>
      <c r="N518" s="1">
        <f t="shared" si="76"/>
        <v>46305</v>
      </c>
      <c r="O518">
        <f t="shared" si="78"/>
        <v>214</v>
      </c>
      <c r="P518" s="49">
        <f t="shared" si="74"/>
        <v>7.1333333333333337</v>
      </c>
      <c r="Q518" s="34">
        <f>VLOOKUP($G518,Agendamento!$B:$F,5,0)</f>
        <v>6</v>
      </c>
      <c r="R518" s="36">
        <f t="shared" si="79"/>
        <v>34</v>
      </c>
      <c r="S518" s="44">
        <v>2.5499999999999998</v>
      </c>
      <c r="T518" s="44">
        <f t="shared" si="80"/>
        <v>18553.8</v>
      </c>
      <c r="U518" t="s">
        <v>5373</v>
      </c>
      <c r="V518" t="str">
        <f t="shared" si="81"/>
        <v>NF/64307505_20260311_nf_20.pdf</v>
      </c>
      <c r="W518" s="32" t="str">
        <f t="shared" si="75"/>
        <v>NF - QUAL É O INSETO?</v>
      </c>
      <c r="X518" t="s">
        <v>5591</v>
      </c>
    </row>
    <row r="519" spans="1:24" x14ac:dyDescent="0.25">
      <c r="A519" t="str">
        <f>CONCATENATE(D519,"_",TEXT(M519,"ddmmaaaa"),"_",COUNTIF($D$2:D519,D519))</f>
        <v>422154690001-98_11032026_2</v>
      </c>
      <c r="B519" t="str">
        <f>CONCATENATE(Analise!D519,"_",COUNTIF(Analise!$D$2:D519,Analise!D519)-1)</f>
        <v>422154690001-98_1</v>
      </c>
      <c r="C519" s="34">
        <f>COUNTIF('Obras e Acervos'!$C:$C,CONCATENATE(LEFT(D519,12),RIGHT(D519,2)))</f>
        <v>2</v>
      </c>
      <c r="D519" s="35" t="s">
        <v>4736</v>
      </c>
      <c r="E519" t="str">
        <f>VLOOKUP($B519,'Obras e Acervos'!$B:$X,3,0)</f>
        <v>BÉTULA EDITORIAL LTDA-BÉTULA EDITORIAL</v>
      </c>
      <c r="F519" t="str">
        <f>VLOOKUP($B519,'Obras e Acervos'!$B:$X,7,0)</f>
        <v>0631L23000030LE</v>
      </c>
      <c r="G519" t="str">
        <f>VLOOKUP($B519,'Obras e Acervos'!$B:$X,5,0)</f>
        <v>O BAILE DO PALHAÇO E DA BAILARINA E OUTROS POEMAS</v>
      </c>
      <c r="H519">
        <f>VLOOKUP($B519,'Obras e Acervos'!$B:$X,18,0)</f>
        <v>6</v>
      </c>
      <c r="I519">
        <f>VLOOKUP($B519,'Obras e Acervos'!$B:$X,19,0)</f>
        <v>36689</v>
      </c>
      <c r="J519" s="42">
        <f>VLOOKUP($B519,'Obras e Acervos'!$B:$X,20,0)</f>
        <v>5246.5269999999991</v>
      </c>
      <c r="K519" s="31">
        <f>VLOOKUP($B519,'Obras e Acervos'!$B:$X,21,0)</f>
        <v>7.64</v>
      </c>
      <c r="L519" s="31">
        <f t="shared" si="77"/>
        <v>280303.95999999996</v>
      </c>
      <c r="M519" s="1">
        <v>46092</v>
      </c>
      <c r="N519" s="1">
        <f t="shared" si="76"/>
        <v>46305</v>
      </c>
      <c r="O519">
        <f t="shared" si="78"/>
        <v>214</v>
      </c>
      <c r="P519" s="49">
        <f t="shared" si="74"/>
        <v>7.1333333333333337</v>
      </c>
      <c r="Q519" s="34">
        <f>VLOOKUP($G519,Agendamento!$B:$F,5,0)</f>
        <v>6</v>
      </c>
      <c r="R519" s="36">
        <f t="shared" si="79"/>
        <v>37</v>
      </c>
      <c r="S519" s="44">
        <v>2.5499999999999998</v>
      </c>
      <c r="T519" s="44">
        <f t="shared" si="80"/>
        <v>20190.899999999998</v>
      </c>
      <c r="U519" t="s">
        <v>5363</v>
      </c>
      <c r="V519" t="str">
        <f t="shared" si="81"/>
        <v>NF/64307505_20260311_nf_21.pdf</v>
      </c>
      <c r="W519" s="32" t="str">
        <f t="shared" si="75"/>
        <v>NF - O BAILE DO PALHAÇO E DA BAILARINA E OUTROS POEMAS</v>
      </c>
      <c r="X519" t="s">
        <v>5591</v>
      </c>
    </row>
    <row r="520" spans="1:24" x14ac:dyDescent="0.25">
      <c r="A520" t="str">
        <f>CONCATENATE(D520,"_",TEXT(M520,"ddmmaaaa"),"_",COUNTIF($D$2:D520,D520))</f>
        <v>056659540001-37_11032026_2</v>
      </c>
      <c r="B520" t="str">
        <f>CONCATENATE(Analise!D520,"_",COUNTIF(Analise!$D$2:D520,Analise!D520))</f>
        <v>056659540001-37_2</v>
      </c>
      <c r="C520" s="34">
        <f>COUNTIF('Obras e Acervos'!$C:$C,CONCATENATE(LEFT(D520,12),RIGHT(D520,2)))</f>
        <v>2</v>
      </c>
      <c r="D520" s="35" t="s">
        <v>4804</v>
      </c>
      <c r="E520" t="str">
        <f>VLOOKUP($B520,'Obras e Acervos'!$B:$X,3,0)</f>
        <v>EDITORA DA PONTE SOLUÇÕES EM EDUCAÇÃO LTDA-EDITORA DA PONTE</v>
      </c>
      <c r="F520" t="str">
        <f>VLOOKUP($B520,'Obras e Acervos'!$B:$X,7,0)</f>
        <v>1311L23000020LE</v>
      </c>
      <c r="G520" t="str">
        <f>VLOOKUP($B520,'Obras e Acervos'!$B:$X,5,0)</f>
        <v>ONDE MORAM OS ASSUNTOS</v>
      </c>
      <c r="H520">
        <f>VLOOKUP($B520,'Obras e Acervos'!$B:$X,18,0)</f>
        <v>20</v>
      </c>
      <c r="I520">
        <f>VLOOKUP($B520,'Obras e Acervos'!$B:$X,19,0)</f>
        <v>27168</v>
      </c>
      <c r="J520" s="42">
        <f>VLOOKUP($B520,'Obras e Acervos'!$B:$X,20,0)</f>
        <v>3885.0239999999999</v>
      </c>
      <c r="K520" s="31">
        <f>VLOOKUP($B520,'Obras e Acervos'!$B:$X,21,0)</f>
        <v>8.2899999999999991</v>
      </c>
      <c r="L520" s="31">
        <f t="shared" si="77"/>
        <v>225222.71999999997</v>
      </c>
      <c r="M520" s="1">
        <v>46092</v>
      </c>
      <c r="N520" s="1">
        <f t="shared" si="76"/>
        <v>46305</v>
      </c>
      <c r="O520">
        <f t="shared" si="78"/>
        <v>214</v>
      </c>
      <c r="P520" s="49">
        <f t="shared" si="74"/>
        <v>7.1333333333333337</v>
      </c>
      <c r="Q520" s="34">
        <f>VLOOKUP($G520,Agendamento!$B:$F,5,0)</f>
        <v>5</v>
      </c>
      <c r="R520" s="36">
        <f t="shared" si="79"/>
        <v>28</v>
      </c>
      <c r="S520" s="44">
        <v>2.5499999999999998</v>
      </c>
      <c r="T520" s="44">
        <f t="shared" si="80"/>
        <v>15279.599999999999</v>
      </c>
      <c r="U520" t="s">
        <v>5372</v>
      </c>
      <c r="V520" t="str">
        <f t="shared" si="81"/>
        <v>NF/64307505_20260311_nf_22.pdf</v>
      </c>
      <c r="W520" s="32" t="str">
        <f t="shared" si="75"/>
        <v>NF - ONDE MORAM OS ASSUNTOS</v>
      </c>
      <c r="X520" t="s">
        <v>5591</v>
      </c>
    </row>
    <row r="521" spans="1:24" x14ac:dyDescent="0.25">
      <c r="A521" t="str">
        <f>CONCATENATE(D521,"_",TEXT(M521,"ddmmaaaa"),"_",COUNTIF($D$2:D521,D521))</f>
        <v>487649550001-41_11032026_2</v>
      </c>
      <c r="B521" t="str">
        <f>CONCATENATE(Analise!D521,"_",COUNTIF(Analise!$D$2:D521,Analise!D521)-1)</f>
        <v>487649550001-41_1</v>
      </c>
      <c r="C521" s="34">
        <f>COUNTIF('Obras e Acervos'!$C:$C,CONCATENATE(LEFT(D521,12),RIGHT(D521,2)))</f>
        <v>2</v>
      </c>
      <c r="D521" s="35" t="s">
        <v>4680</v>
      </c>
      <c r="E521" t="str">
        <f>VLOOKUP($B521,'Obras e Acervos'!$B:$X,3,0)</f>
        <v>CASA DE LETRAS E GRAFICA LTDA-CASA DE LETRAS</v>
      </c>
      <c r="F521" t="str">
        <f>VLOOKUP($B521,'Obras e Acervos'!$B:$X,7,0)</f>
        <v>0438L23000030LE</v>
      </c>
      <c r="G521" t="str">
        <f>VLOOKUP($B521,'Obras e Acervos'!$B:$X,5,0)</f>
        <v>NDAMA, UM PEQUENO MBOTT</v>
      </c>
      <c r="H521">
        <f>VLOOKUP($B521,'Obras e Acervos'!$B:$X,18,0)</f>
        <v>2</v>
      </c>
      <c r="I521">
        <f>VLOOKUP($B521,'Obras e Acervos'!$B:$X,19,0)</f>
        <v>43543</v>
      </c>
      <c r="J521" s="42">
        <f>VLOOKUP($B521,'Obras e Acervos'!$B:$X,20,0)</f>
        <v>4572.0149999999994</v>
      </c>
      <c r="K521" s="31">
        <f>VLOOKUP($B521,'Obras e Acervos'!$B:$X,21,0)</f>
        <v>5.08</v>
      </c>
      <c r="L521" s="31">
        <f t="shared" si="77"/>
        <v>221198.44</v>
      </c>
      <c r="M521" s="1">
        <v>46092</v>
      </c>
      <c r="N521" s="1">
        <f t="shared" si="76"/>
        <v>46305</v>
      </c>
      <c r="O521">
        <f t="shared" si="78"/>
        <v>214</v>
      </c>
      <c r="P521" s="49">
        <f t="shared" si="74"/>
        <v>7.1333333333333337</v>
      </c>
      <c r="Q521" s="34">
        <f>VLOOKUP($G521,Agendamento!$B:$F,5,0)</f>
        <v>5</v>
      </c>
      <c r="R521" s="36">
        <f t="shared" si="79"/>
        <v>44</v>
      </c>
      <c r="S521" s="44">
        <v>2.5499999999999998</v>
      </c>
      <c r="T521" s="44">
        <f t="shared" si="80"/>
        <v>24010.799999999999</v>
      </c>
      <c r="U521" t="s">
        <v>5366</v>
      </c>
      <c r="V521" t="str">
        <f t="shared" si="81"/>
        <v>NF/64307505_20260311_nf_23.pdf</v>
      </c>
      <c r="W521" s="32" t="str">
        <f t="shared" si="75"/>
        <v>NF - NDAMA, UM PEQUENO MBOTT</v>
      </c>
      <c r="X521" t="s">
        <v>5591</v>
      </c>
    </row>
    <row r="522" spans="1:24" x14ac:dyDescent="0.25">
      <c r="A522" t="str">
        <f>CONCATENATE(D522,"_",TEXT(M522,"ddmmaaaa"),"_",COUNTIF($D$2:D522,D522))</f>
        <v>073723960001-47_11032026_2</v>
      </c>
      <c r="B522" t="str">
        <f>CONCATENATE(Analise!D522,"_",COUNTIF(Analise!$D$2:D522,Analise!D522)-1)</f>
        <v>073723960001-47_1</v>
      </c>
      <c r="C522" s="34">
        <f>COUNTIF('Obras e Acervos'!$C:$C,CONCATENATE(LEFT(D522,12),RIGHT(D522,2)))</f>
        <v>2</v>
      </c>
      <c r="D522" s="35" t="s">
        <v>4792</v>
      </c>
      <c r="E522" t="str">
        <f>VLOOKUP($B522,'Obras e Acervos'!$B:$X,3,0)</f>
        <v>IMPERIAL NOVO MILÊNIO GRÁFICA E EDITORA LTDA-IMPERIAL NOVO MILÊNIO</v>
      </c>
      <c r="F522" t="str">
        <f>VLOOKUP($B522,'Obras e Acervos'!$B:$X,7,0)</f>
        <v>0853L23000030LE</v>
      </c>
      <c r="G522" t="str">
        <f>VLOOKUP($B522,'Obras e Acervos'!$B:$X,5,0)</f>
        <v>RENTE QUE NEM PÃO QUENTE</v>
      </c>
      <c r="H522">
        <f>VLOOKUP($B522,'Obras e Acervos'!$B:$X,18,0)</f>
        <v>10</v>
      </c>
      <c r="I522">
        <f>VLOOKUP($B522,'Obras e Acervos'!$B:$X,19,0)</f>
        <v>33146</v>
      </c>
      <c r="J522" s="42">
        <f>VLOOKUP($B522,'Obras e Acervos'!$B:$X,20,0)</f>
        <v>4905.6080000000002</v>
      </c>
      <c r="K522" s="31">
        <f>VLOOKUP($B522,'Obras e Acervos'!$B:$X,21,0)</f>
        <v>8.18</v>
      </c>
      <c r="L522" s="31">
        <f t="shared" si="77"/>
        <v>271134.27999999997</v>
      </c>
      <c r="M522" s="1">
        <v>46092</v>
      </c>
      <c r="N522" s="1">
        <f t="shared" si="76"/>
        <v>46305</v>
      </c>
      <c r="O522">
        <f t="shared" si="78"/>
        <v>214</v>
      </c>
      <c r="P522" s="49">
        <f t="shared" si="74"/>
        <v>7.1333333333333337</v>
      </c>
      <c r="Q522" s="34">
        <f>VLOOKUP($G522,Agendamento!$B:$F,5,0)</f>
        <v>6</v>
      </c>
      <c r="R522" s="36">
        <f t="shared" si="79"/>
        <v>34</v>
      </c>
      <c r="S522" s="44">
        <v>2.5499999999999998</v>
      </c>
      <c r="T522" s="44">
        <f t="shared" si="80"/>
        <v>18553.8</v>
      </c>
      <c r="U522" t="s">
        <v>5380</v>
      </c>
      <c r="V522" t="str">
        <f t="shared" si="81"/>
        <v>NF/64307505_20260311_nf_24.pdf</v>
      </c>
      <c r="W522" s="32" t="str">
        <f t="shared" si="75"/>
        <v>NF - RENTE QUE NEM PÃO QUENTE</v>
      </c>
      <c r="X522" t="s">
        <v>5591</v>
      </c>
    </row>
    <row r="523" spans="1:24" x14ac:dyDescent="0.25">
      <c r="A523" t="str">
        <f>CONCATENATE(D523,"_",TEXT(M523,"ddmmaaaa"),"_",COUNTIF($D$2:D523,D523))</f>
        <v>284752980001-05_11032026_1</v>
      </c>
      <c r="B523" t="str">
        <f>CONCATENATE(Analise!D523,"_",COUNTIF(Analise!$D$2:D523,Analise!D523)+1)</f>
        <v>284752980001-05_2</v>
      </c>
      <c r="C523" s="34">
        <f>COUNTIF('Obras e Acervos'!$C:$C,CONCATENATE(LEFT(D523,12),RIGHT(D523,2)))</f>
        <v>2</v>
      </c>
      <c r="D523" s="35" t="s">
        <v>4811</v>
      </c>
      <c r="E523" t="str">
        <f>VLOOKUP($B523,'Obras e Acervos'!$B:$X,3,0)</f>
        <v>TULIPA EDITORA EIRELI-</v>
      </c>
      <c r="F523" t="str">
        <f>VLOOKUP($B523,'Obras e Acervos'!$B:$X,7,0)</f>
        <v>0459L23000020LE</v>
      </c>
      <c r="G523" t="str">
        <f>VLOOKUP($B523,'Obras e Acervos'!$B:$X,5,0)</f>
        <v>O MENINO QUE QUERIA ABRAÇAR AS BALEIAS</v>
      </c>
      <c r="H523">
        <f>VLOOKUP($B523,'Obras e Acervos'!$B:$X,18,0)</f>
        <v>13</v>
      </c>
      <c r="I523">
        <f>VLOOKUP($B523,'Obras e Acervos'!$B:$X,19,0)</f>
        <v>31544</v>
      </c>
      <c r="J523" s="42">
        <f>VLOOKUP($B523,'Obras e Acervos'!$B:$X,20,0)</f>
        <v>3249.0319999999997</v>
      </c>
      <c r="K523" s="31">
        <f>VLOOKUP($B523,'Obras e Acervos'!$B:$X,21,0)</f>
        <v>6.37</v>
      </c>
      <c r="L523" s="31">
        <f t="shared" si="77"/>
        <v>200935.28</v>
      </c>
      <c r="M523" s="1">
        <v>46092</v>
      </c>
      <c r="N523" s="1">
        <f t="shared" si="76"/>
        <v>46305</v>
      </c>
      <c r="O523">
        <f t="shared" si="78"/>
        <v>214</v>
      </c>
      <c r="P523" s="49">
        <f t="shared" si="74"/>
        <v>7.1333333333333337</v>
      </c>
      <c r="Q523" s="34">
        <f>VLOOKUP($G523,Agendamento!$B:$F,5,0)</f>
        <v>4</v>
      </c>
      <c r="R523" s="36">
        <f t="shared" si="79"/>
        <v>32</v>
      </c>
      <c r="S523" s="44">
        <v>2.5499999999999998</v>
      </c>
      <c r="T523" s="44">
        <f t="shared" si="80"/>
        <v>17462.399999999998</v>
      </c>
      <c r="U523" t="s">
        <v>5371</v>
      </c>
      <c r="V523" t="str">
        <f t="shared" si="81"/>
        <v>NF/64307505_20260311_nf_26.pdf</v>
      </c>
      <c r="W523" s="32" t="str">
        <f t="shared" si="75"/>
        <v>NF - O MENINO QUE QUERIA ABRAÇAR AS BALEIAS</v>
      </c>
      <c r="X523" t="s">
        <v>5591</v>
      </c>
    </row>
    <row r="524" spans="1:24" x14ac:dyDescent="0.25">
      <c r="A524" t="str">
        <f>CONCATENATE(D524,"_",TEXT(M524,"ddmmaaaa"),"_",COUNTIF($D$2:D524,D524))</f>
        <v>378498960001-98_11032026_1</v>
      </c>
      <c r="B524" t="str">
        <f>CONCATENATE(Analise!D524,"_",COUNTIF(Analise!$D$2:D524,Analise!D524)+1)</f>
        <v>378498960001-98_2</v>
      </c>
      <c r="C524" s="34">
        <f>COUNTIF('Obras e Acervos'!$C:$C,CONCATENATE(LEFT(D524,12),RIGHT(D524,2)))</f>
        <v>2</v>
      </c>
      <c r="D524" s="35" t="s">
        <v>4814</v>
      </c>
      <c r="E524" t="str">
        <f>VLOOKUP($B524,'Obras e Acervos'!$B:$X,3,0)</f>
        <v>ALUAR EDITORA LTDA-ALUAR EDITORA</v>
      </c>
      <c r="F524" t="str">
        <f>VLOOKUP($B524,'Obras e Acervos'!$B:$X,7,0)</f>
        <v>1162L23000020LE</v>
      </c>
      <c r="G524" t="str">
        <f>VLOOKUP($B524,'Obras e Acervos'!$B:$X,5,0)</f>
        <v>A CORUJA E O MONDRONGO</v>
      </c>
      <c r="H524">
        <f>VLOOKUP($B524,'Obras e Acervos'!$B:$X,18,0)</f>
        <v>11</v>
      </c>
      <c r="I524">
        <f>VLOOKUP($B524,'Obras e Acervos'!$B:$X,19,0)</f>
        <v>45512</v>
      </c>
      <c r="J524" s="42">
        <f>VLOOKUP($B524,'Obras e Acervos'!$B:$X,20,0)</f>
        <v>6189.6320000000005</v>
      </c>
      <c r="K524" s="31">
        <f>VLOOKUP($B524,'Obras e Acervos'!$B:$X,21,0)</f>
        <v>6.27</v>
      </c>
      <c r="L524" s="31">
        <f t="shared" si="77"/>
        <v>285360.24</v>
      </c>
      <c r="M524" s="1">
        <v>46092</v>
      </c>
      <c r="N524" s="1">
        <f t="shared" si="76"/>
        <v>46305</v>
      </c>
      <c r="O524">
        <f t="shared" si="78"/>
        <v>214</v>
      </c>
      <c r="P524" s="49">
        <f t="shared" si="74"/>
        <v>7.1333333333333337</v>
      </c>
      <c r="Q524" s="34">
        <f>VLOOKUP($G524,Agendamento!$B:$F,5,0)</f>
        <v>8</v>
      </c>
      <c r="R524" s="36">
        <f t="shared" si="79"/>
        <v>46</v>
      </c>
      <c r="S524" s="44">
        <v>2.5499999999999998</v>
      </c>
      <c r="T524" s="44">
        <f t="shared" si="80"/>
        <v>25102.199999999997</v>
      </c>
      <c r="U524" t="s">
        <v>5375</v>
      </c>
      <c r="V524" t="str">
        <f t="shared" si="81"/>
        <v>NF/64307505_20260311_nf_27.pdf</v>
      </c>
      <c r="W524" s="32" t="str">
        <f t="shared" si="75"/>
        <v>NF - A CORUJA E O MONDRONGO</v>
      </c>
      <c r="X524" t="s">
        <v>5591</v>
      </c>
    </row>
    <row r="525" spans="1:24" x14ac:dyDescent="0.25">
      <c r="A525" t="str">
        <f>CONCATENATE(D525,"_",TEXT(M525,"ddmmaaaa"),"_",COUNTIF($D$2:D525,D525))</f>
        <v>436803710001-74_11032026_1</v>
      </c>
      <c r="B525" t="str">
        <f>CONCATENATE(Analise!D525,"_",COUNTIF(Analise!$D$2:D525,Analise!D525))</f>
        <v>436803710001-74_1</v>
      </c>
      <c r="C525" s="34">
        <f>COUNTIF('Obras e Acervos'!$C:$C,CONCATENATE(LEFT(D525,12),RIGHT(D525,2)))</f>
        <v>2</v>
      </c>
      <c r="D525" s="35" t="s">
        <v>4813</v>
      </c>
      <c r="E525" t="str">
        <f>VLOOKUP($B525,'Obras e Acervos'!$B:$X,3,0)</f>
        <v>EDITORA COQUINHO LTDA-COQUINHO</v>
      </c>
      <c r="F525" t="str">
        <f>VLOOKUP($B525,'Obras e Acervos'!$B:$X,7,0)</f>
        <v>0922L23000030LE</v>
      </c>
      <c r="G525" t="str">
        <f>VLOOKUP($B525,'Obras e Acervos'!$B:$X,5,0)</f>
        <v>O BRINQUEDO NOVO</v>
      </c>
      <c r="H525">
        <f>VLOOKUP($B525,'Obras e Acervos'!$B:$X,18,0)</f>
        <v>1</v>
      </c>
      <c r="I525">
        <f>VLOOKUP($B525,'Obras e Acervos'!$B:$X,19,0)</f>
        <v>50337</v>
      </c>
      <c r="J525" s="42">
        <f>VLOOKUP($B525,'Obras e Acervos'!$B:$X,20,0)</f>
        <v>5285.3850000000002</v>
      </c>
      <c r="K525" s="31">
        <f>VLOOKUP($B525,'Obras e Acervos'!$B:$X,21,0)</f>
        <v>4.6399999999999997</v>
      </c>
      <c r="L525" s="31">
        <f t="shared" si="77"/>
        <v>233563.68</v>
      </c>
      <c r="M525" s="1">
        <v>46092</v>
      </c>
      <c r="N525" s="1">
        <f t="shared" si="76"/>
        <v>46305</v>
      </c>
      <c r="O525">
        <f t="shared" si="78"/>
        <v>214</v>
      </c>
      <c r="P525" s="49">
        <f t="shared" si="74"/>
        <v>7.1333333333333337</v>
      </c>
      <c r="Q525" s="34">
        <f>VLOOKUP($G525,Agendamento!$B:$F,5,0)</f>
        <v>6</v>
      </c>
      <c r="R525" s="36">
        <f t="shared" si="79"/>
        <v>51</v>
      </c>
      <c r="S525" s="44">
        <v>2.5499999999999998</v>
      </c>
      <c r="T525" s="44">
        <f t="shared" si="80"/>
        <v>27830.699999999997</v>
      </c>
      <c r="U525" t="s">
        <v>5374</v>
      </c>
      <c r="V525" t="str">
        <f t="shared" si="81"/>
        <v>NF/64307505_20260311_nf_29.pdf</v>
      </c>
      <c r="W525" s="32" t="str">
        <f t="shared" si="75"/>
        <v>NF - O BRINQUEDO NOVO</v>
      </c>
      <c r="X525" t="s">
        <v>5591</v>
      </c>
    </row>
    <row r="526" spans="1:24" x14ac:dyDescent="0.25">
      <c r="A526" t="str">
        <f>CONCATENATE(D526,"_",TEXT(M526,"ddmmaaaa"),"_",COUNTIF($D$2:D526,D526))</f>
        <v>421578060001-38_11032026_2</v>
      </c>
      <c r="B526" t="str">
        <f>CONCATENATE(Analise!D526,"_",COUNTIF(Analise!$D$2:D526,Analise!D526)-1)</f>
        <v>421578060001-38_1</v>
      </c>
      <c r="C526" s="34">
        <f>COUNTIF('Obras e Acervos'!$C:$C,CONCATENATE(LEFT(D526,12),RIGHT(D526,2)))</f>
        <v>2</v>
      </c>
      <c r="D526" s="35" t="s">
        <v>4776</v>
      </c>
      <c r="E526" t="str">
        <f>VLOOKUP($B526,'Obras e Acervos'!$B:$X,3,0)</f>
        <v>ARACARI EDITORA E ASSESSORIA LTDA -ARACARI EDITORIAL</v>
      </c>
      <c r="F526" t="str">
        <f>VLOOKUP($B526,'Obras e Acervos'!$B:$X,7,0)</f>
        <v>0952L23000030LE</v>
      </c>
      <c r="G526" t="str">
        <f>VLOOKUP($B526,'Obras e Acervos'!$B:$X,5,0)</f>
        <v>PAPAGAIO PEPETELA</v>
      </c>
      <c r="H526">
        <f>VLOOKUP($B526,'Obras e Acervos'!$B:$X,18,0)</f>
        <v>1</v>
      </c>
      <c r="I526">
        <f>VLOOKUP($B526,'Obras e Acervos'!$B:$X,19,0)</f>
        <v>49338</v>
      </c>
      <c r="J526" s="42">
        <f>VLOOKUP($B526,'Obras e Acervos'!$B:$X,20,0)</f>
        <v>6413.9400000000005</v>
      </c>
      <c r="K526" s="31">
        <f>VLOOKUP($B526,'Obras e Acervos'!$B:$X,21,0)</f>
        <v>5.84</v>
      </c>
      <c r="L526" s="31">
        <f t="shared" si="77"/>
        <v>288133.92</v>
      </c>
      <c r="M526" s="1">
        <v>46092</v>
      </c>
      <c r="N526" s="1">
        <f t="shared" si="76"/>
        <v>46305</v>
      </c>
      <c r="O526">
        <f t="shared" si="78"/>
        <v>214</v>
      </c>
      <c r="P526" s="49">
        <f t="shared" si="74"/>
        <v>7.1333333333333337</v>
      </c>
      <c r="Q526" s="34">
        <f>VLOOKUP($G526,Agendamento!$B:$F,5,0)</f>
        <v>9</v>
      </c>
      <c r="R526" s="36">
        <f t="shared" si="79"/>
        <v>50</v>
      </c>
      <c r="S526" s="44">
        <v>2.5499999999999998</v>
      </c>
      <c r="T526" s="44">
        <f t="shared" si="80"/>
        <v>27284.999999999996</v>
      </c>
      <c r="U526" t="s">
        <v>5376</v>
      </c>
      <c r="V526" t="str">
        <f t="shared" si="81"/>
        <v>NF/64307505_20260311_nf_30.pdf</v>
      </c>
      <c r="W526" s="32" t="str">
        <f t="shared" si="75"/>
        <v>NF - PAPAGAIO PEPETELA</v>
      </c>
      <c r="X526" t="s">
        <v>5591</v>
      </c>
    </row>
    <row r="527" spans="1:24" x14ac:dyDescent="0.25">
      <c r="A527" t="str">
        <f>CONCATENATE(D527,"_",TEXT(M527,"ddmmaaaa"),"_",COUNTIF($D$2:D527,D527))</f>
        <v>438868230001-79_11032026_2</v>
      </c>
      <c r="B527" t="str">
        <f>CONCATENATE(Analise!D527,"_",COUNTIF(Analise!$D$2:D527,Analise!D527))</f>
        <v>438868230001-79_2</v>
      </c>
      <c r="C527" s="34">
        <f>COUNTIF('Obras e Acervos'!$C:$C,CONCATENATE(LEFT(D527,12),RIGHT(D527,2)))</f>
        <v>2</v>
      </c>
      <c r="D527" s="35" t="s">
        <v>4807</v>
      </c>
      <c r="E527" t="str">
        <f>VLOOKUP($B527,'Obras e Acervos'!$B:$X,3,0)</f>
        <v>EDITORA ZAGUINHA LTDA-ZAGUINHA</v>
      </c>
      <c r="F527" t="str">
        <f>VLOOKUP($B527,'Obras e Acervos'!$B:$X,7,0)</f>
        <v>1076L23000020LE</v>
      </c>
      <c r="G527" t="str">
        <f>VLOOKUP($B527,'Obras e Acervos'!$B:$X,5,0)</f>
        <v>ROBÓTICOS</v>
      </c>
      <c r="H527">
        <f>VLOOKUP($B527,'Obras e Acervos'!$B:$X,18,0)</f>
        <v>19</v>
      </c>
      <c r="I527">
        <f>VLOOKUP($B527,'Obras e Acervos'!$B:$X,19,0)</f>
        <v>26164</v>
      </c>
      <c r="J527" s="42">
        <f>VLOOKUP($B527,'Obras e Acervos'!$B:$X,20,0)</f>
        <v>3741.4519999999998</v>
      </c>
      <c r="K527" s="31">
        <f>VLOOKUP($B527,'Obras e Acervos'!$B:$X,21,0)</f>
        <v>8.34</v>
      </c>
      <c r="L527" s="31">
        <f t="shared" si="77"/>
        <v>218207.76</v>
      </c>
      <c r="M527" s="1">
        <v>46092</v>
      </c>
      <c r="N527" s="1">
        <f t="shared" si="76"/>
        <v>46305</v>
      </c>
      <c r="O527">
        <f t="shared" si="78"/>
        <v>214</v>
      </c>
      <c r="P527" s="49">
        <f t="shared" si="74"/>
        <v>7.1333333333333337</v>
      </c>
      <c r="Q527" s="34">
        <f>VLOOKUP($G527,Agendamento!$B:$F,5,0)</f>
        <v>5</v>
      </c>
      <c r="R527" s="36">
        <f t="shared" si="79"/>
        <v>27</v>
      </c>
      <c r="S527" s="44">
        <v>2.5499999999999998</v>
      </c>
      <c r="T527" s="44">
        <f t="shared" si="80"/>
        <v>14733.9</v>
      </c>
      <c r="U527" t="s">
        <v>5378</v>
      </c>
      <c r="V527" t="str">
        <f t="shared" si="81"/>
        <v>NF/64307505_20260311_nf_32.pdf</v>
      </c>
      <c r="W527" s="32" t="str">
        <f t="shared" si="75"/>
        <v>NF - ROBÓTICOS</v>
      </c>
      <c r="X527" t="s">
        <v>5591</v>
      </c>
    </row>
    <row r="528" spans="1:24" x14ac:dyDescent="0.25">
      <c r="A528" t="str">
        <f>CONCATENATE(D528,"_",TEXT(M528,"ddmmaaaa"),"_",COUNTIF($D$2:D528,D528))</f>
        <v>072358880001-90_11032026_1</v>
      </c>
      <c r="B528" t="str">
        <f>CONCATENATE(Analise!D528,"_",COUNTIF(Analise!$D$2:D528,Analise!D528))</f>
        <v>072358880001-90_1</v>
      </c>
      <c r="C528" s="34">
        <f>COUNTIF('Obras e Acervos'!$C:$C,CONCATENATE(LEFT(D528,12),RIGHT(D528,2)))</f>
        <v>2</v>
      </c>
      <c r="D528" s="35" t="s">
        <v>4816</v>
      </c>
      <c r="E528" t="str">
        <f>VLOOKUP($B528,'Obras e Acervos'!$B:$X,3,0)</f>
        <v>EDIÇÕES BESOUROBOX LTDA-EDIÇÕES BESOUROBOX</v>
      </c>
      <c r="F528" t="str">
        <f>VLOOKUP($B528,'Obras e Acervos'!$B:$X,7,0)</f>
        <v>0958L23000030LE</v>
      </c>
      <c r="G528" t="str">
        <f>VLOOKUP($B528,'Obras e Acervos'!$B:$X,5,0)</f>
        <v>EU, VOVÓ E A CEGONHA</v>
      </c>
      <c r="H528">
        <f>VLOOKUP($B528,'Obras e Acervos'!$B:$X,18,0)</f>
        <v>6</v>
      </c>
      <c r="I528">
        <f>VLOOKUP($B528,'Obras e Acervos'!$B:$X,19,0)</f>
        <v>36689</v>
      </c>
      <c r="J528" s="42">
        <f>VLOOKUP($B528,'Obras e Acervos'!$B:$X,20,0)</f>
        <v>3668.9</v>
      </c>
      <c r="K528" s="31">
        <f>VLOOKUP($B528,'Obras e Acervos'!$B:$X,21,0)</f>
        <v>6.35</v>
      </c>
      <c r="L528" s="31">
        <f t="shared" si="77"/>
        <v>232975.15</v>
      </c>
      <c r="M528" s="1">
        <v>46092</v>
      </c>
      <c r="N528" s="1">
        <f t="shared" si="76"/>
        <v>46305</v>
      </c>
      <c r="O528">
        <f t="shared" si="78"/>
        <v>214</v>
      </c>
      <c r="P528" s="49">
        <f t="shared" si="74"/>
        <v>7.1333333333333337</v>
      </c>
      <c r="Q528" s="34">
        <f>VLOOKUP($G528,Agendamento!$B:$F,5,0)</f>
        <v>7</v>
      </c>
      <c r="R528" s="36">
        <f t="shared" si="79"/>
        <v>37</v>
      </c>
      <c r="S528" s="44">
        <v>2.5499999999999998</v>
      </c>
      <c r="T528" s="44">
        <f t="shared" si="80"/>
        <v>20190.899999999998</v>
      </c>
      <c r="U528" t="s">
        <v>5379</v>
      </c>
      <c r="V528" t="str">
        <f t="shared" si="81"/>
        <v>NF/64307505_20260311_nf_34.pdf</v>
      </c>
      <c r="W528" s="32" t="str">
        <f t="shared" si="75"/>
        <v>NF - EU, VOVÓ E A CEGONHA</v>
      </c>
      <c r="X528" t="s">
        <v>5591</v>
      </c>
    </row>
    <row r="529" spans="1:24" x14ac:dyDescent="0.25">
      <c r="A529" t="str">
        <f>CONCATENATE(D529,"_",TEXT(M529,"ddmmaaaa"),"_",COUNTIF($D$2:D529,D529))</f>
        <v>302205010001-44_11032026_2</v>
      </c>
      <c r="B529" t="str">
        <f>CONCATENATE(Analise!D529,"_",COUNTIF(Analise!$D$2:D529,Analise!D529)-1)</f>
        <v>302205010001-44_1</v>
      </c>
      <c r="C529" s="34">
        <f>COUNTIF('Obras e Acervos'!$C:$C,CONCATENATE(LEFT(D529,12),RIGHT(D529,2)))</f>
        <v>2</v>
      </c>
      <c r="D529" s="35" t="s">
        <v>4753</v>
      </c>
      <c r="E529" t="str">
        <f>VLOOKUP($B529,'Obras e Acervos'!$B:$X,3,0)</f>
        <v>EDITORA VESTÍGIO LTDA.-VESTÍGIO</v>
      </c>
      <c r="F529" t="str">
        <f>VLOOKUP($B529,'Obras e Acervos'!$B:$X,7,0)</f>
        <v>0718L23000030LE</v>
      </c>
      <c r="G529" t="str">
        <f>VLOOKUP($B529,'Obras e Acervos'!$B:$X,5,0)</f>
        <v>DR. URUBU E OUTRAS FÁBULAS</v>
      </c>
      <c r="H529">
        <f>VLOOKUP($B529,'Obras e Acervos'!$B:$X,18,0)</f>
        <v>8</v>
      </c>
      <c r="I529">
        <f>VLOOKUP($B529,'Obras e Acervos'!$B:$X,19,0)</f>
        <v>34270</v>
      </c>
      <c r="J529" s="42">
        <f>VLOOKUP($B529,'Obras e Acervos'!$B:$X,20,0)</f>
        <v>4900.6099999999997</v>
      </c>
      <c r="K529" s="31">
        <f>VLOOKUP($B529,'Obras e Acervos'!$B:$X,21,0)</f>
        <v>7.7</v>
      </c>
      <c r="L529" s="31">
        <f t="shared" si="77"/>
        <v>263879</v>
      </c>
      <c r="M529" s="1">
        <v>46092</v>
      </c>
      <c r="N529" s="1">
        <f t="shared" si="76"/>
        <v>46305</v>
      </c>
      <c r="O529">
        <f t="shared" si="78"/>
        <v>214</v>
      </c>
      <c r="P529" s="49">
        <f t="shared" si="74"/>
        <v>7.1333333333333337</v>
      </c>
      <c r="Q529" s="34">
        <f>VLOOKUP($G529,Agendamento!$B:$F,5,0)</f>
        <v>6</v>
      </c>
      <c r="R529" s="36">
        <f t="shared" si="79"/>
        <v>35</v>
      </c>
      <c r="S529" s="44">
        <v>2.5499999999999998</v>
      </c>
      <c r="T529" s="44">
        <f t="shared" si="80"/>
        <v>19099.5</v>
      </c>
      <c r="U529" t="s">
        <v>5381</v>
      </c>
      <c r="V529" t="str">
        <f t="shared" si="81"/>
        <v>NF/64307505_20260311_nf_35.pdf</v>
      </c>
      <c r="W529" s="32" t="str">
        <f t="shared" si="75"/>
        <v>NF - DR. URUBU E OUTRAS FÁBULAS</v>
      </c>
      <c r="X529" t="s">
        <v>5591</v>
      </c>
    </row>
    <row r="530" spans="1:24" x14ac:dyDescent="0.25">
      <c r="A530" t="str">
        <f>CONCATENATE(D530,"_",TEXT(M530,"ddmmaaaa"),"_",COUNTIF($D$2:D530,D530))</f>
        <v>172430150001-83_12032026_2</v>
      </c>
      <c r="B530" t="str">
        <f>CONCATENATE(Analise!D530,"_",COUNTIF(Analise!$D$2:D530,Analise!D530)-1)</f>
        <v>172430150001-83_1</v>
      </c>
      <c r="C530" s="34">
        <f>COUNTIF('Obras e Acervos'!$C:$C,CONCATENATE(LEFT(D530,12),RIGHT(D530,2)))</f>
        <v>2</v>
      </c>
      <c r="D530" s="35" t="s">
        <v>4805</v>
      </c>
      <c r="E530" t="str">
        <f>VLOOKUP($B530,'Obras e Acervos'!$B:$X,3,0)</f>
        <v>EDITORA LÊ LTDA-EDITORA LÊ</v>
      </c>
      <c r="F530" t="str">
        <f>VLOOKUP($B530,'Obras e Acervos'!$B:$X,7,0)</f>
        <v>1023L23000030LE</v>
      </c>
      <c r="G530" t="str">
        <f>VLOOKUP($B530,'Obras e Acervos'!$B:$X,5,0)</f>
        <v>GATO, SAPATO, BICHO DO MATO</v>
      </c>
      <c r="H530">
        <f>VLOOKUP($B530,'Obras e Acervos'!$B:$X,18,0)</f>
        <v>2</v>
      </c>
      <c r="I530">
        <f>VLOOKUP($B530,'Obras e Acervos'!$B:$X,19,0)</f>
        <v>59845</v>
      </c>
      <c r="J530" s="42">
        <f>VLOOKUP($B530,'Obras e Acervos'!$B:$X,20,0)</f>
        <v>6283.7249999999995</v>
      </c>
      <c r="K530" s="31">
        <f>VLOOKUP($B530,'Obras e Acervos'!$B:$X,21,0)</f>
        <v>4.9000000000000004</v>
      </c>
      <c r="L530" s="31">
        <f t="shared" si="77"/>
        <v>293240.5</v>
      </c>
      <c r="M530" s="1">
        <v>46093</v>
      </c>
      <c r="N530" s="1">
        <f t="shared" si="76"/>
        <v>46305</v>
      </c>
      <c r="O530">
        <f t="shared" si="78"/>
        <v>213</v>
      </c>
      <c r="P530" s="49">
        <f t="shared" si="74"/>
        <v>7.1</v>
      </c>
      <c r="Q530" s="34">
        <f>VLOOKUP($G530,Agendamento!$B:$F,5,0)</f>
        <v>8</v>
      </c>
      <c r="R530" s="36">
        <f t="shared" si="79"/>
        <v>60</v>
      </c>
      <c r="S530" s="44">
        <v>2.5499999999999998</v>
      </c>
      <c r="T530" s="44">
        <f t="shared" si="80"/>
        <v>32588.999999999996</v>
      </c>
      <c r="U530" t="s">
        <v>5387</v>
      </c>
      <c r="V530" t="str">
        <f t="shared" si="81"/>
        <v>NF/64307505_20260312_nf_01.pdf</v>
      </c>
      <c r="W530" s="32" t="str">
        <f t="shared" si="75"/>
        <v>NF - GATO, SAPATO, BICHO DO MATO</v>
      </c>
      <c r="X530" t="s">
        <v>5591</v>
      </c>
    </row>
    <row r="531" spans="1:24" x14ac:dyDescent="0.25">
      <c r="A531" t="str">
        <f>CONCATENATE(D531,"_",TEXT(M531,"ddmmaaaa"),"_",COUNTIF($D$2:D531,D531))</f>
        <v>166754490001-90_12032026_1</v>
      </c>
      <c r="B531" t="str">
        <f>CONCATENATE(Analise!D531,"_",COUNTIF(Analise!$D$2:D531,Analise!D531))</f>
        <v>166754490001-90_1</v>
      </c>
      <c r="C531" s="34">
        <f>COUNTIF('Obras e Acervos'!$C:$C,CONCATENATE(LEFT(D531,12),RIGHT(D531,2)))</f>
        <v>2</v>
      </c>
      <c r="D531" s="35" t="s">
        <v>4819</v>
      </c>
      <c r="E531" t="str">
        <f>VLOOKUP($B531,'Obras e Acervos'!$B:$X,3,0)</f>
        <v>RHJ LIVROS LTDA-EDITORA RHJ</v>
      </c>
      <c r="F531" t="str">
        <f>VLOOKUP($B531,'Obras e Acervos'!$B:$X,7,0)</f>
        <v>1139L23000030LE</v>
      </c>
      <c r="G531" t="str">
        <f>VLOOKUP($B531,'Obras e Acervos'!$B:$X,5,0)</f>
        <v>ANA-CENTOPEIA</v>
      </c>
      <c r="H531">
        <f>VLOOKUP($B531,'Obras e Acervos'!$B:$X,18,0)</f>
        <v>4</v>
      </c>
      <c r="I531">
        <f>VLOOKUP($B531,'Obras e Acervos'!$B:$X,19,0)</f>
        <v>40566</v>
      </c>
      <c r="J531" s="42">
        <f>VLOOKUP($B531,'Obras e Acervos'!$B:$X,20,0)</f>
        <v>5151.8820000000005</v>
      </c>
      <c r="K531" s="31">
        <f>VLOOKUP($B531,'Obras e Acervos'!$B:$X,21,0)</f>
        <v>6.32</v>
      </c>
      <c r="L531" s="31">
        <f t="shared" si="77"/>
        <v>256377.12000000002</v>
      </c>
      <c r="M531" s="1">
        <v>46093</v>
      </c>
      <c r="N531" s="1">
        <f t="shared" si="76"/>
        <v>46305</v>
      </c>
      <c r="O531">
        <f t="shared" si="78"/>
        <v>213</v>
      </c>
      <c r="P531" s="49">
        <f t="shared" si="74"/>
        <v>7.1</v>
      </c>
      <c r="Q531" s="34">
        <f>VLOOKUP($G531,Agendamento!$B:$F,5,0)</f>
        <v>7</v>
      </c>
      <c r="R531" s="36">
        <f t="shared" si="79"/>
        <v>41</v>
      </c>
      <c r="S531" s="44">
        <v>2.5499999999999998</v>
      </c>
      <c r="T531" s="44">
        <f t="shared" si="80"/>
        <v>22269.149999999998</v>
      </c>
      <c r="U531" t="s">
        <v>5390</v>
      </c>
      <c r="V531" t="str">
        <f t="shared" si="81"/>
        <v>NF/64307505_20260312_nf_02.pdf</v>
      </c>
      <c r="W531" s="32" t="str">
        <f t="shared" si="75"/>
        <v>NF - ANA-CENTOPEIA</v>
      </c>
      <c r="X531" t="s">
        <v>5591</v>
      </c>
    </row>
    <row r="532" spans="1:24" x14ac:dyDescent="0.25">
      <c r="A532" t="str">
        <f>CONCATENATE(D532,"_",TEXT(M532,"ddmmaaaa"),"_",COUNTIF($D$2:D532,D532))</f>
        <v>012974670001-08_12032026_1</v>
      </c>
      <c r="B532" t="str">
        <f>CONCATENATE(Analise!D532,"_",COUNTIF(Analise!$D$2:D532,Analise!D532))</f>
        <v>012974670001-08_1</v>
      </c>
      <c r="C532" s="34">
        <f>COUNTIF('Obras e Acervos'!$C:$C,CONCATENATE(LEFT(D532,12),RIGHT(D532,2)))</f>
        <v>2</v>
      </c>
      <c r="D532" s="35" t="s">
        <v>4818</v>
      </c>
      <c r="E532" t="str">
        <f>VLOOKUP($B532,'Obras e Acervos'!$B:$X,3,0)</f>
        <v>CALIGRAMA EDITORIAL LTDA.-OBÁ EDITORIAL</v>
      </c>
      <c r="F532" t="str">
        <f>VLOOKUP($B532,'Obras e Acervos'!$B:$X,7,0)</f>
        <v>1220L23000030LE</v>
      </c>
      <c r="G532" t="str">
        <f>VLOOKUP($B532,'Obras e Acervos'!$B:$X,5,0)</f>
        <v>ALÔ?</v>
      </c>
      <c r="H532">
        <f>VLOOKUP($B532,'Obras e Acervos'!$B:$X,18,0)</f>
        <v>1</v>
      </c>
      <c r="I532">
        <f>VLOOKUP($B532,'Obras e Acervos'!$B:$X,19,0)</f>
        <v>49807</v>
      </c>
      <c r="J532" s="42">
        <f>VLOOKUP($B532,'Obras e Acervos'!$B:$X,20,0)</f>
        <v>3835.1390000000001</v>
      </c>
      <c r="K532" s="31">
        <f>VLOOKUP($B532,'Obras e Acervos'!$B:$X,21,0)</f>
        <v>4.72</v>
      </c>
      <c r="L532" s="31">
        <f t="shared" si="77"/>
        <v>235089.03999999998</v>
      </c>
      <c r="M532" s="1">
        <v>46093</v>
      </c>
      <c r="N532" s="1">
        <f t="shared" si="76"/>
        <v>46305</v>
      </c>
      <c r="O532">
        <f t="shared" si="78"/>
        <v>213</v>
      </c>
      <c r="P532" s="49">
        <f t="shared" si="74"/>
        <v>7.1</v>
      </c>
      <c r="Q532" s="34">
        <f>VLOOKUP($G532,Agendamento!$B:$F,5,0)</f>
        <v>6</v>
      </c>
      <c r="R532" s="36">
        <f t="shared" si="79"/>
        <v>50</v>
      </c>
      <c r="S532" s="44">
        <v>2.5499999999999998</v>
      </c>
      <c r="T532" s="44">
        <f t="shared" si="80"/>
        <v>27157.499999999996</v>
      </c>
      <c r="U532" t="s">
        <v>5386</v>
      </c>
      <c r="V532" t="str">
        <f t="shared" si="81"/>
        <v>NF/64307505_20260312_nf_04.pdf</v>
      </c>
      <c r="W532" s="32" t="str">
        <f t="shared" si="75"/>
        <v>NF - ALÔ?</v>
      </c>
      <c r="X532" t="s">
        <v>5591</v>
      </c>
    </row>
    <row r="533" spans="1:24" x14ac:dyDescent="0.25">
      <c r="A533" t="str">
        <f>CONCATENATE(D533,"_",TEXT(M533,"ddmmaaaa"),"_",COUNTIF($D$2:D533,D533))</f>
        <v>442293190001-69_12032026_1</v>
      </c>
      <c r="B533" t="str">
        <f>CONCATENATE(Analise!D533,"_",COUNTIF(Analise!$D$2:D533,Analise!D533)+1)</f>
        <v>442293190001-69_2</v>
      </c>
      <c r="C533" s="34">
        <f>COUNTIF('Obras e Acervos'!$C:$C,CONCATENATE(LEFT(D533,12),RIGHT(D533,2)))</f>
        <v>2</v>
      </c>
      <c r="D533" s="35" t="s">
        <v>4820</v>
      </c>
      <c r="E533" t="str">
        <f>VLOOKUP($B533,'Obras e Acervos'!$B:$X,3,0)</f>
        <v>CHUÁ EDITORA LTDA.-CHUÁ</v>
      </c>
      <c r="F533" t="str">
        <f>VLOOKUP($B533,'Obras e Acervos'!$B:$X,7,0)</f>
        <v>1237L23000020LE</v>
      </c>
      <c r="G533" t="str">
        <f>VLOOKUP($B533,'Obras e Acervos'!$B:$X,5,0)</f>
        <v>A CIDADE POLITICAMENTE CORRETA</v>
      </c>
      <c r="H533">
        <f>VLOOKUP($B533,'Obras e Acervos'!$B:$X,18,0)</f>
        <v>11</v>
      </c>
      <c r="I533">
        <f>VLOOKUP($B533,'Obras e Acervos'!$B:$X,19,0)</f>
        <v>48117</v>
      </c>
      <c r="J533" s="42">
        <f>VLOOKUP($B533,'Obras e Acervos'!$B:$X,20,0)</f>
        <v>5533.4549999999999</v>
      </c>
      <c r="K533" s="31">
        <f>VLOOKUP($B533,'Obras e Acervos'!$B:$X,21,0)</f>
        <v>6.24</v>
      </c>
      <c r="L533" s="31">
        <f t="shared" si="77"/>
        <v>300250.08</v>
      </c>
      <c r="M533" s="1">
        <v>46093</v>
      </c>
      <c r="N533" s="1">
        <f t="shared" si="76"/>
        <v>46305</v>
      </c>
      <c r="O533">
        <f t="shared" si="78"/>
        <v>213</v>
      </c>
      <c r="P533" s="49">
        <f t="shared" si="74"/>
        <v>7.1</v>
      </c>
      <c r="Q533" s="34">
        <f>VLOOKUP($G533,Agendamento!$B:$F,5,0)</f>
        <v>8</v>
      </c>
      <c r="R533" s="36">
        <f t="shared" si="79"/>
        <v>49</v>
      </c>
      <c r="S533" s="44">
        <v>2.5499999999999998</v>
      </c>
      <c r="T533" s="44">
        <f t="shared" si="80"/>
        <v>26614.35</v>
      </c>
      <c r="U533" t="s">
        <v>5391</v>
      </c>
      <c r="V533" t="str">
        <f t="shared" si="81"/>
        <v>NF/64307505_20260312_nf_05.pdf</v>
      </c>
      <c r="W533" s="32" t="str">
        <f t="shared" si="75"/>
        <v>NF - A CIDADE POLITICAMENTE CORRETA</v>
      </c>
      <c r="X533" t="s">
        <v>5591</v>
      </c>
    </row>
    <row r="534" spans="1:24" x14ac:dyDescent="0.25">
      <c r="A534" t="str">
        <f>CONCATENATE(D534,"_",TEXT(M534,"ddmmaaaa"),"_",COUNTIF($D$2:D534,D534))</f>
        <v>435906340001-54_12032026_2</v>
      </c>
      <c r="B534" t="str">
        <f>CONCATENATE(Analise!D534,"_",COUNTIF(Analise!$D$2:D534,Analise!D534)-1)</f>
        <v>435906340001-54_1</v>
      </c>
      <c r="C534" s="34">
        <f>COUNTIF('Obras e Acervos'!$C:$C,CONCATENATE(LEFT(D534,12),RIGHT(D534,2)))</f>
        <v>2</v>
      </c>
      <c r="D534" s="35" t="s">
        <v>4761</v>
      </c>
      <c r="E534" t="str">
        <f>VLOOKUP($B534,'Obras e Acervos'!$B:$X,3,0)</f>
        <v>EDITORA GRAFTEN LTDA-GRAFTEN</v>
      </c>
      <c r="F534" t="str">
        <f>VLOOKUP($B534,'Obras e Acervos'!$B:$X,7,0)</f>
        <v>0870L23000030LE</v>
      </c>
      <c r="G534" t="str">
        <f>VLOOKUP($B534,'Obras e Acervos'!$B:$X,5,0)</f>
        <v>DR. EDUARDO, CERTO OU ERRADO?</v>
      </c>
      <c r="H534">
        <f>VLOOKUP($B534,'Obras e Acervos'!$B:$X,18,0)</f>
        <v>3</v>
      </c>
      <c r="I534">
        <f>VLOOKUP($B534,'Obras e Acervos'!$B:$X,19,0)</f>
        <v>46457</v>
      </c>
      <c r="J534" s="42">
        <f>VLOOKUP($B534,'Obras e Acervos'!$B:$X,20,0)</f>
        <v>6736.2649999999994</v>
      </c>
      <c r="K534" s="31">
        <f>VLOOKUP($B534,'Obras e Acervos'!$B:$X,21,0)</f>
        <v>6.61</v>
      </c>
      <c r="L534" s="31">
        <f t="shared" si="77"/>
        <v>307080.77</v>
      </c>
      <c r="M534" s="1">
        <v>46093</v>
      </c>
      <c r="N534" s="1">
        <f t="shared" si="76"/>
        <v>46305</v>
      </c>
      <c r="O534">
        <f t="shared" si="78"/>
        <v>213</v>
      </c>
      <c r="P534" s="49">
        <f t="shared" si="74"/>
        <v>7.1</v>
      </c>
      <c r="Q534" s="34">
        <f>VLOOKUP($G534,Agendamento!$B:$F,5,0)</f>
        <v>8</v>
      </c>
      <c r="R534" s="36">
        <f t="shared" si="79"/>
        <v>47</v>
      </c>
      <c r="S534" s="44">
        <v>2.5499999999999998</v>
      </c>
      <c r="T534" s="44">
        <f t="shared" si="80"/>
        <v>25528.05</v>
      </c>
      <c r="U534" t="s">
        <v>5393</v>
      </c>
      <c r="V534" t="str">
        <f t="shared" si="81"/>
        <v>NF/64307505_20260312_nf_06.pdf</v>
      </c>
      <c r="W534" s="32" t="str">
        <f t="shared" si="75"/>
        <v>NF - DR. EDUARDO, CERTO OU ERRADO?</v>
      </c>
      <c r="X534" t="s">
        <v>5591</v>
      </c>
    </row>
    <row r="535" spans="1:24" x14ac:dyDescent="0.25">
      <c r="A535" t="str">
        <f>CONCATENATE(D535,"_",TEXT(M535,"ddmmaaaa"),"_",COUNTIF($D$2:D535,D535))</f>
        <v>426016760001-80_12032026_2</v>
      </c>
      <c r="B535" t="str">
        <f>CONCATENATE(Analise!D535,"_",COUNTIF(Analise!$D$2:D535,Analise!D535)-1)</f>
        <v>426016760001-80_1</v>
      </c>
      <c r="C535" s="34">
        <f>COUNTIF('Obras e Acervos'!$C:$C,CONCATENATE(LEFT(D535,12),RIGHT(D535,2)))</f>
        <v>2</v>
      </c>
      <c r="D535" s="35" t="s">
        <v>4769</v>
      </c>
      <c r="E535" t="str">
        <f>VLOOKUP($B535,'Obras e Acervos'!$B:$X,3,0)</f>
        <v>EDITORA CAMOMILA LTDA-EDITORA CAMOMILA</v>
      </c>
      <c r="F535" t="str">
        <f>VLOOKUP($B535,'Obras e Acervos'!$B:$X,7,0)</f>
        <v>0777L23000030LE</v>
      </c>
      <c r="G535" t="str">
        <f>VLOOKUP($B535,'Obras e Acervos'!$B:$X,5,0)</f>
        <v>MINHAS PRIMEIRAS FÁBULAS</v>
      </c>
      <c r="H535">
        <f>VLOOKUP($B535,'Obras e Acervos'!$B:$X,18,0)</f>
        <v>5</v>
      </c>
      <c r="I535">
        <f>VLOOKUP($B535,'Obras e Acervos'!$B:$X,19,0)</f>
        <v>64102</v>
      </c>
      <c r="J535" s="42">
        <f>VLOOKUP($B535,'Obras e Acervos'!$B:$X,20,0)</f>
        <v>16474.214</v>
      </c>
      <c r="K535" s="31">
        <f>VLOOKUP($B535,'Obras e Acervos'!$B:$X,21,0)</f>
        <v>9.8000000000000007</v>
      </c>
      <c r="L535" s="31">
        <f t="shared" si="77"/>
        <v>628199.60000000009</v>
      </c>
      <c r="M535" s="1">
        <v>46093</v>
      </c>
      <c r="N535" s="1">
        <f t="shared" si="76"/>
        <v>46305</v>
      </c>
      <c r="O535">
        <f t="shared" si="78"/>
        <v>213</v>
      </c>
      <c r="P535" s="49">
        <f t="shared" si="74"/>
        <v>7.1</v>
      </c>
      <c r="Q535" s="34">
        <f>VLOOKUP($G535,Agendamento!$B:$F,5,0)</f>
        <v>11</v>
      </c>
      <c r="R535" s="36">
        <f t="shared" si="79"/>
        <v>65</v>
      </c>
      <c r="S535" s="44">
        <v>2.5499999999999998</v>
      </c>
      <c r="T535" s="44">
        <f t="shared" si="80"/>
        <v>35304.75</v>
      </c>
      <c r="U535" t="s">
        <v>5392</v>
      </c>
      <c r="V535" t="str">
        <f t="shared" si="81"/>
        <v>NF/64307505_20260312_nf_07.pdf</v>
      </c>
      <c r="W535" s="32" t="str">
        <f t="shared" si="75"/>
        <v>NF - MINHAS PRIMEIRAS FÁBULAS</v>
      </c>
      <c r="X535" t="s">
        <v>5591</v>
      </c>
    </row>
    <row r="536" spans="1:24" x14ac:dyDescent="0.25">
      <c r="A536" t="str">
        <f>CONCATENATE(D536,"_",TEXT(M536,"ddmmaaaa"),"_",COUNTIF($D$2:D536,D536))</f>
        <v>012974670001-08_12032026_2</v>
      </c>
      <c r="B536" t="str">
        <f>CONCATENATE(Analise!D536,"_",COUNTIF(Analise!$D$2:D536,Analise!D536))</f>
        <v>012974670001-08_2</v>
      </c>
      <c r="C536" s="34">
        <f>COUNTIF('Obras e Acervos'!$C:$C,CONCATENATE(LEFT(D536,12),RIGHT(D536,2)))</f>
        <v>2</v>
      </c>
      <c r="D536" s="35" t="s">
        <v>4818</v>
      </c>
      <c r="E536" t="str">
        <f>VLOOKUP($B536,'Obras e Acervos'!$B:$X,3,0)</f>
        <v>CALIGRAMA EDITORIAL LTDA.-OBÁ EDITORIAL</v>
      </c>
      <c r="F536" t="str">
        <f>VLOOKUP($B536,'Obras e Acervos'!$B:$X,7,0)</f>
        <v>1221L23000020LE</v>
      </c>
      <c r="G536" t="str">
        <f>VLOOKUP($B536,'Obras e Acervos'!$B:$X,5,0)</f>
        <v>CHEIRO DE DOMINGO</v>
      </c>
      <c r="H536">
        <f>VLOOKUP($B536,'Obras e Acervos'!$B:$X,18,0)</f>
        <v>13</v>
      </c>
      <c r="I536">
        <f>VLOOKUP($B536,'Obras e Acervos'!$B:$X,19,0)</f>
        <v>31711</v>
      </c>
      <c r="J536" s="42">
        <f>VLOOKUP($B536,'Obras e Acervos'!$B:$X,20,0)</f>
        <v>2441.7469999999998</v>
      </c>
      <c r="K536" s="31">
        <f>VLOOKUP($B536,'Obras e Acervos'!$B:$X,21,0)</f>
        <v>6.37</v>
      </c>
      <c r="L536" s="31">
        <f t="shared" si="77"/>
        <v>201999.07</v>
      </c>
      <c r="M536" s="1">
        <v>46093</v>
      </c>
      <c r="N536" s="1">
        <f t="shared" si="76"/>
        <v>46305</v>
      </c>
      <c r="O536">
        <f t="shared" si="78"/>
        <v>213</v>
      </c>
      <c r="P536" s="49">
        <f t="shared" si="74"/>
        <v>7.1</v>
      </c>
      <c r="Q536" s="34">
        <f>VLOOKUP($G536,Agendamento!$B:$F,5,0)</f>
        <v>4</v>
      </c>
      <c r="R536" s="36">
        <f t="shared" si="79"/>
        <v>32</v>
      </c>
      <c r="S536" s="44">
        <v>2.5499999999999998</v>
      </c>
      <c r="T536" s="44">
        <f t="shared" si="80"/>
        <v>17380.8</v>
      </c>
      <c r="U536" t="s">
        <v>5388</v>
      </c>
      <c r="V536" t="str">
        <f t="shared" si="81"/>
        <v>NF/64307505_20260312_nf_09.pdf</v>
      </c>
      <c r="W536" s="32" t="str">
        <f t="shared" si="75"/>
        <v>NF - CHEIRO DE DOMINGO</v>
      </c>
      <c r="X536" t="s">
        <v>5591</v>
      </c>
    </row>
    <row r="537" spans="1:24" x14ac:dyDescent="0.25">
      <c r="A537" t="str">
        <f>CONCATENATE(D537,"_",TEXT(M537,"ddmmaaaa"),"_",COUNTIF($D$2:D537,D537))</f>
        <v>435972870001-91_12032026_1</v>
      </c>
      <c r="B537" t="str">
        <f>CONCATENATE(Analise!D537,"_",COUNTIF(Analise!$D$2:D537,Analise!D537))</f>
        <v>435972870001-91_1</v>
      </c>
      <c r="C537" s="34">
        <f>COUNTIF('Obras e Acervos'!$C:$C,CONCATENATE(LEFT(D537,12),RIGHT(D537,2)))</f>
        <v>1</v>
      </c>
      <c r="D537" s="35" t="s">
        <v>4821</v>
      </c>
      <c r="E537" t="str">
        <f>VLOOKUP($B537,'Obras e Acervos'!$B:$X,3,0)</f>
        <v>EDITORA TRIPLICE SABER LTDA-TRIPLICE SABER</v>
      </c>
      <c r="F537" t="str">
        <f>VLOOKUP($B537,'Obras e Acervos'!$B:$X,7,0)</f>
        <v>1170L23000020LE</v>
      </c>
      <c r="G537" t="str">
        <f>VLOOKUP($B537,'Obras e Acervos'!$B:$X,5,0)</f>
        <v>PAPO DE PAPINHO</v>
      </c>
      <c r="H537">
        <f>VLOOKUP($B537,'Obras e Acervos'!$B:$X,18,0)</f>
        <v>13</v>
      </c>
      <c r="I537">
        <f>VLOOKUP($B537,'Obras e Acervos'!$B:$X,19,0)</f>
        <v>29635</v>
      </c>
      <c r="J537" s="42">
        <f>VLOOKUP($B537,'Obras e Acervos'!$B:$X,20,0)</f>
        <v>3111.6749999999997</v>
      </c>
      <c r="K537" s="31">
        <f>VLOOKUP($B537,'Obras e Acervos'!$B:$X,21,0)</f>
        <v>5.93</v>
      </c>
      <c r="L537" s="31">
        <f t="shared" si="77"/>
        <v>175735.55</v>
      </c>
      <c r="M537" s="1">
        <v>46093</v>
      </c>
      <c r="N537" s="1">
        <f t="shared" si="76"/>
        <v>46305</v>
      </c>
      <c r="O537">
        <f t="shared" si="78"/>
        <v>213</v>
      </c>
      <c r="P537" s="49">
        <f t="shared" si="74"/>
        <v>7.1</v>
      </c>
      <c r="Q537" s="34">
        <f>VLOOKUP($G537,Agendamento!$B:$F,5,0)</f>
        <v>4</v>
      </c>
      <c r="R537" s="36">
        <f t="shared" si="79"/>
        <v>30</v>
      </c>
      <c r="S537" s="44">
        <v>2.5499999999999998</v>
      </c>
      <c r="T537" s="44">
        <f t="shared" si="80"/>
        <v>16294.499999999998</v>
      </c>
      <c r="U537" t="s">
        <v>5394</v>
      </c>
      <c r="V537" t="str">
        <f t="shared" si="81"/>
        <v>NF/64307505_20260312_nf_10.pdf</v>
      </c>
      <c r="W537" s="32" t="str">
        <f t="shared" si="75"/>
        <v>NF - PAPO DE PAPINHO</v>
      </c>
      <c r="X537" t="s">
        <v>5591</v>
      </c>
    </row>
    <row r="538" spans="1:24" x14ac:dyDescent="0.25">
      <c r="A538" t="str">
        <f>CONCATENATE(D538,"_",TEXT(M538,"ddmmaaaa"),"_",COUNTIF($D$2:D538,D538))</f>
        <v>438855640001-61_12032026_2</v>
      </c>
      <c r="B538" t="str">
        <f>CONCATENATE(Analise!D538,"_",COUNTIF(Analise!$D$2:D538,Analise!D538))</f>
        <v>438855640001-61_2</v>
      </c>
      <c r="C538" s="34">
        <f>COUNTIF('Obras e Acervos'!$C:$C,CONCATENATE(LEFT(D538,12),RIGHT(D538,2)))</f>
        <v>2</v>
      </c>
      <c r="D538" s="35" t="s">
        <v>4535</v>
      </c>
      <c r="E538" t="str">
        <f>VLOOKUP($B538,'Obras e Acervos'!$B:$X,3,0)</f>
        <v>EDITORA SPARK LTDA-SPARK</v>
      </c>
      <c r="F538" t="str">
        <f>VLOOKUP($B538,'Obras e Acervos'!$B:$X,7,0)</f>
        <v>1054L23000020LE</v>
      </c>
      <c r="G538" t="str">
        <f>VLOOKUP($B538,'Obras e Acervos'!$B:$X,5,0)</f>
        <v>MARIA PINGO D'ÁGUA</v>
      </c>
      <c r="H538">
        <f>VLOOKUP($B538,'Obras e Acervos'!$B:$X,18,0)</f>
        <v>11</v>
      </c>
      <c r="I538">
        <f>VLOOKUP($B538,'Obras e Acervos'!$B:$X,19,0)</f>
        <v>33301</v>
      </c>
      <c r="J538" s="42">
        <f>VLOOKUP($B538,'Obras e Acervos'!$B:$X,20,0)</f>
        <v>4329.13</v>
      </c>
      <c r="K538" s="31">
        <f>VLOOKUP($B538,'Obras e Acervos'!$B:$X,21,0)</f>
        <v>6.83</v>
      </c>
      <c r="L538" s="31">
        <f t="shared" si="77"/>
        <v>227445.83000000002</v>
      </c>
      <c r="M538" s="1">
        <v>46093</v>
      </c>
      <c r="N538" s="1">
        <f t="shared" si="76"/>
        <v>46305</v>
      </c>
      <c r="O538">
        <f t="shared" si="78"/>
        <v>213</v>
      </c>
      <c r="P538" s="49">
        <f t="shared" si="74"/>
        <v>7.1</v>
      </c>
      <c r="Q538" s="34">
        <f>VLOOKUP($G538,Agendamento!$B:$F,5,0)</f>
        <v>5</v>
      </c>
      <c r="R538" s="36">
        <f t="shared" si="79"/>
        <v>34</v>
      </c>
      <c r="S538" s="44">
        <v>2.5499999999999998</v>
      </c>
      <c r="T538" s="44">
        <f t="shared" si="80"/>
        <v>18467.099999999999</v>
      </c>
      <c r="U538" t="s">
        <v>5389</v>
      </c>
      <c r="V538" t="str">
        <f t="shared" si="81"/>
        <v>NF/64307505_20260312_nf_11.pdf</v>
      </c>
      <c r="W538" s="32" t="str">
        <f t="shared" si="75"/>
        <v>NF - MARIA PINGO D'ÁGUA</v>
      </c>
      <c r="X538" t="s">
        <v>5591</v>
      </c>
    </row>
    <row r="539" spans="1:24" x14ac:dyDescent="0.25">
      <c r="A539" t="str">
        <f>CONCATENATE(D539,"_",TEXT(M539,"ddmmaaaa"),"_",COUNTIF($D$2:D539,D539))</f>
        <v>076083200001-78_26022026_1</v>
      </c>
      <c r="B539" t="str">
        <f>CONCATENATE(Analise!D539,"_",COUNTIF(Analise!$D$2:D539,Analise!D539)+1)</f>
        <v>076083200001-78_2</v>
      </c>
      <c r="C539" s="34">
        <f>COUNTIF('Obras e Acervos'!$C:$C,CONCATENATE(LEFT(D539,12),RIGHT(D539,2)))</f>
        <v>2</v>
      </c>
      <c r="D539" s="35" t="s">
        <v>4823</v>
      </c>
      <c r="E539" t="str">
        <f>VLOOKUP($B539,'Obras e Acervos'!$B:$X,3,0)</f>
        <v>BASE EDITORIAL-EDITORA BASE</v>
      </c>
      <c r="F539" t="str">
        <f>VLOOKUP($B539,'Obras e Acervos'!$B:$X,7,0)</f>
        <v>0812L23000020LE</v>
      </c>
      <c r="G539" t="str">
        <f>VLOOKUP($B539,'Obras e Acervos'!$B:$X,5,0)</f>
        <v>A HISTÓRIA DE GUILDA FORMICA</v>
      </c>
      <c r="H539">
        <f>VLOOKUP($B539,'Obras e Acervos'!$B:$X,18,0)</f>
        <v>14</v>
      </c>
      <c r="I539">
        <f>VLOOKUP($B539,'Obras e Acervos'!$B:$X,19,0)</f>
        <v>24092</v>
      </c>
      <c r="J539" s="42">
        <f>VLOOKUP($B539,'Obras e Acervos'!$B:$X,20,0)</f>
        <v>2674.212</v>
      </c>
      <c r="K539" s="31">
        <f>VLOOKUP($B539,'Obras e Acervos'!$B:$X,21,0)</f>
        <v>7.51</v>
      </c>
      <c r="L539" s="31">
        <f t="shared" si="77"/>
        <v>180930.91999999998</v>
      </c>
      <c r="M539" s="1">
        <v>46079</v>
      </c>
      <c r="N539" s="1">
        <f t="shared" si="76"/>
        <v>46305</v>
      </c>
      <c r="O539">
        <f t="shared" si="78"/>
        <v>227</v>
      </c>
      <c r="P539" s="49">
        <f t="shared" si="74"/>
        <v>7.5666666666666664</v>
      </c>
      <c r="Q539" s="34">
        <f>VLOOKUP($G539,Agendamento!$B:$F,5,0)</f>
        <v>4</v>
      </c>
      <c r="R539" s="36">
        <f t="shared" si="79"/>
        <v>25</v>
      </c>
      <c r="S539" s="44">
        <v>2.5499999999999998</v>
      </c>
      <c r="T539" s="44">
        <f t="shared" si="80"/>
        <v>14471.249999999998</v>
      </c>
      <c r="U539" t="s">
        <v>5397</v>
      </c>
      <c r="V539" t="str">
        <f t="shared" si="81"/>
        <v>NF/64307629_20260226_nf_01.pdf</v>
      </c>
      <c r="W539" s="32" t="str">
        <f t="shared" si="75"/>
        <v>NF - A HISTÓRIA DE GUILDA FORMICA</v>
      </c>
      <c r="X539" t="s">
        <v>5591</v>
      </c>
    </row>
    <row r="540" spans="1:24" x14ac:dyDescent="0.25">
      <c r="A540" t="str">
        <f>CONCATENATE(D540,"_",TEXT(M540,"ddmmaaaa"),"_",COUNTIF($D$2:D540,D540))</f>
        <v>442999360001-30_26022026_2</v>
      </c>
      <c r="B540" t="str">
        <f>CONCATENATE(Analise!D540,"_",COUNTIF(Analise!$D$2:D540,Analise!D540))</f>
        <v>442999360001-30_2</v>
      </c>
      <c r="C540" s="34">
        <f>COUNTIF('Obras e Acervos'!$C:$C,CONCATENATE(LEFT(D540,12),RIGHT(D540,2)))</f>
        <v>2</v>
      </c>
      <c r="D540" s="35" t="s">
        <v>4555</v>
      </c>
      <c r="E540" t="str">
        <f>VLOOKUP($B540,'Obras e Acervos'!$B:$X,3,0)</f>
        <v>PAPERO EDITORA -PAPERO EDITORA</v>
      </c>
      <c r="F540" t="str">
        <f>VLOOKUP($B540,'Obras e Acervos'!$B:$X,7,0)</f>
        <v>0874L23000020LE</v>
      </c>
      <c r="G540" t="str">
        <f>VLOOKUP($B540,'Obras e Acervos'!$B:$X,5,0)</f>
        <v>RETRATOS</v>
      </c>
      <c r="H540">
        <f>VLOOKUP($B540,'Obras e Acervos'!$B:$X,18,0)</f>
        <v>22</v>
      </c>
      <c r="I540">
        <f>VLOOKUP($B540,'Obras e Acervos'!$B:$X,19,0)</f>
        <v>23964</v>
      </c>
      <c r="J540" s="42">
        <f>VLOOKUP($B540,'Obras e Acervos'!$B:$X,20,0)</f>
        <v>2444.328</v>
      </c>
      <c r="K540" s="31">
        <f>VLOOKUP($B540,'Obras e Acervos'!$B:$X,21,0)</f>
        <v>7.04</v>
      </c>
      <c r="L540" s="31">
        <f t="shared" si="77"/>
        <v>168706.56</v>
      </c>
      <c r="M540" s="1">
        <v>46079</v>
      </c>
      <c r="N540" s="1">
        <f t="shared" si="76"/>
        <v>46305</v>
      </c>
      <c r="O540">
        <f t="shared" si="78"/>
        <v>227</v>
      </c>
      <c r="P540" s="49">
        <f t="shared" si="74"/>
        <v>7.5666666666666664</v>
      </c>
      <c r="Q540" s="34">
        <f>VLOOKUP($G540,Agendamento!$B:$F,5,0)</f>
        <v>4</v>
      </c>
      <c r="R540" s="36">
        <f t="shared" si="79"/>
        <v>24</v>
      </c>
      <c r="S540" s="44">
        <v>2.5499999999999998</v>
      </c>
      <c r="T540" s="44">
        <f t="shared" si="80"/>
        <v>13892.4</v>
      </c>
      <c r="U540" t="s">
        <v>5398</v>
      </c>
      <c r="V540" t="str">
        <f t="shared" si="81"/>
        <v>NF/64307629_20260226_nf_02.pdf</v>
      </c>
      <c r="W540" s="32" t="str">
        <f t="shared" si="75"/>
        <v>NF - RETRATOS</v>
      </c>
      <c r="X540" t="s">
        <v>5591</v>
      </c>
    </row>
    <row r="541" spans="1:24" x14ac:dyDescent="0.25">
      <c r="A541" t="str">
        <f>CONCATENATE(D541,"_",TEXT(M541,"ddmmaaaa"),"_",COUNTIF($D$2:D541,D541))</f>
        <v>076083200001-78_26022026_2</v>
      </c>
      <c r="B541" t="str">
        <f>CONCATENATE(Analise!D541,"_",COUNTIF(Analise!$D$2:D541,Analise!D541)-1)</f>
        <v>076083200001-78_1</v>
      </c>
      <c r="C541" s="34">
        <f>COUNTIF('Obras e Acervos'!$C:$C,CONCATENATE(LEFT(D541,12),RIGHT(D541,2)))</f>
        <v>2</v>
      </c>
      <c r="D541" s="35" t="s">
        <v>4823</v>
      </c>
      <c r="E541" t="str">
        <f>VLOOKUP($B541,'Obras e Acervos'!$B:$X,3,0)</f>
        <v>BASE EDITORIAL-EDITORA BASE</v>
      </c>
      <c r="F541" t="str">
        <f>VLOOKUP($B541,'Obras e Acervos'!$B:$X,7,0)</f>
        <v>0811L23000030LE</v>
      </c>
      <c r="G541" t="str">
        <f>VLOOKUP($B541,'Obras e Acervos'!$B:$X,5,0)</f>
        <v>AS GAVETAS DA AVÓ DE CLARA</v>
      </c>
      <c r="H541">
        <f>VLOOKUP($B541,'Obras e Acervos'!$B:$X,18,0)</f>
        <v>8</v>
      </c>
      <c r="I541">
        <f>VLOOKUP($B541,'Obras e Acervos'!$B:$X,19,0)</f>
        <v>33286</v>
      </c>
      <c r="J541" s="42">
        <f>VLOOKUP($B541,'Obras e Acervos'!$B:$X,20,0)</f>
        <v>2496.4499999999998</v>
      </c>
      <c r="K541" s="31">
        <f>VLOOKUP($B541,'Obras e Acervos'!$B:$X,21,0)</f>
        <v>5.05</v>
      </c>
      <c r="L541" s="31">
        <f t="shared" si="77"/>
        <v>168094.3</v>
      </c>
      <c r="M541" s="1">
        <v>46079</v>
      </c>
      <c r="N541" s="1">
        <f t="shared" si="76"/>
        <v>46305</v>
      </c>
      <c r="O541">
        <f t="shared" si="78"/>
        <v>227</v>
      </c>
      <c r="P541" s="49">
        <f t="shared" si="74"/>
        <v>7.5666666666666664</v>
      </c>
      <c r="Q541" s="34">
        <f>VLOOKUP($G541,Agendamento!$B:$F,5,0)</f>
        <v>4</v>
      </c>
      <c r="R541" s="36">
        <f t="shared" si="79"/>
        <v>34</v>
      </c>
      <c r="S541" s="44">
        <v>2.5499999999999998</v>
      </c>
      <c r="T541" s="44">
        <f t="shared" si="80"/>
        <v>19680.899999999998</v>
      </c>
      <c r="U541" t="s">
        <v>5396</v>
      </c>
      <c r="V541" t="str">
        <f t="shared" si="81"/>
        <v>NF/64307629_20260226_nf_03.pdf</v>
      </c>
      <c r="W541" s="32" t="str">
        <f t="shared" si="75"/>
        <v>NF - AS GAVETAS DA AVÓ DE CLARA</v>
      </c>
      <c r="X541" t="s">
        <v>5591</v>
      </c>
    </row>
    <row r="542" spans="1:24" x14ac:dyDescent="0.25">
      <c r="A542" t="str">
        <f>CONCATENATE(D542,"_",TEXT(M542,"ddmmaaaa"),"_",COUNTIF($D$2:D542,D542))</f>
        <v>249285210001-71_26022026_1</v>
      </c>
      <c r="B542" t="str">
        <f>CONCATENATE(Analise!D542,"_",COUNTIF(Analise!$D$2:D542,Analise!D542))</f>
        <v>249285210001-71_1</v>
      </c>
      <c r="C542" s="34">
        <f>COUNTIF('Obras e Acervos'!$C:$C,CONCATENATE(LEFT(D542,12),RIGHT(D542,2)))</f>
        <v>2</v>
      </c>
      <c r="D542" s="35" t="s">
        <v>4826</v>
      </c>
      <c r="E542" t="str">
        <f>VLOOKUP($B542,'Obras e Acervos'!$B:$X,3,0)</f>
        <v>JAQUELINE JANINE DE SOUSA DE ALMEIDA 08259235650-ESPAÇO GRÁFICO</v>
      </c>
      <c r="F542" t="str">
        <f>VLOOKUP($B542,'Obras e Acervos'!$B:$X,7,0)</f>
        <v>0421L23000030LE</v>
      </c>
      <c r="G542" t="str">
        <f>VLOOKUP($B542,'Obras e Acervos'!$B:$X,5,0)</f>
        <v>TODOS OS BICHOS DO MUNDO</v>
      </c>
      <c r="H542">
        <f>VLOOKUP($B542,'Obras e Acervos'!$B:$X,18,0)</f>
        <v>4</v>
      </c>
      <c r="I542">
        <f>VLOOKUP($B542,'Obras e Acervos'!$B:$X,19,0)</f>
        <v>42762</v>
      </c>
      <c r="J542" s="42">
        <f>VLOOKUP($B542,'Obras e Acervos'!$B:$X,20,0)</f>
        <v>5302.4880000000003</v>
      </c>
      <c r="K542" s="31">
        <f>VLOOKUP($B542,'Obras e Acervos'!$B:$X,21,0)</f>
        <v>5.89</v>
      </c>
      <c r="L542" s="31">
        <f t="shared" si="77"/>
        <v>251868.18</v>
      </c>
      <c r="M542" s="1">
        <v>46079</v>
      </c>
      <c r="N542" s="1">
        <f t="shared" si="76"/>
        <v>46305</v>
      </c>
      <c r="O542">
        <f t="shared" si="78"/>
        <v>227</v>
      </c>
      <c r="P542" s="49">
        <f t="shared" si="74"/>
        <v>7.5666666666666664</v>
      </c>
      <c r="Q542" s="34">
        <f>VLOOKUP($G542,Agendamento!$B:$F,5,0)</f>
        <v>9</v>
      </c>
      <c r="R542" s="36">
        <f t="shared" si="79"/>
        <v>43</v>
      </c>
      <c r="S542" s="44">
        <v>2.5499999999999998</v>
      </c>
      <c r="T542" s="44">
        <f t="shared" si="80"/>
        <v>24890.55</v>
      </c>
      <c r="U542" t="s">
        <v>5403</v>
      </c>
      <c r="V542" t="str">
        <f t="shared" si="81"/>
        <v>NF/64307629_20260226_nf_04.pdf</v>
      </c>
      <c r="W542" s="32" t="str">
        <f t="shared" si="75"/>
        <v>NF - TODOS OS BICHOS DO MUNDO</v>
      </c>
      <c r="X542" t="s">
        <v>5591</v>
      </c>
    </row>
    <row r="543" spans="1:24" x14ac:dyDescent="0.25">
      <c r="A543" t="str">
        <f>CONCATENATE(D543,"_",TEXT(M543,"ddmmaaaa"),"_",COUNTIF($D$2:D543,D543))</f>
        <v>249285210001-71_26022026_2</v>
      </c>
      <c r="B543" t="str">
        <f>CONCATENATE(Analise!D543,"_",COUNTIF(Analise!$D$2:D543,Analise!D543))</f>
        <v>249285210001-71_2</v>
      </c>
      <c r="C543" s="34">
        <f>COUNTIF('Obras e Acervos'!$C:$C,CONCATENATE(LEFT(D543,12),RIGHT(D543,2)))</f>
        <v>2</v>
      </c>
      <c r="D543" s="35" t="s">
        <v>4826</v>
      </c>
      <c r="E543" t="str">
        <f>VLOOKUP($B543,'Obras e Acervos'!$B:$X,3,0)</f>
        <v>JAQUELINE JANINE DE SOUSA DE ALMEIDA 08259235650-ESPAÇO GRÁFICO</v>
      </c>
      <c r="F543" t="str">
        <f>VLOOKUP($B543,'Obras e Acervos'!$B:$X,7,0)</f>
        <v>0657L23000020LE</v>
      </c>
      <c r="G543" t="str">
        <f>VLOOKUP($B543,'Obras e Acervos'!$B:$X,5,0)</f>
        <v>CORAÇÃO DE PASSARINHO</v>
      </c>
      <c r="H543">
        <f>VLOOKUP($B543,'Obras e Acervos'!$B:$X,18,0)</f>
        <v>17</v>
      </c>
      <c r="I543">
        <f>VLOOKUP($B543,'Obras e Acervos'!$B:$X,19,0)</f>
        <v>28232</v>
      </c>
      <c r="J543" s="42">
        <f>VLOOKUP($B543,'Obras e Acervos'!$B:$X,20,0)</f>
        <v>3500.768</v>
      </c>
      <c r="K543" s="31">
        <f>VLOOKUP($B543,'Obras e Acervos'!$B:$X,21,0)</f>
        <v>6.84</v>
      </c>
      <c r="L543" s="31">
        <f t="shared" si="77"/>
        <v>193106.88</v>
      </c>
      <c r="M543" s="1">
        <v>46079</v>
      </c>
      <c r="N543" s="1">
        <f t="shared" si="76"/>
        <v>46305</v>
      </c>
      <c r="O543">
        <f t="shared" si="78"/>
        <v>227</v>
      </c>
      <c r="P543" s="49">
        <f t="shared" si="74"/>
        <v>7.5666666666666664</v>
      </c>
      <c r="Q543" s="34">
        <f>VLOOKUP($G543,Agendamento!$B:$F,5,0)</f>
        <v>6</v>
      </c>
      <c r="R543" s="36">
        <f t="shared" si="79"/>
        <v>29</v>
      </c>
      <c r="S543" s="44">
        <v>2.5499999999999998</v>
      </c>
      <c r="T543" s="44">
        <f t="shared" si="80"/>
        <v>16786.649999999998</v>
      </c>
      <c r="U543" t="s">
        <v>5403</v>
      </c>
      <c r="V543" t="str">
        <f t="shared" si="81"/>
        <v>NF/64307629_20260226_nf_04.pdf</v>
      </c>
      <c r="W543" s="32" t="str">
        <f t="shared" si="75"/>
        <v>NF - CORAÇÃO DE PASSARINHO</v>
      </c>
      <c r="X543" t="s">
        <v>5591</v>
      </c>
    </row>
    <row r="544" spans="1:24" x14ac:dyDescent="0.25">
      <c r="A544" t="str">
        <f>CONCATENATE(D544,"_",TEXT(M544,"ddmmaaaa"),"_",COUNTIF($D$2:D544,D544))</f>
        <v>210444580001-12_26022026_1</v>
      </c>
      <c r="B544" t="str">
        <f>CONCATENATE(Analise!D544,"_",COUNTIF(Analise!$D$2:D544,Analise!D544))</f>
        <v>210444580001-12_1</v>
      </c>
      <c r="C544" s="34">
        <f>COUNTIF('Obras e Acervos'!$C:$C,CONCATENATE(LEFT(D544,12),RIGHT(D544,2)))</f>
        <v>1</v>
      </c>
      <c r="D544" s="35" t="s">
        <v>4822</v>
      </c>
      <c r="E544" t="str">
        <f>VLOOKUP($B544,'Obras e Acervos'!$B:$X,3,0)</f>
        <v>EDITORA DIMENSÃO LTDA-DIMENSÃO</v>
      </c>
      <c r="F544" t="str">
        <f>VLOOKUP($B544,'Obras e Acervos'!$B:$X,7,0)</f>
        <v>0454L23000020LE</v>
      </c>
      <c r="G544" t="str">
        <f>VLOOKUP($B544,'Obras e Acervos'!$B:$X,5,0)</f>
        <v>A LÂMPADA MÁGICA</v>
      </c>
      <c r="H544">
        <f>VLOOKUP($B544,'Obras e Acervos'!$B:$X,18,0)</f>
        <v>22</v>
      </c>
      <c r="I544">
        <f>VLOOKUP($B544,'Obras e Acervos'!$B:$X,19,0)</f>
        <v>24722</v>
      </c>
      <c r="J544" s="42">
        <f>VLOOKUP($B544,'Obras e Acervos'!$B:$X,20,0)</f>
        <v>3065.5279999999998</v>
      </c>
      <c r="K544" s="31">
        <f>VLOOKUP($B544,'Obras e Acervos'!$B:$X,21,0)</f>
        <v>7.46</v>
      </c>
      <c r="L544" s="31">
        <f t="shared" si="77"/>
        <v>184426.12</v>
      </c>
      <c r="M544" s="1">
        <v>46079</v>
      </c>
      <c r="N544" s="1">
        <f t="shared" si="76"/>
        <v>46305</v>
      </c>
      <c r="O544">
        <f t="shared" si="78"/>
        <v>227</v>
      </c>
      <c r="P544" s="49">
        <f t="shared" si="74"/>
        <v>7.5666666666666664</v>
      </c>
      <c r="Q544" s="34">
        <f>VLOOKUP($G544,Agendamento!$B:$F,5,0)</f>
        <v>5</v>
      </c>
      <c r="R544" s="36">
        <f t="shared" si="79"/>
        <v>25</v>
      </c>
      <c r="S544" s="44">
        <v>2.5499999999999998</v>
      </c>
      <c r="T544" s="44">
        <f t="shared" si="80"/>
        <v>14471.249999999998</v>
      </c>
      <c r="U544" t="s">
        <v>5395</v>
      </c>
      <c r="V544" t="str">
        <f t="shared" si="81"/>
        <v>NF/64307629_20260226_nf_05.pdf</v>
      </c>
      <c r="W544" s="32" t="str">
        <f t="shared" si="75"/>
        <v>NF - A LÂMPADA MÁGICA</v>
      </c>
      <c r="X544" t="s">
        <v>5591</v>
      </c>
    </row>
    <row r="545" spans="1:24" x14ac:dyDescent="0.25">
      <c r="A545" t="str">
        <f>CONCATENATE(D545,"_",TEXT(M545,"ddmmaaaa"),"_",COUNTIF($D$2:D545,D545))</f>
        <v>059718970001-14_26022026_1</v>
      </c>
      <c r="B545" t="str">
        <f>CONCATENATE(Analise!D545,"_",COUNTIF(Analise!$D$2:D545,Analise!D545))</f>
        <v>059718970001-14_1</v>
      </c>
      <c r="C545" s="34">
        <f>COUNTIF('Obras e Acervos'!$C:$C,CONCATENATE(LEFT(D545,12),RIGHT(D545,2)))</f>
        <v>1</v>
      </c>
      <c r="D545" s="35" t="s">
        <v>4827</v>
      </c>
      <c r="E545" t="str">
        <f>VLOOKUP($B545,'Obras e Acervos'!$B:$X,3,0)</f>
        <v>DISTRIBUIDORA PALMARES - LTDA-EDITORA PALMARES</v>
      </c>
      <c r="F545" t="str">
        <f>VLOOKUP($B545,'Obras e Acervos'!$B:$X,7,0)</f>
        <v>0490L23000030LE</v>
      </c>
      <c r="G545" t="str">
        <f>VLOOKUP($B545,'Obras e Acervos'!$B:$X,5,0)</f>
        <v>O REI TRISTÊS E A ORQUESTRA MONSTRÊS</v>
      </c>
      <c r="H545">
        <f>VLOOKUP($B545,'Obras e Acervos'!$B:$X,18,0)</f>
        <v>5</v>
      </c>
      <c r="I545">
        <f>VLOOKUP($B545,'Obras e Acervos'!$B:$X,19,0)</f>
        <v>37256</v>
      </c>
      <c r="J545" s="42">
        <f>VLOOKUP($B545,'Obras e Acervos'!$B:$X,20,0)</f>
        <v>4098.16</v>
      </c>
      <c r="K545" s="31">
        <f>VLOOKUP($B545,'Obras e Acervos'!$B:$X,21,0)</f>
        <v>5.84</v>
      </c>
      <c r="L545" s="31">
        <f t="shared" si="77"/>
        <v>217575.04000000001</v>
      </c>
      <c r="M545" s="1">
        <v>46079</v>
      </c>
      <c r="N545" s="1">
        <f t="shared" si="76"/>
        <v>46305</v>
      </c>
      <c r="O545">
        <f t="shared" si="78"/>
        <v>227</v>
      </c>
      <c r="P545" s="49">
        <f t="shared" si="74"/>
        <v>7.5666666666666664</v>
      </c>
      <c r="Q545" s="34">
        <f>VLOOKUP($G545,Agendamento!$B:$F,5,0)</f>
        <v>7</v>
      </c>
      <c r="R545" s="36">
        <f t="shared" si="79"/>
        <v>38</v>
      </c>
      <c r="S545" s="44">
        <v>2.5499999999999998</v>
      </c>
      <c r="T545" s="44">
        <f t="shared" si="80"/>
        <v>21996.3</v>
      </c>
      <c r="U545" t="s">
        <v>5405</v>
      </c>
      <c r="V545" t="str">
        <f t="shared" si="81"/>
        <v>NF/64307629_20260226_nf_06.pdf</v>
      </c>
      <c r="W545" s="32" t="str">
        <f t="shared" si="75"/>
        <v>NF - O REI TRISTÊS E A ORQUESTRA MONSTRÊS</v>
      </c>
      <c r="X545" t="s">
        <v>5591</v>
      </c>
    </row>
    <row r="546" spans="1:24" x14ac:dyDescent="0.25">
      <c r="A546" t="str">
        <f>CONCATENATE(D546,"_",TEXT(M546,"ddmmaaaa"),"_",COUNTIF($D$2:D546,D546))</f>
        <v>141743050001-24_26022026_1</v>
      </c>
      <c r="B546" t="str">
        <f>CONCATENATE(Analise!D546,"_",COUNTIF(Analise!$D$2:D546,Analise!D546))</f>
        <v>141743050001-24_1</v>
      </c>
      <c r="C546" s="34">
        <f>COUNTIF('Obras e Acervos'!$C:$C,CONCATENATE(LEFT(D546,12),RIGHT(D546,2)))</f>
        <v>2</v>
      </c>
      <c r="D546" s="35" t="s">
        <v>4824</v>
      </c>
      <c r="E546" t="str">
        <f>VLOOKUP($B546,'Obras e Acervos'!$B:$X,3,0)</f>
        <v>EDIÇÕES MMM EDITORA E LIVRARIA LTDA-EDIÇÕES MMM</v>
      </c>
      <c r="F546" t="str">
        <f>VLOOKUP($B546,'Obras e Acervos'!$B:$X,7,0)</f>
        <v>0486L23000030LE</v>
      </c>
      <c r="G546" t="str">
        <f>VLOOKUP($B546,'Obras e Acervos'!$B:$X,5,0)</f>
        <v>VIVA EU, VIVA TU, VIVA O RABO DO TATU!</v>
      </c>
      <c r="H546">
        <f>VLOOKUP($B546,'Obras e Acervos'!$B:$X,18,0)</f>
        <v>7</v>
      </c>
      <c r="I546">
        <f>VLOOKUP($B546,'Obras e Acervos'!$B:$X,19,0)</f>
        <v>33343</v>
      </c>
      <c r="J546" s="42">
        <f>VLOOKUP($B546,'Obras e Acervos'!$B:$X,20,0)</f>
        <v>4001.16</v>
      </c>
      <c r="K546" s="31">
        <f>VLOOKUP($B546,'Obras e Acervos'!$B:$X,21,0)</f>
        <v>6.83</v>
      </c>
      <c r="L546" s="31">
        <f t="shared" si="77"/>
        <v>227732.69</v>
      </c>
      <c r="M546" s="1">
        <v>46079</v>
      </c>
      <c r="N546" s="1">
        <f t="shared" si="76"/>
        <v>46305</v>
      </c>
      <c r="O546">
        <f t="shared" si="78"/>
        <v>227</v>
      </c>
      <c r="P546" s="49">
        <f t="shared" si="74"/>
        <v>7.5666666666666664</v>
      </c>
      <c r="Q546" s="34">
        <f>VLOOKUP($G546,Agendamento!$B:$F,5,0)</f>
        <v>4</v>
      </c>
      <c r="R546" s="36">
        <f t="shared" si="79"/>
        <v>34</v>
      </c>
      <c r="S546" s="44">
        <v>2.5499999999999998</v>
      </c>
      <c r="T546" s="44">
        <f t="shared" si="80"/>
        <v>19680.899999999998</v>
      </c>
      <c r="U546" t="s">
        <v>5399</v>
      </c>
      <c r="V546" t="str">
        <f t="shared" si="81"/>
        <v>NF/64307629_20260226_nf_07.pdf</v>
      </c>
      <c r="W546" s="32" t="str">
        <f t="shared" si="75"/>
        <v>NF - VIVA EU, VIVA TU, VIVA O RABO DO TATU!</v>
      </c>
      <c r="X546" t="s">
        <v>5591</v>
      </c>
    </row>
    <row r="547" spans="1:24" x14ac:dyDescent="0.25">
      <c r="A547" t="str">
        <f>CONCATENATE(D547,"_",TEXT(M547,"ddmmaaaa"),"_",COUNTIF($D$2:D547,D547))</f>
        <v>141743050001-24_26022026_2</v>
      </c>
      <c r="B547" t="str">
        <f>CONCATENATE(Analise!D547,"_",COUNTIF(Analise!$D$2:D547,Analise!D547))</f>
        <v>141743050001-24_2</v>
      </c>
      <c r="C547" s="34">
        <f>COUNTIF('Obras e Acervos'!$C:$C,CONCATENATE(LEFT(D547,12),RIGHT(D547,2)))</f>
        <v>2</v>
      </c>
      <c r="D547" s="35" t="s">
        <v>4824</v>
      </c>
      <c r="E547" t="str">
        <f>VLOOKUP($B547,'Obras e Acervos'!$B:$X,3,0)</f>
        <v>EDIÇÕES MMM EDITORA E LIVRARIA LTDA-EDIÇÕES MMM</v>
      </c>
      <c r="F547" t="str">
        <f>VLOOKUP($B547,'Obras e Acervos'!$B:$X,7,0)</f>
        <v>0487L23000020LE</v>
      </c>
      <c r="G547" t="str">
        <f>VLOOKUP($B547,'Obras e Acervos'!$B:$X,5,0)</f>
        <v>HISTÓRIAS QUE A MENINA-SERPENTE CONTOU</v>
      </c>
      <c r="H547">
        <f>VLOOKUP($B547,'Obras e Acervos'!$B:$X,18,0)</f>
        <v>13</v>
      </c>
      <c r="I547">
        <f>VLOOKUP($B547,'Obras e Acervos'!$B:$X,19,0)</f>
        <v>30878</v>
      </c>
      <c r="J547" s="42">
        <f>VLOOKUP($B547,'Obras e Acervos'!$B:$X,20,0)</f>
        <v>3396.58</v>
      </c>
      <c r="K547" s="31">
        <f>VLOOKUP($B547,'Obras e Acervos'!$B:$X,21,0)</f>
        <v>6.87</v>
      </c>
      <c r="L547" s="31">
        <f t="shared" si="77"/>
        <v>212131.86000000002</v>
      </c>
      <c r="M547" s="1">
        <v>46079</v>
      </c>
      <c r="N547" s="1">
        <f t="shared" si="76"/>
        <v>46305</v>
      </c>
      <c r="O547">
        <f t="shared" si="78"/>
        <v>227</v>
      </c>
      <c r="P547" s="49">
        <f t="shared" si="74"/>
        <v>7.5666666666666664</v>
      </c>
      <c r="Q547" s="34">
        <f>VLOOKUP($G547,Agendamento!$B:$F,5,0)</f>
        <v>3</v>
      </c>
      <c r="R547" s="36">
        <f t="shared" si="79"/>
        <v>31</v>
      </c>
      <c r="S547" s="44">
        <v>2.5499999999999998</v>
      </c>
      <c r="T547" s="44">
        <f t="shared" si="80"/>
        <v>17944.349999999999</v>
      </c>
      <c r="U547" t="s">
        <v>5399</v>
      </c>
      <c r="V547" t="str">
        <f t="shared" si="81"/>
        <v>NF/64307629_20260226_nf_07.pdf</v>
      </c>
      <c r="W547" s="32" t="str">
        <f t="shared" si="75"/>
        <v>NF - HISTÓRIAS QUE A MENINA-SERPENTE CONTOU</v>
      </c>
      <c r="X547" t="s">
        <v>5591</v>
      </c>
    </row>
    <row r="548" spans="1:24" x14ac:dyDescent="0.25">
      <c r="A548" t="str">
        <f>CONCATENATE(D548,"_",TEXT(M548,"ddmmaaaa"),"_",COUNTIF($D$2:D548,D548))</f>
        <v>442989380001-05_26022026_1</v>
      </c>
      <c r="B548" t="str">
        <f>CONCATENATE(Analise!D548,"_",COUNTIF(Analise!$D$2:D548,Analise!D548))</f>
        <v>442989380001-05_1</v>
      </c>
      <c r="C548" s="34">
        <f>COUNTIF('Obras e Acervos'!$C:$C,CONCATENATE(LEFT(D548,12),RIGHT(D548,2)))</f>
        <v>1</v>
      </c>
      <c r="D548" s="35" t="s">
        <v>4825</v>
      </c>
      <c r="E548" t="str">
        <f>VLOOKUP($B548,'Obras e Acervos'!$B:$X,3,0)</f>
        <v>LETTURA EDITORA-LETTURA EDITORA</v>
      </c>
      <c r="F548" t="str">
        <f>VLOOKUP($B548,'Obras e Acervos'!$B:$X,7,0)</f>
        <v>0910L23000030LE</v>
      </c>
      <c r="G548" t="str">
        <f>VLOOKUP($B548,'Obras e Acervos'!$B:$X,5,0)</f>
        <v>A FORMIGUINHA MEDROSA</v>
      </c>
      <c r="H548">
        <f>VLOOKUP($B548,'Obras e Acervos'!$B:$X,18,0)</f>
        <v>9</v>
      </c>
      <c r="I548">
        <f>VLOOKUP($B548,'Obras e Acervos'!$B:$X,19,0)</f>
        <v>44778</v>
      </c>
      <c r="J548" s="42">
        <f>VLOOKUP($B548,'Obras e Acervos'!$B:$X,20,0)</f>
        <v>4164.3540000000003</v>
      </c>
      <c r="K548" s="31">
        <f>VLOOKUP($B548,'Obras e Acervos'!$B:$X,21,0)</f>
        <v>5.07</v>
      </c>
      <c r="L548" s="31">
        <f t="shared" si="77"/>
        <v>227024.46000000002</v>
      </c>
      <c r="M548" s="1">
        <v>46079</v>
      </c>
      <c r="N548" s="1">
        <f t="shared" si="76"/>
        <v>46305</v>
      </c>
      <c r="O548">
        <f t="shared" si="78"/>
        <v>227</v>
      </c>
      <c r="P548" s="49">
        <f t="shared" si="74"/>
        <v>7.5666666666666664</v>
      </c>
      <c r="Q548" s="34">
        <f>VLOOKUP($G548,Agendamento!$B:$F,5,0)</f>
        <v>6</v>
      </c>
      <c r="R548" s="36">
        <f t="shared" si="79"/>
        <v>45</v>
      </c>
      <c r="S548" s="44">
        <v>2.5499999999999998</v>
      </c>
      <c r="T548" s="44">
        <f t="shared" si="80"/>
        <v>26048.25</v>
      </c>
      <c r="U548" t="s">
        <v>5400</v>
      </c>
      <c r="V548" t="str">
        <f t="shared" si="81"/>
        <v>NF/64307629_20260226_nf_08.pdf</v>
      </c>
      <c r="W548" s="32" t="str">
        <f t="shared" si="75"/>
        <v>NF - A FORMIGUINHA MEDROSA</v>
      </c>
      <c r="X548" t="s">
        <v>5591</v>
      </c>
    </row>
    <row r="549" spans="1:24" x14ac:dyDescent="0.25">
      <c r="A549" t="str">
        <f>CONCATENATE(D549,"_",TEXT(M549,"ddmmaaaa"),"_",COUNTIF($D$2:D549,D549))</f>
        <v>557893900001-12_26022026_1</v>
      </c>
      <c r="B549" t="str">
        <f>CONCATENATE(Analise!D549,"_",COUNTIF(Analise!$D$2:D549,Analise!D549)+1)</f>
        <v>557893900001-12_2</v>
      </c>
      <c r="C549" s="34">
        <f>COUNTIF('Obras e Acervos'!$C:$C,CONCATENATE(LEFT(D549,12),RIGHT(D549,2)))</f>
        <v>2</v>
      </c>
      <c r="D549" s="35" t="s">
        <v>4830</v>
      </c>
      <c r="E549" t="str">
        <f>VLOOKUP($B549,'Obras e Acervos'!$B:$X,3,0)</f>
        <v>EDITORA SCHWARCZ S/A-</v>
      </c>
      <c r="F549" t="str">
        <f>VLOOKUP($B549,'Obras e Acervos'!$B:$X,7,0)</f>
        <v>0504L23000020LE</v>
      </c>
      <c r="G549" t="str">
        <f>VLOOKUP($B549,'Obras e Acervos'!$B:$X,5,0)</f>
        <v>EXERCÍCIOS DE SER CRIANÇA</v>
      </c>
      <c r="H549">
        <f>VLOOKUP($B549,'Obras e Acervos'!$B:$X,18,0)</f>
        <v>11</v>
      </c>
      <c r="I549">
        <f>VLOOKUP($B549,'Obras e Acervos'!$B:$X,19,0)</f>
        <v>37528</v>
      </c>
      <c r="J549" s="42">
        <f>VLOOKUP($B549,'Obras e Acervos'!$B:$X,20,0)</f>
        <v>5141.3360000000002</v>
      </c>
      <c r="K549" s="31">
        <f>VLOOKUP($B549,'Obras e Acervos'!$B:$X,21,0)</f>
        <v>7.17</v>
      </c>
      <c r="L549" s="31">
        <f t="shared" si="77"/>
        <v>269075.76</v>
      </c>
      <c r="M549" s="1">
        <v>46079</v>
      </c>
      <c r="N549" s="1">
        <f t="shared" si="76"/>
        <v>46305</v>
      </c>
      <c r="O549">
        <f t="shared" si="78"/>
        <v>227</v>
      </c>
      <c r="P549" s="49">
        <f t="shared" si="74"/>
        <v>7.5666666666666664</v>
      </c>
      <c r="Q549" s="34">
        <f>VLOOKUP($G549,Agendamento!$B:$F,5,0)</f>
        <v>6</v>
      </c>
      <c r="R549" s="36">
        <f t="shared" si="79"/>
        <v>38</v>
      </c>
      <c r="S549" s="44">
        <v>2.5499999999999998</v>
      </c>
      <c r="T549" s="44">
        <f t="shared" si="80"/>
        <v>21996.3</v>
      </c>
      <c r="U549" t="s">
        <v>5409</v>
      </c>
      <c r="V549" t="str">
        <f t="shared" si="81"/>
        <v>NF/64307629_20260226_nf_09.pdf</v>
      </c>
      <c r="W549" s="32" t="str">
        <f t="shared" si="75"/>
        <v>NF - EXERCÍCIOS DE SER CRIANÇA</v>
      </c>
      <c r="X549" t="s">
        <v>5591</v>
      </c>
    </row>
    <row r="550" spans="1:24" x14ac:dyDescent="0.25">
      <c r="A550" t="str">
        <f>CONCATENATE(D550,"_",TEXT(M550,"ddmmaaaa"),"_",COUNTIF($D$2:D550,D550))</f>
        <v>434143670001-64_26022026_2</v>
      </c>
      <c r="B550" t="str">
        <f>CONCATENATE(Analise!D550,"_",COUNTIF(Analise!$D$2:D550,Analise!D550))</f>
        <v>434143670001-64_2</v>
      </c>
      <c r="C550" s="34">
        <f>COUNTIF('Obras e Acervos'!$C:$C,CONCATENATE(LEFT(D550,12),RIGHT(D550,2)))</f>
        <v>2</v>
      </c>
      <c r="D550" s="35" t="s">
        <v>4519</v>
      </c>
      <c r="E550" t="str">
        <f>VLOOKUP($B550,'Obras e Acervos'!$B:$X,3,0)</f>
        <v>EDITORA MILENA LTDA-MILENA</v>
      </c>
      <c r="F550" t="str">
        <f>VLOOKUP($B550,'Obras e Acervos'!$B:$X,7,0)</f>
        <v>1189L23000020LE</v>
      </c>
      <c r="G550" t="str">
        <f>VLOOKUP($B550,'Obras e Acervos'!$B:$X,5,0)</f>
        <v>MUSSÁ, UM CONTO POPULAR AFRICANO</v>
      </c>
      <c r="H550">
        <f>VLOOKUP($B550,'Obras e Acervos'!$B:$X,18,0)</f>
        <v>12</v>
      </c>
      <c r="I550">
        <f>VLOOKUP($B550,'Obras e Acervos'!$B:$X,19,0)</f>
        <v>37493</v>
      </c>
      <c r="J550" s="42">
        <f>VLOOKUP($B550,'Obras e Acervos'!$B:$X,20,0)</f>
        <v>3899.2719999999999</v>
      </c>
      <c r="K550" s="31">
        <f>VLOOKUP($B550,'Obras e Acervos'!$B:$X,21,0)</f>
        <v>6.72</v>
      </c>
      <c r="L550" s="31">
        <f t="shared" si="77"/>
        <v>251952.96</v>
      </c>
      <c r="M550" s="1">
        <v>46079</v>
      </c>
      <c r="N550" s="1">
        <f t="shared" si="76"/>
        <v>46305</v>
      </c>
      <c r="O550">
        <f t="shared" si="78"/>
        <v>227</v>
      </c>
      <c r="P550" s="49">
        <f t="shared" si="74"/>
        <v>7.5666666666666664</v>
      </c>
      <c r="Q550" s="34">
        <f>VLOOKUP($G550,Agendamento!$B:$F,5,0)</f>
        <v>5</v>
      </c>
      <c r="R550" s="36">
        <f t="shared" si="79"/>
        <v>38</v>
      </c>
      <c r="S550" s="44">
        <v>2.5499999999999998</v>
      </c>
      <c r="T550" s="44">
        <f t="shared" si="80"/>
        <v>21996.3</v>
      </c>
      <c r="U550" t="s">
        <v>5415</v>
      </c>
      <c r="V550" t="str">
        <f t="shared" si="81"/>
        <v>NF/64307629_20260226_nf_10.pdf</v>
      </c>
      <c r="W550" s="32" t="str">
        <f t="shared" si="75"/>
        <v>NF - MUSSÁ, UM CONTO POPULAR AFRICANO</v>
      </c>
      <c r="X550" t="s">
        <v>5591</v>
      </c>
    </row>
    <row r="551" spans="1:24" x14ac:dyDescent="0.25">
      <c r="A551" t="str">
        <f>CONCATENATE(D551,"_",TEXT(M551,"ddmmaaaa"),"_",COUNTIF($D$2:D551,D551))</f>
        <v>434010560001-60_26022026_1</v>
      </c>
      <c r="B551" t="str">
        <f>CONCATENATE(Analise!D551,"_",COUNTIF(Analise!$D$2:D551,Analise!D551))</f>
        <v>434010560001-60_1</v>
      </c>
      <c r="C551" s="34">
        <f>COUNTIF('Obras e Acervos'!$C:$C,CONCATENATE(LEFT(D551,12),RIGHT(D551,2)))</f>
        <v>1</v>
      </c>
      <c r="D551" s="35" t="s">
        <v>4835</v>
      </c>
      <c r="E551" t="str">
        <f>VLOOKUP($B551,'Obras e Acervos'!$B:$X,3,0)</f>
        <v>LONGUINA EDITORA LTDA-LONGUINA EDITORA</v>
      </c>
      <c r="F551" t="str">
        <f>VLOOKUP($B551,'Obras e Acervos'!$B:$X,7,0)</f>
        <v>1163L23000030LE</v>
      </c>
      <c r="G551" t="str">
        <f>VLOOKUP($B551,'Obras e Acervos'!$B:$X,5,0)</f>
        <v>DRAGA-MOR E DRAGUINHA</v>
      </c>
      <c r="H551">
        <f>VLOOKUP($B551,'Obras e Acervos'!$B:$X,18,0)</f>
        <v>2</v>
      </c>
      <c r="I551">
        <f>VLOOKUP($B551,'Obras e Acervos'!$B:$X,19,0)</f>
        <v>43149</v>
      </c>
      <c r="J551" s="42">
        <f>VLOOKUP($B551,'Obras e Acervos'!$B:$X,20,0)</f>
        <v>4962.1350000000002</v>
      </c>
      <c r="K551" s="31">
        <f>VLOOKUP($B551,'Obras e Acervos'!$B:$X,21,0)</f>
        <v>5.0999999999999996</v>
      </c>
      <c r="L551" s="31">
        <f t="shared" si="77"/>
        <v>220059.9</v>
      </c>
      <c r="M551" s="1">
        <v>46079</v>
      </c>
      <c r="N551" s="1">
        <f t="shared" si="76"/>
        <v>46305</v>
      </c>
      <c r="O551">
        <f t="shared" si="78"/>
        <v>227</v>
      </c>
      <c r="P551" s="49">
        <f t="shared" si="74"/>
        <v>7.5666666666666664</v>
      </c>
      <c r="Q551" s="34">
        <f>VLOOKUP($G551,Agendamento!$B:$F,5,0)</f>
        <v>5</v>
      </c>
      <c r="R551" s="36">
        <f t="shared" si="79"/>
        <v>44</v>
      </c>
      <c r="S551" s="44">
        <v>2.5499999999999998</v>
      </c>
      <c r="T551" s="44">
        <f t="shared" si="80"/>
        <v>25469.399999999998</v>
      </c>
      <c r="U551" t="s">
        <v>5418</v>
      </c>
      <c r="V551" t="str">
        <f t="shared" si="81"/>
        <v>NF/64307629_20260226_nf_11.pdf</v>
      </c>
      <c r="W551" s="32" t="str">
        <f t="shared" si="75"/>
        <v>NF - DRAGA-MOR E DRAGUINHA</v>
      </c>
      <c r="X551" t="s">
        <v>5591</v>
      </c>
    </row>
    <row r="552" spans="1:24" x14ac:dyDescent="0.25">
      <c r="A552" t="str">
        <f>CONCATENATE(D552,"_",TEXT(M552,"ddmmaaaa"),"_",COUNTIF($D$2:D552,D552))</f>
        <v>361807660001-42_26022026_1</v>
      </c>
      <c r="B552" t="str">
        <f>CONCATENATE(Analise!D552,"_",COUNTIF(Analise!$D$2:D552,Analise!D552))</f>
        <v>361807660001-42_1</v>
      </c>
      <c r="C552" s="34">
        <f>COUNTIF('Obras e Acervos'!$C:$C,CONCATENATE(LEFT(D552,12),RIGHT(D552,2)))</f>
        <v>1</v>
      </c>
      <c r="D552" s="35" t="s">
        <v>4829</v>
      </c>
      <c r="E552" t="str">
        <f>VLOOKUP($B552,'Obras e Acervos'!$B:$X,3,0)</f>
        <v>CHAZAQ SERVICOS E EDICOES LTDA-</v>
      </c>
      <c r="F552" t="str">
        <f>VLOOKUP($B552,'Obras e Acervos'!$B:$X,7,0)</f>
        <v>0738L23000020LE</v>
      </c>
      <c r="G552" t="str">
        <f>VLOOKUP($B552,'Obras e Acervos'!$B:$X,5,0)</f>
        <v>FILOSOFIA DE MENINO</v>
      </c>
      <c r="H552">
        <f>VLOOKUP($B552,'Obras e Acervos'!$B:$X,18,0)</f>
        <v>22</v>
      </c>
      <c r="I552">
        <f>VLOOKUP($B552,'Obras e Acervos'!$B:$X,19,0)</f>
        <v>23995</v>
      </c>
      <c r="J552" s="42">
        <f>VLOOKUP($B552,'Obras e Acervos'!$B:$X,20,0)</f>
        <v>2975.38</v>
      </c>
      <c r="K552" s="31">
        <f>VLOOKUP($B552,'Obras e Acervos'!$B:$X,21,0)</f>
        <v>7.51</v>
      </c>
      <c r="L552" s="31">
        <f t="shared" si="77"/>
        <v>180202.44999999998</v>
      </c>
      <c r="M552" s="1">
        <v>46079</v>
      </c>
      <c r="N552" s="1">
        <f t="shared" si="76"/>
        <v>46305</v>
      </c>
      <c r="O552">
        <f t="shared" si="78"/>
        <v>227</v>
      </c>
      <c r="P552" s="49">
        <f t="shared" si="74"/>
        <v>7.5666666666666664</v>
      </c>
      <c r="Q552" s="34">
        <f>VLOOKUP($G552,Agendamento!$B:$F,5,0)</f>
        <v>4</v>
      </c>
      <c r="R552" s="36">
        <f t="shared" si="79"/>
        <v>24</v>
      </c>
      <c r="S552" s="44">
        <v>2.5499999999999998</v>
      </c>
      <c r="T552" s="44">
        <f t="shared" si="80"/>
        <v>13892.4</v>
      </c>
      <c r="U552" t="s">
        <v>5408</v>
      </c>
      <c r="V552" t="str">
        <f t="shared" si="81"/>
        <v>NF/64307629_20260226_nf_12.pdf</v>
      </c>
      <c r="W552" s="32" t="str">
        <f t="shared" si="75"/>
        <v>NF - FILOSOFIA DE MENINO</v>
      </c>
      <c r="X552" t="s">
        <v>5591</v>
      </c>
    </row>
    <row r="553" spans="1:24" x14ac:dyDescent="0.25">
      <c r="A553" t="str">
        <f>CONCATENATE(D553,"_",TEXT(M553,"ddmmaaaa"),"_",COUNTIF($D$2:D553,D553))</f>
        <v>165092620001-16_26022026_2</v>
      </c>
      <c r="B553" t="str">
        <f>CONCATENATE(Analise!D553,"_",COUNTIF(Analise!$D$2:D553,Analise!D553))</f>
        <v>165092620001-16_2</v>
      </c>
      <c r="C553" s="34">
        <f>COUNTIF('Obras e Acervos'!$C:$C,CONCATENATE(LEFT(D553,12),RIGHT(D553,2)))</f>
        <v>2</v>
      </c>
      <c r="D553" s="35" t="s">
        <v>4650</v>
      </c>
      <c r="E553" t="str">
        <f>VLOOKUP($B553,'Obras e Acervos'!$B:$X,3,0)</f>
        <v>OVERVIEW SERVICOS GRAFICOS LTDA-OVERVIEW</v>
      </c>
      <c r="F553" t="str">
        <f>VLOOKUP($B553,'Obras e Acervos'!$B:$X,7,0)</f>
        <v>0981L23000020LE</v>
      </c>
      <c r="G553" t="str">
        <f>VLOOKUP($B553,'Obras e Acervos'!$B:$X,5,0)</f>
        <v>A CASA PRETA</v>
      </c>
      <c r="H553">
        <f>VLOOKUP($B553,'Obras e Acervos'!$B:$X,18,0)</f>
        <v>14</v>
      </c>
      <c r="I553">
        <f>VLOOKUP($B553,'Obras e Acervos'!$B:$X,19,0)</f>
        <v>27303</v>
      </c>
      <c r="J553" s="42">
        <f>VLOOKUP($B553,'Obras e Acervos'!$B:$X,20,0)</f>
        <v>2866.8150000000001</v>
      </c>
      <c r="K553" s="31">
        <f>VLOOKUP($B553,'Obras e Acervos'!$B:$X,21,0)</f>
        <v>6.4</v>
      </c>
      <c r="L553" s="31">
        <f t="shared" si="77"/>
        <v>174739.20000000001</v>
      </c>
      <c r="M553" s="1">
        <v>46079</v>
      </c>
      <c r="N553" s="1">
        <f t="shared" si="76"/>
        <v>46305</v>
      </c>
      <c r="O553">
        <f t="shared" si="78"/>
        <v>227</v>
      </c>
      <c r="P553" s="49">
        <f t="shared" si="74"/>
        <v>7.5666666666666664</v>
      </c>
      <c r="Q553" s="34">
        <f>VLOOKUP($G553,Agendamento!$B:$F,5,0)</f>
        <v>3</v>
      </c>
      <c r="R553" s="36">
        <f t="shared" si="79"/>
        <v>28</v>
      </c>
      <c r="S553" s="44">
        <v>2.5499999999999998</v>
      </c>
      <c r="T553" s="44">
        <f t="shared" si="80"/>
        <v>16207.8</v>
      </c>
      <c r="U553" t="s">
        <v>5411</v>
      </c>
      <c r="V553" t="str">
        <f t="shared" si="81"/>
        <v>NF/64307629_20260226_nf_13.pdf</v>
      </c>
      <c r="W553" s="32" t="str">
        <f t="shared" si="75"/>
        <v>NF - A CASA PRETA</v>
      </c>
      <c r="X553" t="s">
        <v>5591</v>
      </c>
    </row>
    <row r="554" spans="1:24" x14ac:dyDescent="0.25">
      <c r="A554" t="str">
        <f>CONCATENATE(D554,"_",TEXT(M554,"ddmmaaaa"),"_",COUNTIF($D$2:D554,D554))</f>
        <v>014850630001-48_26022026_2</v>
      </c>
      <c r="B554" t="str">
        <f>CONCATENATE(Analise!D554,"_",COUNTIF(Analise!$D$2:D554,Analise!D554))</f>
        <v>014850630001-48_2</v>
      </c>
      <c r="C554" s="34">
        <f>COUNTIF('Obras e Acervos'!$C:$C,CONCATENATE(LEFT(D554,12),RIGHT(D554,2)))</f>
        <v>2</v>
      </c>
      <c r="D554" s="35" t="s">
        <v>4690</v>
      </c>
      <c r="E554" t="str">
        <f>VLOOKUP($B554,'Obras e Acervos'!$B:$X,3,0)</f>
        <v>NB NOVA BRASILEIRA SERVICOS GRAFICOS LTDA-</v>
      </c>
      <c r="F554" t="str">
        <f>VLOOKUP($B554,'Obras e Acervos'!$B:$X,7,0)</f>
        <v>0736L23000020LE</v>
      </c>
      <c r="G554" t="str">
        <f>VLOOKUP($B554,'Obras e Acervos'!$B:$X,5,0)</f>
        <v>ESTRELINHAS</v>
      </c>
      <c r="H554">
        <f>VLOOKUP($B554,'Obras e Acervos'!$B:$X,18,0)</f>
        <v>20</v>
      </c>
      <c r="I554">
        <f>VLOOKUP($B554,'Obras e Acervos'!$B:$X,19,0)</f>
        <v>26850</v>
      </c>
      <c r="J554" s="42">
        <f>VLOOKUP($B554,'Obras e Acervos'!$B:$X,20,0)</f>
        <v>2067.4499999999998</v>
      </c>
      <c r="K554" s="31">
        <f>VLOOKUP($B554,'Obras e Acervos'!$B:$X,21,0)</f>
        <v>5.01</v>
      </c>
      <c r="L554" s="31">
        <f t="shared" si="77"/>
        <v>134518.5</v>
      </c>
      <c r="M554" s="1">
        <v>46079</v>
      </c>
      <c r="N554" s="1">
        <f t="shared" si="76"/>
        <v>46305</v>
      </c>
      <c r="O554">
        <f t="shared" si="78"/>
        <v>227</v>
      </c>
      <c r="P554" s="49">
        <f t="shared" si="74"/>
        <v>7.5666666666666664</v>
      </c>
      <c r="Q554" s="34">
        <f>VLOOKUP($G554,Agendamento!$B:$F,5,0)</f>
        <v>3</v>
      </c>
      <c r="R554" s="36">
        <f t="shared" si="79"/>
        <v>27</v>
      </c>
      <c r="S554" s="44">
        <v>2.5499999999999998</v>
      </c>
      <c r="T554" s="44">
        <f t="shared" si="80"/>
        <v>15628.949999999999</v>
      </c>
      <c r="U554" t="s">
        <v>5402</v>
      </c>
      <c r="V554" t="str">
        <f t="shared" si="81"/>
        <v>NF/64307629_20260226_nf_14.pdf</v>
      </c>
      <c r="W554" s="32" t="str">
        <f t="shared" si="75"/>
        <v>NF - ESTRELINHAS</v>
      </c>
      <c r="X554" t="s">
        <v>5591</v>
      </c>
    </row>
    <row r="555" spans="1:24" x14ac:dyDescent="0.25">
      <c r="A555" t="str">
        <f>CONCATENATE(D555,"_",TEXT(M555,"ddmmaaaa"),"_",COUNTIF($D$2:D555,D555))</f>
        <v>330386960001-02_26022026_1</v>
      </c>
      <c r="B555" t="str">
        <f>CONCATENATE(Analise!D555,"_",COUNTIF(Analise!$D$2:D555,Analise!D555))</f>
        <v>330386960001-02_1</v>
      </c>
      <c r="C555" s="34">
        <f>COUNTIF('Obras e Acervos'!$C:$C,CONCATENATE(LEFT(D555,12),RIGHT(D555,2)))</f>
        <v>2</v>
      </c>
      <c r="D555" s="35" t="s">
        <v>4836</v>
      </c>
      <c r="E555" t="str">
        <f>VLOOKUP($B555,'Obras e Acervos'!$B:$X,3,0)</f>
        <v>EDITORA JOSÉ OLYMPIO LTDA-EDITORA JOSÉ OLYMPIO</v>
      </c>
      <c r="F555" t="str">
        <f>VLOOKUP($B555,'Obras e Acervos'!$B:$X,7,0)</f>
        <v>0593L23000030LE</v>
      </c>
      <c r="G555" t="str">
        <f>VLOOKUP($B555,'Obras e Acervos'!$B:$X,5,0)</f>
        <v>GENTE LEGAL ESTÁ EM TODO LUGAR</v>
      </c>
      <c r="H555">
        <f>VLOOKUP($B555,'Obras e Acervos'!$B:$X,18,0)</f>
        <v>8</v>
      </c>
      <c r="I555">
        <f>VLOOKUP($B555,'Obras e Acervos'!$B:$X,19,0)</f>
        <v>186801</v>
      </c>
      <c r="J555" s="42">
        <f>VLOOKUP($B555,'Obras e Acervos'!$B:$X,20,0)</f>
        <v>32690.174999999999</v>
      </c>
      <c r="K555" s="31">
        <f>VLOOKUP($B555,'Obras e Acervos'!$B:$X,21,0)</f>
        <v>3.89</v>
      </c>
      <c r="L555" s="31">
        <f t="shared" si="77"/>
        <v>726655.89</v>
      </c>
      <c r="M555" s="1">
        <v>46079</v>
      </c>
      <c r="N555" s="1">
        <f t="shared" si="76"/>
        <v>46305</v>
      </c>
      <c r="O555">
        <f t="shared" si="78"/>
        <v>227</v>
      </c>
      <c r="P555" s="49">
        <f t="shared" ref="P555:P618" si="82">O555/30</f>
        <v>7.5666666666666664</v>
      </c>
      <c r="Q555" s="34">
        <f>VLOOKUP($G555,Agendamento!$B:$F,5,0)</f>
        <v>32</v>
      </c>
      <c r="R555" s="36">
        <f t="shared" si="79"/>
        <v>187</v>
      </c>
      <c r="S555" s="44">
        <v>2.5499999999999998</v>
      </c>
      <c r="T555" s="44">
        <f t="shared" si="80"/>
        <v>108244.95</v>
      </c>
      <c r="U555" t="s">
        <v>5420</v>
      </c>
      <c r="V555" t="str">
        <f t="shared" si="81"/>
        <v>NF/64307629_20260226_nf_15.pdf</v>
      </c>
      <c r="W555" s="32" t="str">
        <f t="shared" ref="W555:W618" si="83">HYPERLINK(CONCATENATE("saida/",U555),CONCATENATE("NF - ",G555))</f>
        <v>NF - GENTE LEGAL ESTÁ EM TODO LUGAR</v>
      </c>
      <c r="X555" t="s">
        <v>5591</v>
      </c>
    </row>
    <row r="556" spans="1:24" x14ac:dyDescent="0.25">
      <c r="A556" t="str">
        <f>CONCATENATE(D556,"_",TEXT(M556,"ddmmaaaa"),"_",COUNTIF($D$2:D556,D556))</f>
        <v>249063420001-33_26022026_2</v>
      </c>
      <c r="B556" t="str">
        <f>CONCATENATE(Analise!D556,"_",COUNTIF(Analise!$D$2:D556,Analise!D556)-1)</f>
        <v>249063420001-33_1</v>
      </c>
      <c r="C556" s="34">
        <f>COUNTIF('Obras e Acervos'!$C:$C,CONCATENATE(LEFT(D556,12),RIGHT(D556,2)))</f>
        <v>2</v>
      </c>
      <c r="D556" s="35" t="s">
        <v>4545</v>
      </c>
      <c r="E556" t="str">
        <f>VLOOKUP($B556,'Obras e Acervos'!$B:$X,3,0)</f>
        <v>IBEP SISTEMAS DE ENSINO-IBEP SISTEMAS</v>
      </c>
      <c r="F556" t="str">
        <f>VLOOKUP($B556,'Obras e Acervos'!$B:$X,7,0)</f>
        <v>0799L23000030LE</v>
      </c>
      <c r="G556" t="str">
        <f>VLOOKUP($B556,'Obras e Acervos'!$B:$X,5,0)</f>
        <v>GRÃO DE AFETO</v>
      </c>
      <c r="H556">
        <f>VLOOKUP($B556,'Obras e Acervos'!$B:$X,18,0)</f>
        <v>1</v>
      </c>
      <c r="I556">
        <f>VLOOKUP($B556,'Obras e Acervos'!$B:$X,19,0)</f>
        <v>72259</v>
      </c>
      <c r="J556" s="42">
        <f>VLOOKUP($B556,'Obras e Acervos'!$B:$X,20,0)</f>
        <v>6720.0869999999995</v>
      </c>
      <c r="K556" s="31">
        <f>VLOOKUP($B556,'Obras e Acervos'!$B:$X,21,0)</f>
        <v>4.2</v>
      </c>
      <c r="L556" s="31">
        <f t="shared" si="77"/>
        <v>303487.8</v>
      </c>
      <c r="M556" s="1">
        <v>46079</v>
      </c>
      <c r="N556" s="1">
        <f t="shared" si="76"/>
        <v>46305</v>
      </c>
      <c r="O556">
        <f t="shared" si="78"/>
        <v>227</v>
      </c>
      <c r="P556" s="49">
        <f t="shared" si="82"/>
        <v>7.5666666666666664</v>
      </c>
      <c r="Q556" s="34">
        <f>VLOOKUP($G556,Agendamento!$B:$F,5,0)</f>
        <v>9</v>
      </c>
      <c r="R556" s="36">
        <f t="shared" si="79"/>
        <v>73</v>
      </c>
      <c r="S556" s="44">
        <v>2.5499999999999998</v>
      </c>
      <c r="T556" s="44">
        <f t="shared" si="80"/>
        <v>42256.049999999996</v>
      </c>
      <c r="U556" t="s">
        <v>5404</v>
      </c>
      <c r="V556" t="str">
        <f t="shared" si="81"/>
        <v>NF/64307629_20260226_nf_19.pdf</v>
      </c>
      <c r="W556" s="32" t="str">
        <f t="shared" si="83"/>
        <v>NF - GRÃO DE AFETO</v>
      </c>
      <c r="X556" t="s">
        <v>5591</v>
      </c>
    </row>
    <row r="557" spans="1:24" x14ac:dyDescent="0.25">
      <c r="A557" t="str">
        <f>CONCATENATE(D557,"_",TEXT(M557,"ddmmaaaa"),"_",COUNTIF($D$2:D557,D557))</f>
        <v>172241710001-05_26022026_2</v>
      </c>
      <c r="B557" t="str">
        <f>CONCATENATE(Analise!D557,"_",COUNTIF(Analise!$D$2:D557,Analise!D557)-1)</f>
        <v>172241710001-05_1</v>
      </c>
      <c r="C557" s="34">
        <f>COUNTIF('Obras e Acervos'!$C:$C,CONCATENATE(LEFT(D557,12),RIGHT(D557,2)))</f>
        <v>2</v>
      </c>
      <c r="D557" s="35" t="s">
        <v>4623</v>
      </c>
      <c r="E557" t="str">
        <f>VLOOKUP($B557,'Obras e Acervos'!$B:$X,3,0)</f>
        <v>FIMAC DISTRIBUIDORA DE LIVROS LTDA-</v>
      </c>
      <c r="F557" t="str">
        <f>VLOOKUP($B557,'Obras e Acervos'!$B:$X,7,0)</f>
        <v>0793L23000030LE</v>
      </c>
      <c r="G557" t="str">
        <f>VLOOKUP($B557,'Obras e Acervos'!$B:$X,5,0)</f>
        <v>O CASO DO GRANDE ROUBO DO MUSEU</v>
      </c>
      <c r="H557">
        <f>VLOOKUP($B557,'Obras e Acervos'!$B:$X,18,0)</f>
        <v>2</v>
      </c>
      <c r="I557">
        <f>VLOOKUP($B557,'Obras e Acervos'!$B:$X,19,0)</f>
        <v>46119</v>
      </c>
      <c r="J557" s="42">
        <f>VLOOKUP($B557,'Obras e Acervos'!$B:$X,20,0)</f>
        <v>5073.09</v>
      </c>
      <c r="K557" s="31">
        <f>VLOOKUP($B557,'Obras e Acervos'!$B:$X,21,0)</f>
        <v>5.43</v>
      </c>
      <c r="L557" s="31">
        <f t="shared" si="77"/>
        <v>250426.16999999998</v>
      </c>
      <c r="M557" s="1">
        <v>46079</v>
      </c>
      <c r="N557" s="1">
        <f t="shared" si="76"/>
        <v>46305</v>
      </c>
      <c r="O557">
        <f t="shared" si="78"/>
        <v>227</v>
      </c>
      <c r="P557" s="49">
        <f t="shared" si="82"/>
        <v>7.5666666666666664</v>
      </c>
      <c r="Q557" s="34">
        <f>VLOOKUP($G557,Agendamento!$B:$F,5,0)</f>
        <v>8</v>
      </c>
      <c r="R557" s="36">
        <f t="shared" si="79"/>
        <v>47</v>
      </c>
      <c r="S557" s="44">
        <v>2.5499999999999998</v>
      </c>
      <c r="T557" s="44">
        <f t="shared" si="80"/>
        <v>27205.949999999997</v>
      </c>
      <c r="U557" t="s">
        <v>5401</v>
      </c>
      <c r="V557" t="str">
        <f t="shared" si="81"/>
        <v>NF/64307629_20260226_nf_21.pdf</v>
      </c>
      <c r="W557" s="32" t="str">
        <f t="shared" si="83"/>
        <v>NF - O CASO DO GRANDE ROUBO DO MUSEU</v>
      </c>
      <c r="X557" t="s">
        <v>5591</v>
      </c>
    </row>
    <row r="558" spans="1:24" x14ac:dyDescent="0.25">
      <c r="A558" t="str">
        <f>CONCATENATE(D558,"_",TEXT(M558,"ddmmaaaa"),"_",COUNTIF($D$2:D558,D558))</f>
        <v>305812450001-10_26022026_1</v>
      </c>
      <c r="B558" t="str">
        <f>CONCATENATE(Analise!D558,"_",COUNTIF(Analise!$D$2:D558,Analise!D558)+1)</f>
        <v>305812450001-10_2</v>
      </c>
      <c r="C558" s="34">
        <f>COUNTIF('Obras e Acervos'!$C:$C,CONCATENATE(LEFT(D558,12),RIGHT(D558,2)))</f>
        <v>2</v>
      </c>
      <c r="D558" s="35" t="s">
        <v>4828</v>
      </c>
      <c r="E558" t="str">
        <f>VLOOKUP($B558,'Obras e Acervos'!$B:$X,3,0)</f>
        <v>GRAN COMERCIO DE LIVROS E SERVIÇOS LTDA-VIVA LIVRO</v>
      </c>
      <c r="F558" t="str">
        <f>VLOOKUP($B558,'Obras e Acervos'!$B:$X,7,0)</f>
        <v>0889L23000020LE</v>
      </c>
      <c r="G558" t="str">
        <f>VLOOKUP($B558,'Obras e Acervos'!$B:$X,5,0)</f>
        <v>INÊS</v>
      </c>
      <c r="H558">
        <f>VLOOKUP($B558,'Obras e Acervos'!$B:$X,18,0)</f>
        <v>20</v>
      </c>
      <c r="I558">
        <f>VLOOKUP($B558,'Obras e Acervos'!$B:$X,19,0)</f>
        <v>26259</v>
      </c>
      <c r="J558" s="42">
        <f>VLOOKUP($B558,'Obras e Acervos'!$B:$X,20,0)</f>
        <v>4017.627</v>
      </c>
      <c r="K558" s="31">
        <f>VLOOKUP($B558,'Obras e Acervos'!$B:$X,21,0)</f>
        <v>9.27</v>
      </c>
      <c r="L558" s="31">
        <f t="shared" si="77"/>
        <v>243420.93</v>
      </c>
      <c r="M558" s="1">
        <v>46079</v>
      </c>
      <c r="N558" s="1">
        <f t="shared" si="76"/>
        <v>46305</v>
      </c>
      <c r="O558">
        <f t="shared" si="78"/>
        <v>227</v>
      </c>
      <c r="P558" s="49">
        <f t="shared" si="82"/>
        <v>7.5666666666666664</v>
      </c>
      <c r="Q558" s="34">
        <f>VLOOKUP($G558,Agendamento!$B:$F,5,0)</f>
        <v>6</v>
      </c>
      <c r="R558" s="36">
        <f t="shared" si="79"/>
        <v>27</v>
      </c>
      <c r="S558" s="44">
        <v>2.5499999999999998</v>
      </c>
      <c r="T558" s="44">
        <f t="shared" si="80"/>
        <v>15628.949999999999</v>
      </c>
      <c r="U558" t="s">
        <v>5406</v>
      </c>
      <c r="V558" t="str">
        <f t="shared" si="81"/>
        <v>NF/64307629_20260226_nf_23.pdf</v>
      </c>
      <c r="W558" s="32" t="str">
        <f t="shared" si="83"/>
        <v>NF - INÊS</v>
      </c>
      <c r="X558" t="s">
        <v>5591</v>
      </c>
    </row>
    <row r="559" spans="1:24" x14ac:dyDescent="0.25">
      <c r="A559" t="str">
        <f>CONCATENATE(D559,"_",TEXT(M559,"ddmmaaaa"),"_",COUNTIF($D$2:D559,D559))</f>
        <v>444120450001-49_26022026_2</v>
      </c>
      <c r="B559" t="str">
        <f>CONCATENATE(Analise!D559,"_",COUNTIF(Analise!$D$2:D559,Analise!D559)-1)</f>
        <v>444120450001-49_1</v>
      </c>
      <c r="C559" s="34">
        <f>COUNTIF('Obras e Acervos'!$C:$C,CONCATENATE(LEFT(D559,12),RIGHT(D559,2)))</f>
        <v>2</v>
      </c>
      <c r="D559" s="35" t="s">
        <v>4546</v>
      </c>
      <c r="E559" t="str">
        <f>VLOOKUP($B559,'Obras e Acervos'!$B:$X,3,0)</f>
        <v>KAAS EDITORA-KAAS EDITORA</v>
      </c>
      <c r="F559" t="str">
        <f>VLOOKUP($B559,'Obras e Acervos'!$B:$X,7,0)</f>
        <v>0908L23000030LE</v>
      </c>
      <c r="G559" t="str">
        <f>VLOOKUP($B559,'Obras e Acervos'!$B:$X,5,0)</f>
        <v>PRÍNCIPE NÃO</v>
      </c>
      <c r="H559">
        <f>VLOOKUP($B559,'Obras e Acervos'!$B:$X,18,0)</f>
        <v>7</v>
      </c>
      <c r="I559">
        <f>VLOOKUP($B559,'Obras e Acervos'!$B:$X,19,0)</f>
        <v>33222</v>
      </c>
      <c r="J559" s="42">
        <f>VLOOKUP($B559,'Obras e Acervos'!$B:$X,20,0)</f>
        <v>3089.6460000000002</v>
      </c>
      <c r="K559" s="31">
        <f>VLOOKUP($B559,'Obras e Acervos'!$B:$X,21,0)</f>
        <v>5.94</v>
      </c>
      <c r="L559" s="31">
        <f t="shared" si="77"/>
        <v>197338.68000000002</v>
      </c>
      <c r="M559" s="1">
        <v>46079</v>
      </c>
      <c r="N559" s="1">
        <f t="shared" si="76"/>
        <v>46305</v>
      </c>
      <c r="O559">
        <f t="shared" si="78"/>
        <v>227</v>
      </c>
      <c r="P559" s="49">
        <f t="shared" si="82"/>
        <v>7.5666666666666664</v>
      </c>
      <c r="Q559" s="34">
        <f>VLOOKUP($G559,Agendamento!$B:$F,5,0)</f>
        <v>4</v>
      </c>
      <c r="R559" s="36">
        <f t="shared" si="79"/>
        <v>34</v>
      </c>
      <c r="S559" s="44">
        <v>2.5499999999999998</v>
      </c>
      <c r="T559" s="44">
        <f t="shared" si="80"/>
        <v>19680.899999999998</v>
      </c>
      <c r="U559" t="s">
        <v>5407</v>
      </c>
      <c r="V559" t="str">
        <f t="shared" si="81"/>
        <v>NF/64307629_20260226_nf_24.pdf</v>
      </c>
      <c r="W559" s="32" t="str">
        <f t="shared" si="83"/>
        <v>NF - PRÍNCIPE NÃO</v>
      </c>
      <c r="X559" t="s">
        <v>5591</v>
      </c>
    </row>
    <row r="560" spans="1:24" x14ac:dyDescent="0.25">
      <c r="A560" t="str">
        <f>CONCATENATE(D560,"_",TEXT(M560,"ddmmaaaa"),"_",COUNTIF($D$2:D560,D560))</f>
        <v>157452070001-62_26022026_2</v>
      </c>
      <c r="B560" t="str">
        <f>CONCATENATE(Analise!D560,"_",COUNTIF(Analise!$D$2:D560,Analise!D560)-1)</f>
        <v>157452070001-62_1</v>
      </c>
      <c r="C560" s="34">
        <f>COUNTIF('Obras e Acervos'!$C:$C,CONCATENATE(LEFT(D560,12),RIGHT(D560,2)))</f>
        <v>2</v>
      </c>
      <c r="D560" s="35" t="s">
        <v>4745</v>
      </c>
      <c r="E560" t="str">
        <f>VLOOKUP($B560,'Obras e Acervos'!$B:$X,3,0)</f>
        <v>CRIVO EDITORIAL LTDA-CRIVO EDITORIAL</v>
      </c>
      <c r="F560" t="str">
        <f>VLOOKUP($B560,'Obras e Acervos'!$B:$X,7,0)</f>
        <v>1222L23000030LE</v>
      </c>
      <c r="G560" t="str">
        <f>VLOOKUP($B560,'Obras e Acervos'!$B:$X,5,0)</f>
        <v>A LAGARTA E A COBRA</v>
      </c>
      <c r="H560">
        <f>VLOOKUP($B560,'Obras e Acervos'!$B:$X,18,0)</f>
        <v>3</v>
      </c>
      <c r="I560">
        <f>VLOOKUP($B560,'Obras e Acervos'!$B:$X,19,0)</f>
        <v>54365</v>
      </c>
      <c r="J560" s="42">
        <f>VLOOKUP($B560,'Obras e Acervos'!$B:$X,20,0)</f>
        <v>8698.4</v>
      </c>
      <c r="K560" s="31">
        <f>VLOOKUP($B560,'Obras e Acervos'!$B:$X,21,0)</f>
        <v>4.58</v>
      </c>
      <c r="L560" s="31">
        <f t="shared" si="77"/>
        <v>248991.7</v>
      </c>
      <c r="M560" s="1">
        <v>46079</v>
      </c>
      <c r="N560" s="1">
        <f t="shared" si="76"/>
        <v>46305</v>
      </c>
      <c r="O560">
        <f t="shared" si="78"/>
        <v>227</v>
      </c>
      <c r="P560" s="49">
        <f t="shared" si="82"/>
        <v>7.5666666666666664</v>
      </c>
      <c r="Q560" s="34">
        <f>VLOOKUP($G560,Agendamento!$B:$F,5,0)</f>
        <v>9</v>
      </c>
      <c r="R560" s="36">
        <f t="shared" si="79"/>
        <v>55</v>
      </c>
      <c r="S560" s="44">
        <v>2.5499999999999998</v>
      </c>
      <c r="T560" s="44">
        <f t="shared" si="80"/>
        <v>31836.749999999996</v>
      </c>
      <c r="U560" t="s">
        <v>5416</v>
      </c>
      <c r="V560" t="str">
        <f t="shared" si="81"/>
        <v>NF/64307629_20260226_nf_25.pdf</v>
      </c>
      <c r="W560" s="32" t="str">
        <f t="shared" si="83"/>
        <v>NF - A LAGARTA E A COBRA</v>
      </c>
      <c r="X560" t="s">
        <v>5591</v>
      </c>
    </row>
    <row r="561" spans="1:24" x14ac:dyDescent="0.25">
      <c r="A561" t="str">
        <f>CONCATENATE(D561,"_",TEXT(M561,"ddmmaaaa"),"_",COUNTIF($D$2:D561,D561))</f>
        <v>087837200001-82_26022026_1</v>
      </c>
      <c r="B561" t="str">
        <f>CONCATENATE(Analise!D561,"_",COUNTIF(Analise!$D$2:D561,Analise!D561))</f>
        <v>087837200001-82_1</v>
      </c>
      <c r="C561" s="34">
        <f>COUNTIF('Obras e Acervos'!$C:$C,CONCATENATE(LEFT(D561,12),RIGHT(D561,2)))</f>
        <v>2</v>
      </c>
      <c r="D561" s="35" t="s">
        <v>4831</v>
      </c>
      <c r="E561" t="str">
        <f>VLOOKUP($B561,'Obras e Acervos'!$B:$X,3,0)</f>
        <v>SIGNO EDITORA LTDA-EDITORA SIGNO</v>
      </c>
      <c r="F561" t="str">
        <f>VLOOKUP($B561,'Obras e Acervos'!$B:$X,7,0)</f>
        <v>0645L23000030LE</v>
      </c>
      <c r="G561" t="str">
        <f>VLOOKUP($B561,'Obras e Acervos'!$B:$X,5,0)</f>
        <v>CASTELOS, PRINCESAS E BABÁS</v>
      </c>
      <c r="H561">
        <f>VLOOKUP($B561,'Obras e Acervos'!$B:$X,18,0)</f>
        <v>4</v>
      </c>
      <c r="I561">
        <f>VLOOKUP($B561,'Obras e Acervos'!$B:$X,19,0)</f>
        <v>39914</v>
      </c>
      <c r="J561" s="42">
        <f>VLOOKUP($B561,'Obras e Acervos'!$B:$X,20,0)</f>
        <v>4949.3360000000002</v>
      </c>
      <c r="K561" s="31">
        <f>VLOOKUP($B561,'Obras e Acervos'!$B:$X,21,0)</f>
        <v>6.27</v>
      </c>
      <c r="L561" s="31">
        <f t="shared" si="77"/>
        <v>250260.77999999997</v>
      </c>
      <c r="M561" s="1">
        <v>46079</v>
      </c>
      <c r="N561" s="1">
        <f t="shared" si="76"/>
        <v>46305</v>
      </c>
      <c r="O561">
        <f t="shared" si="78"/>
        <v>227</v>
      </c>
      <c r="P561" s="49">
        <f t="shared" si="82"/>
        <v>7.5666666666666664</v>
      </c>
      <c r="Q561" s="34">
        <f>VLOOKUP($G561,Agendamento!$B:$F,5,0)</f>
        <v>8</v>
      </c>
      <c r="R561" s="36">
        <f t="shared" si="79"/>
        <v>40</v>
      </c>
      <c r="S561" s="44">
        <v>2.5499999999999998</v>
      </c>
      <c r="T561" s="44">
        <f t="shared" si="80"/>
        <v>23154</v>
      </c>
      <c r="U561" t="s">
        <v>5410</v>
      </c>
      <c r="V561" t="str">
        <f t="shared" si="81"/>
        <v>NF/64307629_20260226_nf_26.pdf</v>
      </c>
      <c r="W561" s="32" t="str">
        <f t="shared" si="83"/>
        <v>NF - CASTELOS, PRINCESAS E BABÁS</v>
      </c>
      <c r="X561" t="s">
        <v>5591</v>
      </c>
    </row>
    <row r="562" spans="1:24" x14ac:dyDescent="0.25">
      <c r="A562" t="str">
        <f>CONCATENATE(D562,"_",TEXT(M562,"ddmmaaaa"),"_",COUNTIF($D$2:D562,D562))</f>
        <v>087837200001-82_26022026_2</v>
      </c>
      <c r="B562" t="str">
        <f>CONCATENATE(Analise!D562,"_",COUNTIF(Analise!$D$2:D562,Analise!D562))</f>
        <v>087837200001-82_2</v>
      </c>
      <c r="C562" s="34">
        <f>COUNTIF('Obras e Acervos'!$C:$C,CONCATENATE(LEFT(D562,12),RIGHT(D562,2)))</f>
        <v>2</v>
      </c>
      <c r="D562" s="35" t="s">
        <v>4831</v>
      </c>
      <c r="E562" t="str">
        <f>VLOOKUP($B562,'Obras e Acervos'!$B:$X,3,0)</f>
        <v>SIGNO EDITORA LTDA-EDITORA SIGNO</v>
      </c>
      <c r="F562" t="str">
        <f>VLOOKUP($B562,'Obras e Acervos'!$B:$X,7,0)</f>
        <v>0646L23000020LE</v>
      </c>
      <c r="G562" t="str">
        <f>VLOOKUP($B562,'Obras e Acervos'!$B:$X,5,0)</f>
        <v>AMIGOS PRA CACHORRO</v>
      </c>
      <c r="H562">
        <f>VLOOKUP($B562,'Obras e Acervos'!$B:$X,18,0)</f>
        <v>13</v>
      </c>
      <c r="I562">
        <f>VLOOKUP($B562,'Obras e Acervos'!$B:$X,19,0)</f>
        <v>43892</v>
      </c>
      <c r="J562" s="42">
        <f>VLOOKUP($B562,'Obras e Acervos'!$B:$X,20,0)</f>
        <v>5354.8239999999996</v>
      </c>
      <c r="K562" s="31">
        <f>VLOOKUP($B562,'Obras e Acervos'!$B:$X,21,0)</f>
        <v>5.08</v>
      </c>
      <c r="L562" s="31">
        <f t="shared" si="77"/>
        <v>222971.36000000002</v>
      </c>
      <c r="M562" s="1">
        <v>46079</v>
      </c>
      <c r="N562" s="1">
        <f t="shared" si="76"/>
        <v>46305</v>
      </c>
      <c r="O562">
        <f t="shared" si="78"/>
        <v>227</v>
      </c>
      <c r="P562" s="49">
        <f t="shared" si="82"/>
        <v>7.5666666666666664</v>
      </c>
      <c r="Q562" s="34">
        <f>VLOOKUP($G562,Agendamento!$B:$F,5,0)</f>
        <v>8</v>
      </c>
      <c r="R562" s="36">
        <f t="shared" si="79"/>
        <v>44</v>
      </c>
      <c r="S562" s="44">
        <v>2.5499999999999998</v>
      </c>
      <c r="T562" s="44">
        <f t="shared" si="80"/>
        <v>25469.399999999998</v>
      </c>
      <c r="U562" t="s">
        <v>5410</v>
      </c>
      <c r="V562" t="str">
        <f t="shared" si="81"/>
        <v>NF/64307629_20260226_nf_26.pdf</v>
      </c>
      <c r="W562" s="32" t="str">
        <f t="shared" si="83"/>
        <v>NF - AMIGOS PRA CACHORRO</v>
      </c>
      <c r="X562" t="s">
        <v>5591</v>
      </c>
    </row>
    <row r="563" spans="1:24" x14ac:dyDescent="0.25">
      <c r="A563" t="str">
        <f>CONCATENATE(D563,"_",TEXT(M563,"ddmmaaaa"),"_",COUNTIF($D$2:D563,D563))</f>
        <v>174814160001-71_26022026_1</v>
      </c>
      <c r="B563" t="str">
        <f>CONCATENATE(Analise!D563,"_",COUNTIF(Analise!$D$2:D563,Analise!D563)+1)</f>
        <v>174814160001-71_2</v>
      </c>
      <c r="C563" s="34">
        <f>COUNTIF('Obras e Acervos'!$C:$C,CONCATENATE(LEFT(D563,12),RIGHT(D563,2)))</f>
        <v>2</v>
      </c>
      <c r="D563" s="35" t="s">
        <v>4832</v>
      </c>
      <c r="E563" t="str">
        <f>VLOOKUP($B563,'Obras e Acervos'!$B:$X,3,0)</f>
        <v>EDITORA CANGURU LTDA-EDITORA CANGURU</v>
      </c>
      <c r="F563" t="str">
        <f>VLOOKUP($B563,'Obras e Acervos'!$B:$X,7,0)</f>
        <v>1284L23000020LE</v>
      </c>
      <c r="G563" t="str">
        <f>VLOOKUP($B563,'Obras e Acervos'!$B:$X,5,0)</f>
        <v>O MUNDO ENCANTADO DOS KAYAPÓ</v>
      </c>
      <c r="H563">
        <f>VLOOKUP($B563,'Obras e Acervos'!$B:$X,18,0)</f>
        <v>16</v>
      </c>
      <c r="I563">
        <f>VLOOKUP($B563,'Obras e Acervos'!$B:$X,19,0)</f>
        <v>35045</v>
      </c>
      <c r="J563" s="42">
        <f>VLOOKUP($B563,'Obras e Acervos'!$B:$X,20,0)</f>
        <v>4135.3099999999995</v>
      </c>
      <c r="K563" s="31">
        <f>VLOOKUP($B563,'Obras e Acervos'!$B:$X,21,0)</f>
        <v>6.34</v>
      </c>
      <c r="L563" s="31">
        <f t="shared" si="77"/>
        <v>222185.3</v>
      </c>
      <c r="M563" s="1">
        <v>46079</v>
      </c>
      <c r="N563" s="1">
        <f t="shared" si="76"/>
        <v>46305</v>
      </c>
      <c r="O563">
        <f t="shared" si="78"/>
        <v>227</v>
      </c>
      <c r="P563" s="49">
        <f t="shared" si="82"/>
        <v>7.5666666666666664</v>
      </c>
      <c r="Q563" s="34">
        <f>VLOOKUP($G563,Agendamento!$B:$F,5,0)</f>
        <v>5</v>
      </c>
      <c r="R563" s="36">
        <f t="shared" si="79"/>
        <v>36</v>
      </c>
      <c r="S563" s="44">
        <v>2.5499999999999998</v>
      </c>
      <c r="T563" s="44">
        <f t="shared" si="80"/>
        <v>20838.599999999999</v>
      </c>
      <c r="U563" t="s">
        <v>5412</v>
      </c>
      <c r="V563" t="str">
        <f t="shared" si="81"/>
        <v>NF/64307629_20260226_nf_27.pdf</v>
      </c>
      <c r="W563" s="32" t="str">
        <f t="shared" si="83"/>
        <v>NF - O MUNDO ENCANTADO DOS KAYAPÓ</v>
      </c>
      <c r="X563" t="s">
        <v>5591</v>
      </c>
    </row>
    <row r="564" spans="1:24" x14ac:dyDescent="0.25">
      <c r="A564" t="str">
        <f>CONCATENATE(D564,"_",TEXT(M564,"ddmmaaaa"),"_",COUNTIF($D$2:D564,D564))</f>
        <v>354355040001-19_26022026_1</v>
      </c>
      <c r="B564" t="str">
        <f>CONCATENATE(Analise!D564,"_",COUNTIF(Analise!$D$2:D564,Analise!D564))</f>
        <v>354355040001-19_1</v>
      </c>
      <c r="C564" s="34">
        <f>COUNTIF('Obras e Acervos'!$C:$C,CONCATENATE(LEFT(D564,12),RIGHT(D564,2)))</f>
        <v>1</v>
      </c>
      <c r="D564" s="35" t="s">
        <v>4834</v>
      </c>
      <c r="E564" t="str">
        <f>VLOOKUP($B564,'Obras e Acervos'!$B:$X,3,0)</f>
        <v>EDITORA FOCA NO LIVRO LTDA-EDITORA FOCA NO LIVRO</v>
      </c>
      <c r="F564" t="str">
        <f>VLOOKUP($B564,'Obras e Acervos'!$B:$X,7,0)</f>
        <v>1292L23000020LE</v>
      </c>
      <c r="G564" t="str">
        <f>VLOOKUP($B564,'Obras e Acervos'!$B:$X,5,0)</f>
        <v>DEVAGAR E SEMPRE, TARSILA SEGUE EM FRENTE</v>
      </c>
      <c r="H564">
        <f>VLOOKUP($B564,'Obras e Acervos'!$B:$X,18,0)</f>
        <v>19</v>
      </c>
      <c r="I564">
        <f>VLOOKUP($B564,'Obras e Acervos'!$B:$X,19,0)</f>
        <v>25997</v>
      </c>
      <c r="J564" s="42">
        <f>VLOOKUP($B564,'Obras e Acervos'!$B:$X,20,0)</f>
        <v>3067.6459999999997</v>
      </c>
      <c r="K564" s="31">
        <f>VLOOKUP($B564,'Obras e Acervos'!$B:$X,21,0)</f>
        <v>6.94</v>
      </c>
      <c r="L564" s="31">
        <f t="shared" si="77"/>
        <v>180419.18000000002</v>
      </c>
      <c r="M564" s="1">
        <v>46079</v>
      </c>
      <c r="N564" s="1">
        <f t="shared" si="76"/>
        <v>46305</v>
      </c>
      <c r="O564">
        <f t="shared" si="78"/>
        <v>227</v>
      </c>
      <c r="P564" s="49">
        <f t="shared" si="82"/>
        <v>7.5666666666666664</v>
      </c>
      <c r="Q564" s="34">
        <f>VLOOKUP($G564,Agendamento!$B:$F,5,0)</f>
        <v>4</v>
      </c>
      <c r="R564" s="36">
        <f t="shared" si="79"/>
        <v>26</v>
      </c>
      <c r="S564" s="44">
        <v>2.5499999999999998</v>
      </c>
      <c r="T564" s="44">
        <f t="shared" si="80"/>
        <v>15050.099999999999</v>
      </c>
      <c r="U564" t="s">
        <v>5417</v>
      </c>
      <c r="V564" t="str">
        <f t="shared" si="81"/>
        <v>NF/64307629_20260226_nf_28.pdf</v>
      </c>
      <c r="W564" s="32" t="str">
        <f t="shared" si="83"/>
        <v>NF - DEVAGAR E SEMPRE, TARSILA SEGUE EM FRENTE</v>
      </c>
      <c r="X564" t="s">
        <v>5591</v>
      </c>
    </row>
    <row r="565" spans="1:24" x14ac:dyDescent="0.25">
      <c r="A565" t="str">
        <f>CONCATENATE(D565,"_",TEXT(M565,"ddmmaaaa"),"_",COUNTIF($D$2:D565,D565))</f>
        <v>070529780001-46_26022026_2</v>
      </c>
      <c r="B565" t="str">
        <f>CONCATENATE(Analise!D565,"_",COUNTIF(Analise!$D$2:D565,Analise!D565))</f>
        <v>070529780001-46_2</v>
      </c>
      <c r="C565" s="34">
        <f>COUNTIF('Obras e Acervos'!$C:$C,CONCATENATE(LEFT(D565,12),RIGHT(D565,2)))</f>
        <v>2</v>
      </c>
      <c r="D565" s="35" t="s">
        <v>4503</v>
      </c>
      <c r="E565" t="str">
        <f>VLOOKUP($B565,'Obras e Acervos'!$B:$X,3,0)</f>
        <v>ELEMENTAR PUBLICAÇÕES E EDITORA LTDA-ELEMENTAR PUBLICAÇÕES</v>
      </c>
      <c r="F565" t="str">
        <f>VLOOKUP($B565,'Obras e Acervos'!$B:$X,7,0)</f>
        <v>0845L23000020LE</v>
      </c>
      <c r="G565" t="str">
        <f>VLOOKUP($B565,'Obras e Acervos'!$B:$X,5,0)</f>
        <v>RÁ, RÉ, RI, RÓ... RUA!</v>
      </c>
      <c r="H565">
        <f>VLOOKUP($B565,'Obras e Acervos'!$B:$X,18,0)</f>
        <v>14</v>
      </c>
      <c r="I565">
        <f>VLOOKUP($B565,'Obras e Acervos'!$B:$X,19,0)</f>
        <v>24440</v>
      </c>
      <c r="J565" s="42">
        <f>VLOOKUP($B565,'Obras e Acervos'!$B:$X,20,0)</f>
        <v>3128.32</v>
      </c>
      <c r="K565" s="31">
        <f>VLOOKUP($B565,'Obras e Acervos'!$B:$X,21,0)</f>
        <v>7.47</v>
      </c>
      <c r="L565" s="31">
        <f t="shared" si="77"/>
        <v>182566.8</v>
      </c>
      <c r="M565" s="1">
        <v>46079</v>
      </c>
      <c r="N565" s="1">
        <f t="shared" si="76"/>
        <v>46305</v>
      </c>
      <c r="O565">
        <f t="shared" si="78"/>
        <v>227</v>
      </c>
      <c r="P565" s="49">
        <f t="shared" si="82"/>
        <v>7.5666666666666664</v>
      </c>
      <c r="Q565" s="34">
        <f>VLOOKUP($G565,Agendamento!$B:$F,5,0)</f>
        <v>4</v>
      </c>
      <c r="R565" s="36">
        <f t="shared" si="79"/>
        <v>25</v>
      </c>
      <c r="S565" s="44">
        <v>2.5499999999999998</v>
      </c>
      <c r="T565" s="44">
        <f t="shared" si="80"/>
        <v>14471.249999999998</v>
      </c>
      <c r="U565" t="s">
        <v>5419</v>
      </c>
      <c r="V565" t="str">
        <f t="shared" si="81"/>
        <v>NF/64307629_20260226_nf_29.pdf</v>
      </c>
      <c r="W565" s="32" t="str">
        <f t="shared" si="83"/>
        <v>NF - RÁ, RÉ, RI, RÓ... RUA!</v>
      </c>
      <c r="X565" t="s">
        <v>5591</v>
      </c>
    </row>
    <row r="566" spans="1:24" x14ac:dyDescent="0.25">
      <c r="A566" t="str">
        <f>CONCATENATE(D566,"_",TEXT(M566,"ddmmaaaa"),"_",COUNTIF($D$2:D566,D566))</f>
        <v>058758860001-30_26022026_1</v>
      </c>
      <c r="B566" t="str">
        <f>CONCATENATE(Analise!D566,"_",COUNTIF(Analise!$D$2:D566,Analise!D566))</f>
        <v>058758860001-30_1</v>
      </c>
      <c r="C566" s="34">
        <f>COUNTIF('Obras e Acervos'!$C:$C,CONCATENATE(LEFT(D566,12),RIGHT(D566,2)))</f>
        <v>1</v>
      </c>
      <c r="D566" s="35" t="s">
        <v>4837</v>
      </c>
      <c r="E566" t="str">
        <f>VLOOKUP($B566,'Obras e Acervos'!$B:$X,3,0)</f>
        <v>MENEGHETTI'S GRAFICA E EDITORA LTDA-ZIT EDITORA</v>
      </c>
      <c r="F566" t="str">
        <f>VLOOKUP($B566,'Obras e Acervos'!$B:$X,7,0)</f>
        <v>0766L23000020LE</v>
      </c>
      <c r="G566" t="str">
        <f>VLOOKUP($B566,'Obras e Acervos'!$B:$X,5,0)</f>
        <v>PIPA COM COLA DE ARROZ</v>
      </c>
      <c r="H566">
        <f>VLOOKUP($B566,'Obras e Acervos'!$B:$X,18,0)</f>
        <v>14</v>
      </c>
      <c r="I566">
        <f>VLOOKUP($B566,'Obras e Acervos'!$B:$X,19,0)</f>
        <v>24440</v>
      </c>
      <c r="J566" s="42">
        <f>VLOOKUP($B566,'Obras e Acervos'!$B:$X,20,0)</f>
        <v>3274.96</v>
      </c>
      <c r="K566" s="31">
        <f>VLOOKUP($B566,'Obras e Acervos'!$B:$X,21,0)</f>
        <v>7.95</v>
      </c>
      <c r="L566" s="31">
        <f t="shared" si="77"/>
        <v>194298</v>
      </c>
      <c r="M566" s="1">
        <v>46079</v>
      </c>
      <c r="N566" s="1">
        <f t="shared" si="76"/>
        <v>46305</v>
      </c>
      <c r="O566">
        <f t="shared" si="78"/>
        <v>227</v>
      </c>
      <c r="P566" s="49">
        <f t="shared" si="82"/>
        <v>7.5666666666666664</v>
      </c>
      <c r="Q566" s="34">
        <f>VLOOKUP($G566,Agendamento!$B:$F,5,0)</f>
        <v>4</v>
      </c>
      <c r="R566" s="36">
        <f t="shared" si="79"/>
        <v>25</v>
      </c>
      <c r="S566" s="44">
        <v>2.5499999999999998</v>
      </c>
      <c r="T566" s="44">
        <f t="shared" si="80"/>
        <v>14471.249999999998</v>
      </c>
      <c r="U566" t="s">
        <v>5421</v>
      </c>
      <c r="V566" t="str">
        <f t="shared" si="81"/>
        <v>NF/64307629_20260226_nf_31.pdf</v>
      </c>
      <c r="W566" s="32" t="str">
        <f t="shared" si="83"/>
        <v>NF - PIPA COM COLA DE ARROZ</v>
      </c>
      <c r="X566" t="s">
        <v>5591</v>
      </c>
    </row>
    <row r="567" spans="1:24" x14ac:dyDescent="0.25">
      <c r="A567" t="str">
        <f>CONCATENATE(D567,"_",TEXT(M567,"ddmmaaaa"),"_",COUNTIF($D$2:D567,D567))</f>
        <v>434145020001-71_26022026_1</v>
      </c>
      <c r="B567" t="str">
        <f>CONCATENATE(Analise!D567,"_",COUNTIF(Analise!$D$2:D567,Analise!D567))</f>
        <v>434145020001-71_1</v>
      </c>
      <c r="C567" s="34">
        <f>COUNTIF('Obras e Acervos'!$C:$C,CONCATENATE(LEFT(D567,12),RIGHT(D567,2)))</f>
        <v>1</v>
      </c>
      <c r="D567" s="35" t="s">
        <v>4833</v>
      </c>
      <c r="E567" t="str">
        <f>VLOOKUP($B567,'Obras e Acervos'!$B:$X,3,0)</f>
        <v>EDITORA BARBARA LTDA-BARBARA</v>
      </c>
      <c r="F567" t="str">
        <f>VLOOKUP($B567,'Obras e Acervos'!$B:$X,7,0)</f>
        <v>1177L23000020LE</v>
      </c>
      <c r="G567" t="str">
        <f>VLOOKUP($B567,'Obras e Acervos'!$B:$X,5,0)</f>
        <v>O LAMBE-LAMBE MALAQUIAS</v>
      </c>
      <c r="H567">
        <f>VLOOKUP($B567,'Obras e Acervos'!$B:$X,18,0)</f>
        <v>16</v>
      </c>
      <c r="I567">
        <f>VLOOKUP($B567,'Obras e Acervos'!$B:$X,19,0)</f>
        <v>29333</v>
      </c>
      <c r="J567" s="42">
        <f>VLOOKUP($B567,'Obras e Acervos'!$B:$X,20,0)</f>
        <v>3050.6320000000001</v>
      </c>
      <c r="K567" s="31">
        <f>VLOOKUP($B567,'Obras e Acervos'!$B:$X,21,0)</f>
        <v>6.81</v>
      </c>
      <c r="L567" s="31">
        <f t="shared" si="77"/>
        <v>199757.72999999998</v>
      </c>
      <c r="M567" s="1">
        <v>46079</v>
      </c>
      <c r="N567" s="1">
        <f t="shared" si="76"/>
        <v>46305</v>
      </c>
      <c r="O567">
        <f t="shared" si="78"/>
        <v>227</v>
      </c>
      <c r="P567" s="49">
        <f t="shared" si="82"/>
        <v>7.5666666666666664</v>
      </c>
      <c r="Q567" s="34">
        <f>VLOOKUP($G567,Agendamento!$B:$F,5,0)</f>
        <v>4</v>
      </c>
      <c r="R567" s="36">
        <f t="shared" si="79"/>
        <v>30</v>
      </c>
      <c r="S567" s="44">
        <v>2.5499999999999998</v>
      </c>
      <c r="T567" s="44">
        <f t="shared" si="80"/>
        <v>17365.5</v>
      </c>
      <c r="U567" t="s">
        <v>5414</v>
      </c>
      <c r="V567" t="str">
        <f t="shared" si="81"/>
        <v>NF/64307629_20260226_nf_32.pdf</v>
      </c>
      <c r="W567" s="32" t="str">
        <f t="shared" si="83"/>
        <v>NF - O LAMBE-LAMBE MALAQUIAS</v>
      </c>
      <c r="X567" t="s">
        <v>5591</v>
      </c>
    </row>
    <row r="568" spans="1:24" x14ac:dyDescent="0.25">
      <c r="A568" t="str">
        <f>CONCATENATE(D568,"_",TEXT(M568,"ddmmaaaa"),"_",COUNTIF($D$2:D568,D568))</f>
        <v>220572610001-80_26022026_2</v>
      </c>
      <c r="B568" t="str">
        <f>CONCATENATE(Analise!D568,"_",COUNTIF(Analise!$D$2:D568,Analise!D568)-1)</f>
        <v>220572610001-80_1</v>
      </c>
      <c r="C568" s="34">
        <f>COUNTIF('Obras e Acervos'!$C:$C,CONCATENATE(LEFT(D568,12),RIGHT(D568,2)))</f>
        <v>2</v>
      </c>
      <c r="D568" s="35" t="s">
        <v>4630</v>
      </c>
      <c r="E568" t="str">
        <f>VLOOKUP($B568,'Obras e Acervos'!$B:$X,3,0)</f>
        <v>EDITORA BONIFÁCIO LTDA-</v>
      </c>
      <c r="F568" t="str">
        <f>VLOOKUP($B568,'Obras e Acervos'!$B:$X,7,0)</f>
        <v>0827L23000030LE</v>
      </c>
      <c r="G568" t="str">
        <f>VLOOKUP($B568,'Obras e Acervos'!$B:$X,5,0)</f>
        <v>O GATOLA DA CARTOLA</v>
      </c>
      <c r="H568">
        <f>VLOOKUP($B568,'Obras e Acervos'!$B:$X,18,0)</f>
        <v>5</v>
      </c>
      <c r="I568">
        <f>VLOOKUP($B568,'Obras e Acervos'!$B:$X,19,0)</f>
        <v>38438</v>
      </c>
      <c r="J568" s="42">
        <f>VLOOKUP($B568,'Obras e Acervos'!$B:$X,20,0)</f>
        <v>7341.6580000000004</v>
      </c>
      <c r="K568" s="31">
        <f>VLOOKUP($B568,'Obras e Acervos'!$B:$X,21,0)</f>
        <v>9.65</v>
      </c>
      <c r="L568" s="31">
        <f t="shared" si="77"/>
        <v>370926.7</v>
      </c>
      <c r="M568" s="1">
        <v>46079</v>
      </c>
      <c r="N568" s="1">
        <f t="shared" si="76"/>
        <v>46305</v>
      </c>
      <c r="O568">
        <f t="shared" si="78"/>
        <v>227</v>
      </c>
      <c r="P568" s="49">
        <f t="shared" si="82"/>
        <v>7.5666666666666664</v>
      </c>
      <c r="Q568" s="34">
        <f>VLOOKUP($G568,Agendamento!$B:$F,5,0)</f>
        <v>5</v>
      </c>
      <c r="R568" s="36">
        <f t="shared" si="79"/>
        <v>39</v>
      </c>
      <c r="S568" s="44">
        <v>2.5499999999999998</v>
      </c>
      <c r="T568" s="44">
        <f t="shared" si="80"/>
        <v>22575.149999999998</v>
      </c>
      <c r="U568" t="s">
        <v>5413</v>
      </c>
      <c r="V568" t="str">
        <f t="shared" si="81"/>
        <v>NF/64307629_20260226_nf_33.pdf</v>
      </c>
      <c r="W568" s="32" t="str">
        <f t="shared" si="83"/>
        <v>NF - O GATOLA DA CARTOLA</v>
      </c>
      <c r="X568" t="s">
        <v>5591</v>
      </c>
    </row>
    <row r="569" spans="1:24" x14ac:dyDescent="0.25">
      <c r="A569" t="str">
        <f>CONCATENATE(D569,"_",TEXT(M569,"ddmmaaaa"),"_",COUNTIF($D$2:D569,D569))</f>
        <v>314849740001-11_27022026_2</v>
      </c>
      <c r="B569" t="str">
        <f>CONCATENATE(Analise!D569,"_",COUNTIF(Analise!$D$2:D569,Analise!D569))</f>
        <v>314849740001-11_2</v>
      </c>
      <c r="C569" s="34">
        <f>COUNTIF('Obras e Acervos'!$C:$C,CONCATENATE(LEFT(D569,12),RIGHT(D569,2)))</f>
        <v>2</v>
      </c>
      <c r="D569" s="35" t="s">
        <v>4705</v>
      </c>
      <c r="E569" t="str">
        <f>VLOOKUP($B569,'Obras e Acervos'!$B:$X,3,0)</f>
        <v>AMARE EDITORA LTDA-AMARE</v>
      </c>
      <c r="F569" t="str">
        <f>VLOOKUP($B569,'Obras e Acervos'!$B:$X,7,0)</f>
        <v>0634L23000020LE</v>
      </c>
      <c r="G569" t="str">
        <f>VLOOKUP($B569,'Obras e Acervos'!$B:$X,5,0)</f>
        <v>A MENINA QUE ENGOLIU UMA RIMA</v>
      </c>
      <c r="H569">
        <f>VLOOKUP($B569,'Obras e Acervos'!$B:$X,18,0)</f>
        <v>13</v>
      </c>
      <c r="I569">
        <f>VLOOKUP($B569,'Obras e Acervos'!$B:$X,19,0)</f>
        <v>40801</v>
      </c>
      <c r="J569" s="42">
        <f>VLOOKUP($B569,'Obras e Acervos'!$B:$X,20,0)</f>
        <v>2856.07</v>
      </c>
      <c r="K569" s="31">
        <f>VLOOKUP($B569,'Obras e Acervos'!$B:$X,21,0)</f>
        <v>5.85</v>
      </c>
      <c r="L569" s="31">
        <f t="shared" si="77"/>
        <v>238685.84999999998</v>
      </c>
      <c r="M569" s="1">
        <v>46080</v>
      </c>
      <c r="N569" s="1">
        <f t="shared" si="76"/>
        <v>46305</v>
      </c>
      <c r="O569">
        <f t="shared" si="78"/>
        <v>226</v>
      </c>
      <c r="P569" s="49">
        <f t="shared" si="82"/>
        <v>7.5333333333333332</v>
      </c>
      <c r="Q569" s="34">
        <f>VLOOKUP($G569,Agendamento!$B:$F,5,0)</f>
        <v>4</v>
      </c>
      <c r="R569" s="36">
        <f t="shared" si="79"/>
        <v>41</v>
      </c>
      <c r="S569" s="44">
        <v>2.5499999999999998</v>
      </c>
      <c r="T569" s="44">
        <f t="shared" si="80"/>
        <v>23628.3</v>
      </c>
      <c r="U569" t="s">
        <v>5422</v>
      </c>
      <c r="V569" t="str">
        <f t="shared" si="81"/>
        <v>NF/64307674_20260227_nf_01.pdf</v>
      </c>
      <c r="W569" s="32" t="str">
        <f t="shared" si="83"/>
        <v>NF - A MENINA QUE ENGOLIU UMA RIMA</v>
      </c>
      <c r="X569" t="s">
        <v>5591</v>
      </c>
    </row>
    <row r="570" spans="1:24" x14ac:dyDescent="0.25">
      <c r="A570" t="str">
        <f>CONCATENATE(D570,"_",TEXT(M570,"ddmmaaaa"),"_",COUNTIF($D$2:D570,D570))</f>
        <v>416366290001-00_27022026_2</v>
      </c>
      <c r="B570" t="str">
        <f>CONCATENATE(Analise!D570,"_",COUNTIF(Analise!$D$2:D570,Analise!D570))</f>
        <v>416366290001-00_2</v>
      </c>
      <c r="C570" s="34">
        <f>COUNTIF('Obras e Acervos'!$C:$C,CONCATENATE(LEFT(D570,12),RIGHT(D570,2)))</f>
        <v>2</v>
      </c>
      <c r="D570" s="35" t="s">
        <v>4812</v>
      </c>
      <c r="E570" t="str">
        <f>VLOOKUP($B570,'Obras e Acervos'!$B:$X,3,0)</f>
        <v>OPALA EDITORA E LIVRARIA LTDA-EDITORA OPALA</v>
      </c>
      <c r="F570" t="str">
        <f>VLOOKUP($B570,'Obras e Acervos'!$B:$X,7,0)</f>
        <v>0434L23000020LE</v>
      </c>
      <c r="G570" t="str">
        <f>VLOOKUP($B570,'Obras e Acervos'!$B:$X,5,0)</f>
        <v>CULPADO OU INOCENTE?: O JULGAMENTO DO LOBO MAU</v>
      </c>
      <c r="H570">
        <f>VLOOKUP($B570,'Obras e Acervos'!$B:$X,18,0)</f>
        <v>13</v>
      </c>
      <c r="I570">
        <f>VLOOKUP($B570,'Obras e Acervos'!$B:$X,19,0)</f>
        <v>50164</v>
      </c>
      <c r="J570" s="42">
        <f>VLOOKUP($B570,'Obras e Acervos'!$B:$X,20,0)</f>
        <v>5869.1880000000001</v>
      </c>
      <c r="K570" s="31">
        <f>VLOOKUP($B570,'Obras e Acervos'!$B:$X,21,0)</f>
        <v>7.64</v>
      </c>
      <c r="L570" s="31">
        <f t="shared" si="77"/>
        <v>383252.95999999996</v>
      </c>
      <c r="M570" s="1">
        <v>46080</v>
      </c>
      <c r="N570" s="1">
        <f t="shared" si="76"/>
        <v>46305</v>
      </c>
      <c r="O570">
        <f t="shared" si="78"/>
        <v>226</v>
      </c>
      <c r="P570" s="49">
        <f t="shared" si="82"/>
        <v>7.5333333333333332</v>
      </c>
      <c r="Q570" s="34">
        <f>VLOOKUP($G570,Agendamento!$B:$F,5,0)</f>
        <v>7</v>
      </c>
      <c r="R570" s="36">
        <f t="shared" si="79"/>
        <v>51</v>
      </c>
      <c r="S570" s="44">
        <v>2.5499999999999998</v>
      </c>
      <c r="T570" s="44">
        <f t="shared" si="80"/>
        <v>29391.3</v>
      </c>
      <c r="U570" t="s">
        <v>5425</v>
      </c>
      <c r="V570" t="str">
        <f t="shared" si="81"/>
        <v>NF/64307674_20260227_nf_03.pdf</v>
      </c>
      <c r="W570" s="32" t="str">
        <f t="shared" si="83"/>
        <v>NF - CULPADO OU INOCENTE?: O JULGAMENTO DO LOBO MAU</v>
      </c>
      <c r="X570" t="s">
        <v>5591</v>
      </c>
    </row>
    <row r="571" spans="1:24" x14ac:dyDescent="0.25">
      <c r="A571" t="str">
        <f>CONCATENATE(D571,"_",TEXT(M571,"ddmmaaaa"),"_",COUNTIF($D$2:D571,D571))</f>
        <v>048391490001-10_27022026_1</v>
      </c>
      <c r="B571" t="str">
        <f>CONCATENATE(Analise!D571,"_",COUNTIF(Analise!$D$2:D571,Analise!D571)+1)</f>
        <v>048391490001-10_2</v>
      </c>
      <c r="C571" s="34">
        <f>COUNTIF('Obras e Acervos'!$C:$C,CONCATENATE(LEFT(D571,12),RIGHT(D571,2)))</f>
        <v>2</v>
      </c>
      <c r="D571" s="35" t="s">
        <v>4842</v>
      </c>
      <c r="E571" t="str">
        <f>VLOOKUP($B571,'Obras e Acervos'!$B:$X,3,0)</f>
        <v>EDITORA BEST SELLER LTDA.-EDITORA BEST SELLER</v>
      </c>
      <c r="F571" t="str">
        <f>VLOOKUP($B571,'Obras e Acervos'!$B:$X,7,0)</f>
        <v>0552L23000020LE</v>
      </c>
      <c r="G571" t="str">
        <f>VLOOKUP($B571,'Obras e Acervos'!$B:$X,5,0)</f>
        <v>A ÚLTIMA PRINCESA</v>
      </c>
      <c r="H571">
        <f>VLOOKUP($B571,'Obras e Acervos'!$B:$X,18,0)</f>
        <v>18</v>
      </c>
      <c r="I571">
        <f>VLOOKUP($B571,'Obras e Acervos'!$B:$X,19,0)</f>
        <v>24821</v>
      </c>
      <c r="J571" s="42">
        <f>VLOOKUP($B571,'Obras e Acervos'!$B:$X,20,0)</f>
        <v>3723.1499999999996</v>
      </c>
      <c r="K571" s="31">
        <f>VLOOKUP($B571,'Obras e Acervos'!$B:$X,21,0)</f>
        <v>14.14</v>
      </c>
      <c r="L571" s="31">
        <f t="shared" si="77"/>
        <v>350968.94</v>
      </c>
      <c r="M571" s="1">
        <v>46080</v>
      </c>
      <c r="N571" s="1">
        <f t="shared" si="76"/>
        <v>46305</v>
      </c>
      <c r="O571">
        <f t="shared" si="78"/>
        <v>226</v>
      </c>
      <c r="P571" s="49">
        <f t="shared" si="82"/>
        <v>7.5333333333333332</v>
      </c>
      <c r="Q571" s="34">
        <f>VLOOKUP($G571,Agendamento!$B:$F,5,0)</f>
        <v>4</v>
      </c>
      <c r="R571" s="36">
        <f t="shared" si="79"/>
        <v>25</v>
      </c>
      <c r="S571" s="44">
        <v>2.5499999999999998</v>
      </c>
      <c r="T571" s="44">
        <f t="shared" si="80"/>
        <v>14407.499999999998</v>
      </c>
      <c r="U571" t="s">
        <v>5430</v>
      </c>
      <c r="V571" t="str">
        <f t="shared" si="81"/>
        <v>NF/64307674_20260227_nf_05.pdf</v>
      </c>
      <c r="W571" s="32" t="str">
        <f t="shared" si="83"/>
        <v>NF - A ÚLTIMA PRINCESA</v>
      </c>
      <c r="X571" t="s">
        <v>5591</v>
      </c>
    </row>
    <row r="572" spans="1:24" x14ac:dyDescent="0.25">
      <c r="A572" t="str">
        <f>CONCATENATE(D572,"_",TEXT(M572,"ddmmaaaa"),"_",COUNTIF($D$2:D572,D572))</f>
        <v>137508740001-08_27022026_1</v>
      </c>
      <c r="B572" t="str">
        <f>CONCATENATE(Analise!D572,"_",COUNTIF(Analise!$D$2:D572,Analise!D572))</f>
        <v>137508740001-08_1</v>
      </c>
      <c r="C572" s="34">
        <f>COUNTIF('Obras e Acervos'!$C:$C,CONCATENATE(LEFT(D572,12),RIGHT(D572,2)))</f>
        <v>2</v>
      </c>
      <c r="D572" s="35" t="s">
        <v>4838</v>
      </c>
      <c r="E572" t="str">
        <f>VLOOKUP($B572,'Obras e Acervos'!$B:$X,3,0)</f>
        <v>EDITORA PULO DO GATO LTDA-EDITORA PULO DO GATO</v>
      </c>
      <c r="F572" t="str">
        <f>VLOOKUP($B572,'Obras e Acervos'!$B:$X,7,0)</f>
        <v>0747L23000030LE</v>
      </c>
      <c r="G572" t="str">
        <f>VLOOKUP($B572,'Obras e Acervos'!$B:$X,5,0)</f>
        <v>LETRAS DE CARVÃO</v>
      </c>
      <c r="H572">
        <f>VLOOKUP($B572,'Obras e Acervos'!$B:$X,18,0)</f>
        <v>10</v>
      </c>
      <c r="I572">
        <f>VLOOKUP($B572,'Obras e Acervos'!$B:$X,19,0)</f>
        <v>38252</v>
      </c>
      <c r="J572" s="42">
        <f>VLOOKUP($B572,'Obras e Acervos'!$B:$X,20,0)</f>
        <v>4475.4840000000004</v>
      </c>
      <c r="K572" s="31">
        <f>VLOOKUP($B572,'Obras e Acervos'!$B:$X,21,0)</f>
        <v>6.32</v>
      </c>
      <c r="L572" s="31">
        <f t="shared" si="77"/>
        <v>241752.64</v>
      </c>
      <c r="M572" s="1">
        <v>46080</v>
      </c>
      <c r="N572" s="1">
        <f t="shared" si="76"/>
        <v>46305</v>
      </c>
      <c r="O572">
        <f t="shared" si="78"/>
        <v>226</v>
      </c>
      <c r="P572" s="49">
        <f t="shared" si="82"/>
        <v>7.5333333333333332</v>
      </c>
      <c r="Q572" s="34">
        <f>VLOOKUP($G572,Agendamento!$B:$F,5,0)</f>
        <v>8</v>
      </c>
      <c r="R572" s="36">
        <f t="shared" si="79"/>
        <v>39</v>
      </c>
      <c r="S572" s="44">
        <v>2.5499999999999998</v>
      </c>
      <c r="T572" s="44">
        <f t="shared" si="80"/>
        <v>22475.699999999997</v>
      </c>
      <c r="U572" t="s">
        <v>5423</v>
      </c>
      <c r="V572" t="str">
        <f t="shared" si="81"/>
        <v>NF/64307674_20260227_nf_07.pdf</v>
      </c>
      <c r="W572" s="32" t="str">
        <f t="shared" si="83"/>
        <v>NF - LETRAS DE CARVÃO</v>
      </c>
      <c r="X572" t="s">
        <v>5591</v>
      </c>
    </row>
    <row r="573" spans="1:24" x14ac:dyDescent="0.25">
      <c r="A573" t="str">
        <f>CONCATENATE(D573,"_",TEXT(M573,"ddmmaaaa"),"_",COUNTIF($D$2:D573,D573))</f>
        <v>137508740001-08_27022026_2</v>
      </c>
      <c r="B573" t="str">
        <f>CONCATENATE(Analise!D573,"_",COUNTIF(Analise!$D$2:D573,Analise!D573))</f>
        <v>137508740001-08_2</v>
      </c>
      <c r="C573" s="34">
        <f>COUNTIF('Obras e Acervos'!$C:$C,CONCATENATE(LEFT(D573,12),RIGHT(D573,2)))</f>
        <v>2</v>
      </c>
      <c r="D573" s="35" t="s">
        <v>4838</v>
      </c>
      <c r="E573" t="str">
        <f>VLOOKUP($B573,'Obras e Acervos'!$B:$X,3,0)</f>
        <v>EDITORA PULO DO GATO LTDA-EDITORA PULO DO GATO</v>
      </c>
      <c r="F573" t="str">
        <f>VLOOKUP($B573,'Obras e Acervos'!$B:$X,7,0)</f>
        <v>0748L23000020LE</v>
      </c>
      <c r="G573" t="str">
        <f>VLOOKUP($B573,'Obras e Acervos'!$B:$X,5,0)</f>
        <v>UM DIA, UM RIO</v>
      </c>
      <c r="H573">
        <f>VLOOKUP($B573,'Obras e Acervos'!$B:$X,18,0)</f>
        <v>22</v>
      </c>
      <c r="I573">
        <f>VLOOKUP($B573,'Obras e Acervos'!$B:$X,19,0)</f>
        <v>23646</v>
      </c>
      <c r="J573" s="42">
        <f>VLOOKUP($B573,'Obras e Acervos'!$B:$X,20,0)</f>
        <v>2601.06</v>
      </c>
      <c r="K573" s="31">
        <f>VLOOKUP($B573,'Obras e Acervos'!$B:$X,21,0)</f>
        <v>7.05</v>
      </c>
      <c r="L573" s="31">
        <f t="shared" si="77"/>
        <v>166704.29999999999</v>
      </c>
      <c r="M573" s="1">
        <v>46080</v>
      </c>
      <c r="N573" s="1">
        <f t="shared" si="76"/>
        <v>46305</v>
      </c>
      <c r="O573">
        <f t="shared" si="78"/>
        <v>226</v>
      </c>
      <c r="P573" s="49">
        <f t="shared" si="82"/>
        <v>7.5333333333333332</v>
      </c>
      <c r="Q573" s="34">
        <f>VLOOKUP($G573,Agendamento!$B:$F,5,0)</f>
        <v>5</v>
      </c>
      <c r="R573" s="36">
        <f t="shared" si="79"/>
        <v>24</v>
      </c>
      <c r="S573" s="44">
        <v>2.5499999999999998</v>
      </c>
      <c r="T573" s="44">
        <f t="shared" si="80"/>
        <v>13831.199999999999</v>
      </c>
      <c r="U573" t="s">
        <v>5423</v>
      </c>
      <c r="V573" t="str">
        <f t="shared" si="81"/>
        <v>NF/64307674_20260227_nf_07.pdf</v>
      </c>
      <c r="W573" s="32" t="str">
        <f t="shared" si="83"/>
        <v>NF - UM DIA, UM RIO</v>
      </c>
      <c r="X573" t="s">
        <v>5591</v>
      </c>
    </row>
    <row r="574" spans="1:24" x14ac:dyDescent="0.25">
      <c r="A574" t="str">
        <f>CONCATENATE(D574,"_",TEXT(M574,"ddmmaaaa"),"_",COUNTIF($D$2:D574,D574))</f>
        <v>011066520001-78_27022026_1</v>
      </c>
      <c r="B574" t="str">
        <f>CONCATENATE(Analise!D574,"_",COUNTIF(Analise!$D$2:D574,Analise!D574))</f>
        <v>011066520001-78_1</v>
      </c>
      <c r="C574" s="34">
        <f>COUNTIF('Obras e Acervos'!$C:$C,CONCATENATE(LEFT(D574,12),RIGHT(D574,2)))</f>
        <v>2</v>
      </c>
      <c r="D574" s="35" t="s">
        <v>4844</v>
      </c>
      <c r="E574" t="str">
        <f>VLOOKUP($B574,'Obras e Acervos'!$B:$X,3,0)</f>
        <v>O JOGO DE AMARELINHA SERVIÇOS EDITORIAIS LTDA-EDIÇÕES JOGO DE AMARELINHA</v>
      </c>
      <c r="F574" t="str">
        <f>VLOOKUP($B574,'Obras e Acervos'!$B:$X,7,0)</f>
        <v>0759L23000030LE</v>
      </c>
      <c r="G574" t="str">
        <f>VLOOKUP($B574,'Obras e Acervos'!$B:$X,5,0)</f>
        <v>A PROFESSORA DA FLORESTA E A GRANDE SERPENTE</v>
      </c>
      <c r="H574">
        <f>VLOOKUP($B574,'Obras e Acervos'!$B:$X,18,0)</f>
        <v>5</v>
      </c>
      <c r="I574">
        <f>VLOOKUP($B574,'Obras e Acervos'!$B:$X,19,0)</f>
        <v>41059</v>
      </c>
      <c r="J574" s="42">
        <f>VLOOKUP($B574,'Obras e Acervos'!$B:$X,20,0)</f>
        <v>4516.49</v>
      </c>
      <c r="K574" s="31">
        <f>VLOOKUP($B574,'Obras e Acervos'!$B:$X,21,0)</f>
        <v>5.84</v>
      </c>
      <c r="L574" s="31">
        <f t="shared" si="77"/>
        <v>239784.56</v>
      </c>
      <c r="M574" s="1">
        <v>46080</v>
      </c>
      <c r="N574" s="1">
        <f t="shared" si="76"/>
        <v>46305</v>
      </c>
      <c r="O574">
        <f t="shared" si="78"/>
        <v>226</v>
      </c>
      <c r="P574" s="49">
        <f t="shared" si="82"/>
        <v>7.5333333333333332</v>
      </c>
      <c r="Q574" s="34">
        <f>VLOOKUP($G574,Agendamento!$B:$F,5,0)</f>
        <v>9</v>
      </c>
      <c r="R574" s="36">
        <f t="shared" si="79"/>
        <v>42</v>
      </c>
      <c r="S574" s="44">
        <v>2.5499999999999998</v>
      </c>
      <c r="T574" s="44">
        <f t="shared" si="80"/>
        <v>24204.6</v>
      </c>
      <c r="U574" t="s">
        <v>5433</v>
      </c>
      <c r="V574" t="str">
        <f t="shared" si="81"/>
        <v>NF/64307674_20260227_nf_08.pdf</v>
      </c>
      <c r="W574" s="32" t="str">
        <f t="shared" si="83"/>
        <v>NF - A PROFESSORA DA FLORESTA E A GRANDE SERPENTE</v>
      </c>
      <c r="X574" t="s">
        <v>5591</v>
      </c>
    </row>
    <row r="575" spans="1:24" x14ac:dyDescent="0.25">
      <c r="A575" t="str">
        <f>CONCATENATE(D575,"_",TEXT(M575,"ddmmaaaa"),"_",COUNTIF($D$2:D575,D575))</f>
        <v>011066520001-78_27022026_2</v>
      </c>
      <c r="B575" t="str">
        <f>CONCATENATE(Analise!D575,"_",COUNTIF(Analise!$D$2:D575,Analise!D575))</f>
        <v>011066520001-78_2</v>
      </c>
      <c r="C575" s="34">
        <f>COUNTIF('Obras e Acervos'!$C:$C,CONCATENATE(LEFT(D575,12),RIGHT(D575,2)))</f>
        <v>2</v>
      </c>
      <c r="D575" s="35" t="s">
        <v>4844</v>
      </c>
      <c r="E575" t="str">
        <f>VLOOKUP($B575,'Obras e Acervos'!$B:$X,3,0)</f>
        <v>O JOGO DE AMARELINHA SERVIÇOS EDITORIAIS LTDA-EDIÇÕES JOGO DE AMARELINHA</v>
      </c>
      <c r="F575" t="str">
        <f>VLOOKUP($B575,'Obras e Acervos'!$B:$X,7,0)</f>
        <v>0760L23000020LE</v>
      </c>
      <c r="G575" t="str">
        <f>VLOOKUP($B575,'Obras e Acervos'!$B:$X,5,0)</f>
        <v>FOI ELE QUE ESCREVEU A VENTANIA</v>
      </c>
      <c r="H575">
        <f>VLOOKUP($B575,'Obras e Acervos'!$B:$X,18,0)</f>
        <v>11</v>
      </c>
      <c r="I575">
        <f>VLOOKUP($B575,'Obras e Acervos'!$B:$X,19,0)</f>
        <v>33074</v>
      </c>
      <c r="J575" s="42">
        <f>VLOOKUP($B575,'Obras e Acervos'!$B:$X,20,0)</f>
        <v>4464.9900000000007</v>
      </c>
      <c r="K575" s="31">
        <f>VLOOKUP($B575,'Obras e Acervos'!$B:$X,21,0)</f>
        <v>7.75</v>
      </c>
      <c r="L575" s="31">
        <f t="shared" si="77"/>
        <v>256323.5</v>
      </c>
      <c r="M575" s="1">
        <v>46080</v>
      </c>
      <c r="N575" s="1">
        <f t="shared" si="76"/>
        <v>46305</v>
      </c>
      <c r="O575">
        <f t="shared" si="78"/>
        <v>226</v>
      </c>
      <c r="P575" s="49">
        <f t="shared" si="82"/>
        <v>7.5333333333333332</v>
      </c>
      <c r="Q575" s="34">
        <f>VLOOKUP($G575,Agendamento!$B:$F,5,0)</f>
        <v>7</v>
      </c>
      <c r="R575" s="36">
        <f t="shared" si="79"/>
        <v>34</v>
      </c>
      <c r="S575" s="44">
        <v>2.5499999999999998</v>
      </c>
      <c r="T575" s="44">
        <f t="shared" si="80"/>
        <v>19594.199999999997</v>
      </c>
      <c r="U575" t="s">
        <v>5433</v>
      </c>
      <c r="V575" t="str">
        <f t="shared" si="81"/>
        <v>NF/64307674_20260227_nf_08.pdf</v>
      </c>
      <c r="W575" s="32" t="str">
        <f t="shared" si="83"/>
        <v>NF - FOI ELE QUE ESCREVEU A VENTANIA</v>
      </c>
      <c r="X575" t="s">
        <v>5591</v>
      </c>
    </row>
    <row r="576" spans="1:24" x14ac:dyDescent="0.25">
      <c r="A576" t="str">
        <f>CONCATENATE(D576,"_",TEXT(M576,"ddmmaaaa"),"_",COUNTIF($D$2:D576,D576))</f>
        <v>210689890001-45_27022026_1</v>
      </c>
      <c r="B576" t="str">
        <f>CONCATENATE(Analise!D576,"_",COUNTIF(Analise!$D$2:D576,Analise!D576))</f>
        <v>210689890001-45_1</v>
      </c>
      <c r="C576" s="34">
        <f>COUNTIF('Obras e Acervos'!$C:$C,CONCATENATE(LEFT(D576,12),RIGHT(D576,2)))</f>
        <v>1</v>
      </c>
      <c r="D576" s="35" t="s">
        <v>4848</v>
      </c>
      <c r="E576" t="str">
        <f>VLOOKUP($B576,'Obras e Acervos'!$B:$X,3,0)</f>
        <v>EDITORA PASSARINHO LTDA-EDITORA PASSARINHO</v>
      </c>
      <c r="F576" t="str">
        <f>VLOOKUP($B576,'Obras e Acervos'!$B:$X,7,0)</f>
        <v>1342L23000030LE</v>
      </c>
      <c r="G576" t="str">
        <f>VLOOKUP($B576,'Obras e Acervos'!$B:$X,5,0)</f>
        <v>O REI QUE ASSOBIAVA</v>
      </c>
      <c r="H576">
        <f>VLOOKUP($B576,'Obras e Acervos'!$B:$X,18,0)</f>
        <v>10</v>
      </c>
      <c r="I576">
        <f>VLOOKUP($B576,'Obras e Acervos'!$B:$X,19,0)</f>
        <v>33177</v>
      </c>
      <c r="J576" s="42">
        <f>VLOOKUP($B576,'Obras e Acervos'!$B:$X,20,0)</f>
        <v>1658.8500000000001</v>
      </c>
      <c r="K576" s="31">
        <f>VLOOKUP($B576,'Obras e Acervos'!$B:$X,21,0)</f>
        <v>5.07</v>
      </c>
      <c r="L576" s="31">
        <f t="shared" si="77"/>
        <v>168207.39</v>
      </c>
      <c r="M576" s="1">
        <v>46080</v>
      </c>
      <c r="N576" s="1">
        <f t="shared" si="76"/>
        <v>46305</v>
      </c>
      <c r="O576">
        <f t="shared" si="78"/>
        <v>226</v>
      </c>
      <c r="P576" s="49">
        <f t="shared" si="82"/>
        <v>7.5333333333333332</v>
      </c>
      <c r="Q576" s="34">
        <f>VLOOKUP($G576,Agendamento!$B:$F,5,0)</f>
        <v>4</v>
      </c>
      <c r="R576" s="36">
        <f t="shared" si="79"/>
        <v>34</v>
      </c>
      <c r="S576" s="44">
        <v>2.5499999999999998</v>
      </c>
      <c r="T576" s="44">
        <f t="shared" si="80"/>
        <v>19594.199999999997</v>
      </c>
      <c r="U576" t="s">
        <v>5438</v>
      </c>
      <c r="V576" t="str">
        <f t="shared" si="81"/>
        <v>NF/64307674_20260227_nf_09.pdf</v>
      </c>
      <c r="W576" s="32" t="str">
        <f t="shared" si="83"/>
        <v>NF - O REI QUE ASSOBIAVA</v>
      </c>
      <c r="X576" t="s">
        <v>5591</v>
      </c>
    </row>
    <row r="577" spans="1:24" x14ac:dyDescent="0.25">
      <c r="A577" t="str">
        <f>CONCATENATE(D577,"_",TEXT(M577,"ddmmaaaa"),"_",COUNTIF($D$2:D577,D577))</f>
        <v>611016710001-33_27022026_1</v>
      </c>
      <c r="B577" t="str">
        <f>CONCATENATE(Analise!D577,"_",COUNTIF(Analise!$D$2:D577,Analise!D577))</f>
        <v>611016710001-33_1</v>
      </c>
      <c r="C577" s="34">
        <f>COUNTIF('Obras e Acervos'!$C:$C,CONCATENATE(LEFT(D577,12),RIGHT(D577,2)))</f>
        <v>2</v>
      </c>
      <c r="D577" s="35" t="s">
        <v>4846</v>
      </c>
      <c r="E577" t="str">
        <f>VLOOKUP($B577,'Obras e Acervos'!$B:$X,3,0)</f>
        <v>COMPANHIA EDITORA NACIONAL-EDITORA NACIONAL</v>
      </c>
      <c r="F577" t="str">
        <f>VLOOKUP($B577,'Obras e Acervos'!$B:$X,7,0)</f>
        <v>0809L23000030LE</v>
      </c>
      <c r="G577" t="str">
        <f>VLOOKUP($B577,'Obras e Acervos'!$B:$X,5,0)</f>
        <v>ONDE FOI A DONA PATA?</v>
      </c>
      <c r="H577">
        <f>VLOOKUP($B577,'Obras e Acervos'!$B:$X,18,0)</f>
        <v>6</v>
      </c>
      <c r="I577">
        <f>VLOOKUP($B577,'Obras e Acervos'!$B:$X,19,0)</f>
        <v>37129</v>
      </c>
      <c r="J577" s="42">
        <f>VLOOKUP($B577,'Obras e Acervos'!$B:$X,20,0)</f>
        <v>3452.9969999999998</v>
      </c>
      <c r="K577" s="31">
        <f>VLOOKUP($B577,'Obras e Acervos'!$B:$X,21,0)</f>
        <v>5.84</v>
      </c>
      <c r="L577" s="31">
        <f t="shared" si="77"/>
        <v>216833.36</v>
      </c>
      <c r="M577" s="1">
        <v>46080</v>
      </c>
      <c r="N577" s="1">
        <f t="shared" si="76"/>
        <v>46305</v>
      </c>
      <c r="O577">
        <f t="shared" si="78"/>
        <v>226</v>
      </c>
      <c r="P577" s="49">
        <f t="shared" si="82"/>
        <v>7.5333333333333332</v>
      </c>
      <c r="Q577" s="34">
        <f>VLOOKUP($G577,Agendamento!$B:$F,5,0)</f>
        <v>5</v>
      </c>
      <c r="R577" s="36">
        <f t="shared" si="79"/>
        <v>38</v>
      </c>
      <c r="S577" s="44">
        <v>2.5499999999999998</v>
      </c>
      <c r="T577" s="44">
        <f t="shared" si="80"/>
        <v>21899.399999999998</v>
      </c>
      <c r="U577" t="s">
        <v>5435</v>
      </c>
      <c r="V577" t="str">
        <f t="shared" si="81"/>
        <v>NF/64307674_20260227_nf_10.pdf</v>
      </c>
      <c r="W577" s="32" t="str">
        <f t="shared" si="83"/>
        <v>NF - ONDE FOI A DONA PATA?</v>
      </c>
      <c r="X577" t="s">
        <v>5591</v>
      </c>
    </row>
    <row r="578" spans="1:24" x14ac:dyDescent="0.25">
      <c r="A578" t="str">
        <f>CONCATENATE(D578,"_",TEXT(M578,"ddmmaaaa"),"_",COUNTIF($D$2:D578,D578))</f>
        <v>365446300001-74_27022026_1</v>
      </c>
      <c r="B578" t="str">
        <f>CONCATENATE(Analise!D578,"_",COUNTIF(Analise!$D$2:D578,Analise!D578))</f>
        <v>365446300001-74_1</v>
      </c>
      <c r="C578" s="34">
        <f>COUNTIF('Obras e Acervos'!$C:$C,CONCATENATE(LEFT(D578,12),RIGHT(D578,2)))</f>
        <v>2</v>
      </c>
      <c r="D578" s="35" t="s">
        <v>4841</v>
      </c>
      <c r="E578" t="str">
        <f>VLOOKUP($B578,'Obras e Acervos'!$B:$X,3,0)</f>
        <v>BECBOOKS SOLUCOES EDUCACIONAIS LTDA-BECBOOKS SOLUCOES EDUCACIONAIS</v>
      </c>
      <c r="F578" t="str">
        <f>VLOOKUP($B578,'Obras e Acervos'!$B:$X,7,0)</f>
        <v>0880L23000030LE</v>
      </c>
      <c r="G578" t="str">
        <f>VLOOKUP($B578,'Obras e Acervos'!$B:$X,5,0)</f>
        <v>ABRAPRACABRA NO MUNDO</v>
      </c>
      <c r="H578">
        <f>VLOOKUP($B578,'Obras e Acervos'!$B:$X,18,0)</f>
        <v>5</v>
      </c>
      <c r="I578">
        <f>VLOOKUP($B578,'Obras e Acervos'!$B:$X,19,0)</f>
        <v>37998</v>
      </c>
      <c r="J578" s="42">
        <f>VLOOKUP($B578,'Obras e Acervos'!$B:$X,20,0)</f>
        <v>4141.7820000000002</v>
      </c>
      <c r="K578" s="31">
        <f>VLOOKUP($B578,'Obras e Acervos'!$B:$X,21,0)</f>
        <v>5.9</v>
      </c>
      <c r="L578" s="31">
        <f t="shared" si="77"/>
        <v>224188.2</v>
      </c>
      <c r="M578" s="1">
        <v>46080</v>
      </c>
      <c r="N578" s="1">
        <f t="shared" ref="N578:N641" si="84">$AB$2</f>
        <v>46305</v>
      </c>
      <c r="O578">
        <f t="shared" si="78"/>
        <v>226</v>
      </c>
      <c r="P578" s="49">
        <f t="shared" si="82"/>
        <v>7.5333333333333332</v>
      </c>
      <c r="Q578" s="34">
        <f>VLOOKUP($G578,Agendamento!$B:$F,5,0)</f>
        <v>5</v>
      </c>
      <c r="R578" s="36">
        <f t="shared" si="79"/>
        <v>38</v>
      </c>
      <c r="S578" s="44">
        <v>2.5499999999999998</v>
      </c>
      <c r="T578" s="44">
        <f t="shared" si="80"/>
        <v>21899.399999999998</v>
      </c>
      <c r="U578" t="s">
        <v>5428</v>
      </c>
      <c r="V578" t="str">
        <f t="shared" si="81"/>
        <v>NF/64307674_20260227_nf_11.pdf</v>
      </c>
      <c r="W578" s="32" t="str">
        <f t="shared" si="83"/>
        <v>NF - ABRAPRACABRA NO MUNDO</v>
      </c>
      <c r="X578" t="s">
        <v>5591</v>
      </c>
    </row>
    <row r="579" spans="1:24" x14ac:dyDescent="0.25">
      <c r="A579" t="str">
        <f>CONCATENATE(D579,"_",TEXT(M579,"ddmmaaaa"),"_",COUNTIF($D$2:D579,D579))</f>
        <v>610160280001-01_27022026_1</v>
      </c>
      <c r="B579" t="str">
        <f>CONCATENATE(Analise!D579,"_",COUNTIF(Analise!$D$2:D579,Analise!D579)+1)</f>
        <v>610160280001-01_2</v>
      </c>
      <c r="C579" s="34">
        <f>COUNTIF('Obras e Acervos'!$C:$C,CONCATENATE(LEFT(D579,12),RIGHT(D579,2)))</f>
        <v>2</v>
      </c>
      <c r="D579" s="35" t="s">
        <v>4849</v>
      </c>
      <c r="E579" t="str">
        <f>VLOOKUP($B579,'Obras e Acervos'!$B:$X,3,0)</f>
        <v>IBEP INST. BRASILEIRO DE EDIÇÕES PEDAGOGICAS-EDITORA IBEP</v>
      </c>
      <c r="F579" t="str">
        <f>VLOOKUP($B579,'Obras e Acervos'!$B:$X,7,0)</f>
        <v>0802L23000020LE</v>
      </c>
      <c r="G579" t="str">
        <f>VLOOKUP($B579,'Obras e Acervos'!$B:$X,5,0)</f>
        <v>FIO DE LUA &amp; RAIO DE SOL</v>
      </c>
      <c r="H579">
        <f>VLOOKUP($B579,'Obras e Acervos'!$B:$X,18,0)</f>
        <v>11</v>
      </c>
      <c r="I579">
        <f>VLOOKUP($B579,'Obras e Acervos'!$B:$X,19,0)</f>
        <v>32816</v>
      </c>
      <c r="J579" s="42">
        <f>VLOOKUP($B579,'Obras e Acervos'!$B:$X,20,0)</f>
        <v>2133.04</v>
      </c>
      <c r="K579" s="31">
        <f>VLOOKUP($B579,'Obras e Acervos'!$B:$X,21,0)</f>
        <v>5.79</v>
      </c>
      <c r="L579" s="31">
        <f t="shared" ref="L579:L642" si="85">K579*I579</f>
        <v>190004.64</v>
      </c>
      <c r="M579" s="1">
        <v>46080</v>
      </c>
      <c r="N579" s="1">
        <f t="shared" si="84"/>
        <v>46305</v>
      </c>
      <c r="O579">
        <f t="shared" ref="O579:O642" si="86">IF(M579="",0,(N579-M579)+1)</f>
        <v>226</v>
      </c>
      <c r="P579" s="49">
        <f t="shared" si="82"/>
        <v>7.5333333333333332</v>
      </c>
      <c r="Q579" s="34">
        <f>VLOOKUP($G579,Agendamento!$B:$F,5,0)</f>
        <v>2</v>
      </c>
      <c r="R579" s="36">
        <f t="shared" ref="R579:R642" si="87">IF(U579="",0,ROUNDUP($I579/1000,0))</f>
        <v>33</v>
      </c>
      <c r="S579" s="44">
        <v>2.5499999999999998</v>
      </c>
      <c r="T579" s="44">
        <f t="shared" ref="T579:T642" si="88">O579*R579*S579</f>
        <v>19017.899999999998</v>
      </c>
      <c r="U579" t="s">
        <v>5439</v>
      </c>
      <c r="V579" t="str">
        <f t="shared" ref="V579:V642" si="89">CONCATENATE("NF/",U579)</f>
        <v>NF/64307674_20260227_nf_13.pdf</v>
      </c>
      <c r="W579" s="32" t="str">
        <f t="shared" si="83"/>
        <v>NF - FIO DE LUA &amp; RAIO DE SOL</v>
      </c>
      <c r="X579" t="s">
        <v>5591</v>
      </c>
    </row>
    <row r="580" spans="1:24" x14ac:dyDescent="0.25">
      <c r="A580" t="str">
        <f>CONCATENATE(D580,"_",TEXT(M580,"ddmmaaaa"),"_",COUNTIF($D$2:D580,D580))</f>
        <v>430034090001-74_27022026_1</v>
      </c>
      <c r="B580" t="str">
        <f>CONCATENATE(Analise!D580,"_",COUNTIF(Analise!$D$2:D580,Analise!D580))</f>
        <v>430034090001-74_1</v>
      </c>
      <c r="C580" s="34">
        <f>COUNTIF('Obras e Acervos'!$C:$C,CONCATENATE(LEFT(D580,12),RIGHT(D580,2)))</f>
        <v>1</v>
      </c>
      <c r="D580" s="35" t="s">
        <v>4843</v>
      </c>
      <c r="E580" t="str">
        <f>VLOOKUP($B580,'Obras e Acervos'!$B:$X,3,0)</f>
        <v>CORTEZ EDITORA E LIVRARIA LTDA-MIRIAM BESERRA XAVIER CORTEZ</v>
      </c>
      <c r="F580" t="str">
        <f>VLOOKUP($B580,'Obras e Acervos'!$B:$X,7,0)</f>
        <v>0477L23000020LE</v>
      </c>
      <c r="G580" t="str">
        <f>VLOOKUP($B580,'Obras e Acervos'!$B:$X,5,0)</f>
        <v>AS TRÊS TIAS DE MATIAS</v>
      </c>
      <c r="H580">
        <f>VLOOKUP($B580,'Obras e Acervos'!$B:$X,18,0)</f>
        <v>13</v>
      </c>
      <c r="I580">
        <f>VLOOKUP($B580,'Obras e Acervos'!$B:$X,19,0)</f>
        <v>30257</v>
      </c>
      <c r="J580" s="42">
        <f>VLOOKUP($B580,'Obras e Acervos'!$B:$X,20,0)</f>
        <v>3630.8399999999997</v>
      </c>
      <c r="K580" s="31">
        <f>VLOOKUP($B580,'Obras e Acervos'!$B:$X,21,0)</f>
        <v>7.37</v>
      </c>
      <c r="L580" s="31">
        <f t="shared" si="85"/>
        <v>222994.09</v>
      </c>
      <c r="M580" s="1">
        <v>46080</v>
      </c>
      <c r="N580" s="1">
        <f t="shared" si="84"/>
        <v>46305</v>
      </c>
      <c r="O580">
        <f t="shared" si="86"/>
        <v>226</v>
      </c>
      <c r="P580" s="49">
        <f t="shared" si="82"/>
        <v>7.5333333333333332</v>
      </c>
      <c r="Q580" s="34">
        <f>VLOOKUP($G580,Agendamento!$B:$F,5,0)</f>
        <v>3</v>
      </c>
      <c r="R580" s="36">
        <f t="shared" si="87"/>
        <v>31</v>
      </c>
      <c r="S580" s="44">
        <v>2.5499999999999998</v>
      </c>
      <c r="T580" s="44">
        <f t="shared" si="88"/>
        <v>17865.3</v>
      </c>
      <c r="U580" t="s">
        <v>5431</v>
      </c>
      <c r="V580" t="str">
        <f t="shared" si="89"/>
        <v>NF/64307674_20260227_nf_14.pdf</v>
      </c>
      <c r="W580" s="32" t="str">
        <f t="shared" si="83"/>
        <v>NF - AS TRÊS TIAS DE MATIAS</v>
      </c>
      <c r="X580" t="s">
        <v>5591</v>
      </c>
    </row>
    <row r="581" spans="1:24" x14ac:dyDescent="0.25">
      <c r="A581" t="str">
        <f>CONCATENATE(D581,"_",TEXT(M581,"ddmmaaaa"),"_",COUNTIF($D$2:D581,D581))</f>
        <v>170777540001-42_27022026_2</v>
      </c>
      <c r="B581" t="str">
        <f>CONCATENATE(Analise!D581,"_",COUNTIF(Analise!$D$2:D581,Analise!D581)-1)</f>
        <v>170777540001-42_1</v>
      </c>
      <c r="C581" s="34">
        <f>COUNTIF('Obras e Acervos'!$C:$C,CONCATENATE(LEFT(D581,12),RIGHT(D581,2)))</f>
        <v>2</v>
      </c>
      <c r="D581" s="35" t="s">
        <v>4493</v>
      </c>
      <c r="E581" t="str">
        <f>VLOOKUP($B581,'Obras e Acervos'!$B:$X,3,0)</f>
        <v>SG-AMARANTE EDITORIAL LTDA-SG-AMARANTE</v>
      </c>
      <c r="F581" t="str">
        <f>VLOOKUP($B581,'Obras e Acervos'!$B:$X,7,0)</f>
        <v>0956L23000030LE</v>
      </c>
      <c r="G581" t="str">
        <f>VLOOKUP($B581,'Obras e Acervos'!$B:$X,5,0)</f>
        <v>O MENINO QUE COLECIONAVA CHUVA</v>
      </c>
      <c r="H581">
        <f>VLOOKUP($B581,'Obras e Acervos'!$B:$X,18,0)</f>
        <v>2</v>
      </c>
      <c r="I581">
        <f>VLOOKUP($B581,'Obras e Acervos'!$B:$X,19,0)</f>
        <v>51633</v>
      </c>
      <c r="J581" s="42">
        <f>VLOOKUP($B581,'Obras e Acervos'!$B:$X,20,0)</f>
        <v>4388.8050000000003</v>
      </c>
      <c r="K581" s="31">
        <f>VLOOKUP($B581,'Obras e Acervos'!$B:$X,21,0)</f>
        <v>3.89</v>
      </c>
      <c r="L581" s="31">
        <f t="shared" si="85"/>
        <v>200852.37</v>
      </c>
      <c r="M581" s="1">
        <v>46080</v>
      </c>
      <c r="N581" s="1">
        <f t="shared" si="84"/>
        <v>46305</v>
      </c>
      <c r="O581">
        <f t="shared" si="86"/>
        <v>226</v>
      </c>
      <c r="P581" s="49">
        <f t="shared" si="82"/>
        <v>7.5333333333333332</v>
      </c>
      <c r="Q581" s="34">
        <f>VLOOKUP($G581,Agendamento!$B:$F,5,0)</f>
        <v>5</v>
      </c>
      <c r="R581" s="36">
        <f t="shared" si="87"/>
        <v>52</v>
      </c>
      <c r="S581" s="44">
        <v>2.5499999999999998</v>
      </c>
      <c r="T581" s="44">
        <f t="shared" si="88"/>
        <v>29967.599999999999</v>
      </c>
      <c r="U581" t="s">
        <v>5432</v>
      </c>
      <c r="V581" t="str">
        <f t="shared" si="89"/>
        <v>NF/64307674_20260227_nf_15.pdf</v>
      </c>
      <c r="W581" s="32" t="str">
        <f t="shared" si="83"/>
        <v>NF - O MENINO QUE COLECIONAVA CHUVA</v>
      </c>
      <c r="X581" t="s">
        <v>5591</v>
      </c>
    </row>
    <row r="582" spans="1:24" x14ac:dyDescent="0.25">
      <c r="A582" t="str">
        <f>CONCATENATE(D582,"_",TEXT(M582,"ddmmaaaa"),"_",COUNTIF($D$2:D582,D582))</f>
        <v>317286620001-06_27022026_1</v>
      </c>
      <c r="B582" t="str">
        <f>CONCATENATE(Analise!D582,"_",COUNTIF(Analise!$D$2:D582,Analise!D582))</f>
        <v>317286620001-06_1</v>
      </c>
      <c r="C582" s="34">
        <f>COUNTIF('Obras e Acervos'!$C:$C,CONCATENATE(LEFT(D582,12),RIGHT(D582,2)))</f>
        <v>1</v>
      </c>
      <c r="D582" s="35" t="s">
        <v>4853</v>
      </c>
      <c r="E582" t="str">
        <f>VLOOKUP($B582,'Obras e Acervos'!$B:$X,3,0)</f>
        <v>ACORDE PRODUÇÕES MUSICAIS LTDA-ACORDE</v>
      </c>
      <c r="F582" t="str">
        <f>VLOOKUP($B582,'Obras e Acervos'!$B:$X,7,0)</f>
        <v>1355L23000020LE</v>
      </c>
      <c r="G582" t="str">
        <f>VLOOKUP($B582,'Obras e Acervos'!$B:$X,5,0)</f>
        <v>OS CANTOS DO HOMEM-SOMBRA</v>
      </c>
      <c r="H582">
        <f>VLOOKUP($B582,'Obras e Acervos'!$B:$X,18,0)</f>
        <v>16</v>
      </c>
      <c r="I582">
        <f>VLOOKUP($B582,'Obras e Acervos'!$B:$X,19,0)</f>
        <v>29333</v>
      </c>
      <c r="J582" s="42">
        <f>VLOOKUP($B582,'Obras e Acervos'!$B:$X,20,0)</f>
        <v>2933.3</v>
      </c>
      <c r="K582" s="31">
        <f>VLOOKUP($B582,'Obras e Acervos'!$B:$X,21,0)</f>
        <v>5.83</v>
      </c>
      <c r="L582" s="31">
        <f t="shared" si="85"/>
        <v>171011.39</v>
      </c>
      <c r="M582" s="1">
        <v>46080</v>
      </c>
      <c r="N582" s="1">
        <f t="shared" si="84"/>
        <v>46305</v>
      </c>
      <c r="O582">
        <f t="shared" si="86"/>
        <v>226</v>
      </c>
      <c r="P582" s="49">
        <f t="shared" si="82"/>
        <v>7.5333333333333332</v>
      </c>
      <c r="Q582" s="34">
        <f>VLOOKUP($G582,Agendamento!$B:$F,5,0)</f>
        <v>3</v>
      </c>
      <c r="R582" s="36">
        <f t="shared" si="87"/>
        <v>30</v>
      </c>
      <c r="S582" s="44">
        <v>2.5499999999999998</v>
      </c>
      <c r="T582" s="44">
        <f t="shared" si="88"/>
        <v>17289</v>
      </c>
      <c r="U582" t="s">
        <v>5449</v>
      </c>
      <c r="V582" t="str">
        <f t="shared" si="89"/>
        <v>NF/64307674_20260227_nf_16.pdf</v>
      </c>
      <c r="W582" s="32" t="str">
        <f t="shared" si="83"/>
        <v>NF - OS CANTOS DO HOMEM-SOMBRA</v>
      </c>
      <c r="X582" t="s">
        <v>5591</v>
      </c>
    </row>
    <row r="583" spans="1:24" x14ac:dyDescent="0.25">
      <c r="A583" t="str">
        <f>CONCATENATE(D583,"_",TEXT(M583,"ddmmaaaa"),"_",COUNTIF($D$2:D583,D583))</f>
        <v>334512790001-89_27022026_1</v>
      </c>
      <c r="B583" t="str">
        <f>CONCATENATE(Analise!D583,"_",COUNTIF(Analise!$D$2:D583,Analise!D583)+1)</f>
        <v>334512790001-89_2</v>
      </c>
      <c r="C583" s="34">
        <f>COUNTIF('Obras e Acervos'!$C:$C,CONCATENATE(LEFT(D583,12),RIGHT(D583,2)))</f>
        <v>2</v>
      </c>
      <c r="D583" s="35" t="s">
        <v>4857</v>
      </c>
      <c r="E583" t="str">
        <f>VLOOKUP($B583,'Obras e Acervos'!$B:$X,3,0)</f>
        <v>EDITORA PAZ E TERRA LTDA -EDITORA PAZ E TERRA</v>
      </c>
      <c r="F583" t="str">
        <f>VLOOKUP($B583,'Obras e Acervos'!$B:$X,7,0)</f>
        <v>0601L23000020LE</v>
      </c>
      <c r="G583" t="str">
        <f>VLOOKUP($B583,'Obras e Acervos'!$B:$X,5,0)</f>
        <v>O PARA SEMPRE DE PEDRINA E TUNICO</v>
      </c>
      <c r="H583">
        <f>VLOOKUP($B583,'Obras e Acervos'!$B:$X,18,0)</f>
        <v>18</v>
      </c>
      <c r="I583">
        <f>VLOOKUP($B583,'Obras e Acervos'!$B:$X,19,0)</f>
        <v>23624</v>
      </c>
      <c r="J583" s="42">
        <f>VLOOKUP($B583,'Obras e Acervos'!$B:$X,20,0)</f>
        <v>2953</v>
      </c>
      <c r="K583" s="31">
        <f>VLOOKUP($B583,'Obras e Acervos'!$B:$X,21,0)</f>
        <v>7.53</v>
      </c>
      <c r="L583" s="31">
        <f t="shared" si="85"/>
        <v>177888.72</v>
      </c>
      <c r="M583" s="1">
        <v>46080</v>
      </c>
      <c r="N583" s="1">
        <f t="shared" si="84"/>
        <v>46305</v>
      </c>
      <c r="O583">
        <f t="shared" si="86"/>
        <v>226</v>
      </c>
      <c r="P583" s="49">
        <f t="shared" si="82"/>
        <v>7.5333333333333332</v>
      </c>
      <c r="Q583" s="34">
        <f>VLOOKUP($G583,Agendamento!$B:$F,5,0)</f>
        <v>4</v>
      </c>
      <c r="R583" s="36">
        <f t="shared" si="87"/>
        <v>24</v>
      </c>
      <c r="S583" s="44">
        <v>2.5499999999999998</v>
      </c>
      <c r="T583" s="44">
        <f t="shared" si="88"/>
        <v>13831.199999999999</v>
      </c>
      <c r="U583" t="s">
        <v>5455</v>
      </c>
      <c r="V583" t="str">
        <f t="shared" si="89"/>
        <v>NF/64307674_20260227_nf_18.pdf</v>
      </c>
      <c r="W583" s="32" t="str">
        <f t="shared" si="83"/>
        <v>NF - O PARA SEMPRE DE PEDRINA E TUNICO</v>
      </c>
      <c r="X583" t="s">
        <v>5591</v>
      </c>
    </row>
    <row r="584" spans="1:24" x14ac:dyDescent="0.25">
      <c r="A584" t="str">
        <f>CONCATENATE(D584,"_",TEXT(M584,"ddmmaaaa"),"_",COUNTIF($D$2:D584,D584))</f>
        <v>048391490001-10_27022026_2</v>
      </c>
      <c r="B584" t="str">
        <f>CONCATENATE(Analise!D584,"_",COUNTIF(Analise!$D$2:D584,Analise!D584)-1)</f>
        <v>048391490001-10_1</v>
      </c>
      <c r="C584" s="34">
        <f>COUNTIF('Obras e Acervos'!$C:$C,CONCATENATE(LEFT(D584,12),RIGHT(D584,2)))</f>
        <v>2</v>
      </c>
      <c r="D584" s="35" t="s">
        <v>4842</v>
      </c>
      <c r="E584" t="str">
        <f>VLOOKUP($B584,'Obras e Acervos'!$B:$X,3,0)</f>
        <v>EDITORA BEST SELLER LTDA.-EDITORA BEST SELLER</v>
      </c>
      <c r="F584" t="str">
        <f>VLOOKUP($B584,'Obras e Acervos'!$B:$X,7,0)</f>
        <v>0551L23000030LE</v>
      </c>
      <c r="G584" t="str">
        <f>VLOOKUP($B584,'Obras e Acervos'!$B:$X,5,0)</f>
        <v>A DONA DA FESTA</v>
      </c>
      <c r="H584">
        <f>VLOOKUP($B584,'Obras e Acervos'!$B:$X,18,0)</f>
        <v>5</v>
      </c>
      <c r="I584">
        <f>VLOOKUP($B584,'Obras e Acervos'!$B:$X,19,0)</f>
        <v>50573</v>
      </c>
      <c r="J584" s="42">
        <f>VLOOKUP($B584,'Obras e Acervos'!$B:$X,20,0)</f>
        <v>3792.9749999999999</v>
      </c>
      <c r="K584" s="31">
        <f>VLOOKUP($B584,'Obras e Acervos'!$B:$X,21,0)</f>
        <v>3.9</v>
      </c>
      <c r="L584" s="31">
        <f t="shared" si="85"/>
        <v>197234.69999999998</v>
      </c>
      <c r="M584" s="1">
        <v>46080</v>
      </c>
      <c r="N584" s="1">
        <f t="shared" si="84"/>
        <v>46305</v>
      </c>
      <c r="O584">
        <f t="shared" si="86"/>
        <v>226</v>
      </c>
      <c r="P584" s="49">
        <f t="shared" si="82"/>
        <v>7.5333333333333332</v>
      </c>
      <c r="Q584" s="34">
        <f>VLOOKUP($G584,Agendamento!$B:$F,5,0)</f>
        <v>5</v>
      </c>
      <c r="R584" s="36">
        <f t="shared" si="87"/>
        <v>51</v>
      </c>
      <c r="S584" s="44">
        <v>2.5499999999999998</v>
      </c>
      <c r="T584" s="44">
        <f t="shared" si="88"/>
        <v>29391.3</v>
      </c>
      <c r="U584" t="s">
        <v>5441</v>
      </c>
      <c r="V584" t="str">
        <f t="shared" si="89"/>
        <v>NF/64307674_20260227_nf_20.pdf</v>
      </c>
      <c r="W584" s="32" t="str">
        <f t="shared" si="83"/>
        <v>NF - A DONA DA FESTA</v>
      </c>
      <c r="X584" t="s">
        <v>5591</v>
      </c>
    </row>
    <row r="585" spans="1:24" x14ac:dyDescent="0.25">
      <c r="A585" t="str">
        <f>CONCATENATE(D585,"_",TEXT(M585,"ddmmaaaa"),"_",COUNTIF($D$2:D585,D585))</f>
        <v>133655820001-51_27022026_1</v>
      </c>
      <c r="B585" t="str">
        <f>CONCATENATE(Analise!D585,"_",COUNTIF(Analise!$D$2:D585,Analise!D585))</f>
        <v>133655820001-51_1</v>
      </c>
      <c r="C585" s="34">
        <f>COUNTIF('Obras e Acervos'!$C:$C,CONCATENATE(LEFT(D585,12),RIGHT(D585,2)))</f>
        <v>2</v>
      </c>
      <c r="D585" s="35" t="s">
        <v>4847</v>
      </c>
      <c r="E585" t="str">
        <f>VLOOKUP($B585,'Obras e Acervos'!$B:$X,3,0)</f>
        <v>CAMERON EDITORA E GRÁFICA LTDA -EDITORA CAMERON</v>
      </c>
      <c r="F585" t="str">
        <f>VLOOKUP($B585,'Obras e Acervos'!$B:$X,7,0)</f>
        <v>0607L23000030LE</v>
      </c>
      <c r="G585" t="str">
        <f>VLOOKUP($B585,'Obras e Acervos'!$B:$X,5,0)</f>
        <v>QUANDO EU ERA PEQUENA</v>
      </c>
      <c r="H585">
        <f>VLOOKUP($B585,'Obras e Acervos'!$B:$X,18,0)</f>
        <v>3</v>
      </c>
      <c r="I585">
        <f>VLOOKUP($B585,'Obras e Acervos'!$B:$X,19,0)</f>
        <v>46790</v>
      </c>
      <c r="J585" s="42">
        <f>VLOOKUP($B585,'Obras e Acervos'!$B:$X,20,0)</f>
        <v>5380.85</v>
      </c>
      <c r="K585" s="31">
        <f>VLOOKUP($B585,'Obras e Acervos'!$B:$X,21,0)</f>
        <v>5.42</v>
      </c>
      <c r="L585" s="31">
        <f t="shared" si="85"/>
        <v>253601.8</v>
      </c>
      <c r="M585" s="1">
        <v>46080</v>
      </c>
      <c r="N585" s="1">
        <f t="shared" si="84"/>
        <v>46305</v>
      </c>
      <c r="O585">
        <f t="shared" si="86"/>
        <v>226</v>
      </c>
      <c r="P585" s="49">
        <f t="shared" si="82"/>
        <v>7.5333333333333332</v>
      </c>
      <c r="Q585" s="34">
        <f>VLOOKUP($G585,Agendamento!$B:$F,5,0)</f>
        <v>6</v>
      </c>
      <c r="R585" s="36">
        <f t="shared" si="87"/>
        <v>47</v>
      </c>
      <c r="S585" s="44">
        <v>2.5499999999999998</v>
      </c>
      <c r="T585" s="44">
        <f t="shared" si="88"/>
        <v>27086.1</v>
      </c>
      <c r="U585" t="s">
        <v>5436</v>
      </c>
      <c r="V585" t="str">
        <f t="shared" si="89"/>
        <v>NF/64307674_20260227_nf_22.pdf</v>
      </c>
      <c r="W585" s="32" t="str">
        <f t="shared" si="83"/>
        <v>NF - QUANDO EU ERA PEQUENA</v>
      </c>
      <c r="X585" t="s">
        <v>5591</v>
      </c>
    </row>
    <row r="586" spans="1:24" x14ac:dyDescent="0.25">
      <c r="A586" t="str">
        <f>CONCATENATE(D586,"_",TEXT(M586,"ddmmaaaa"),"_",COUNTIF($D$2:D586,D586))</f>
        <v>181638370001-17_27022026_1</v>
      </c>
      <c r="B586" t="str">
        <f>CONCATENATE(Analise!D586,"_",COUNTIF(Analise!$D$2:D586,Analise!D586))</f>
        <v>181638370001-17_1</v>
      </c>
      <c r="C586" s="34">
        <f>COUNTIF('Obras e Acervos'!$C:$C,CONCATENATE(LEFT(D586,12),RIGHT(D586,2)))</f>
        <v>2</v>
      </c>
      <c r="D586" s="35" t="s">
        <v>4856</v>
      </c>
      <c r="E586" t="str">
        <f>VLOOKUP($B586,'Obras e Acervos'!$B:$X,3,0)</f>
        <v>M10 EDITORIAL LTDA-SET EDUCACIONAL</v>
      </c>
      <c r="F586" t="str">
        <f>VLOOKUP($B586,'Obras e Acervos'!$B:$X,7,0)</f>
        <v>0848L23000030LE</v>
      </c>
      <c r="G586" t="str">
        <f>VLOOKUP($B586,'Obras e Acervos'!$B:$X,5,0)</f>
        <v>CAMILA E O GATO UM</v>
      </c>
      <c r="H586">
        <f>VLOOKUP($B586,'Obras e Acervos'!$B:$X,18,0)</f>
        <v>5</v>
      </c>
      <c r="I586">
        <f>VLOOKUP($B586,'Obras e Acervos'!$B:$X,19,0)</f>
        <v>37983</v>
      </c>
      <c r="J586" s="42">
        <f>VLOOKUP($B586,'Obras e Acervos'!$B:$X,20,0)</f>
        <v>7482.6510000000007</v>
      </c>
      <c r="K586" s="31">
        <f>VLOOKUP($B586,'Obras e Acervos'!$B:$X,21,0)</f>
        <v>10.27</v>
      </c>
      <c r="L586" s="31">
        <f t="shared" si="85"/>
        <v>390085.41</v>
      </c>
      <c r="M586" s="1">
        <v>46080</v>
      </c>
      <c r="N586" s="1">
        <f t="shared" si="84"/>
        <v>46305</v>
      </c>
      <c r="O586">
        <f t="shared" si="86"/>
        <v>226</v>
      </c>
      <c r="P586" s="49">
        <f t="shared" si="82"/>
        <v>7.5333333333333332</v>
      </c>
      <c r="Q586" s="34">
        <f>VLOOKUP($G586,Agendamento!$B:$F,5,0)</f>
        <v>11</v>
      </c>
      <c r="R586" s="36">
        <f t="shared" si="87"/>
        <v>38</v>
      </c>
      <c r="S586" s="44">
        <v>2.5499999999999998</v>
      </c>
      <c r="T586" s="44">
        <f t="shared" si="88"/>
        <v>21899.399999999998</v>
      </c>
      <c r="U586" t="s">
        <v>5458</v>
      </c>
      <c r="V586" t="str">
        <f t="shared" si="89"/>
        <v>NF/64307674_20260227_nf_23.pdf</v>
      </c>
      <c r="W586" s="32" t="str">
        <f t="shared" si="83"/>
        <v>NF - CAMILA E O GATO UM</v>
      </c>
      <c r="X586" t="s">
        <v>5591</v>
      </c>
    </row>
    <row r="587" spans="1:24" x14ac:dyDescent="0.25">
      <c r="A587" t="str">
        <f>CONCATENATE(D587,"_",TEXT(M587,"ddmmaaaa"),"_",COUNTIF($D$2:D587,D587))</f>
        <v>181638370001-17_27022026_2</v>
      </c>
      <c r="B587" t="str">
        <f>CONCATENATE(Analise!D587,"_",COUNTIF(Analise!$D$2:D587,Analise!D587))</f>
        <v>181638370001-17_2</v>
      </c>
      <c r="C587" s="34">
        <f>COUNTIF('Obras e Acervos'!$C:$C,CONCATENATE(LEFT(D587,12),RIGHT(D587,2)))</f>
        <v>2</v>
      </c>
      <c r="D587" s="35" t="s">
        <v>4856</v>
      </c>
      <c r="E587" t="str">
        <f>VLOOKUP($B587,'Obras e Acervos'!$B:$X,3,0)</f>
        <v>M10 EDITORIAL LTDA-SET EDUCACIONAL</v>
      </c>
      <c r="F587" t="str">
        <f>VLOOKUP($B587,'Obras e Acervos'!$B:$X,7,0)</f>
        <v>0849L23000020LE</v>
      </c>
      <c r="G587" t="str">
        <f>VLOOKUP($B587,'Obras e Acervos'!$B:$X,5,0)</f>
        <v>QUANDO CRESCER QUERO SER HIPOPÓTAMO</v>
      </c>
      <c r="H587">
        <f>VLOOKUP($B587,'Obras e Acervos'!$B:$X,18,0)</f>
        <v>20</v>
      </c>
      <c r="I587">
        <f>VLOOKUP($B587,'Obras e Acervos'!$B:$X,19,0)</f>
        <v>26653</v>
      </c>
      <c r="J587" s="42">
        <f>VLOOKUP($B587,'Obras e Acervos'!$B:$X,20,0)</f>
        <v>2372.1169999999997</v>
      </c>
      <c r="K587" s="31">
        <f>VLOOKUP($B587,'Obras e Acervos'!$B:$X,21,0)</f>
        <v>9.35</v>
      </c>
      <c r="L587" s="31">
        <f t="shared" si="85"/>
        <v>249205.55</v>
      </c>
      <c r="M587" s="1">
        <v>46080</v>
      </c>
      <c r="N587" s="1">
        <f t="shared" si="84"/>
        <v>46305</v>
      </c>
      <c r="O587">
        <f t="shared" si="86"/>
        <v>226</v>
      </c>
      <c r="P587" s="49">
        <f t="shared" si="82"/>
        <v>7.5333333333333332</v>
      </c>
      <c r="Q587" s="34">
        <f>VLOOKUP($G587,Agendamento!$B:$F,5,0)</f>
        <v>5</v>
      </c>
      <c r="R587" s="36">
        <f t="shared" si="87"/>
        <v>27</v>
      </c>
      <c r="S587" s="44">
        <v>2.5499999999999998</v>
      </c>
      <c r="T587" s="44">
        <f t="shared" si="88"/>
        <v>15560.099999999999</v>
      </c>
      <c r="U587" t="s">
        <v>5453</v>
      </c>
      <c r="V587" t="str">
        <f t="shared" si="89"/>
        <v>NF/64307674_20260227_nf_24.pdf</v>
      </c>
      <c r="W587" s="32" t="str">
        <f t="shared" si="83"/>
        <v>NF - QUANDO CRESCER QUERO SER HIPOPÓTAMO</v>
      </c>
      <c r="X587" t="s">
        <v>5591</v>
      </c>
    </row>
    <row r="588" spans="1:24" x14ac:dyDescent="0.25">
      <c r="A588" t="str">
        <f>CONCATENATE(D588,"_",TEXT(M588,"ddmmaaaa"),"_",COUNTIF($D$2:D588,D588))</f>
        <v>604440980001-06_27022026_2</v>
      </c>
      <c r="B588" t="str">
        <f>CONCATENATE(Analise!D588,"_",COUNTIF(Analise!$D$2:D588,Analise!D588))</f>
        <v>604440980001-06_2</v>
      </c>
      <c r="C588" s="34">
        <f>COUNTIF('Obras e Acervos'!$C:$C,CONCATENATE(LEFT(D588,12),RIGHT(D588,2)))</f>
        <v>2</v>
      </c>
      <c r="D588" s="35" t="s">
        <v>4729</v>
      </c>
      <c r="E588" t="str">
        <f>VLOOKUP($B588,'Obras e Acervos'!$B:$X,3,0)</f>
        <v>EDITORA DCL - DIFUSÃO CULTURAL DO LIVRO EIRELI-EDITORA DCL - DIFUSÃO CULTURAL DO LIVRO EIRELI</v>
      </c>
      <c r="F588" t="str">
        <f>VLOOKUP($B588,'Obras e Acervos'!$B:$X,7,0)</f>
        <v>1272L23000020LE</v>
      </c>
      <c r="G588" t="str">
        <f>VLOOKUP($B588,'Obras e Acervos'!$B:$X,5,0)</f>
        <v>NANINQUIÁ - A MOÇA BONITA</v>
      </c>
      <c r="H588">
        <f>VLOOKUP($B588,'Obras e Acervos'!$B:$X,18,0)</f>
        <v>21</v>
      </c>
      <c r="I588">
        <f>VLOOKUP($B588,'Obras e Acervos'!$B:$X,19,0)</f>
        <v>24920</v>
      </c>
      <c r="J588" s="42">
        <f>VLOOKUP($B588,'Obras e Acervos'!$B:$X,20,0)</f>
        <v>2965.48</v>
      </c>
      <c r="K588" s="31">
        <f>VLOOKUP($B588,'Obras e Acervos'!$B:$X,21,0)</f>
        <v>7.46</v>
      </c>
      <c r="L588" s="31">
        <f t="shared" si="85"/>
        <v>185903.2</v>
      </c>
      <c r="M588" s="1">
        <v>46080</v>
      </c>
      <c r="N588" s="1">
        <f t="shared" si="84"/>
        <v>46305</v>
      </c>
      <c r="O588">
        <f t="shared" si="86"/>
        <v>226</v>
      </c>
      <c r="P588" s="49">
        <f t="shared" si="82"/>
        <v>7.5333333333333332</v>
      </c>
      <c r="Q588" s="34">
        <f>VLOOKUP($G588,Agendamento!$B:$F,5,0)</f>
        <v>3</v>
      </c>
      <c r="R588" s="36">
        <f t="shared" si="87"/>
        <v>25</v>
      </c>
      <c r="S588" s="44">
        <v>2.5499999999999998</v>
      </c>
      <c r="T588" s="44">
        <f t="shared" si="88"/>
        <v>14407.499999999998</v>
      </c>
      <c r="U588" t="s">
        <v>5437</v>
      </c>
      <c r="V588" t="str">
        <f t="shared" si="89"/>
        <v>NF/64307674_20260227_nf_25.pdf</v>
      </c>
      <c r="W588" s="32" t="str">
        <f t="shared" si="83"/>
        <v>NF - NANINQUIÁ - A MOÇA BONITA</v>
      </c>
      <c r="X588" t="s">
        <v>5591</v>
      </c>
    </row>
    <row r="589" spans="1:24" x14ac:dyDescent="0.25">
      <c r="A589" t="str">
        <f>CONCATENATE(D589,"_",TEXT(M589,"ddmmaaaa"),"_",COUNTIF($D$2:D589,D589))</f>
        <v>309586110001-08_27022026_1</v>
      </c>
      <c r="B589" t="str">
        <f>CONCATENATE(Analise!D589,"_",COUNTIF(Analise!$D$2:D589,Analise!D589)+1)</f>
        <v>309586110001-08_2</v>
      </c>
      <c r="C589" s="34">
        <f>COUNTIF('Obras e Acervos'!$C:$C,CONCATENATE(LEFT(D589,12),RIGHT(D589,2)))</f>
        <v>2</v>
      </c>
      <c r="D589" s="35" t="s">
        <v>4845</v>
      </c>
      <c r="E589" t="str">
        <f>VLOOKUP($B589,'Obras e Acervos'!$B:$X,3,0)</f>
        <v>LE CHAT DESIGN EIRELI-LE CHAT DESIGN</v>
      </c>
      <c r="F589" t="str">
        <f>VLOOKUP($B589,'Obras e Acervos'!$B:$X,7,0)</f>
        <v>1146L23000020LE</v>
      </c>
      <c r="G589" t="str">
        <f>VLOOKUP($B589,'Obras e Acervos'!$B:$X,5,0)</f>
        <v>O CONTO DO BROCHE DE MADEIRA</v>
      </c>
      <c r="H589">
        <f>VLOOKUP($B589,'Obras e Acervos'!$B:$X,18,0)</f>
        <v>12</v>
      </c>
      <c r="I589">
        <f>VLOOKUP($B589,'Obras e Acervos'!$B:$X,19,0)</f>
        <v>29479</v>
      </c>
      <c r="J589" s="42">
        <f>VLOOKUP($B589,'Obras e Acervos'!$B:$X,20,0)</f>
        <v>2623.6309999999999</v>
      </c>
      <c r="K589" s="31">
        <f>VLOOKUP($B589,'Obras e Acervos'!$B:$X,21,0)</f>
        <v>8.5500000000000007</v>
      </c>
      <c r="L589" s="31">
        <f t="shared" si="85"/>
        <v>252045.45</v>
      </c>
      <c r="M589" s="1">
        <v>46080</v>
      </c>
      <c r="N589" s="1">
        <f t="shared" si="84"/>
        <v>46305</v>
      </c>
      <c r="O589">
        <f t="shared" si="86"/>
        <v>226</v>
      </c>
      <c r="P589" s="49">
        <f t="shared" si="82"/>
        <v>7.5333333333333332</v>
      </c>
      <c r="Q589" s="34">
        <f>VLOOKUP($G589,Agendamento!$B:$F,5,0)</f>
        <v>4</v>
      </c>
      <c r="R589" s="36">
        <f t="shared" si="87"/>
        <v>30</v>
      </c>
      <c r="S589" s="44">
        <v>2.5499999999999998</v>
      </c>
      <c r="T589" s="44">
        <f t="shared" si="88"/>
        <v>17289</v>
      </c>
      <c r="U589" t="s">
        <v>5445</v>
      </c>
      <c r="V589" t="str">
        <f t="shared" si="89"/>
        <v>NF/64307674_20260227_nf_26.pdf</v>
      </c>
      <c r="W589" s="32" t="str">
        <f t="shared" si="83"/>
        <v>NF - O CONTO DO BROCHE DE MADEIRA</v>
      </c>
      <c r="X589" t="s">
        <v>5591</v>
      </c>
    </row>
    <row r="590" spans="1:24" x14ac:dyDescent="0.25">
      <c r="A590" t="str">
        <f>CONCATENATE(D590,"_",TEXT(M590,"ddmmaaaa"),"_",COUNTIF($D$2:D590,D590))</f>
        <v>167807990001-16_27022026_1</v>
      </c>
      <c r="B590" t="str">
        <f>CONCATENATE(Analise!D590,"_",COUNTIF(Analise!$D$2:D590,Analise!D590)+1)</f>
        <v>167807990001-16_2</v>
      </c>
      <c r="C590" s="34">
        <f>COUNTIF('Obras e Acervos'!$C:$C,CONCATENATE(LEFT(D590,12),RIGHT(D590,2)))</f>
        <v>2</v>
      </c>
      <c r="D590" s="35" t="s">
        <v>4852</v>
      </c>
      <c r="E590" t="str">
        <f>VLOOKUP($B590,'Obras e Acervos'!$B:$X,3,0)</f>
        <v>SDS EDITORA DE LIVROS LTDA-ESCARLATE</v>
      </c>
      <c r="F590" t="str">
        <f>VLOOKUP($B590,'Obras e Acervos'!$B:$X,7,0)</f>
        <v>0764L23000020LE</v>
      </c>
      <c r="G590" t="str">
        <f>VLOOKUP($B590,'Obras e Acervos'!$B:$X,5,0)</f>
        <v>O LUGAR DO MEU AMIGO</v>
      </c>
      <c r="H590">
        <f>VLOOKUP($B590,'Obras e Acervos'!$B:$X,18,0)</f>
        <v>20</v>
      </c>
      <c r="I590">
        <f>VLOOKUP($B590,'Obras e Acervos'!$B:$X,19,0)</f>
        <v>29031</v>
      </c>
      <c r="J590" s="42">
        <f>VLOOKUP($B590,'Obras e Acervos'!$B:$X,20,0)</f>
        <v>4993.3319999999994</v>
      </c>
      <c r="K590" s="31">
        <f>VLOOKUP($B590,'Obras e Acervos'!$B:$X,21,0)</f>
        <v>9.4499999999999993</v>
      </c>
      <c r="L590" s="31">
        <f t="shared" si="85"/>
        <v>274342.94999999995</v>
      </c>
      <c r="M590" s="1">
        <v>46080</v>
      </c>
      <c r="N590" s="1">
        <f t="shared" si="84"/>
        <v>46305</v>
      </c>
      <c r="O590">
        <f t="shared" si="86"/>
        <v>226</v>
      </c>
      <c r="P590" s="49">
        <f t="shared" si="82"/>
        <v>7.5333333333333332</v>
      </c>
      <c r="Q590" s="34">
        <f>VLOOKUP($G590,Agendamento!$B:$F,5,0)</f>
        <v>7</v>
      </c>
      <c r="R590" s="36">
        <f t="shared" si="87"/>
        <v>30</v>
      </c>
      <c r="S590" s="44">
        <v>2.5499999999999998</v>
      </c>
      <c r="T590" s="44">
        <f t="shared" si="88"/>
        <v>17289</v>
      </c>
      <c r="U590" t="s">
        <v>5448</v>
      </c>
      <c r="V590" t="str">
        <f t="shared" si="89"/>
        <v>NF/64307674_20260227_nf_27.pdf</v>
      </c>
      <c r="W590" s="32" t="str">
        <f t="shared" si="83"/>
        <v>NF - O LUGAR DO MEU AMIGO</v>
      </c>
      <c r="X590" t="s">
        <v>5591</v>
      </c>
    </row>
    <row r="591" spans="1:24" x14ac:dyDescent="0.25">
      <c r="A591" t="str">
        <f>CONCATENATE(D591,"_",TEXT(M591,"ddmmaaaa"),"_",COUNTIF($D$2:D591,D591))</f>
        <v>610160280001-01_27022026_2</v>
      </c>
      <c r="B591" t="str">
        <f>CONCATENATE(Analise!D591,"_",COUNTIF(Analise!$D$2:D591,Analise!D591)-1)</f>
        <v>610160280001-01_1</v>
      </c>
      <c r="C591" s="34">
        <f>COUNTIF('Obras e Acervos'!$C:$C,CONCATENATE(LEFT(D591,12),RIGHT(D591,2)))</f>
        <v>2</v>
      </c>
      <c r="D591" s="35" t="s">
        <v>4849</v>
      </c>
      <c r="E591" t="str">
        <f>VLOOKUP($B591,'Obras e Acervos'!$B:$X,3,0)</f>
        <v>IBEP INST. BRASILEIRO DE EDIÇÕES PEDAGOGICAS-EDITORA IBEP</v>
      </c>
      <c r="F591" t="str">
        <f>VLOOKUP($B591,'Obras e Acervos'!$B:$X,7,0)</f>
        <v>0801L23000030LE</v>
      </c>
      <c r="G591" t="str">
        <f>VLOOKUP($B591,'Obras e Acervos'!$B:$X,5,0)</f>
        <v>A JANELA DE OLHAR O MUNDO</v>
      </c>
      <c r="H591">
        <f>VLOOKUP($B591,'Obras e Acervos'!$B:$X,18,0)</f>
        <v>5</v>
      </c>
      <c r="I591">
        <f>VLOOKUP($B591,'Obras e Acervos'!$B:$X,19,0)</f>
        <v>51194</v>
      </c>
      <c r="J591" s="42">
        <f>VLOOKUP($B591,'Obras e Acervos'!$B:$X,20,0)</f>
        <v>5682.5339999999997</v>
      </c>
      <c r="K591" s="31">
        <f>VLOOKUP($B591,'Obras e Acervos'!$B:$X,21,0)</f>
        <v>5.35</v>
      </c>
      <c r="L591" s="31">
        <f t="shared" si="85"/>
        <v>273887.89999999997</v>
      </c>
      <c r="M591" s="1">
        <v>46080</v>
      </c>
      <c r="N591" s="1">
        <f t="shared" si="84"/>
        <v>46305</v>
      </c>
      <c r="O591">
        <f t="shared" si="86"/>
        <v>226</v>
      </c>
      <c r="P591" s="49">
        <f t="shared" si="82"/>
        <v>7.5333333333333332</v>
      </c>
      <c r="Q591" s="34">
        <f>VLOOKUP($G591,Agendamento!$B:$F,5,0)</f>
        <v>8</v>
      </c>
      <c r="R591" s="36">
        <f t="shared" si="87"/>
        <v>52</v>
      </c>
      <c r="S591" s="44">
        <v>2.5499999999999998</v>
      </c>
      <c r="T591" s="44">
        <f t="shared" si="88"/>
        <v>29967.599999999999</v>
      </c>
      <c r="U591" t="s">
        <v>5440</v>
      </c>
      <c r="V591" t="str">
        <f t="shared" si="89"/>
        <v>NF/64307674_20260227_nf_28.pdf</v>
      </c>
      <c r="W591" s="32" t="str">
        <f t="shared" si="83"/>
        <v>NF - A JANELA DE OLHAR O MUNDO</v>
      </c>
      <c r="X591" t="s">
        <v>5591</v>
      </c>
    </row>
    <row r="592" spans="1:24" x14ac:dyDescent="0.25">
      <c r="A592" t="str">
        <f>CONCATENATE(D592,"_",TEXT(M592,"ddmmaaaa"),"_",COUNTIF($D$2:D592,D592))</f>
        <v>611016710001-33_27022026_2</v>
      </c>
      <c r="B592" t="str">
        <f>CONCATENATE(Analise!D592,"_",COUNTIF(Analise!$D$2:D592,Analise!D592))</f>
        <v>611016710001-33_2</v>
      </c>
      <c r="C592" s="34">
        <f>COUNTIF('Obras e Acervos'!$C:$C,CONCATENATE(LEFT(D592,12),RIGHT(D592,2)))</f>
        <v>2</v>
      </c>
      <c r="D592" s="35" t="s">
        <v>4846</v>
      </c>
      <c r="E592" t="str">
        <f>VLOOKUP($B592,'Obras e Acervos'!$B:$X,3,0)</f>
        <v>COMPANHIA EDITORA NACIONAL-EDITORA NACIONAL</v>
      </c>
      <c r="F592" t="str">
        <f>VLOOKUP($B592,'Obras e Acervos'!$B:$X,7,0)</f>
        <v>0810L23000020LE</v>
      </c>
      <c r="G592" t="str">
        <f>VLOOKUP($B592,'Obras e Acervos'!$B:$X,5,0)</f>
        <v>A PRIMEIRA AMIGA</v>
      </c>
      <c r="H592">
        <f>VLOOKUP($B592,'Obras e Acervos'!$B:$X,18,0)</f>
        <v>16</v>
      </c>
      <c r="I592">
        <f>VLOOKUP($B592,'Obras e Acervos'!$B:$X,19,0)</f>
        <v>32121</v>
      </c>
      <c r="J592" s="42">
        <f>VLOOKUP($B592,'Obras e Acervos'!$B:$X,20,0)</f>
        <v>2987.2530000000002</v>
      </c>
      <c r="K592" s="31">
        <f>VLOOKUP($B592,'Obras e Acervos'!$B:$X,21,0)</f>
        <v>6.35</v>
      </c>
      <c r="L592" s="31">
        <f t="shared" si="85"/>
        <v>203968.34999999998</v>
      </c>
      <c r="M592" s="1">
        <v>46080</v>
      </c>
      <c r="N592" s="1">
        <f t="shared" si="84"/>
        <v>46305</v>
      </c>
      <c r="O592">
        <f t="shared" si="86"/>
        <v>226</v>
      </c>
      <c r="P592" s="49">
        <f t="shared" si="82"/>
        <v>7.5333333333333332</v>
      </c>
      <c r="Q592" s="34">
        <f>VLOOKUP($G592,Agendamento!$B:$F,5,0)</f>
        <v>5</v>
      </c>
      <c r="R592" s="36">
        <f t="shared" si="87"/>
        <v>33</v>
      </c>
      <c r="S592" s="44">
        <v>2.5499999999999998</v>
      </c>
      <c r="T592" s="44">
        <f t="shared" si="88"/>
        <v>19017.899999999998</v>
      </c>
      <c r="U592" t="s">
        <v>5451</v>
      </c>
      <c r="V592" t="str">
        <f t="shared" si="89"/>
        <v>NF/64307674_20260227_nf_29.pdf</v>
      </c>
      <c r="W592" s="32" t="str">
        <f t="shared" si="83"/>
        <v>NF - A PRIMEIRA AMIGA</v>
      </c>
      <c r="X592" t="s">
        <v>5591</v>
      </c>
    </row>
    <row r="593" spans="1:24" x14ac:dyDescent="0.25">
      <c r="A593" t="str">
        <f>CONCATENATE(D593,"_",TEXT(M593,"ddmmaaaa"),"_",COUNTIF($D$2:D593,D593))</f>
        <v>062220050001-45_27022026_2</v>
      </c>
      <c r="B593" t="str">
        <f>CONCATENATE(Analise!D593,"_",COUNTIF(Analise!$D$2:D593,Analise!D593)-1)</f>
        <v>062220050001-45_1</v>
      </c>
      <c r="C593" s="34">
        <f>COUNTIF('Obras e Acervos'!$C:$C,CONCATENATE(LEFT(D593,12),RIGHT(D593,2)))</f>
        <v>2</v>
      </c>
      <c r="D593" s="35" t="s">
        <v>4626</v>
      </c>
      <c r="E593" t="str">
        <f>VLOOKUP($B593,'Obras e Acervos'!$B:$X,3,0)</f>
        <v>HSF COMERCIAL LTDA-LOGOS COMERCIAL</v>
      </c>
      <c r="F593" t="str">
        <f>VLOOKUP($B593,'Obras e Acervos'!$B:$X,7,0)</f>
        <v>0871L23000030LE</v>
      </c>
      <c r="G593" t="str">
        <f>VLOOKUP($B593,'Obras e Acervos'!$B:$X,5,0)</f>
        <v>PARLA, PALAVRA</v>
      </c>
      <c r="H593">
        <f>VLOOKUP($B593,'Obras e Acervos'!$B:$X,18,0)</f>
        <v>7</v>
      </c>
      <c r="I593">
        <f>VLOOKUP($B593,'Obras e Acervos'!$B:$X,19,0)</f>
        <v>33086</v>
      </c>
      <c r="J593" s="42">
        <f>VLOOKUP($B593,'Obras e Acervos'!$B:$X,20,0)</f>
        <v>2216.7620000000002</v>
      </c>
      <c r="K593" s="31">
        <f>VLOOKUP($B593,'Obras e Acervos'!$B:$X,21,0)</f>
        <v>6.49</v>
      </c>
      <c r="L593" s="31">
        <f t="shared" si="85"/>
        <v>214728.14</v>
      </c>
      <c r="M593" s="1">
        <v>46080</v>
      </c>
      <c r="N593" s="1">
        <f t="shared" si="84"/>
        <v>46305</v>
      </c>
      <c r="O593">
        <f t="shared" si="86"/>
        <v>226</v>
      </c>
      <c r="P593" s="49">
        <f t="shared" si="82"/>
        <v>7.5333333333333332</v>
      </c>
      <c r="Q593" s="34">
        <f>VLOOKUP($G593,Agendamento!$B:$F,5,0)</f>
        <v>3</v>
      </c>
      <c r="R593" s="36">
        <f t="shared" si="87"/>
        <v>34</v>
      </c>
      <c r="S593" s="44">
        <v>2.5499999999999998</v>
      </c>
      <c r="T593" s="44">
        <f t="shared" si="88"/>
        <v>19594.199999999997</v>
      </c>
      <c r="U593" t="s">
        <v>5442</v>
      </c>
      <c r="V593" t="str">
        <f t="shared" si="89"/>
        <v>NF/64307674_20260227_nf_30.pdf</v>
      </c>
      <c r="W593" s="32" t="str">
        <f t="shared" si="83"/>
        <v>NF - PARLA, PALAVRA</v>
      </c>
      <c r="X593" t="s">
        <v>5591</v>
      </c>
    </row>
    <row r="594" spans="1:24" x14ac:dyDescent="0.25">
      <c r="A594" t="str">
        <f>CONCATENATE(D594,"_",TEXT(M594,"ddmmaaaa"),"_",COUNTIF($D$2:D594,D594))</f>
        <v>443011540001-99_27022026_2</v>
      </c>
      <c r="B594" t="str">
        <f>CONCATENATE(Analise!D594,"_",COUNTIF(Analise!$D$2:D594,Analise!D594)-1)</f>
        <v>443011540001-99_1</v>
      </c>
      <c r="C594" s="34">
        <f>COUNTIF('Obras e Acervos'!$C:$C,CONCATENATE(LEFT(D594,12),RIGHT(D594,2)))</f>
        <v>2</v>
      </c>
      <c r="D594" s="35" t="s">
        <v>4568</v>
      </c>
      <c r="E594" t="str">
        <f>VLOOKUP($B594,'Obras e Acervos'!$B:$X,3,0)</f>
        <v>GRAMATA EDITORA-GRAMATA EDITORA</v>
      </c>
      <c r="F594" t="str">
        <f>VLOOKUP($B594,'Obras e Acervos'!$B:$X,7,0)</f>
        <v>0857L23000030LE</v>
      </c>
      <c r="G594" t="str">
        <f>VLOOKUP($B594,'Obras e Acervos'!$B:$X,5,0)</f>
        <v>SINO DE VENTO</v>
      </c>
      <c r="H594">
        <f>VLOOKUP($B594,'Obras e Acervos'!$B:$X,18,0)</f>
        <v>4</v>
      </c>
      <c r="I594">
        <f>VLOOKUP($B594,'Obras e Acervos'!$B:$X,19,0)</f>
        <v>38127</v>
      </c>
      <c r="J594" s="42">
        <f>VLOOKUP($B594,'Obras e Acervos'!$B:$X,20,0)</f>
        <v>3545.8110000000001</v>
      </c>
      <c r="K594" s="31">
        <f>VLOOKUP($B594,'Obras e Acervos'!$B:$X,21,0)</f>
        <v>5.49</v>
      </c>
      <c r="L594" s="31">
        <f t="shared" si="85"/>
        <v>209317.23</v>
      </c>
      <c r="M594" s="1">
        <v>46080</v>
      </c>
      <c r="N594" s="1">
        <f t="shared" si="84"/>
        <v>46305</v>
      </c>
      <c r="O594">
        <f t="shared" si="86"/>
        <v>226</v>
      </c>
      <c r="P594" s="49">
        <f t="shared" si="82"/>
        <v>7.5333333333333332</v>
      </c>
      <c r="Q594" s="34">
        <f>VLOOKUP($G594,Agendamento!$B:$F,5,0)</f>
        <v>5</v>
      </c>
      <c r="R594" s="36">
        <f t="shared" si="87"/>
        <v>39</v>
      </c>
      <c r="S594" s="44">
        <v>2.5499999999999998</v>
      </c>
      <c r="T594" s="44">
        <f t="shared" si="88"/>
        <v>22475.699999999997</v>
      </c>
      <c r="U594" t="s">
        <v>5443</v>
      </c>
      <c r="V594" t="str">
        <f t="shared" si="89"/>
        <v>NF/64307674_20260227_nf_31.pdf</v>
      </c>
      <c r="W594" s="32" t="str">
        <f t="shared" si="83"/>
        <v>NF - SINO DE VENTO</v>
      </c>
      <c r="X594" t="s">
        <v>5591</v>
      </c>
    </row>
    <row r="595" spans="1:24" x14ac:dyDescent="0.25">
      <c r="A595" t="str">
        <f>CONCATENATE(D595,"_",TEXT(M595,"ddmmaaaa"),"_",COUNTIF($D$2:D595,D595))</f>
        <v>266408570001-60_27022026_2</v>
      </c>
      <c r="B595" t="str">
        <f>CONCATENATE(Analise!D595,"_",COUNTIF(Analise!$D$2:D595,Analise!D595)-1)</f>
        <v>266408570001-60_1</v>
      </c>
      <c r="C595" s="34">
        <f>COUNTIF('Obras e Acervos'!$C:$C,CONCATENATE(LEFT(D595,12),RIGHT(D595,2)))</f>
        <v>2</v>
      </c>
      <c r="D595" s="35" t="s">
        <v>4558</v>
      </c>
      <c r="E595" t="str">
        <f>VLOOKUP($B595,'Obras e Acervos'!$B:$X,3,0)</f>
        <v>MARIA MARIANA CIRILO DE MEDEIROS 10083232419-M3 ARTE &amp; EVENTOS</v>
      </c>
      <c r="F595" t="str">
        <f>VLOOKUP($B595,'Obras e Acervos'!$B:$X,7,0)</f>
        <v>1111L23000030LE</v>
      </c>
      <c r="G595" t="str">
        <f>VLOOKUP($B595,'Obras e Acervos'!$B:$X,5,0)</f>
        <v>JOÃO SEM NÃO</v>
      </c>
      <c r="H595">
        <f>VLOOKUP($B595,'Obras e Acervos'!$B:$X,18,0)</f>
        <v>4</v>
      </c>
      <c r="I595">
        <f>VLOOKUP($B595,'Obras e Acervos'!$B:$X,19,0)</f>
        <v>44126</v>
      </c>
      <c r="J595" s="42">
        <f>VLOOKUP($B595,'Obras e Acervos'!$B:$X,20,0)</f>
        <v>6618.9</v>
      </c>
      <c r="K595" s="31">
        <f>VLOOKUP($B595,'Obras e Acervos'!$B:$X,21,0)</f>
        <v>5.68</v>
      </c>
      <c r="L595" s="31">
        <f t="shared" si="85"/>
        <v>250635.68</v>
      </c>
      <c r="M595" s="1">
        <v>46080</v>
      </c>
      <c r="N595" s="1">
        <f t="shared" si="84"/>
        <v>46305</v>
      </c>
      <c r="O595">
        <f t="shared" si="86"/>
        <v>226</v>
      </c>
      <c r="P595" s="49">
        <f t="shared" si="82"/>
        <v>7.5333333333333332</v>
      </c>
      <c r="Q595" s="34">
        <f>VLOOKUP($G595,Agendamento!$B:$F,5,0)</f>
        <v>7</v>
      </c>
      <c r="R595" s="36">
        <f t="shared" si="87"/>
        <v>45</v>
      </c>
      <c r="S595" s="44">
        <v>2.5499999999999998</v>
      </c>
      <c r="T595" s="44">
        <f t="shared" si="88"/>
        <v>25933.5</v>
      </c>
      <c r="U595" t="s">
        <v>5426</v>
      </c>
      <c r="V595" t="str">
        <f t="shared" si="89"/>
        <v>NF/64307674_20260227_nf_32.pdf</v>
      </c>
      <c r="W595" s="32" t="str">
        <f t="shared" si="83"/>
        <v>NF - JOÃO SEM NÃO</v>
      </c>
      <c r="X595" t="s">
        <v>5591</v>
      </c>
    </row>
    <row r="596" spans="1:24" x14ac:dyDescent="0.25">
      <c r="A596" t="str">
        <f>CONCATENATE(D596,"_",TEXT(M596,"ddmmaaaa"),"_",COUNTIF($D$2:D596,D596))</f>
        <v>159170970001-79_27022026_1</v>
      </c>
      <c r="B596" t="str">
        <f>CONCATENATE(Analise!D596,"_",COUNTIF(Analise!$D$2:D596,Analise!D596)+1)</f>
        <v>159170970001-79_2</v>
      </c>
      <c r="C596" s="34">
        <f>COUNTIF('Obras e Acervos'!$C:$C,CONCATENATE(LEFT(D596,12),RIGHT(D596,2)))</f>
        <v>2</v>
      </c>
      <c r="D596" s="35" t="s">
        <v>4840</v>
      </c>
      <c r="E596" t="str">
        <f>VLOOKUP($B596,'Obras e Acervos'!$B:$X,3,0)</f>
        <v>DIAS DOS SANTOS PARTICIPAÇÕES LTDA-CONTEMPORÂNEA</v>
      </c>
      <c r="F596" t="str">
        <f>VLOOKUP($B596,'Obras e Acervos'!$B:$X,7,0)</f>
        <v>0879L23000020LE</v>
      </c>
      <c r="G596" t="str">
        <f>VLOOKUP($B596,'Obras e Acervos'!$B:$X,5,0)</f>
        <v>A TARTARUGA E A BONECA</v>
      </c>
      <c r="H596">
        <f>VLOOKUP($B596,'Obras e Acervos'!$B:$X,18,0)</f>
        <v>22</v>
      </c>
      <c r="I596">
        <f>VLOOKUP($B596,'Obras e Acervos'!$B:$X,19,0)</f>
        <v>23707</v>
      </c>
      <c r="J596" s="42">
        <f>VLOOKUP($B596,'Obras e Acervos'!$B:$X,20,0)</f>
        <v>2726.3050000000003</v>
      </c>
      <c r="K596" s="31">
        <f>VLOOKUP($B596,'Obras e Acervos'!$B:$X,21,0)</f>
        <v>7.05</v>
      </c>
      <c r="L596" s="31">
        <f t="shared" si="85"/>
        <v>167134.35</v>
      </c>
      <c r="M596" s="1">
        <v>46080</v>
      </c>
      <c r="N596" s="1">
        <f t="shared" si="84"/>
        <v>46305</v>
      </c>
      <c r="O596">
        <f t="shared" si="86"/>
        <v>226</v>
      </c>
      <c r="P596" s="49">
        <f t="shared" si="82"/>
        <v>7.5333333333333332</v>
      </c>
      <c r="Q596" s="34">
        <f>VLOOKUP($G596,Agendamento!$B:$F,5,0)</f>
        <v>3</v>
      </c>
      <c r="R596" s="36">
        <f t="shared" si="87"/>
        <v>24</v>
      </c>
      <c r="S596" s="44">
        <v>2.5499999999999998</v>
      </c>
      <c r="T596" s="44">
        <f t="shared" si="88"/>
        <v>13831.199999999999</v>
      </c>
      <c r="U596" t="s">
        <v>5427</v>
      </c>
      <c r="V596" t="str">
        <f t="shared" si="89"/>
        <v>NF/64307674_20260227_nf_33.pdf</v>
      </c>
      <c r="W596" s="32" t="str">
        <f t="shared" si="83"/>
        <v>NF - A TARTARUGA E A BONECA</v>
      </c>
      <c r="X596" t="s">
        <v>5591</v>
      </c>
    </row>
    <row r="597" spans="1:24" x14ac:dyDescent="0.25">
      <c r="A597" t="str">
        <f>CONCATENATE(D597,"_",TEXT(M597,"ddmmaaaa"),"_",COUNTIF($D$2:D597,D597))</f>
        <v>159170970001-79_27022026_2</v>
      </c>
      <c r="B597" t="str">
        <f>CONCATENATE(Analise!D597,"_",COUNTIF(Analise!$D$2:D597,Analise!D597)-1)</f>
        <v>159170970001-79_1</v>
      </c>
      <c r="C597" s="34">
        <f>COUNTIF('Obras e Acervos'!$C:$C,CONCATENATE(LEFT(D597,12),RIGHT(D597,2)))</f>
        <v>2</v>
      </c>
      <c r="D597" s="35" t="s">
        <v>4840</v>
      </c>
      <c r="E597" t="str">
        <f>VLOOKUP($B597,'Obras e Acervos'!$B:$X,3,0)</f>
        <v>DIAS DOS SANTOS PARTICIPAÇÕES LTDA-CONTEMPORÂNEA</v>
      </c>
      <c r="F597" t="str">
        <f>VLOOKUP($B597,'Obras e Acervos'!$B:$X,7,0)</f>
        <v>0878L23000030LE</v>
      </c>
      <c r="G597" t="str">
        <f>VLOOKUP($B597,'Obras e Acervos'!$B:$X,5,0)</f>
        <v>O ELEFANTE ESCRAVO DO COELHO</v>
      </c>
      <c r="H597">
        <f>VLOOKUP($B597,'Obras e Acervos'!$B:$X,18,0)</f>
        <v>4</v>
      </c>
      <c r="I597">
        <f>VLOOKUP($B597,'Obras e Acervos'!$B:$X,19,0)</f>
        <v>40081</v>
      </c>
      <c r="J597" s="42">
        <f>VLOOKUP($B597,'Obras e Acervos'!$B:$X,20,0)</f>
        <v>4609.3150000000005</v>
      </c>
      <c r="K597" s="31">
        <f>VLOOKUP($B597,'Obras e Acervos'!$B:$X,21,0)</f>
        <v>5.85</v>
      </c>
      <c r="L597" s="31">
        <f t="shared" si="85"/>
        <v>234473.84999999998</v>
      </c>
      <c r="M597" s="1">
        <v>46080</v>
      </c>
      <c r="N597" s="1">
        <f t="shared" si="84"/>
        <v>46305</v>
      </c>
      <c r="O597">
        <f t="shared" si="86"/>
        <v>226</v>
      </c>
      <c r="P597" s="49">
        <f t="shared" si="82"/>
        <v>7.5333333333333332</v>
      </c>
      <c r="Q597" s="34">
        <f>VLOOKUP($G597,Agendamento!$B:$F,5,0)</f>
        <v>6</v>
      </c>
      <c r="R597" s="36">
        <f t="shared" si="87"/>
        <v>41</v>
      </c>
      <c r="S597" s="44">
        <v>2.5499999999999998</v>
      </c>
      <c r="T597" s="44">
        <f t="shared" si="88"/>
        <v>23628.3</v>
      </c>
      <c r="U597" t="s">
        <v>5462</v>
      </c>
      <c r="V597" t="str">
        <f t="shared" si="89"/>
        <v>NF/64307674_20260227_nf_34.pdf</v>
      </c>
      <c r="W597" s="32" t="str">
        <f t="shared" si="83"/>
        <v>NF - O ELEFANTE ESCRAVO DO COELHO</v>
      </c>
      <c r="X597" t="s">
        <v>5591</v>
      </c>
    </row>
    <row r="598" spans="1:24" x14ac:dyDescent="0.25">
      <c r="A598" t="str">
        <f>CONCATENATE(D598,"_",TEXT(M598,"ddmmaaaa"),"_",COUNTIF($D$2:D598,D598))</f>
        <v>435908740001-59_27022026_1</v>
      </c>
      <c r="B598" t="str">
        <f>CONCATENATE(Analise!D598,"_",COUNTIF(Analise!$D$2:D598,Analise!D598))</f>
        <v>435908740001-59_1</v>
      </c>
      <c r="C598" s="34">
        <f>COUNTIF('Obras e Acervos'!$C:$C,CONCATENATE(LEFT(D598,12),RIGHT(D598,2)))</f>
        <v>2</v>
      </c>
      <c r="D598" s="35" t="s">
        <v>4850</v>
      </c>
      <c r="E598" t="str">
        <f>VLOOKUP($B598,'Obras e Acervos'!$B:$X,3,0)</f>
        <v>EDITORA PINHEIRO LTDA-EDITORA PINHEIRO</v>
      </c>
      <c r="F598" t="str">
        <f>VLOOKUP($B598,'Obras e Acervos'!$B:$X,7,0)</f>
        <v>1325L23000030LE</v>
      </c>
      <c r="G598" t="str">
        <f>VLOOKUP($B598,'Obras e Acervos'!$B:$X,5,0)</f>
        <v>SEMENTES DE JOANA: A PRIMEIRA MESTRA DE MARACATU</v>
      </c>
      <c r="H598">
        <f>VLOOKUP($B598,'Obras e Acervos'!$B:$X,18,0)</f>
        <v>7</v>
      </c>
      <c r="I598">
        <f>VLOOKUP($B598,'Obras e Acervos'!$B:$X,19,0)</f>
        <v>33995</v>
      </c>
      <c r="J598" s="42">
        <f>VLOOKUP($B598,'Obras e Acervos'!$B:$X,20,0)</f>
        <v>2719.6</v>
      </c>
      <c r="K598" s="31">
        <f>VLOOKUP($B598,'Obras e Acervos'!$B:$X,21,0)</f>
        <v>5.41</v>
      </c>
      <c r="L598" s="31">
        <f t="shared" si="85"/>
        <v>183912.95</v>
      </c>
      <c r="M598" s="1">
        <v>46080</v>
      </c>
      <c r="N598" s="1">
        <f t="shared" si="84"/>
        <v>46305</v>
      </c>
      <c r="O598">
        <f t="shared" si="86"/>
        <v>226</v>
      </c>
      <c r="P598" s="49">
        <f t="shared" si="82"/>
        <v>7.5333333333333332</v>
      </c>
      <c r="Q598" s="34">
        <f>VLOOKUP($G598,Agendamento!$B:$F,5,0)</f>
        <v>4</v>
      </c>
      <c r="R598" s="36">
        <f t="shared" si="87"/>
        <v>34</v>
      </c>
      <c r="S598" s="44">
        <v>2.5499999999999998</v>
      </c>
      <c r="T598" s="44">
        <f t="shared" si="88"/>
        <v>19594.199999999997</v>
      </c>
      <c r="U598" t="s">
        <v>5446</v>
      </c>
      <c r="V598" t="str">
        <f t="shared" si="89"/>
        <v>NF/64307674_20260227_nf_35.pdf</v>
      </c>
      <c r="W598" s="32" t="str">
        <f t="shared" si="83"/>
        <v>NF - SEMENTES DE JOANA: A PRIMEIRA MESTRA DE MARACATU</v>
      </c>
      <c r="X598" t="s">
        <v>5591</v>
      </c>
    </row>
    <row r="599" spans="1:24" x14ac:dyDescent="0.25">
      <c r="A599" t="str">
        <f>CONCATENATE(D599,"_",TEXT(M599,"ddmmaaaa"),"_",COUNTIF($D$2:D599,D599))</f>
        <v>378498960001-98_27022026_2</v>
      </c>
      <c r="B599" t="str">
        <f>CONCATENATE(Analise!D599,"_",COUNTIF(Analise!$D$2:D599,Analise!D599)-1)</f>
        <v>378498960001-98_1</v>
      </c>
      <c r="C599" s="34">
        <f>COUNTIF('Obras e Acervos'!$C:$C,CONCATENATE(LEFT(D599,12),RIGHT(D599,2)))</f>
        <v>2</v>
      </c>
      <c r="D599" s="35" t="s">
        <v>4814</v>
      </c>
      <c r="E599" t="str">
        <f>VLOOKUP($B599,'Obras e Acervos'!$B:$X,3,0)</f>
        <v>ALUAR EDITORA LTDA-ALUAR EDITORA</v>
      </c>
      <c r="F599" t="str">
        <f>VLOOKUP($B599,'Obras e Acervos'!$B:$X,7,0)</f>
        <v>1161L23000030LE</v>
      </c>
      <c r="G599" t="str">
        <f>VLOOKUP($B599,'Obras e Acervos'!$B:$X,5,0)</f>
        <v>PEDRO CONTA-CONTA</v>
      </c>
      <c r="H599">
        <f>VLOOKUP($B599,'Obras e Acervos'!$B:$X,18,0)</f>
        <v>9</v>
      </c>
      <c r="I599">
        <f>VLOOKUP($B599,'Obras e Acervos'!$B:$X,19,0)</f>
        <v>33446</v>
      </c>
      <c r="J599" s="42">
        <f>VLOOKUP($B599,'Obras e Acervos'!$B:$X,20,0)</f>
        <v>3311.154</v>
      </c>
      <c r="K599" s="31">
        <f>VLOOKUP($B599,'Obras e Acervos'!$B:$X,21,0)</f>
        <v>5.56</v>
      </c>
      <c r="L599" s="31">
        <f t="shared" si="85"/>
        <v>185959.75999999998</v>
      </c>
      <c r="M599" s="1">
        <v>46080</v>
      </c>
      <c r="N599" s="1">
        <f t="shared" si="84"/>
        <v>46305</v>
      </c>
      <c r="O599">
        <f t="shared" si="86"/>
        <v>226</v>
      </c>
      <c r="P599" s="49">
        <f t="shared" si="82"/>
        <v>7.5333333333333332</v>
      </c>
      <c r="Q599" s="34">
        <f>VLOOKUP($G599,Agendamento!$B:$F,5,0)</f>
        <v>6</v>
      </c>
      <c r="R599" s="36">
        <f t="shared" si="87"/>
        <v>34</v>
      </c>
      <c r="S599" s="44">
        <v>2.5499999999999998</v>
      </c>
      <c r="T599" s="44">
        <f t="shared" si="88"/>
        <v>19594.199999999997</v>
      </c>
      <c r="U599" t="s">
        <v>5464</v>
      </c>
      <c r="V599" t="str">
        <f t="shared" si="89"/>
        <v>NF/64307674_20260227_nf_36.pdf</v>
      </c>
      <c r="W599" s="32" t="str">
        <f t="shared" si="83"/>
        <v>NF - PEDRO CONTA-CONTA</v>
      </c>
      <c r="X599" t="s">
        <v>5591</v>
      </c>
    </row>
    <row r="600" spans="1:24" x14ac:dyDescent="0.25">
      <c r="A600" t="str">
        <f>CONCATENATE(D600,"_",TEXT(M600,"ddmmaaaa"),"_",COUNTIF($D$2:D600,D600))</f>
        <v>038495380001-63_27022026_1</v>
      </c>
      <c r="B600" t="str">
        <f>CONCATENATE(Analise!D600,"_",COUNTIF(Analise!$D$2:D600,Analise!D600))</f>
        <v>038495380001-63_1</v>
      </c>
      <c r="C600" s="34">
        <f>COUNTIF('Obras e Acervos'!$C:$C,CONCATENATE(LEFT(D600,12),RIGHT(D600,2)))</f>
        <v>1</v>
      </c>
      <c r="D600" s="35" t="s">
        <v>4839</v>
      </c>
      <c r="E600" t="str">
        <f>VLOOKUP($B600,'Obras e Acervos'!$B:$X,3,0)</f>
        <v>EDITORA PAPAGAIO LTDA-PAPAGAIO</v>
      </c>
      <c r="F600" t="str">
        <f>VLOOKUP($B600,'Obras e Acervos'!$B:$X,7,0)</f>
        <v>1370L23000030LE</v>
      </c>
      <c r="G600" t="str">
        <f>VLOOKUP($B600,'Obras e Acervos'!$B:$X,5,0)</f>
        <v>O CORPO É MEU, NINGUÉM PÕE A MÃO</v>
      </c>
      <c r="H600">
        <f>VLOOKUP($B600,'Obras e Acervos'!$B:$X,18,0)</f>
        <v>9</v>
      </c>
      <c r="I600">
        <f>VLOOKUP($B600,'Obras e Acervos'!$B:$X,19,0)</f>
        <v>59216</v>
      </c>
      <c r="J600" s="42">
        <f>VLOOKUP($B600,'Obras e Acervos'!$B:$X,20,0)</f>
        <v>5921.6</v>
      </c>
      <c r="K600" s="31">
        <f>VLOOKUP($B600,'Obras e Acervos'!$B:$X,21,0)</f>
        <v>5.27</v>
      </c>
      <c r="L600" s="31">
        <f t="shared" si="85"/>
        <v>312068.31999999995</v>
      </c>
      <c r="M600" s="1">
        <v>46080</v>
      </c>
      <c r="N600" s="1">
        <f t="shared" si="84"/>
        <v>46305</v>
      </c>
      <c r="O600">
        <f t="shared" si="86"/>
        <v>226</v>
      </c>
      <c r="P600" s="49">
        <f t="shared" si="82"/>
        <v>7.5333333333333332</v>
      </c>
      <c r="Q600" s="34">
        <f>VLOOKUP($G600,Agendamento!$B:$F,5,0)</f>
        <v>10</v>
      </c>
      <c r="R600" s="36">
        <f t="shared" si="87"/>
        <v>60</v>
      </c>
      <c r="S600" s="44">
        <v>2.5499999999999998</v>
      </c>
      <c r="T600" s="44">
        <f t="shared" si="88"/>
        <v>34578</v>
      </c>
      <c r="U600" t="s">
        <v>5424</v>
      </c>
      <c r="V600" t="str">
        <f t="shared" si="89"/>
        <v>NF/64307674_20260227_nf_38.pdf</v>
      </c>
      <c r="W600" s="32" t="str">
        <f t="shared" si="83"/>
        <v>NF - O CORPO É MEU, NINGUÉM PÕE A MÃO</v>
      </c>
      <c r="X600" t="s">
        <v>5591</v>
      </c>
    </row>
    <row r="601" spans="1:24" x14ac:dyDescent="0.25">
      <c r="A601" t="str">
        <f>CONCATENATE(D601,"_",TEXT(M601,"ddmmaaaa"),"_",COUNTIF($D$2:D601,D601))</f>
        <v>223380340001-23_27022026_1</v>
      </c>
      <c r="B601" t="str">
        <f>CONCATENATE(Analise!D601,"_",COUNTIF(Analise!$D$2:D601,Analise!D601))</f>
        <v>223380340001-23_1</v>
      </c>
      <c r="C601" s="34">
        <f>COUNTIF('Obras e Acervos'!$C:$C,CONCATENATE(LEFT(D601,12),RIGHT(D601,2)))</f>
        <v>1</v>
      </c>
      <c r="D601" s="35" t="s">
        <v>4851</v>
      </c>
      <c r="E601" t="str">
        <f>VLOOKUP($B601,'Obras e Acervos'!$B:$X,3,0)</f>
        <v>GARAMILINCA PROJETOS PARA A INFÂNCIA LTDA. ME-GARAMILINCA</v>
      </c>
      <c r="F601" t="str">
        <f>VLOOKUP($B601,'Obras e Acervos'!$B:$X,7,0)</f>
        <v>0746L23000020LE</v>
      </c>
      <c r="G601" t="str">
        <f>VLOOKUP($B601,'Obras e Acervos'!$B:$X,5,0)</f>
        <v>A EXPERTA OU UMA OVELHA MUITO DIFERENTE</v>
      </c>
      <c r="H601">
        <f>VLOOKUP($B601,'Obras e Acervos'!$B:$X,18,0)</f>
        <v>15</v>
      </c>
      <c r="I601">
        <f>VLOOKUP($B601,'Obras e Acervos'!$B:$X,19,0)</f>
        <v>38337</v>
      </c>
      <c r="J601" s="42">
        <f>VLOOKUP($B601,'Obras e Acervos'!$B:$X,20,0)</f>
        <v>5712.2129999999997</v>
      </c>
      <c r="K601" s="31">
        <f>VLOOKUP($B601,'Obras e Acervos'!$B:$X,21,0)</f>
        <v>7.15</v>
      </c>
      <c r="L601" s="31">
        <f t="shared" si="85"/>
        <v>274109.55</v>
      </c>
      <c r="M601" s="1">
        <v>46080</v>
      </c>
      <c r="N601" s="1">
        <f t="shared" si="84"/>
        <v>46305</v>
      </c>
      <c r="O601">
        <f t="shared" si="86"/>
        <v>226</v>
      </c>
      <c r="P601" s="49">
        <f t="shared" si="82"/>
        <v>7.5333333333333332</v>
      </c>
      <c r="Q601" s="34">
        <f>VLOOKUP($G601,Agendamento!$B:$F,5,0)</f>
        <v>9</v>
      </c>
      <c r="R601" s="36">
        <f t="shared" si="87"/>
        <v>39</v>
      </c>
      <c r="S601" s="44">
        <v>2.5499999999999998</v>
      </c>
      <c r="T601" s="44">
        <f t="shared" si="88"/>
        <v>22475.699999999997</v>
      </c>
      <c r="U601" t="s">
        <v>5447</v>
      </c>
      <c r="V601" t="str">
        <f t="shared" si="89"/>
        <v>NF/64307674_20260227_nf_40.pdf</v>
      </c>
      <c r="W601" s="32" t="str">
        <f t="shared" si="83"/>
        <v>NF - A EXPERTA OU UMA OVELHA MUITO DIFERENTE</v>
      </c>
      <c r="X601" t="s">
        <v>5591</v>
      </c>
    </row>
    <row r="602" spans="1:24" x14ac:dyDescent="0.25">
      <c r="A602" t="str">
        <f>CONCATENATE(D602,"_",TEXT(M602,"ddmmaaaa"),"_",COUNTIF($D$2:D602,D602))</f>
        <v>260424370001-81_27022026_1</v>
      </c>
      <c r="B602" t="str">
        <f>CONCATENATE(Analise!D602,"_",COUNTIF(Analise!$D$2:D602,Analise!D602))</f>
        <v>260424370001-81_1</v>
      </c>
      <c r="C602" s="34">
        <f>COUNTIF('Obras e Acervos'!$C:$C,CONCATENATE(LEFT(D602,12),RIGHT(D602,2)))</f>
        <v>2</v>
      </c>
      <c r="D602" s="35" t="s">
        <v>4854</v>
      </c>
      <c r="E602" t="str">
        <f>VLOOKUP($B602,'Obras e Acervos'!$B:$X,3,0)</f>
        <v>ATALANTE EDITORES LTDA.-ATALANTE</v>
      </c>
      <c r="F602" t="str">
        <f>VLOOKUP($B602,'Obras e Acervos'!$B:$X,7,0)</f>
        <v>0335L23000030LE</v>
      </c>
      <c r="G602" t="str">
        <f>VLOOKUP($B602,'Obras e Acervos'!$B:$X,5,0)</f>
        <v>GATO DE PAPEL — E OUTROS POEMAS</v>
      </c>
      <c r="H602">
        <f>VLOOKUP($B602,'Obras e Acervos'!$B:$X,18,0)</f>
        <v>2</v>
      </c>
      <c r="I602">
        <f>VLOOKUP($B602,'Obras e Acervos'!$B:$X,19,0)</f>
        <v>44316</v>
      </c>
      <c r="J602" s="42">
        <f>VLOOKUP($B602,'Obras e Acervos'!$B:$X,20,0)</f>
        <v>4874.76</v>
      </c>
      <c r="K602" s="31">
        <f>VLOOKUP($B602,'Obras e Acervos'!$B:$X,21,0)</f>
        <v>5.07</v>
      </c>
      <c r="L602" s="31">
        <f t="shared" si="85"/>
        <v>224682.12000000002</v>
      </c>
      <c r="M602" s="1">
        <v>46080</v>
      </c>
      <c r="N602" s="1">
        <f t="shared" si="84"/>
        <v>46305</v>
      </c>
      <c r="O602">
        <f t="shared" si="86"/>
        <v>226</v>
      </c>
      <c r="P602" s="49">
        <f t="shared" si="82"/>
        <v>7.5333333333333332</v>
      </c>
      <c r="Q602" s="34">
        <f>VLOOKUP($G602,Agendamento!$B:$F,5,0)</f>
        <v>10</v>
      </c>
      <c r="R602" s="36">
        <f t="shared" si="87"/>
        <v>45</v>
      </c>
      <c r="S602" s="44">
        <v>2.5499999999999998</v>
      </c>
      <c r="T602" s="44">
        <f t="shared" si="88"/>
        <v>25933.5</v>
      </c>
      <c r="U602" t="s">
        <v>5450</v>
      </c>
      <c r="V602" t="str">
        <f t="shared" si="89"/>
        <v>NF/64307674_20260227_nf_41.pdf</v>
      </c>
      <c r="W602" s="32" t="str">
        <f t="shared" si="83"/>
        <v>NF - GATO DE PAPEL — E OUTROS POEMAS</v>
      </c>
      <c r="X602" t="s">
        <v>5591</v>
      </c>
    </row>
    <row r="603" spans="1:24" x14ac:dyDescent="0.25">
      <c r="A603" t="str">
        <f>CONCATENATE(D603,"_",TEXT(M603,"ddmmaaaa"),"_",COUNTIF($D$2:D603,D603))</f>
        <v>260424370001-81_27022026_2</v>
      </c>
      <c r="B603" t="str">
        <f>CONCATENATE(Analise!D603,"_",COUNTIF(Analise!$D$2:D603,Analise!D603))</f>
        <v>260424370001-81_2</v>
      </c>
      <c r="C603" s="34">
        <f>COUNTIF('Obras e Acervos'!$C:$C,CONCATENATE(LEFT(D603,12),RIGHT(D603,2)))</f>
        <v>2</v>
      </c>
      <c r="D603" s="35" t="s">
        <v>4854</v>
      </c>
      <c r="E603" t="str">
        <f>VLOOKUP($B603,'Obras e Acervos'!$B:$X,3,0)</f>
        <v>ATALANTE EDITORES LTDA.-ATALANTE</v>
      </c>
      <c r="F603" t="str">
        <f>VLOOKUP($B603,'Obras e Acervos'!$B:$X,7,0)</f>
        <v>0336L23000020LE</v>
      </c>
      <c r="G603" t="str">
        <f>VLOOKUP($B603,'Obras e Acervos'!$B:$X,5,0)</f>
        <v>A PRINCESA INDOMÁVEL</v>
      </c>
      <c r="H603">
        <f>VLOOKUP($B603,'Obras e Acervos'!$B:$X,18,0)</f>
        <v>21</v>
      </c>
      <c r="I603">
        <f>VLOOKUP($B603,'Obras e Acervos'!$B:$X,19,0)</f>
        <v>26526</v>
      </c>
      <c r="J603" s="42">
        <f>VLOOKUP($B603,'Obras e Acervos'!$B:$X,20,0)</f>
        <v>3183.12</v>
      </c>
      <c r="K603" s="31">
        <f>VLOOKUP($B603,'Obras e Acervos'!$B:$X,21,0)</f>
        <v>11.75</v>
      </c>
      <c r="L603" s="31">
        <f t="shared" si="85"/>
        <v>311680.5</v>
      </c>
      <c r="M603" s="1">
        <v>46080</v>
      </c>
      <c r="N603" s="1">
        <f t="shared" si="84"/>
        <v>46305</v>
      </c>
      <c r="O603">
        <f t="shared" si="86"/>
        <v>226</v>
      </c>
      <c r="P603" s="49">
        <f t="shared" si="82"/>
        <v>7.5333333333333332</v>
      </c>
      <c r="Q603" s="34">
        <f>VLOOKUP($G603,Agendamento!$B:$F,5,0)</f>
        <v>6</v>
      </c>
      <c r="R603" s="36">
        <f t="shared" si="87"/>
        <v>27</v>
      </c>
      <c r="S603" s="44">
        <v>2.5499999999999998</v>
      </c>
      <c r="T603" s="44">
        <f t="shared" si="88"/>
        <v>15560.099999999999</v>
      </c>
      <c r="U603" t="s">
        <v>5450</v>
      </c>
      <c r="V603" t="str">
        <f t="shared" si="89"/>
        <v>NF/64307674_20260227_nf_41.pdf</v>
      </c>
      <c r="W603" s="32" t="str">
        <f t="shared" si="83"/>
        <v>NF - A PRINCESA INDOMÁVEL</v>
      </c>
      <c r="X603" t="s">
        <v>5591</v>
      </c>
    </row>
    <row r="604" spans="1:24" x14ac:dyDescent="0.25">
      <c r="A604" t="str">
        <f>CONCATENATE(D604,"_",TEXT(M604,"ddmmaaaa"),"_",COUNTIF($D$2:D604,D604))</f>
        <v>250706980001-42_27022026_1</v>
      </c>
      <c r="B604" t="str">
        <f>CONCATENATE(Analise!D604,"_",COUNTIF(Analise!$D$2:D604,Analise!D604))</f>
        <v>250706980001-42_1</v>
      </c>
      <c r="C604" s="34">
        <f>COUNTIF('Obras e Acervos'!$C:$C,CONCATENATE(LEFT(D604,12),RIGHT(D604,2)))</f>
        <v>1</v>
      </c>
      <c r="D604" s="35" t="s">
        <v>4862</v>
      </c>
      <c r="E604" t="str">
        <f>VLOOKUP($B604,'Obras e Acervos'!$B:$X,3,0)</f>
        <v>M. J. KARAS EDIÇÕES EIRELI-OLHO DE VIDRO</v>
      </c>
      <c r="F604" t="str">
        <f>VLOOKUP($B604,'Obras e Acervos'!$B:$X,7,0)</f>
        <v>0313L23000020LE</v>
      </c>
      <c r="G604" t="str">
        <f>VLOOKUP($B604,'Obras e Acervos'!$B:$X,5,0)</f>
        <v>O SOPRO DO LEÃO</v>
      </c>
      <c r="H604">
        <f>VLOOKUP($B604,'Obras e Acervos'!$B:$X,18,0)</f>
        <v>18</v>
      </c>
      <c r="I604">
        <f>VLOOKUP($B604,'Obras e Acervos'!$B:$X,19,0)</f>
        <v>24336</v>
      </c>
      <c r="J604" s="42">
        <f>VLOOKUP($B604,'Obras e Acervos'!$B:$X,20,0)</f>
        <v>3626.0639999999999</v>
      </c>
      <c r="K604" s="31">
        <f>VLOOKUP($B604,'Obras e Acervos'!$B:$X,21,0)</f>
        <v>8.43</v>
      </c>
      <c r="L604" s="31">
        <f t="shared" si="85"/>
        <v>205152.47999999998</v>
      </c>
      <c r="M604" s="1">
        <v>46080</v>
      </c>
      <c r="N604" s="1">
        <f t="shared" si="84"/>
        <v>46305</v>
      </c>
      <c r="O604">
        <f t="shared" si="86"/>
        <v>226</v>
      </c>
      <c r="P604" s="49">
        <f t="shared" si="82"/>
        <v>7.5333333333333332</v>
      </c>
      <c r="Q604" s="34">
        <f>VLOOKUP($G604,Agendamento!$B:$F,5,0)</f>
        <v>6</v>
      </c>
      <c r="R604" s="36">
        <f t="shared" si="87"/>
        <v>25</v>
      </c>
      <c r="S604" s="44">
        <v>2.5499999999999998</v>
      </c>
      <c r="T604" s="44">
        <f t="shared" si="88"/>
        <v>14407.499999999998</v>
      </c>
      <c r="U604" t="s">
        <v>5463</v>
      </c>
      <c r="V604" t="str">
        <f t="shared" si="89"/>
        <v>NF/64307674_20260227_nf_42.pdf</v>
      </c>
      <c r="W604" s="32" t="str">
        <f t="shared" si="83"/>
        <v>NF - O SOPRO DO LEÃO</v>
      </c>
      <c r="X604" t="s">
        <v>5591</v>
      </c>
    </row>
    <row r="605" spans="1:24" x14ac:dyDescent="0.25">
      <c r="A605" t="str">
        <f>CONCATENATE(D605,"_",TEXT(M605,"ddmmaaaa"),"_",COUNTIF($D$2:D605,D605))</f>
        <v>176299430001-80_27022026_1</v>
      </c>
      <c r="B605" t="str">
        <f>CONCATENATE(Analise!D605,"_",COUNTIF(Analise!$D$2:D605,Analise!D605))</f>
        <v>176299430001-80_1</v>
      </c>
      <c r="C605" s="34">
        <f>COUNTIF('Obras e Acervos'!$C:$C,CONCATENATE(LEFT(D605,12),RIGHT(D605,2)))</f>
        <v>2</v>
      </c>
      <c r="D605" s="35" t="s">
        <v>4855</v>
      </c>
      <c r="E605" t="str">
        <f>VLOOKUP($B605,'Obras e Acervos'!$B:$X,3,0)</f>
        <v>EDITORA PEQUENA ZAHAR LTDA-</v>
      </c>
      <c r="F605" t="str">
        <f>VLOOKUP($B605,'Obras e Acervos'!$B:$X,7,0)</f>
        <v>0813L23000030LE</v>
      </c>
      <c r="G605" t="str">
        <f>VLOOKUP($B605,'Obras e Acervos'!$B:$X,5,0)</f>
        <v>O PROTESTO</v>
      </c>
      <c r="H605">
        <f>VLOOKUP($B605,'Obras e Acervos'!$B:$X,18,0)</f>
        <v>4</v>
      </c>
      <c r="I605">
        <f>VLOOKUP($B605,'Obras e Acervos'!$B:$X,19,0)</f>
        <v>39732</v>
      </c>
      <c r="J605" s="42">
        <f>VLOOKUP($B605,'Obras e Acervos'!$B:$X,20,0)</f>
        <v>5443.2840000000006</v>
      </c>
      <c r="K605" s="31">
        <f>VLOOKUP($B605,'Obras e Acervos'!$B:$X,21,0)</f>
        <v>7.13</v>
      </c>
      <c r="L605" s="31">
        <f t="shared" si="85"/>
        <v>283289.15999999997</v>
      </c>
      <c r="M605" s="1">
        <v>46080</v>
      </c>
      <c r="N605" s="1">
        <f t="shared" si="84"/>
        <v>46305</v>
      </c>
      <c r="O605">
        <f t="shared" si="86"/>
        <v>226</v>
      </c>
      <c r="P605" s="49">
        <f t="shared" si="82"/>
        <v>7.5333333333333332</v>
      </c>
      <c r="Q605" s="34">
        <f>VLOOKUP($G605,Agendamento!$B:$F,5,0)</f>
        <v>7</v>
      </c>
      <c r="R605" s="36">
        <f t="shared" si="87"/>
        <v>40</v>
      </c>
      <c r="S605" s="44">
        <v>2.5499999999999998</v>
      </c>
      <c r="T605" s="44">
        <f t="shared" si="88"/>
        <v>23052</v>
      </c>
      <c r="U605" t="s">
        <v>5452</v>
      </c>
      <c r="V605" t="str">
        <f t="shared" si="89"/>
        <v>NF/64307674_20260227_nf_43.pdf</v>
      </c>
      <c r="W605" s="32" t="str">
        <f t="shared" si="83"/>
        <v>NF - O PROTESTO</v>
      </c>
      <c r="X605" t="s">
        <v>5591</v>
      </c>
    </row>
    <row r="606" spans="1:24" x14ac:dyDescent="0.25">
      <c r="A606" t="str">
        <f>CONCATENATE(D606,"_",TEXT(M606,"ddmmaaaa"),"_",COUNTIF($D$2:D606,D606))</f>
        <v>305812450001-10_27022026_2</v>
      </c>
      <c r="B606" t="str">
        <f>CONCATENATE(Analise!D606,"_",COUNTIF(Analise!$D$2:D606,Analise!D606)-1)</f>
        <v>305812450001-10_1</v>
      </c>
      <c r="C606" s="34">
        <f>COUNTIF('Obras e Acervos'!$C:$C,CONCATENATE(LEFT(D606,12),RIGHT(D606,2)))</f>
        <v>2</v>
      </c>
      <c r="D606" s="35" t="s">
        <v>4828</v>
      </c>
      <c r="E606" t="str">
        <f>VLOOKUP($B606,'Obras e Acervos'!$B:$X,3,0)</f>
        <v>GRAN COMERCIO DE LIVROS E SERVIÇOS LTDA-VIVA LIVRO</v>
      </c>
      <c r="F606" t="str">
        <f>VLOOKUP($B606,'Obras e Acervos'!$B:$X,7,0)</f>
        <v>0888L23000030LE</v>
      </c>
      <c r="G606" t="str">
        <f>VLOOKUP($B606,'Obras e Acervos'!$B:$X,5,0)</f>
        <v>O QUINTAL DA MINHA CASA</v>
      </c>
      <c r="H606">
        <f>VLOOKUP($B606,'Obras e Acervos'!$B:$X,18,0)</f>
        <v>5</v>
      </c>
      <c r="I606">
        <f>VLOOKUP($B606,'Obras e Acervos'!$B:$X,19,0)</f>
        <v>45119</v>
      </c>
      <c r="J606" s="42">
        <f>VLOOKUP($B606,'Obras e Acervos'!$B:$X,20,0)</f>
        <v>5775.232</v>
      </c>
      <c r="K606" s="31">
        <f>VLOOKUP($B606,'Obras e Acervos'!$B:$X,21,0)</f>
        <v>6.24</v>
      </c>
      <c r="L606" s="31">
        <f t="shared" si="85"/>
        <v>281542.56</v>
      </c>
      <c r="M606" s="1">
        <v>46080</v>
      </c>
      <c r="N606" s="1">
        <f t="shared" si="84"/>
        <v>46305</v>
      </c>
      <c r="O606">
        <f t="shared" si="86"/>
        <v>226</v>
      </c>
      <c r="P606" s="49">
        <f t="shared" si="82"/>
        <v>7.5333333333333332</v>
      </c>
      <c r="Q606" s="34">
        <f>VLOOKUP($G606,Agendamento!$B:$F,5,0)</f>
        <v>7</v>
      </c>
      <c r="R606" s="36">
        <f t="shared" si="87"/>
        <v>46</v>
      </c>
      <c r="S606" s="44">
        <v>2.5499999999999998</v>
      </c>
      <c r="T606" s="44">
        <f t="shared" si="88"/>
        <v>26509.8</v>
      </c>
      <c r="U606" t="s">
        <v>5454</v>
      </c>
      <c r="V606" t="str">
        <f t="shared" si="89"/>
        <v>NF/64307674_20260227_nf_44.pdf</v>
      </c>
      <c r="W606" s="32" t="str">
        <f t="shared" si="83"/>
        <v>NF - O QUINTAL DA MINHA CASA</v>
      </c>
      <c r="X606" t="s">
        <v>5591</v>
      </c>
    </row>
    <row r="607" spans="1:24" x14ac:dyDescent="0.25">
      <c r="A607" t="str">
        <f>CONCATENATE(D607,"_",TEXT(M607,"ddmmaaaa"),"_",COUNTIF($D$2:D607,D607))</f>
        <v>281400850001-22_27022026_1</v>
      </c>
      <c r="B607" t="str">
        <f>CONCATENATE(Analise!D607,"_",COUNTIF(Analise!$D$2:D607,Analise!D607))</f>
        <v>281400850001-22_1</v>
      </c>
      <c r="C607" s="34">
        <f>COUNTIF('Obras e Acervos'!$C:$C,CONCATENATE(LEFT(D607,12),RIGHT(D607,2)))</f>
        <v>2</v>
      </c>
      <c r="D607" s="35" t="s">
        <v>4858</v>
      </c>
      <c r="E607" t="str">
        <f>VLOOKUP($B607,'Obras e Acervos'!$B:$X,3,0)</f>
        <v>REPRESENTACÕES PAULISTA LTDA-LOGOS LIVRARIA</v>
      </c>
      <c r="F607" t="str">
        <f>VLOOKUP($B607,'Obras e Acervos'!$B:$X,7,0)</f>
        <v>0840L23000030LE</v>
      </c>
      <c r="G607" t="str">
        <f>VLOOKUP($B607,'Obras e Acervos'!$B:$X,5,0)</f>
        <v>UMA AVENTURA DO VELHO BAOBÁ</v>
      </c>
      <c r="H607">
        <f>VLOOKUP($B607,'Obras e Acervos'!$B:$X,18,0)</f>
        <v>2</v>
      </c>
      <c r="I607">
        <f>VLOOKUP($B607,'Obras e Acervos'!$B:$X,19,0)</f>
        <v>57648</v>
      </c>
      <c r="J607" s="42">
        <f>VLOOKUP($B607,'Obras e Acervos'!$B:$X,20,0)</f>
        <v>6283.6319999999996</v>
      </c>
      <c r="K607" s="31">
        <f>VLOOKUP($B607,'Obras e Acervos'!$B:$X,21,0)</f>
        <v>4.91</v>
      </c>
      <c r="L607" s="31">
        <f t="shared" si="85"/>
        <v>283051.68</v>
      </c>
      <c r="M607" s="1">
        <v>46080</v>
      </c>
      <c r="N607" s="1">
        <f t="shared" si="84"/>
        <v>46305</v>
      </c>
      <c r="O607">
        <f t="shared" si="86"/>
        <v>226</v>
      </c>
      <c r="P607" s="49">
        <f t="shared" si="82"/>
        <v>7.5333333333333332</v>
      </c>
      <c r="Q607" s="34">
        <f>VLOOKUP($G607,Agendamento!$B:$F,5,0)</f>
        <v>8</v>
      </c>
      <c r="R607" s="36">
        <f t="shared" si="87"/>
        <v>58</v>
      </c>
      <c r="S607" s="44">
        <v>2.5499999999999998</v>
      </c>
      <c r="T607" s="44">
        <f t="shared" si="88"/>
        <v>33425.399999999994</v>
      </c>
      <c r="U607" t="s">
        <v>5456</v>
      </c>
      <c r="V607" t="str">
        <f t="shared" si="89"/>
        <v>NF/64307674_20260227_nf_45.pdf</v>
      </c>
      <c r="W607" s="32" t="str">
        <f t="shared" si="83"/>
        <v>NF - UMA AVENTURA DO VELHO BAOBÁ</v>
      </c>
      <c r="X607" t="s">
        <v>5591</v>
      </c>
    </row>
    <row r="608" spans="1:24" x14ac:dyDescent="0.25">
      <c r="A608" t="str">
        <f>CONCATENATE(D608,"_",TEXT(M608,"ddmmaaaa"),"_",COUNTIF($D$2:D608,D608))</f>
        <v>437333480001-09_27022026_1</v>
      </c>
      <c r="B608" t="str">
        <f>CONCATENATE(Analise!D608,"_",COUNTIF(Analise!$D$2:D608,Analise!D608))</f>
        <v>437333480001-09_1</v>
      </c>
      <c r="C608" s="34">
        <f>COUNTIF('Obras e Acervos'!$C:$C,CONCATENATE(LEFT(D608,12),RIGHT(D608,2)))</f>
        <v>1</v>
      </c>
      <c r="D608" s="35" t="s">
        <v>4861</v>
      </c>
      <c r="E608" t="str">
        <f>VLOOKUP($B608,'Obras e Acervos'!$B:$X,3,0)</f>
        <v>TIÊ EDIÇÕES LTDA-TIÊ EDIÇÕES</v>
      </c>
      <c r="F608" t="str">
        <f>VLOOKUP($B608,'Obras e Acervos'!$B:$X,7,0)</f>
        <v>1289L23000030LE</v>
      </c>
      <c r="G608" t="str">
        <f>VLOOKUP($B608,'Obras e Acervos'!$B:$X,5,0)</f>
        <v>O MENINO DO BOLSO FURADO</v>
      </c>
      <c r="H608">
        <f>VLOOKUP($B608,'Obras e Acervos'!$B:$X,18,0)</f>
        <v>2</v>
      </c>
      <c r="I608">
        <f>VLOOKUP($B608,'Obras e Acervos'!$B:$X,19,0)</f>
        <v>45467</v>
      </c>
      <c r="J608" s="42">
        <f>VLOOKUP($B608,'Obras e Acervos'!$B:$X,20,0)</f>
        <v>3455.4919999999997</v>
      </c>
      <c r="K608" s="31">
        <f>VLOOKUP($B608,'Obras e Acervos'!$B:$X,21,0)</f>
        <v>5.05</v>
      </c>
      <c r="L608" s="31">
        <f t="shared" si="85"/>
        <v>229608.35</v>
      </c>
      <c r="M608" s="1">
        <v>46080</v>
      </c>
      <c r="N608" s="1">
        <f t="shared" si="84"/>
        <v>46305</v>
      </c>
      <c r="O608">
        <f t="shared" si="86"/>
        <v>226</v>
      </c>
      <c r="P608" s="49">
        <f t="shared" si="82"/>
        <v>7.5333333333333332</v>
      </c>
      <c r="Q608" s="34">
        <f>VLOOKUP($G608,Agendamento!$B:$F,5,0)</f>
        <v>6</v>
      </c>
      <c r="R608" s="36">
        <f t="shared" si="87"/>
        <v>46</v>
      </c>
      <c r="S608" s="44">
        <v>2.5499999999999998</v>
      </c>
      <c r="T608" s="44">
        <f t="shared" si="88"/>
        <v>26509.8</v>
      </c>
      <c r="U608" t="s">
        <v>5461</v>
      </c>
      <c r="V608" t="str">
        <f t="shared" si="89"/>
        <v>NF/64307674_20260227_nf_46.pdf</v>
      </c>
      <c r="W608" s="32" t="str">
        <f t="shared" si="83"/>
        <v>NF - O MENINO DO BOLSO FURADO</v>
      </c>
      <c r="X608" t="s">
        <v>5591</v>
      </c>
    </row>
    <row r="609" spans="1:24" x14ac:dyDescent="0.25">
      <c r="A609" t="str">
        <f>CONCATENATE(D609,"_",TEXT(M609,"ddmmaaaa"),"_",COUNTIF($D$2:D609,D609))</f>
        <v>094707630001-70_27022026_1</v>
      </c>
      <c r="B609" t="str">
        <f>CONCATENATE(Analise!D609,"_",COUNTIF(Analise!$D$2:D609,Analise!D609))</f>
        <v>094707630001-70_1</v>
      </c>
      <c r="C609" s="34">
        <f>COUNTIF('Obras e Acervos'!$C:$C,CONCATENATE(LEFT(D609,12),RIGHT(D609,2)))</f>
        <v>2</v>
      </c>
      <c r="D609" s="35" t="s">
        <v>4860</v>
      </c>
      <c r="E609" t="str">
        <f>VLOOKUP($B609,'Obras e Acervos'!$B:$X,3,0)</f>
        <v>ESTÚDIO MADALENA PRODUÇÕES FOTOGRÁFICAS EIRELI-MADALENA</v>
      </c>
      <c r="F609" t="str">
        <f>VLOOKUP($B609,'Obras e Acervos'!$B:$X,7,0)</f>
        <v>1364L23000030LE</v>
      </c>
      <c r="G609" t="str">
        <f>VLOOKUP($B609,'Obras e Acervos'!$B:$X,5,0)</f>
        <v>A SEMENTE E A TORRE</v>
      </c>
      <c r="H609">
        <f>VLOOKUP($B609,'Obras e Acervos'!$B:$X,18,0)</f>
        <v>1</v>
      </c>
      <c r="I609">
        <f>VLOOKUP($B609,'Obras e Acervos'!$B:$X,19,0)</f>
        <v>49353</v>
      </c>
      <c r="J609" s="42">
        <f>VLOOKUP($B609,'Obras e Acervos'!$B:$X,20,0)</f>
        <v>4935.3</v>
      </c>
      <c r="K609" s="31">
        <f>VLOOKUP($B609,'Obras e Acervos'!$B:$X,21,0)</f>
        <v>4.41</v>
      </c>
      <c r="L609" s="31">
        <f t="shared" si="85"/>
        <v>217646.73</v>
      </c>
      <c r="M609" s="1">
        <v>46080</v>
      </c>
      <c r="N609" s="1">
        <f t="shared" si="84"/>
        <v>46305</v>
      </c>
      <c r="O609">
        <f t="shared" si="86"/>
        <v>226</v>
      </c>
      <c r="P609" s="49">
        <f t="shared" si="82"/>
        <v>7.5333333333333332</v>
      </c>
      <c r="Q609" s="34">
        <f>VLOOKUP($G609,Agendamento!$B:$F,5,0)</f>
        <v>5</v>
      </c>
      <c r="R609" s="36">
        <f t="shared" si="87"/>
        <v>50</v>
      </c>
      <c r="S609" s="44">
        <v>2.5499999999999998</v>
      </c>
      <c r="T609" s="44">
        <f t="shared" si="88"/>
        <v>28814.999999999996</v>
      </c>
      <c r="U609" t="s">
        <v>5460</v>
      </c>
      <c r="V609" t="str">
        <f t="shared" si="89"/>
        <v>NF/64307674_20260227_nf_47.pdf</v>
      </c>
      <c r="W609" s="32" t="str">
        <f t="shared" si="83"/>
        <v>NF - A SEMENTE E A TORRE</v>
      </c>
      <c r="X609" t="s">
        <v>5591</v>
      </c>
    </row>
    <row r="610" spans="1:24" x14ac:dyDescent="0.25">
      <c r="A610" t="str">
        <f>CONCATENATE(D610,"_",TEXT(M610,"ddmmaaaa"),"_",COUNTIF($D$2:D610,D610))</f>
        <v>072358880001-90_27022026_2</v>
      </c>
      <c r="B610" t="str">
        <f>CONCATENATE(Analise!D610,"_",COUNTIF(Analise!$D$2:D610,Analise!D610))</f>
        <v>072358880001-90_2</v>
      </c>
      <c r="C610" s="34">
        <f>COUNTIF('Obras e Acervos'!$C:$C,CONCATENATE(LEFT(D610,12),RIGHT(D610,2)))</f>
        <v>2</v>
      </c>
      <c r="D610" s="35" t="s">
        <v>4816</v>
      </c>
      <c r="E610" t="str">
        <f>VLOOKUP($B610,'Obras e Acervos'!$B:$X,3,0)</f>
        <v>EDIÇÕES BESOUROBOX LTDA-EDIÇÕES BESOUROBOX</v>
      </c>
      <c r="F610" t="str">
        <f>VLOOKUP($B610,'Obras e Acervos'!$B:$X,7,0)</f>
        <v>0959L23000020LE</v>
      </c>
      <c r="G610" t="str">
        <f>VLOOKUP($B610,'Obras e Acervos'!$B:$X,5,0)</f>
        <v>PATO NÃO, É PATAGÃO!</v>
      </c>
      <c r="H610">
        <f>VLOOKUP($B610,'Obras e Acervos'!$B:$X,18,0)</f>
        <v>17</v>
      </c>
      <c r="I610">
        <f>VLOOKUP($B610,'Obras e Acervos'!$B:$X,19,0)</f>
        <v>27110</v>
      </c>
      <c r="J610" s="42">
        <f>VLOOKUP($B610,'Obras e Acervos'!$B:$X,20,0)</f>
        <v>5422</v>
      </c>
      <c r="K610" s="31">
        <f>VLOOKUP($B610,'Obras e Acervos'!$B:$X,21,0)</f>
        <v>11.75</v>
      </c>
      <c r="L610" s="31">
        <f t="shared" si="85"/>
        <v>318542.5</v>
      </c>
      <c r="M610" s="1">
        <v>46080</v>
      </c>
      <c r="N610" s="1">
        <f t="shared" si="84"/>
        <v>46305</v>
      </c>
      <c r="O610">
        <f t="shared" si="86"/>
        <v>226</v>
      </c>
      <c r="P610" s="49">
        <f t="shared" si="82"/>
        <v>7.5333333333333332</v>
      </c>
      <c r="Q610" s="34">
        <f>VLOOKUP($G610,Agendamento!$B:$F,5,0)</f>
        <v>4</v>
      </c>
      <c r="R610" s="36">
        <f t="shared" si="87"/>
        <v>28</v>
      </c>
      <c r="S610" s="44">
        <v>2.5499999999999998</v>
      </c>
      <c r="T610" s="44">
        <f t="shared" si="88"/>
        <v>16136.4</v>
      </c>
      <c r="U610" t="s">
        <v>5457</v>
      </c>
      <c r="V610" t="str">
        <f t="shared" si="89"/>
        <v>NF/64307674_20260227_nf_49.pdf</v>
      </c>
      <c r="W610" s="32" t="str">
        <f t="shared" si="83"/>
        <v>NF - PATO NÃO, É PATAGÃO!</v>
      </c>
      <c r="X610" t="s">
        <v>5591</v>
      </c>
    </row>
    <row r="611" spans="1:24" x14ac:dyDescent="0.25">
      <c r="A611" t="str">
        <f>CONCATENATE(D611,"_",TEXT(M611,"ddmmaaaa"),"_",COUNTIF($D$2:D611,D611))</f>
        <v>074586770001-17_27022026_2</v>
      </c>
      <c r="B611" t="str">
        <f>CONCATENATE(Analise!D611,"_",COUNTIF(Analise!$D$2:D611,Analise!D611)-1)</f>
        <v>074586770001-17_1</v>
      </c>
      <c r="C611" s="34">
        <f>COUNTIF('Obras e Acervos'!$C:$C,CONCATENATE(LEFT(D611,12),RIGHT(D611,2)))</f>
        <v>2</v>
      </c>
      <c r="D611" s="35" t="s">
        <v>4726</v>
      </c>
      <c r="E611" t="str">
        <f>VLOOKUP($B611,'Obras e Acervos'!$B:$X,3,0)</f>
        <v>ALETRIA EDITORA LTDA-ALETRIA</v>
      </c>
      <c r="F611" t="str">
        <f>VLOOKUP($B611,'Obras e Acervos'!$B:$X,7,0)</f>
        <v>0807L23000030LE</v>
      </c>
      <c r="G611" t="str">
        <f>VLOOKUP($B611,'Obras e Acervos'!$B:$X,5,0)</f>
        <v>DENTRO DE CASA</v>
      </c>
      <c r="H611">
        <f>VLOOKUP($B611,'Obras e Acervos'!$B:$X,18,0)</f>
        <v>5</v>
      </c>
      <c r="I611">
        <f>VLOOKUP($B611,'Obras e Acervos'!$B:$X,19,0)</f>
        <v>40831</v>
      </c>
      <c r="J611" s="42">
        <f>VLOOKUP($B611,'Obras e Acervos'!$B:$X,20,0)</f>
        <v>4083.1000000000004</v>
      </c>
      <c r="K611" s="31">
        <f>VLOOKUP($B611,'Obras e Acervos'!$B:$X,21,0)</f>
        <v>4.22</v>
      </c>
      <c r="L611" s="31">
        <f t="shared" si="85"/>
        <v>172306.81999999998</v>
      </c>
      <c r="M611" s="1">
        <v>46080</v>
      </c>
      <c r="N611" s="1">
        <f t="shared" si="84"/>
        <v>46305</v>
      </c>
      <c r="O611">
        <f t="shared" si="86"/>
        <v>226</v>
      </c>
      <c r="P611" s="49">
        <f t="shared" si="82"/>
        <v>7.5333333333333332</v>
      </c>
      <c r="Q611" s="34">
        <f>VLOOKUP($G611,Agendamento!$B:$F,5,0)</f>
        <v>3</v>
      </c>
      <c r="R611" s="36">
        <f t="shared" si="87"/>
        <v>41</v>
      </c>
      <c r="S611" s="44">
        <v>2.5499999999999998</v>
      </c>
      <c r="T611" s="44">
        <f t="shared" si="88"/>
        <v>23628.3</v>
      </c>
      <c r="U611" t="s">
        <v>5444</v>
      </c>
      <c r="V611" t="str">
        <f t="shared" si="89"/>
        <v>NF/64307674_20260227_nf_50.pdf</v>
      </c>
      <c r="W611" s="32" t="str">
        <f t="shared" si="83"/>
        <v>NF - DENTRO DE CASA</v>
      </c>
      <c r="X611" t="s">
        <v>5591</v>
      </c>
    </row>
    <row r="612" spans="1:24" x14ac:dyDescent="0.25">
      <c r="A612" t="str">
        <f>CONCATENATE(D612,"_",TEXT(M612,"ddmmaaaa"),"_",COUNTIF($D$2:D612,D612))</f>
        <v>354142250001-79_27022026_1</v>
      </c>
      <c r="B612" t="str">
        <f>CONCATENATE(Analise!D612,"_",COUNTIF(Analise!$D$2:D612,Analise!D612))</f>
        <v>354142250001-79_1</v>
      </c>
      <c r="C612" s="34">
        <f>COUNTIF('Obras e Acervos'!$C:$C,CONCATENATE(LEFT(D612,12),RIGHT(D612,2)))</f>
        <v>2</v>
      </c>
      <c r="D612" s="35" t="s">
        <v>4859</v>
      </c>
      <c r="E612" t="str">
        <f>VLOOKUP($B612,'Obras e Acervos'!$B:$X,3,0)</f>
        <v>EDITORA PRAXIS LTDA-EDITORA PRAXIS</v>
      </c>
      <c r="F612" t="str">
        <f>VLOOKUP($B612,'Obras e Acervos'!$B:$X,7,0)</f>
        <v>0886L23000030LE</v>
      </c>
      <c r="G612" t="str">
        <f>VLOOKUP($B612,'Obras e Acervos'!$B:$X,5,0)</f>
        <v>VOVÔ, TROVÃO E EU</v>
      </c>
      <c r="H612">
        <f>VLOOKUP($B612,'Obras e Acervos'!$B:$X,18,0)</f>
        <v>9</v>
      </c>
      <c r="I612">
        <f>VLOOKUP($B612,'Obras e Acervos'!$B:$X,19,0)</f>
        <v>33476</v>
      </c>
      <c r="J612" s="42">
        <f>VLOOKUP($B612,'Obras e Acervos'!$B:$X,20,0)</f>
        <v>3448.0279999999998</v>
      </c>
      <c r="K612" s="31">
        <f>VLOOKUP($B612,'Obras e Acervos'!$B:$X,21,0)</f>
        <v>5.94</v>
      </c>
      <c r="L612" s="31">
        <f t="shared" si="85"/>
        <v>198847.44</v>
      </c>
      <c r="M612" s="1">
        <v>46080</v>
      </c>
      <c r="N612" s="1">
        <f t="shared" si="84"/>
        <v>46305</v>
      </c>
      <c r="O612">
        <f t="shared" si="86"/>
        <v>226</v>
      </c>
      <c r="P612" s="49">
        <f t="shared" si="82"/>
        <v>7.5333333333333332</v>
      </c>
      <c r="Q612" s="34">
        <f>VLOOKUP($G612,Agendamento!$B:$F,5,0)</f>
        <v>4</v>
      </c>
      <c r="R612" s="36">
        <f t="shared" si="87"/>
        <v>34</v>
      </c>
      <c r="S612" s="44">
        <v>2.5499999999999998</v>
      </c>
      <c r="T612" s="44">
        <f t="shared" si="88"/>
        <v>19594.199999999997</v>
      </c>
      <c r="U612" t="s">
        <v>5459</v>
      </c>
      <c r="V612" t="str">
        <f t="shared" si="89"/>
        <v>NF/64307674_20260227_nf_52.pdf</v>
      </c>
      <c r="W612" s="32" t="str">
        <f t="shared" si="83"/>
        <v>NF - VOVÔ, TROVÃO E EU</v>
      </c>
      <c r="X612" t="s">
        <v>5591</v>
      </c>
    </row>
    <row r="613" spans="1:24" x14ac:dyDescent="0.25">
      <c r="A613" t="str">
        <f>CONCATENATE(D613,"_",TEXT(M613,"ddmmaaaa"),"_",COUNTIF($D$2:D613,D613))</f>
        <v>354142250001-79_27022026_2</v>
      </c>
      <c r="B613" t="str">
        <f>CONCATENATE(Analise!D613,"_",COUNTIF(Analise!$D$2:D613,Analise!D613))</f>
        <v>354142250001-79_2</v>
      </c>
      <c r="C613" s="34">
        <f>COUNTIF('Obras e Acervos'!$C:$C,CONCATENATE(LEFT(D613,12),RIGHT(D613,2)))</f>
        <v>2</v>
      </c>
      <c r="D613" s="35" t="s">
        <v>4859</v>
      </c>
      <c r="E613" t="str">
        <f>VLOOKUP($B613,'Obras e Acervos'!$B:$X,3,0)</f>
        <v>EDITORA PRAXIS LTDA-EDITORA PRAXIS</v>
      </c>
      <c r="F613" t="str">
        <f>VLOOKUP($B613,'Obras e Acervos'!$B:$X,7,0)</f>
        <v>1059L23000020LE</v>
      </c>
      <c r="G613" t="str">
        <f>VLOOKUP($B613,'Obras e Acervos'!$B:$X,5,0)</f>
        <v>UM CLIC NA CUCA</v>
      </c>
      <c r="H613">
        <f>VLOOKUP($B613,'Obras e Acervos'!$B:$X,18,0)</f>
        <v>21</v>
      </c>
      <c r="I613">
        <f>VLOOKUP($B613,'Obras e Acervos'!$B:$X,19,0)</f>
        <v>23935</v>
      </c>
      <c r="J613" s="42">
        <f>VLOOKUP($B613,'Obras e Acervos'!$B:$X,20,0)</f>
        <v>2896.1349999999998</v>
      </c>
      <c r="K613" s="31">
        <f>VLOOKUP($B613,'Obras e Acervos'!$B:$X,21,0)</f>
        <v>7.51</v>
      </c>
      <c r="L613" s="31">
        <f t="shared" si="85"/>
        <v>179751.85</v>
      </c>
      <c r="M613" s="1">
        <v>46080</v>
      </c>
      <c r="N613" s="1">
        <f t="shared" si="84"/>
        <v>46305</v>
      </c>
      <c r="O613">
        <f t="shared" si="86"/>
        <v>226</v>
      </c>
      <c r="P613" s="49">
        <f t="shared" si="82"/>
        <v>7.5333333333333332</v>
      </c>
      <c r="Q613" s="34">
        <f>VLOOKUP($G613,Agendamento!$B:$F,5,0)</f>
        <v>3</v>
      </c>
      <c r="R613" s="36">
        <f t="shared" si="87"/>
        <v>24</v>
      </c>
      <c r="S613" s="44">
        <v>2.5499999999999998</v>
      </c>
      <c r="T613" s="44">
        <f t="shared" si="88"/>
        <v>13831.199999999999</v>
      </c>
      <c r="U613" t="s">
        <v>5459</v>
      </c>
      <c r="V613" t="str">
        <f t="shared" si="89"/>
        <v>NF/64307674_20260227_nf_52.pdf</v>
      </c>
      <c r="W613" s="32" t="str">
        <f t="shared" si="83"/>
        <v>NF - UM CLIC NA CUCA</v>
      </c>
      <c r="X613" t="s">
        <v>5591</v>
      </c>
    </row>
    <row r="614" spans="1:24" x14ac:dyDescent="0.25">
      <c r="A614" t="str">
        <f>CONCATENATE(D614,"_",TEXT(M614,"ddmmaaaa"),"_",COUNTIF($D$2:D614,D614))</f>
        <v>309586110001-08_27022026_2</v>
      </c>
      <c r="B614" t="str">
        <f>CONCATENATE(Analise!D614,"_",COUNTIF(Analise!$D$2:D614,Analise!D614)-1)</f>
        <v>309586110001-08_1</v>
      </c>
      <c r="C614" s="34">
        <f>COUNTIF('Obras e Acervos'!$C:$C,CONCATENATE(LEFT(D614,12),RIGHT(D614,2)))</f>
        <v>2</v>
      </c>
      <c r="D614" s="35" t="s">
        <v>4845</v>
      </c>
      <c r="E614" t="str">
        <f>VLOOKUP($B614,'Obras e Acervos'!$B:$X,3,0)</f>
        <v>LE CHAT DESIGN EIRELI-LE CHAT DESIGN</v>
      </c>
      <c r="F614" t="str">
        <f>VLOOKUP($B614,'Obras e Acervos'!$B:$X,7,0)</f>
        <v>0779L23000030LE</v>
      </c>
      <c r="G614" t="str">
        <f>VLOOKUP($B614,'Obras e Acervos'!$B:$X,5,0)</f>
        <v>MACHADO DE ASSIS PARA PEQUENOS</v>
      </c>
      <c r="H614">
        <f>VLOOKUP($B614,'Obras e Acervos'!$B:$X,18,0)</f>
        <v>3</v>
      </c>
      <c r="I614">
        <f>VLOOKUP($B614,'Obras e Acervos'!$B:$X,19,0)</f>
        <v>59425</v>
      </c>
      <c r="J614" s="42">
        <f>VLOOKUP($B614,'Obras e Acervos'!$B:$X,20,0)</f>
        <v>9151.4500000000007</v>
      </c>
      <c r="K614" s="31">
        <f>VLOOKUP($B614,'Obras e Acervos'!$B:$X,21,0)</f>
        <v>6.72</v>
      </c>
      <c r="L614" s="31">
        <f t="shared" si="85"/>
        <v>399336</v>
      </c>
      <c r="M614" s="1">
        <v>46080</v>
      </c>
      <c r="N614" s="1">
        <f t="shared" si="84"/>
        <v>46305</v>
      </c>
      <c r="O614">
        <f t="shared" si="86"/>
        <v>226</v>
      </c>
      <c r="P614" s="49">
        <f t="shared" si="82"/>
        <v>7.5333333333333332</v>
      </c>
      <c r="Q614" s="34">
        <f>VLOOKUP($G614,Agendamento!$B:$F,5,0)</f>
        <v>10</v>
      </c>
      <c r="R614" s="36">
        <f t="shared" si="87"/>
        <v>60</v>
      </c>
      <c r="S614" s="44">
        <v>2.5499999999999998</v>
      </c>
      <c r="T614" s="44">
        <f t="shared" si="88"/>
        <v>34578</v>
      </c>
      <c r="U614" t="s">
        <v>5434</v>
      </c>
      <c r="V614" t="str">
        <f t="shared" si="89"/>
        <v>NF/64307674_20260227_nf_53.pdf</v>
      </c>
      <c r="W614" s="32" t="str">
        <f t="shared" si="83"/>
        <v>NF - MACHADO DE ASSIS PARA PEQUENOS</v>
      </c>
      <c r="X614" t="s">
        <v>5591</v>
      </c>
    </row>
    <row r="615" spans="1:24" x14ac:dyDescent="0.25">
      <c r="A615" t="str">
        <f>CONCATENATE(D615,"_",TEXT(M615,"ddmmaaaa"),"_",COUNTIF($D$2:D615,D615))</f>
        <v>404984990001-23_24022026_2</v>
      </c>
      <c r="B615" t="str">
        <f>CONCATENATE(Analise!D615,"_",COUNTIF(Analise!$D$2:D615,Analise!D615)-1)</f>
        <v>404984990001-23_1</v>
      </c>
      <c r="C615" s="34">
        <f>COUNTIF('Obras e Acervos'!$C:$C,CONCATENATE(LEFT(D615,12),RIGHT(D615,2)))</f>
        <v>2</v>
      </c>
      <c r="D615" s="35" t="s">
        <v>4778</v>
      </c>
      <c r="E615" t="str">
        <f>VLOOKUP($B615,'Obras e Acervos'!$B:$X,3,0)</f>
        <v>INSTITUTO CULTURAL ALETRIA LTDA -CAFUNE EDIÇÕES</v>
      </c>
      <c r="F615" t="str">
        <f>VLOOKUP($B615,'Obras e Acervos'!$B:$X,7,0)</f>
        <v>0815L23000030LE</v>
      </c>
      <c r="G615" t="str">
        <f>VLOOKUP($B615,'Obras e Acervos'!$B:$X,5,0)</f>
        <v>O BICHO MAIS PODEROSO DO MUNDO</v>
      </c>
      <c r="H615">
        <f>VLOOKUP($B615,'Obras e Acervos'!$B:$X,18,0)</f>
        <v>2</v>
      </c>
      <c r="I615">
        <f>VLOOKUP($B615,'Obras e Acervos'!$B:$X,19,0)</f>
        <v>45331</v>
      </c>
      <c r="J615" s="42">
        <f>VLOOKUP($B615,'Obras e Acervos'!$B:$X,20,0)</f>
        <v>9972.82</v>
      </c>
      <c r="K615" s="31">
        <f>VLOOKUP($B615,'Obras e Acervos'!$B:$X,21,0)</f>
        <v>6.62</v>
      </c>
      <c r="L615" s="31">
        <f t="shared" si="85"/>
        <v>300091.22000000003</v>
      </c>
      <c r="M615" s="1">
        <v>46077</v>
      </c>
      <c r="N615" s="1">
        <f t="shared" si="84"/>
        <v>46305</v>
      </c>
      <c r="O615">
        <f t="shared" si="86"/>
        <v>229</v>
      </c>
      <c r="P615" s="49">
        <f t="shared" si="82"/>
        <v>7.6333333333333337</v>
      </c>
      <c r="Q615" s="34">
        <f>VLOOKUP($G615,Agendamento!$B:$F,5,0)</f>
        <v>7</v>
      </c>
      <c r="R615" s="36">
        <f t="shared" si="87"/>
        <v>46</v>
      </c>
      <c r="S615" s="44">
        <v>2.5499999999999998</v>
      </c>
      <c r="T615" s="44">
        <f t="shared" si="88"/>
        <v>26861.699999999997</v>
      </c>
      <c r="U615" t="s">
        <v>5467</v>
      </c>
      <c r="V615" t="str">
        <f t="shared" si="89"/>
        <v>NF/64307905_20260224_nf_01.pdf</v>
      </c>
      <c r="W615" s="32" t="str">
        <f t="shared" si="83"/>
        <v>NF - O BICHO MAIS PODEROSO DO MUNDO</v>
      </c>
      <c r="X615" t="s">
        <v>5591</v>
      </c>
    </row>
    <row r="616" spans="1:24" x14ac:dyDescent="0.25">
      <c r="A616" t="str">
        <f>CONCATENATE(D616,"_",TEXT(M616,"ddmmaaaa"),"_",COUNTIF($D$2:D616,D616))</f>
        <v>174814160001-71_24022026_2</v>
      </c>
      <c r="B616" t="str">
        <f>CONCATENATE(Analise!D616,"_",COUNTIF(Analise!$D$2:D616,Analise!D616)-1)</f>
        <v>174814160001-71_1</v>
      </c>
      <c r="C616" s="34">
        <f>COUNTIF('Obras e Acervos'!$C:$C,CONCATENATE(LEFT(D616,12),RIGHT(D616,2)))</f>
        <v>2</v>
      </c>
      <c r="D616" s="35" t="s">
        <v>4832</v>
      </c>
      <c r="E616" t="str">
        <f>VLOOKUP($B616,'Obras e Acervos'!$B:$X,3,0)</f>
        <v>EDITORA CANGURU LTDA-EDITORA CANGURU</v>
      </c>
      <c r="F616" t="str">
        <f>VLOOKUP($B616,'Obras e Acervos'!$B:$X,7,0)</f>
        <v>1283L23000030LE</v>
      </c>
      <c r="G616" t="str">
        <f>VLOOKUP($B616,'Obras e Acervos'!$B:$X,5,0)</f>
        <v>ERA UMA VEZ UM CÃO</v>
      </c>
      <c r="H616">
        <f>VLOOKUP($B616,'Obras e Acervos'!$B:$X,18,0)</f>
        <v>10</v>
      </c>
      <c r="I616">
        <f>VLOOKUP($B616,'Obras e Acervos'!$B:$X,19,0)</f>
        <v>33298</v>
      </c>
      <c r="J616" s="42">
        <f>VLOOKUP($B616,'Obras e Acervos'!$B:$X,20,0)</f>
        <v>2996.8199999999997</v>
      </c>
      <c r="K616" s="31">
        <f>VLOOKUP($B616,'Obras e Acervos'!$B:$X,21,0)</f>
        <v>5.05</v>
      </c>
      <c r="L616" s="31">
        <f t="shared" si="85"/>
        <v>168154.9</v>
      </c>
      <c r="M616" s="1">
        <v>46077</v>
      </c>
      <c r="N616" s="1">
        <f t="shared" si="84"/>
        <v>46305</v>
      </c>
      <c r="O616">
        <f t="shared" si="86"/>
        <v>229</v>
      </c>
      <c r="P616" s="49">
        <f t="shared" si="82"/>
        <v>7.6333333333333337</v>
      </c>
      <c r="Q616" s="34">
        <f>VLOOKUP($G616,Agendamento!$B:$F,5,0)</f>
        <v>3</v>
      </c>
      <c r="R616" s="36">
        <f t="shared" si="87"/>
        <v>34</v>
      </c>
      <c r="S616" s="44">
        <v>2.5499999999999998</v>
      </c>
      <c r="T616" s="44">
        <f t="shared" si="88"/>
        <v>19854.3</v>
      </c>
      <c r="U616" t="s">
        <v>5477</v>
      </c>
      <c r="V616" t="str">
        <f t="shared" si="89"/>
        <v>NF/64307905_20260224_nf_02.pdf</v>
      </c>
      <c r="W616" s="32" t="str">
        <f t="shared" si="83"/>
        <v>NF - ERA UMA VEZ UM CÃO</v>
      </c>
      <c r="X616" t="s">
        <v>5591</v>
      </c>
    </row>
    <row r="617" spans="1:24" x14ac:dyDescent="0.25">
      <c r="A617" t="str">
        <f>CONCATENATE(D617,"_",TEXT(M617,"ddmmaaaa"),"_",COUNTIF($D$2:D617,D617))</f>
        <v>682168600001-09_24022026_1</v>
      </c>
      <c r="B617" t="str">
        <f>CONCATENATE(Analise!D617,"_",COUNTIF(Analise!$D$2:D617,Analise!D617))</f>
        <v>682168600001-09_1</v>
      </c>
      <c r="C617" s="34">
        <f>COUNTIF('Obras e Acervos'!$C:$C,CONCATENATE(LEFT(D617,12),RIGHT(D617,2)))</f>
        <v>1</v>
      </c>
      <c r="D617" s="35" t="s">
        <v>4864</v>
      </c>
      <c r="E617" t="str">
        <f>VLOOKUP($B617,'Obras e Acervos'!$B:$X,3,0)</f>
        <v>CIRANDA CULTURAL EDITORA E DISTRIBUIDORA LTDA-********</v>
      </c>
      <c r="F617" t="str">
        <f>VLOOKUP($B617,'Obras e Acervos'!$B:$X,7,0)</f>
        <v>1263L23000020LE</v>
      </c>
      <c r="G617" t="str">
        <f>VLOOKUP($B617,'Obras e Acervos'!$B:$X,5,0)</f>
        <v>OCEANOS</v>
      </c>
      <c r="H617">
        <f>VLOOKUP($B617,'Obras e Acervos'!$B:$X,18,0)</f>
        <v>13</v>
      </c>
      <c r="I617">
        <f>VLOOKUP($B617,'Obras e Acervos'!$B:$X,19,0)</f>
        <v>30954</v>
      </c>
      <c r="J617" s="42">
        <f>VLOOKUP($B617,'Obras e Acervos'!$B:$X,20,0)</f>
        <v>3095.4</v>
      </c>
      <c r="K617" s="31">
        <f>VLOOKUP($B617,'Obras e Acervos'!$B:$X,21,0)</f>
        <v>6.39</v>
      </c>
      <c r="L617" s="31">
        <f t="shared" si="85"/>
        <v>197796.06</v>
      </c>
      <c r="M617" s="1">
        <v>46077</v>
      </c>
      <c r="N617" s="1">
        <f t="shared" si="84"/>
        <v>46305</v>
      </c>
      <c r="O617">
        <f t="shared" si="86"/>
        <v>229</v>
      </c>
      <c r="P617" s="49">
        <f t="shared" si="82"/>
        <v>7.6333333333333337</v>
      </c>
      <c r="Q617" s="34">
        <f>VLOOKUP($G617,Agendamento!$B:$F,5,0)</f>
        <v>5</v>
      </c>
      <c r="R617" s="36">
        <f t="shared" si="87"/>
        <v>31</v>
      </c>
      <c r="S617" s="44">
        <v>2.5499999999999998</v>
      </c>
      <c r="T617" s="44">
        <f t="shared" si="88"/>
        <v>18102.449999999997</v>
      </c>
      <c r="U617" t="s">
        <v>5466</v>
      </c>
      <c r="V617" t="str">
        <f t="shared" si="89"/>
        <v>NF/64307905_20260224_nf_03.pdf</v>
      </c>
      <c r="W617" s="32" t="str">
        <f t="shared" si="83"/>
        <v>NF - OCEANOS</v>
      </c>
      <c r="X617" t="s">
        <v>5591</v>
      </c>
    </row>
    <row r="618" spans="1:24" x14ac:dyDescent="0.25">
      <c r="A618" t="str">
        <f>CONCATENATE(D618,"_",TEXT(M618,"ddmmaaaa"),"_",COUNTIF($D$2:D618,D618))</f>
        <v>109737150001-84_24022026_1</v>
      </c>
      <c r="B618" t="str">
        <f>CONCATENATE(Analise!D618,"_",COUNTIF(Analise!$D$2:D618,Analise!D618))</f>
        <v>109737150001-84_1</v>
      </c>
      <c r="C618" s="34">
        <f>COUNTIF('Obras e Acervos'!$C:$C,CONCATENATE(LEFT(D618,12),RIGHT(D618,2)))</f>
        <v>1</v>
      </c>
      <c r="D618" s="35" t="s">
        <v>4863</v>
      </c>
      <c r="E618" t="str">
        <f>VLOOKUP($B618,'Obras e Acervos'!$B:$X,3,0)</f>
        <v>PINGUE-PONGUE EDIÇÕES E BRINQUEDOS PEDAGÓGICOS LTDA-********</v>
      </c>
      <c r="F618" t="str">
        <f>VLOOKUP($B618,'Obras e Acervos'!$B:$X,7,0)</f>
        <v>1264L23000030LE</v>
      </c>
      <c r="G618" t="str">
        <f>VLOOKUP($B618,'Obras e Acervos'!$B:$X,5,0)</f>
        <v>ME LEVA COM VOCÊ?</v>
      </c>
      <c r="H618">
        <f>VLOOKUP($B618,'Obras e Acervos'!$B:$X,18,0)</f>
        <v>7</v>
      </c>
      <c r="I618">
        <f>VLOOKUP($B618,'Obras e Acervos'!$B:$X,19,0)</f>
        <v>33328</v>
      </c>
      <c r="J618" s="42">
        <f>VLOOKUP($B618,'Obras e Acervos'!$B:$X,20,0)</f>
        <v>4099.3440000000001</v>
      </c>
      <c r="K618" s="31">
        <f>VLOOKUP($B618,'Obras e Acervos'!$B:$X,21,0)</f>
        <v>7.29</v>
      </c>
      <c r="L618" s="31">
        <f t="shared" si="85"/>
        <v>242961.12</v>
      </c>
      <c r="M618" s="1">
        <v>46077</v>
      </c>
      <c r="N618" s="1">
        <f t="shared" si="84"/>
        <v>46305</v>
      </c>
      <c r="O618">
        <f t="shared" si="86"/>
        <v>229</v>
      </c>
      <c r="P618" s="49">
        <f t="shared" si="82"/>
        <v>7.6333333333333337</v>
      </c>
      <c r="Q618" s="34">
        <f>VLOOKUP($G618,Agendamento!$B:$F,5,0)</f>
        <v>7</v>
      </c>
      <c r="R618" s="36">
        <f t="shared" si="87"/>
        <v>34</v>
      </c>
      <c r="S618" s="44">
        <v>2.5499999999999998</v>
      </c>
      <c r="T618" s="44">
        <f t="shared" si="88"/>
        <v>19854.3</v>
      </c>
      <c r="U618" t="s">
        <v>5465</v>
      </c>
      <c r="V618" t="str">
        <f t="shared" si="89"/>
        <v>NF/64307905_20260224_nf_04.pdf</v>
      </c>
      <c r="W618" s="32" t="str">
        <f t="shared" si="83"/>
        <v>NF - ME LEVA COM VOCÊ?</v>
      </c>
      <c r="X618" t="s">
        <v>5591</v>
      </c>
    </row>
    <row r="619" spans="1:24" x14ac:dyDescent="0.25">
      <c r="A619" t="str">
        <f>CONCATENATE(D619,"_",TEXT(M619,"ddmmaaaa"),"_",COUNTIF($D$2:D619,D619))</f>
        <v>074741500001-86_24022026_1</v>
      </c>
      <c r="B619" t="str">
        <f>CONCATENATE(Analise!D619,"_",COUNTIF(Analise!$D$2:D619,Analise!D619))</f>
        <v>074741500001-86_1</v>
      </c>
      <c r="C619" s="34">
        <f>COUNTIF('Obras e Acervos'!$C:$C,CONCATENATE(LEFT(D619,12),RIGHT(D619,2)))</f>
        <v>2</v>
      </c>
      <c r="D619" s="35" t="s">
        <v>4870</v>
      </c>
      <c r="E619" t="str">
        <f>VLOOKUP($B619,'Obras e Acervos'!$B:$X,3,0)</f>
        <v>CLB PRODUÇÕES ARTÍSTICAS LTDA-CLB PRODUÇÕES</v>
      </c>
      <c r="F619" t="str">
        <f>VLOOKUP($B619,'Obras e Acervos'!$B:$X,7,0)</f>
        <v>0337L23000030LE</v>
      </c>
      <c r="G619" t="str">
        <f>VLOOKUP($B619,'Obras e Acervos'!$B:$X,5,0)</f>
        <v>QUATRO HISTÓRIAS DE AMOR PARA PEQUENOS LEITORES</v>
      </c>
      <c r="H619">
        <f>VLOOKUP($B619,'Obras e Acervos'!$B:$X,18,0)</f>
        <v>9</v>
      </c>
      <c r="I619">
        <f>VLOOKUP($B619,'Obras e Acervos'!$B:$X,19,0)</f>
        <v>35628</v>
      </c>
      <c r="J619" s="42">
        <f>VLOOKUP($B619,'Obras e Acervos'!$B:$X,20,0)</f>
        <v>5344.2</v>
      </c>
      <c r="K619" s="31">
        <f>VLOOKUP($B619,'Obras e Acervos'!$B:$X,21,0)</f>
        <v>7.68</v>
      </c>
      <c r="L619" s="31">
        <f t="shared" si="85"/>
        <v>273623.03999999998</v>
      </c>
      <c r="M619" s="1">
        <v>46077</v>
      </c>
      <c r="N619" s="1">
        <f t="shared" si="84"/>
        <v>46305</v>
      </c>
      <c r="O619">
        <f t="shared" si="86"/>
        <v>229</v>
      </c>
      <c r="P619" s="49">
        <f t="shared" ref="P619:P683" si="90">O619/30</f>
        <v>7.6333333333333337</v>
      </c>
      <c r="Q619" s="34">
        <f>VLOOKUP($G619,Agendamento!$B:$F,5,0)</f>
        <v>8</v>
      </c>
      <c r="R619" s="36">
        <f t="shared" si="87"/>
        <v>36</v>
      </c>
      <c r="S619" s="44">
        <v>2.5499999999999998</v>
      </c>
      <c r="T619" s="44">
        <f t="shared" si="88"/>
        <v>21022.199999999997</v>
      </c>
      <c r="U619" t="s">
        <v>5475</v>
      </c>
      <c r="V619" t="str">
        <f t="shared" si="89"/>
        <v>NF/64307905_20260224_nf_05.pdf</v>
      </c>
      <c r="W619" s="32" t="str">
        <f t="shared" ref="W619:W683" si="91">HYPERLINK(CONCATENATE("saida/",U619),CONCATENATE("NF - ",G619))</f>
        <v>NF - QUATRO HISTÓRIAS DE AMOR PARA PEQUENOS LEITORES</v>
      </c>
      <c r="X619" t="s">
        <v>5591</v>
      </c>
    </row>
    <row r="620" spans="1:24" x14ac:dyDescent="0.25">
      <c r="A620" t="str">
        <f>CONCATENATE(D620,"_",TEXT(M620,"ddmmaaaa"),"_",COUNTIF($D$2:D620,D620))</f>
        <v>074741500001-86_24022026_2</v>
      </c>
      <c r="B620" t="str">
        <f>CONCATENATE(Analise!D620,"_",COUNTIF(Analise!$D$2:D620,Analise!D620))</f>
        <v>074741500001-86_2</v>
      </c>
      <c r="C620" s="34">
        <f>COUNTIF('Obras e Acervos'!$C:$C,CONCATENATE(LEFT(D620,12),RIGHT(D620,2)))</f>
        <v>2</v>
      </c>
      <c r="D620" s="35" t="s">
        <v>4870</v>
      </c>
      <c r="E620" t="str">
        <f>VLOOKUP($B620,'Obras e Acervos'!$B:$X,3,0)</f>
        <v>CLB PRODUÇÕES ARTÍSTICAS LTDA-CLB PRODUÇÕES</v>
      </c>
      <c r="F620" t="str">
        <f>VLOOKUP($B620,'Obras e Acervos'!$B:$X,7,0)</f>
        <v>0409L23000020LE</v>
      </c>
      <c r="G620" t="str">
        <f>VLOOKUP($B620,'Obras e Acervos'!$B:$X,5,0)</f>
        <v>OS MINÚSCULOS</v>
      </c>
      <c r="H620">
        <f>VLOOKUP($B620,'Obras e Acervos'!$B:$X,18,0)</f>
        <v>14</v>
      </c>
      <c r="I620">
        <f>VLOOKUP($B620,'Obras e Acervos'!$B:$X,19,0)</f>
        <v>23895</v>
      </c>
      <c r="J620" s="42">
        <f>VLOOKUP($B620,'Obras e Acervos'!$B:$X,20,0)</f>
        <v>5256.9</v>
      </c>
      <c r="K620" s="31">
        <f>VLOOKUP($B620,'Obras e Acervos'!$B:$X,21,0)</f>
        <v>15.54</v>
      </c>
      <c r="L620" s="31">
        <f t="shared" si="85"/>
        <v>371328.3</v>
      </c>
      <c r="M620" s="1">
        <v>46077</v>
      </c>
      <c r="N620" s="1">
        <f t="shared" si="84"/>
        <v>46305</v>
      </c>
      <c r="O620">
        <f t="shared" si="86"/>
        <v>229</v>
      </c>
      <c r="P620" s="49">
        <f t="shared" si="90"/>
        <v>7.6333333333333337</v>
      </c>
      <c r="Q620" s="34">
        <f>VLOOKUP($G620,Agendamento!$B:$F,5,0)</f>
        <v>4</v>
      </c>
      <c r="R620" s="36">
        <f t="shared" si="87"/>
        <v>24</v>
      </c>
      <c r="S620" s="44">
        <v>2.5499999999999998</v>
      </c>
      <c r="T620" s="44">
        <f t="shared" si="88"/>
        <v>14014.8</v>
      </c>
      <c r="U620" t="s">
        <v>5475</v>
      </c>
      <c r="V620" t="str">
        <f t="shared" si="89"/>
        <v>NF/64307905_20260224_nf_05.pdf</v>
      </c>
      <c r="W620" s="32" t="str">
        <f t="shared" si="91"/>
        <v>NF - OS MINÚSCULOS</v>
      </c>
      <c r="X620" t="s">
        <v>5591</v>
      </c>
    </row>
    <row r="621" spans="1:24" x14ac:dyDescent="0.25">
      <c r="A621" t="str">
        <f>CONCATENATE(D621,"_",TEXT(M621,"ddmmaaaa"),"_",COUNTIF($D$2:D621,D621))</f>
        <v>290552870001-39_24022026_1</v>
      </c>
      <c r="B621" t="str">
        <f>CONCATENATE(Analise!D621,"_",COUNTIF(Analise!$D$2:D621,Analise!D621))</f>
        <v>290552870001-39_1</v>
      </c>
      <c r="C621" s="34">
        <f>COUNTIF('Obras e Acervos'!$C:$C,CONCATENATE(LEFT(D621,12),RIGHT(D621,2)))</f>
        <v>2</v>
      </c>
      <c r="D621" s="35" t="s">
        <v>4866</v>
      </c>
      <c r="E621" t="str">
        <f>VLOOKUP($B621,'Obras e Acervos'!$B:$X,3,0)</f>
        <v>PANTOGRAF GRÁFICA E EDITORA LTDA-PANTOGRAF</v>
      </c>
      <c r="F621" t="str">
        <f>VLOOKUP($B621,'Obras e Acervos'!$B:$X,7,0)</f>
        <v>0861L23000030LE</v>
      </c>
      <c r="G621" t="str">
        <f>VLOOKUP($B621,'Obras e Acervos'!$B:$X,5,0)</f>
        <v>NO MUNDO DAS QUADRINHAS, PARLENDAS, TRAVA-LÍNGUAS E CANTIGAS</v>
      </c>
      <c r="H621">
        <f>VLOOKUP($B621,'Obras e Acervos'!$B:$X,18,0)</f>
        <v>3</v>
      </c>
      <c r="I621">
        <f>VLOOKUP($B621,'Obras e Acervos'!$B:$X,19,0)</f>
        <v>61046</v>
      </c>
      <c r="J621" s="42">
        <f>VLOOKUP($B621,'Obras e Acervos'!$B:$X,20,0)</f>
        <v>18680.076000000001</v>
      </c>
      <c r="K621" s="31">
        <f>VLOOKUP($B621,'Obras e Acervos'!$B:$X,21,0)</f>
        <v>13.28</v>
      </c>
      <c r="L621" s="31">
        <f t="shared" si="85"/>
        <v>810690.88</v>
      </c>
      <c r="M621" s="1">
        <v>46077</v>
      </c>
      <c r="N621" s="1">
        <f t="shared" si="84"/>
        <v>46305</v>
      </c>
      <c r="O621">
        <f t="shared" si="86"/>
        <v>229</v>
      </c>
      <c r="P621" s="49">
        <f t="shared" si="90"/>
        <v>7.6333333333333337</v>
      </c>
      <c r="Q621" s="34">
        <f>VLOOKUP($G621,Agendamento!$B:$F,5,0)</f>
        <v>22</v>
      </c>
      <c r="R621" s="36">
        <f t="shared" si="87"/>
        <v>62</v>
      </c>
      <c r="S621" s="44">
        <v>2.5499999999999998</v>
      </c>
      <c r="T621" s="44">
        <f t="shared" si="88"/>
        <v>36204.899999999994</v>
      </c>
      <c r="U621" t="s">
        <v>5469</v>
      </c>
      <c r="V621" t="str">
        <f t="shared" si="89"/>
        <v>NF/64307905_20260224_nf_06.pdf</v>
      </c>
      <c r="W621" s="32" t="str">
        <f t="shared" si="91"/>
        <v>NF - NO MUNDO DAS QUADRINHAS, PARLENDAS, TRAVA-LÍNGUAS E CANTIGAS</v>
      </c>
      <c r="X621" t="s">
        <v>5591</v>
      </c>
    </row>
    <row r="622" spans="1:24" x14ac:dyDescent="0.25">
      <c r="A622" t="str">
        <f>CONCATENATE(D622,"_",TEXT(M622,"ddmmaaaa"),"_",COUNTIF($D$2:D622,D622))</f>
        <v>037681350001-90_24022026_1</v>
      </c>
      <c r="B622" t="str">
        <f>CONCATENATE(Analise!D622,"_",COUNTIF(Analise!$D$2:D622,Analise!D622))</f>
        <v>037681350001-90_1</v>
      </c>
      <c r="C622" s="34">
        <f>COUNTIF('Obras e Acervos'!$C:$C,CONCATENATE(LEFT(D622,12),RIGHT(D622,2)))</f>
        <v>2</v>
      </c>
      <c r="D622" s="35" t="s">
        <v>4867</v>
      </c>
      <c r="E622" t="str">
        <f>VLOOKUP($B622,'Obras e Acervos'!$B:$X,3,0)</f>
        <v>EDITORA BIRUTA LTDA-EDITORA BIRUTA</v>
      </c>
      <c r="F622" t="str">
        <f>VLOOKUP($B622,'Obras e Acervos'!$B:$X,7,0)</f>
        <v>0786L23000030LE</v>
      </c>
      <c r="G622" t="str">
        <f>VLOOKUP($B622,'Obras e Acervos'!$B:$X,5,0)</f>
        <v>QUATRO GALINHAS EM ALTO-MAR</v>
      </c>
      <c r="H622">
        <f>VLOOKUP($B622,'Obras e Acervos'!$B:$X,18,0)</f>
        <v>7</v>
      </c>
      <c r="I622">
        <f>VLOOKUP($B622,'Obras e Acervos'!$B:$X,19,0)</f>
        <v>33328</v>
      </c>
      <c r="J622" s="42">
        <f>VLOOKUP($B622,'Obras e Acervos'!$B:$X,20,0)</f>
        <v>3666.08</v>
      </c>
      <c r="K622" s="31">
        <f>VLOOKUP($B622,'Obras e Acervos'!$B:$X,21,0)</f>
        <v>6.4</v>
      </c>
      <c r="L622" s="31">
        <f t="shared" si="85"/>
        <v>213299.20000000001</v>
      </c>
      <c r="M622" s="1">
        <v>46077</v>
      </c>
      <c r="N622" s="1">
        <f t="shared" si="84"/>
        <v>46305</v>
      </c>
      <c r="O622">
        <f t="shared" si="86"/>
        <v>229</v>
      </c>
      <c r="P622" s="49">
        <f t="shared" si="90"/>
        <v>7.6333333333333337</v>
      </c>
      <c r="Q622" s="34">
        <f>VLOOKUP($G622,Agendamento!$B:$F,5,0)</f>
        <v>5</v>
      </c>
      <c r="R622" s="36">
        <f t="shared" si="87"/>
        <v>34</v>
      </c>
      <c r="S622" s="44">
        <v>2.5499999999999998</v>
      </c>
      <c r="T622" s="44">
        <f t="shared" si="88"/>
        <v>19854.3</v>
      </c>
      <c r="U622" t="s">
        <v>5470</v>
      </c>
      <c r="V622" t="str">
        <f t="shared" si="89"/>
        <v>NF/64307905_20260224_nf_08.pdf</v>
      </c>
      <c r="W622" s="32" t="str">
        <f t="shared" si="91"/>
        <v>NF - QUATRO GALINHAS EM ALTO-MAR</v>
      </c>
      <c r="X622" t="s">
        <v>5591</v>
      </c>
    </row>
    <row r="623" spans="1:24" x14ac:dyDescent="0.25">
      <c r="A623" t="str">
        <f>CONCATENATE(D623,"_",TEXT(M623,"ddmmaaaa"),"_",COUNTIF($D$2:D623,D623))</f>
        <v>037681350001-90_24022026_2</v>
      </c>
      <c r="B623" t="str">
        <f>CONCATENATE(Analise!D623,"_",COUNTIF(Analise!$D$2:D623,Analise!D623))</f>
        <v>037681350001-90_2</v>
      </c>
      <c r="C623" s="34">
        <f>COUNTIF('Obras e Acervos'!$C:$C,CONCATENATE(LEFT(D623,12),RIGHT(D623,2)))</f>
        <v>2</v>
      </c>
      <c r="D623" s="35" t="s">
        <v>4867</v>
      </c>
      <c r="E623" t="str">
        <f>VLOOKUP($B623,'Obras e Acervos'!$B:$X,3,0)</f>
        <v>EDITORA BIRUTA LTDA-EDITORA BIRUTA</v>
      </c>
      <c r="F623" t="str">
        <f>VLOOKUP($B623,'Obras e Acervos'!$B:$X,7,0)</f>
        <v>0787L23000020LE</v>
      </c>
      <c r="G623" t="str">
        <f>VLOOKUP($B623,'Obras e Acervos'!$B:$X,5,0)</f>
        <v>O MÉTODO DE PEPE CHEVETTE</v>
      </c>
      <c r="H623">
        <f>VLOOKUP($B623,'Obras e Acervos'!$B:$X,18,0)</f>
        <v>19</v>
      </c>
      <c r="I623">
        <f>VLOOKUP($B623,'Obras e Acervos'!$B:$X,19,0)</f>
        <v>24013</v>
      </c>
      <c r="J623" s="42">
        <f>VLOOKUP($B623,'Obras e Acervos'!$B:$X,20,0)</f>
        <v>4370.366</v>
      </c>
      <c r="K623" s="31">
        <f>VLOOKUP($B623,'Obras e Acervos'!$B:$X,21,0)</f>
        <v>10.8</v>
      </c>
      <c r="L623" s="31">
        <f t="shared" si="85"/>
        <v>259340.40000000002</v>
      </c>
      <c r="M623" s="1">
        <v>46077</v>
      </c>
      <c r="N623" s="1">
        <f t="shared" si="84"/>
        <v>46305</v>
      </c>
      <c r="O623">
        <f t="shared" si="86"/>
        <v>229</v>
      </c>
      <c r="P623" s="49">
        <f t="shared" si="90"/>
        <v>7.6333333333333337</v>
      </c>
      <c r="Q623" s="34">
        <f>VLOOKUP($G623,Agendamento!$B:$F,5,0)</f>
        <v>5</v>
      </c>
      <c r="R623" s="36">
        <f t="shared" si="87"/>
        <v>25</v>
      </c>
      <c r="S623" s="44">
        <v>2.5499999999999998</v>
      </c>
      <c r="T623" s="44">
        <f t="shared" si="88"/>
        <v>14598.749999999998</v>
      </c>
      <c r="U623" t="s">
        <v>5471</v>
      </c>
      <c r="V623" t="str">
        <f t="shared" si="89"/>
        <v>NF/64307905_20260224_nf_09.pdf</v>
      </c>
      <c r="W623" s="32" t="str">
        <f t="shared" si="91"/>
        <v>NF - O MÉTODO DE PEPE CHEVETTE</v>
      </c>
      <c r="X623" t="s">
        <v>5591</v>
      </c>
    </row>
    <row r="624" spans="1:24" x14ac:dyDescent="0.25">
      <c r="A624" t="str">
        <f>CONCATENATE(D624,"_",TEXT(M624,"ddmmaaaa"),"_",COUNTIF($D$2:D624,D624))</f>
        <v>132061660001-00_24022026_1</v>
      </c>
      <c r="B624" t="str">
        <f>CONCATENATE(Analise!D624,"_",COUNTIF(Analise!$D$2:D624,Analise!D624)+1)</f>
        <v>132061660001-00_2</v>
      </c>
      <c r="C624" s="34">
        <f>COUNTIF('Obras e Acervos'!$C:$C,CONCATENATE(LEFT(D624,12),RIGHT(D624,2)))</f>
        <v>2</v>
      </c>
      <c r="D624" s="35" t="s">
        <v>4869</v>
      </c>
      <c r="E624" t="str">
        <f>VLOOKUP($B624,'Obras e Acervos'!$B:$X,3,0)</f>
        <v>EDITORA GAIVOTA LTDA.-EDITORA GAIVOTA</v>
      </c>
      <c r="F624" t="str">
        <f>VLOOKUP($B624,'Obras e Acervos'!$B:$X,7,0)</f>
        <v>0620L23000020LE</v>
      </c>
      <c r="G624" t="str">
        <f>VLOOKUP($B624,'Obras e Acervos'!$B:$X,5,0)</f>
        <v>O REINO DOS MAL-HUMORADOS</v>
      </c>
      <c r="H624">
        <f>VLOOKUP($B624,'Obras e Acervos'!$B:$X,18,0)</f>
        <v>16</v>
      </c>
      <c r="I624">
        <f>VLOOKUP($B624,'Obras e Acervos'!$B:$X,19,0)</f>
        <v>31273</v>
      </c>
      <c r="J624" s="42">
        <f>VLOOKUP($B624,'Obras e Acervos'!$B:$X,20,0)</f>
        <v>4847.3149999999996</v>
      </c>
      <c r="K624" s="31">
        <f>VLOOKUP($B624,'Obras e Acervos'!$B:$X,21,0)</f>
        <v>9.23</v>
      </c>
      <c r="L624" s="31">
        <f t="shared" si="85"/>
        <v>288649.79000000004</v>
      </c>
      <c r="M624" s="1">
        <v>46077</v>
      </c>
      <c r="N624" s="1">
        <f t="shared" si="84"/>
        <v>46305</v>
      </c>
      <c r="O624">
        <f t="shared" si="86"/>
        <v>229</v>
      </c>
      <c r="P624" s="49">
        <f t="shared" si="90"/>
        <v>7.6333333333333337</v>
      </c>
      <c r="Q624" s="34">
        <f>VLOOKUP($G624,Agendamento!$B:$F,5,0)</f>
        <v>6</v>
      </c>
      <c r="R624" s="36">
        <f t="shared" si="87"/>
        <v>32</v>
      </c>
      <c r="S624" s="44">
        <v>2.5499999999999998</v>
      </c>
      <c r="T624" s="44">
        <f t="shared" si="88"/>
        <v>18686.399999999998</v>
      </c>
      <c r="U624" t="s">
        <v>5473</v>
      </c>
      <c r="V624" t="str">
        <f t="shared" si="89"/>
        <v>NF/64307905_20260224_nf_11.pdf</v>
      </c>
      <c r="W624" s="32" t="str">
        <f t="shared" si="91"/>
        <v>NF - O REINO DOS MAL-HUMORADOS</v>
      </c>
      <c r="X624" t="s">
        <v>5591</v>
      </c>
    </row>
    <row r="625" spans="1:24" x14ac:dyDescent="0.25">
      <c r="A625" t="str">
        <f>CONCATENATE(D625,"_",TEXT(M625,"ddmmaaaa"),"_",COUNTIF($D$2:D625,D625))</f>
        <v>303088620001-47_24022026_2</v>
      </c>
      <c r="B625" t="str">
        <f>CONCATENATE(Analise!D625,"_",COUNTIF(Analise!$D$2:D625,Analise!D625)-1)</f>
        <v>303088620001-47_1</v>
      </c>
      <c r="C625" s="34">
        <f>COUNTIF('Obras e Acervos'!$C:$C,CONCATENATE(LEFT(D625,12),RIGHT(D625,2)))</f>
        <v>2</v>
      </c>
      <c r="D625" s="35" t="s">
        <v>4803</v>
      </c>
      <c r="E625" t="str">
        <f>VLOOKUP($B625,'Obras e Acervos'!$B:$X,3,0)</f>
        <v>RETICÊNCIAS PRODUÇÕES LITERÁRIAS E EDITORIAIS LTDA-RETICÊNCIAS...</v>
      </c>
      <c r="F625" t="str">
        <f>VLOOKUP($B625,'Obras e Acervos'!$B:$X,7,0)</f>
        <v>0643L23000030LE</v>
      </c>
      <c r="G625" t="str">
        <f>VLOOKUP($B625,'Obras e Acervos'!$B:$X,5,0)</f>
        <v>LEVE...</v>
      </c>
      <c r="H625">
        <f>VLOOKUP($B625,'Obras e Acervos'!$B:$X,18,0)</f>
        <v>3</v>
      </c>
      <c r="I625">
        <f>VLOOKUP($B625,'Obras e Acervos'!$B:$X,19,0)</f>
        <v>45654</v>
      </c>
      <c r="J625" s="42">
        <f>VLOOKUP($B625,'Obras e Acervos'!$B:$X,20,0)</f>
        <v>6528.521999999999</v>
      </c>
      <c r="K625" s="31">
        <f>VLOOKUP($B625,'Obras e Acervos'!$B:$X,21,0)</f>
        <v>6.62</v>
      </c>
      <c r="L625" s="31">
        <f t="shared" si="85"/>
        <v>302229.48</v>
      </c>
      <c r="M625" s="1">
        <v>46077</v>
      </c>
      <c r="N625" s="1">
        <f t="shared" si="84"/>
        <v>46305</v>
      </c>
      <c r="O625">
        <f t="shared" si="86"/>
        <v>229</v>
      </c>
      <c r="P625" s="49">
        <f t="shared" si="90"/>
        <v>7.6333333333333337</v>
      </c>
      <c r="Q625" s="34">
        <f>VLOOKUP($G625,Agendamento!$B:$F,5,0)</f>
        <v>8</v>
      </c>
      <c r="R625" s="36">
        <f t="shared" si="87"/>
        <v>46</v>
      </c>
      <c r="S625" s="44">
        <v>2.5499999999999998</v>
      </c>
      <c r="T625" s="44">
        <f t="shared" si="88"/>
        <v>26861.699999999997</v>
      </c>
      <c r="U625" t="s">
        <v>5481</v>
      </c>
      <c r="V625" t="str">
        <f t="shared" si="89"/>
        <v>NF/64307905_20260224_nf_12.pdf</v>
      </c>
      <c r="W625" s="32" t="str">
        <f t="shared" si="91"/>
        <v>NF - LEVE...</v>
      </c>
      <c r="X625" t="s">
        <v>5591</v>
      </c>
    </row>
    <row r="626" spans="1:24" x14ac:dyDescent="0.25">
      <c r="A626" t="str">
        <f>CONCATENATE(D626,"_",TEXT(M626,"ddmmaaaa"),"_",COUNTIF($D$2:D626,D626))</f>
        <v>410340580001-33_24022026_2</v>
      </c>
      <c r="B626" t="str">
        <f>CONCATENATE(Analise!D626,"_",COUNTIF(Analise!$D$2:D626,Analise!D626))</f>
        <v>410340580001-33_2</v>
      </c>
      <c r="C626" s="34">
        <f>COUNTIF('Obras e Acervos'!$C:$C,CONCATENATE(LEFT(D626,12),RIGHT(D626,2)))</f>
        <v>2</v>
      </c>
      <c r="D626" s="35" t="s">
        <v>4703</v>
      </c>
      <c r="E626" t="str">
        <f>VLOOKUP($B626,'Obras e Acervos'!$B:$X,3,0)</f>
        <v>BIZU EDITORIAL LTDA-BIZU</v>
      </c>
      <c r="F626" t="str">
        <f>VLOOKUP($B626,'Obras e Acervos'!$B:$X,7,0)</f>
        <v>0463L23000020LE</v>
      </c>
      <c r="G626" t="str">
        <f>VLOOKUP($B626,'Obras e Acervos'!$B:$X,5,0)</f>
        <v>COMO SURGIU: MITOS INDÍGENAS BRASILEIROS</v>
      </c>
      <c r="H626">
        <f>VLOOKUP($B626,'Obras e Acervos'!$B:$X,18,0)</f>
        <v>20</v>
      </c>
      <c r="I626">
        <f>VLOOKUP($B626,'Obras e Acervos'!$B:$X,19,0)</f>
        <v>38727</v>
      </c>
      <c r="J626" s="42">
        <f>VLOOKUP($B626,'Obras e Acervos'!$B:$X,20,0)</f>
        <v>1936.3500000000001</v>
      </c>
      <c r="K626" s="31">
        <f>VLOOKUP($B626,'Obras e Acervos'!$B:$X,21,0)</f>
        <v>4.2</v>
      </c>
      <c r="L626" s="31">
        <f t="shared" si="85"/>
        <v>162653.4</v>
      </c>
      <c r="M626" s="1">
        <v>46077</v>
      </c>
      <c r="N626" s="1">
        <f t="shared" si="84"/>
        <v>46305</v>
      </c>
      <c r="O626">
        <f t="shared" si="86"/>
        <v>229</v>
      </c>
      <c r="P626" s="49">
        <f t="shared" si="90"/>
        <v>7.6333333333333337</v>
      </c>
      <c r="Q626" s="34">
        <f>VLOOKUP($G626,Agendamento!$B:$F,5,0)</f>
        <v>5</v>
      </c>
      <c r="R626" s="36">
        <f t="shared" si="87"/>
        <v>39</v>
      </c>
      <c r="S626" s="44">
        <v>2.5499999999999998</v>
      </c>
      <c r="T626" s="44">
        <f t="shared" si="88"/>
        <v>22774.05</v>
      </c>
      <c r="U626" t="s">
        <v>5474</v>
      </c>
      <c r="V626" t="str">
        <f t="shared" si="89"/>
        <v>NF/64307905_20260224_nf_13.pdf</v>
      </c>
      <c r="W626" s="32" t="str">
        <f t="shared" si="91"/>
        <v>NF - COMO SURGIU: MITOS INDÍGENAS BRASILEIROS</v>
      </c>
      <c r="X626" t="s">
        <v>5591</v>
      </c>
    </row>
    <row r="627" spans="1:24" x14ac:dyDescent="0.25">
      <c r="A627" t="str">
        <f>CONCATENATE(D627,"_",TEXT(M627,"ddmmaaaa"),"_",COUNTIF($D$2:D627,D627))</f>
        <v>398843010001-60_24022026_2</v>
      </c>
      <c r="B627" t="str">
        <f>CONCATENATE(Analise!D627,"_",COUNTIF(Analise!$D$2:D627,Analise!D627))</f>
        <v>398843010001-60_2</v>
      </c>
      <c r="C627" s="34">
        <f>COUNTIF('Obras e Acervos'!$C:$C,CONCATENATE(LEFT(D627,12),RIGHT(D627,2)))</f>
        <v>2</v>
      </c>
      <c r="D627" s="35" t="s">
        <v>4515</v>
      </c>
      <c r="E627" t="str">
        <f>VLOOKUP($B627,'Obras e Acervos'!$B:$X,3,0)</f>
        <v>VERSOS COMERCIO E EDITORA LTDA-EDITORA VERSOS</v>
      </c>
      <c r="F627" t="str">
        <f>VLOOKUP($B627,'Obras e Acervos'!$B:$X,7,0)</f>
        <v>1008L23000020LE</v>
      </c>
      <c r="G627" t="str">
        <f>VLOOKUP($B627,'Obras e Acervos'!$B:$X,5,0)</f>
        <v>A RÃ E O VENTO</v>
      </c>
      <c r="H627">
        <f>VLOOKUP($B627,'Obras e Acervos'!$B:$X,18,0)</f>
        <v>19</v>
      </c>
      <c r="I627">
        <f>VLOOKUP($B627,'Obras e Acervos'!$B:$X,19,0)</f>
        <v>24816</v>
      </c>
      <c r="J627" s="42">
        <f>VLOOKUP($B627,'Obras e Acervos'!$B:$X,20,0)</f>
        <v>3548.6879999999996</v>
      </c>
      <c r="K627" s="31">
        <f>VLOOKUP($B627,'Obras e Acervos'!$B:$X,21,0)</f>
        <v>8.41</v>
      </c>
      <c r="L627" s="31">
        <f t="shared" si="85"/>
        <v>208702.56</v>
      </c>
      <c r="M627" s="1">
        <v>46077</v>
      </c>
      <c r="N627" s="1">
        <f t="shared" si="84"/>
        <v>46305</v>
      </c>
      <c r="O627">
        <f t="shared" si="86"/>
        <v>229</v>
      </c>
      <c r="P627" s="49">
        <f t="shared" si="90"/>
        <v>7.6333333333333337</v>
      </c>
      <c r="Q627" s="34">
        <f>VLOOKUP($G627,Agendamento!$B:$F,5,0)</f>
        <v>4</v>
      </c>
      <c r="R627" s="36">
        <f t="shared" si="87"/>
        <v>25</v>
      </c>
      <c r="S627" s="44">
        <v>2.5499999999999998</v>
      </c>
      <c r="T627" s="44">
        <f t="shared" si="88"/>
        <v>14598.749999999998</v>
      </c>
      <c r="U627" t="s">
        <v>5483</v>
      </c>
      <c r="V627" t="str">
        <f t="shared" si="89"/>
        <v>NF/64307905_20260224_nf_14.pdf</v>
      </c>
      <c r="W627" s="32" t="str">
        <f t="shared" si="91"/>
        <v>NF - A RÃ E O VENTO</v>
      </c>
      <c r="X627" t="s">
        <v>5591</v>
      </c>
    </row>
    <row r="628" spans="1:24" x14ac:dyDescent="0.25">
      <c r="A628" t="str">
        <f>CONCATENATE(D628,"_",TEXT(M628,"ddmmaaaa"),"_",COUNTIF($D$2:D628,D628))</f>
        <v>138112190001-12_24022026_1</v>
      </c>
      <c r="B628" t="str">
        <f>CONCATENATE(Analise!D628,"_",COUNTIF(Analise!$D$2:D628,Analise!D628))</f>
        <v>138112190001-12_1</v>
      </c>
      <c r="C628" s="34">
        <f>COUNTIF('Obras e Acervos'!$C:$C,CONCATENATE(LEFT(D628,12),RIGHT(D628,2)))</f>
        <v>1</v>
      </c>
      <c r="D628" s="35" t="s">
        <v>4865</v>
      </c>
      <c r="E628" t="str">
        <f>VLOOKUP($B628,'Obras e Acervos'!$B:$X,3,0)</f>
        <v>EDITORA NEMO LTDA.-NEMO</v>
      </c>
      <c r="F628" t="str">
        <f>VLOOKUP($B628,'Obras e Acervos'!$B:$X,7,0)</f>
        <v>0306L23000030LE</v>
      </c>
      <c r="G628" t="str">
        <f>VLOOKUP($B628,'Obras e Acervos'!$B:$X,5,0)</f>
        <v>O CHEFÃO LÁ DO MORRO</v>
      </c>
      <c r="H628">
        <f>VLOOKUP($B628,'Obras e Acervos'!$B:$X,18,0)</f>
        <v>10</v>
      </c>
      <c r="I628">
        <f>VLOOKUP($B628,'Obras e Acervos'!$B:$X,19,0)</f>
        <v>33040</v>
      </c>
      <c r="J628" s="42">
        <f>VLOOKUP($B628,'Obras e Acervos'!$B:$X,20,0)</f>
        <v>2841.4399999999996</v>
      </c>
      <c r="K628" s="31">
        <f>VLOOKUP($B628,'Obras e Acervos'!$B:$X,21,0)</f>
        <v>5.07</v>
      </c>
      <c r="L628" s="31">
        <f t="shared" si="85"/>
        <v>167512.80000000002</v>
      </c>
      <c r="M628" s="1">
        <v>46077</v>
      </c>
      <c r="N628" s="1">
        <f t="shared" si="84"/>
        <v>46305</v>
      </c>
      <c r="O628">
        <f t="shared" si="86"/>
        <v>229</v>
      </c>
      <c r="P628" s="49">
        <f t="shared" si="90"/>
        <v>7.6333333333333337</v>
      </c>
      <c r="Q628" s="34">
        <f>VLOOKUP($G628,Agendamento!$B:$F,5,0)</f>
        <v>3</v>
      </c>
      <c r="R628" s="36">
        <f t="shared" si="87"/>
        <v>34</v>
      </c>
      <c r="S628" s="44">
        <v>2.5499999999999998</v>
      </c>
      <c r="T628" s="44">
        <f t="shared" si="88"/>
        <v>19854.3</v>
      </c>
      <c r="U628" t="s">
        <v>5468</v>
      </c>
      <c r="V628" t="str">
        <f t="shared" si="89"/>
        <v>NF/64307905_20260224_nf_15.pdf</v>
      </c>
      <c r="W628" s="32" t="str">
        <f t="shared" si="91"/>
        <v>NF - O CHEFÃO LÁ DO MORRO</v>
      </c>
      <c r="X628" t="s">
        <v>5591</v>
      </c>
    </row>
    <row r="629" spans="1:24" x14ac:dyDescent="0.25">
      <c r="A629" t="str">
        <f>CONCATENATE(D629,"_",TEXT(M629,"ddmmaaaa"),"_",COUNTIF($D$2:D629,D629))</f>
        <v>297790710001-16_24022026_2</v>
      </c>
      <c r="B629" t="str">
        <f>CONCATENATE(Analise!D629,"_",COUNTIF(Analise!$D$2:D629,Analise!D629)-1)</f>
        <v>297790710001-16_1</v>
      </c>
      <c r="C629" s="34">
        <f>COUNTIF('Obras e Acervos'!$C:$C,CONCATENATE(LEFT(D629,12),RIGHT(D629,2)))</f>
        <v>2</v>
      </c>
      <c r="D629" s="35" t="s">
        <v>4802</v>
      </c>
      <c r="E629" t="str">
        <f>VLOOKUP($B629,'Obras e Acervos'!$B:$X,3,0)</f>
        <v>FLORESCER LIVRARIA E EDITORA LTDA-FLORESCER DISTRIBUIDORA DE LIVROS</v>
      </c>
      <c r="F629" t="str">
        <f>VLOOKUP($B629,'Obras e Acervos'!$B:$X,7,0)</f>
        <v>1217L23000030LE</v>
      </c>
      <c r="G629" t="str">
        <f>VLOOKUP($B629,'Obras e Acervos'!$B:$X,5,0)</f>
        <v>A ROCHA</v>
      </c>
      <c r="H629">
        <f>VLOOKUP($B629,'Obras e Acervos'!$B:$X,18,0)</f>
        <v>4</v>
      </c>
      <c r="I629">
        <f>VLOOKUP($B629,'Obras e Acervos'!$B:$X,19,0)</f>
        <v>39460</v>
      </c>
      <c r="J629" s="42">
        <f>VLOOKUP($B629,'Obras e Acervos'!$B:$X,20,0)</f>
        <v>3985.46</v>
      </c>
      <c r="K629" s="31">
        <f>VLOOKUP($B629,'Obras e Acervos'!$B:$X,21,0)</f>
        <v>5.37</v>
      </c>
      <c r="L629" s="31">
        <f t="shared" si="85"/>
        <v>211900.2</v>
      </c>
      <c r="M629" s="1">
        <v>46077</v>
      </c>
      <c r="N629" s="1">
        <f t="shared" si="84"/>
        <v>46305</v>
      </c>
      <c r="O629">
        <f t="shared" si="86"/>
        <v>229</v>
      </c>
      <c r="P629" s="49">
        <f t="shared" si="90"/>
        <v>7.6333333333333337</v>
      </c>
      <c r="Q629" s="34">
        <f>VLOOKUP($G629,Agendamento!$B:$F,5,0)</f>
        <v>5</v>
      </c>
      <c r="R629" s="36">
        <f t="shared" si="87"/>
        <v>40</v>
      </c>
      <c r="S629" s="44">
        <v>2.5499999999999998</v>
      </c>
      <c r="T629" s="44">
        <f t="shared" si="88"/>
        <v>23358</v>
      </c>
      <c r="U629" t="s">
        <v>5476</v>
      </c>
      <c r="V629" t="str">
        <f t="shared" si="89"/>
        <v>NF/64307905_20260224_nf_16.pdf</v>
      </c>
      <c r="W629" s="32" t="str">
        <f t="shared" si="91"/>
        <v>NF - A ROCHA</v>
      </c>
      <c r="X629" t="s">
        <v>5591</v>
      </c>
    </row>
    <row r="630" spans="1:24" x14ac:dyDescent="0.25">
      <c r="A630" t="str">
        <f>CONCATENATE(D630,"_",TEXT(M630,"ddmmaaaa"),"_",COUNTIF($D$2:D630,D630))</f>
        <v>087310590001-61_24022026_2</v>
      </c>
      <c r="B630" t="str">
        <f>CONCATENATE(Analise!D630,"_",COUNTIF(Analise!$D$2:D630,Analise!D630)-1)</f>
        <v>087310590001-61_1</v>
      </c>
      <c r="C630" s="34">
        <f>COUNTIF('Obras e Acervos'!$C:$C,CONCATENATE(LEFT(D630,12),RIGHT(D630,2)))</f>
        <v>2</v>
      </c>
      <c r="D630" s="35" t="s">
        <v>4787</v>
      </c>
      <c r="E630" t="str">
        <f>VLOOKUP($B630,'Obras e Acervos'!$B:$X,3,0)</f>
        <v>DOMO 72 EMPREENDIMENTOS E PARTICIPACOES LTDA-DOMO 72 EDITORIAL</v>
      </c>
      <c r="F630" t="str">
        <f>VLOOKUP($B630,'Obras e Acervos'!$B:$X,7,0)</f>
        <v>1000L23000030LE</v>
      </c>
      <c r="G630" t="str">
        <f>VLOOKUP($B630,'Obras e Acervos'!$B:$X,5,0)</f>
        <v>HAICONTINHOS DE FADAS</v>
      </c>
      <c r="H630">
        <f>VLOOKUP($B630,'Obras e Acervos'!$B:$X,18,0)</f>
        <v>1</v>
      </c>
      <c r="I630">
        <f>VLOOKUP($B630,'Obras e Acervos'!$B:$X,19,0)</f>
        <v>51459</v>
      </c>
      <c r="J630" s="42">
        <f>VLOOKUP($B630,'Obras e Acervos'!$B:$X,20,0)</f>
        <v>6226.5389999999998</v>
      </c>
      <c r="K630" s="31">
        <f>VLOOKUP($B630,'Obras e Acervos'!$B:$X,21,0)</f>
        <v>5.35</v>
      </c>
      <c r="L630" s="31">
        <f t="shared" si="85"/>
        <v>275305.64999999997</v>
      </c>
      <c r="M630" s="1">
        <v>46077</v>
      </c>
      <c r="N630" s="1">
        <f t="shared" si="84"/>
        <v>46305</v>
      </c>
      <c r="O630">
        <f t="shared" si="86"/>
        <v>229</v>
      </c>
      <c r="P630" s="49">
        <f t="shared" si="90"/>
        <v>7.6333333333333337</v>
      </c>
      <c r="Q630" s="34">
        <f>VLOOKUP($G630,Agendamento!$B:$F,5,0)</f>
        <v>8</v>
      </c>
      <c r="R630" s="36">
        <f t="shared" si="87"/>
        <v>52</v>
      </c>
      <c r="S630" s="44">
        <v>2.5499999999999998</v>
      </c>
      <c r="T630" s="44">
        <f t="shared" si="88"/>
        <v>30365.399999999998</v>
      </c>
      <c r="U630" t="s">
        <v>5482</v>
      </c>
      <c r="V630" t="str">
        <f t="shared" si="89"/>
        <v>NF/64307905_20260224_nf_17.pdf</v>
      </c>
      <c r="W630" s="32" t="str">
        <f t="shared" si="91"/>
        <v>NF - HAICONTINHOS DE FADAS</v>
      </c>
      <c r="X630" t="s">
        <v>5764</v>
      </c>
    </row>
    <row r="631" spans="1:24" x14ac:dyDescent="0.25">
      <c r="A631" t="str">
        <f>CONCATENATE(D631,"_",TEXT(M631,"ddmmaaaa"),"_",COUNTIF($D$2:D631,D631))</f>
        <v>432000760001-73_24022026_1</v>
      </c>
      <c r="B631" t="str">
        <f>CONCATENATE(Analise!D631,"_",COUNTIF(Analise!$D$2:D631,Analise!D631))</f>
        <v>432000760001-73_1</v>
      </c>
      <c r="C631" s="34">
        <f>COUNTIF('Obras e Acervos'!$C:$C,CONCATENATE(LEFT(D631,12),RIGHT(D631,2)))</f>
        <v>1</v>
      </c>
      <c r="D631" s="35" t="s">
        <v>4871</v>
      </c>
      <c r="E631" t="str">
        <f>VLOOKUP($B631,'Obras e Acervos'!$B:$X,3,0)</f>
        <v>ANA CLARA REIS GUILHON EIRELI-EDITORA LUGAR DE SOL</v>
      </c>
      <c r="F631" t="str">
        <f>VLOOKUP($B631,'Obras e Acervos'!$B:$X,7,0)</f>
        <v>0378L23000030LE</v>
      </c>
      <c r="G631" t="str">
        <f>VLOOKUP($B631,'Obras e Acervos'!$B:$X,5,0)</f>
        <v>A CESTA DE CONTOS</v>
      </c>
      <c r="H631">
        <f>VLOOKUP($B631,'Obras e Acervos'!$B:$X,18,0)</f>
        <v>10</v>
      </c>
      <c r="I631">
        <f>VLOOKUP($B631,'Obras e Acervos'!$B:$X,19,0)</f>
        <v>76733</v>
      </c>
      <c r="J631" s="42">
        <f>VLOOKUP($B631,'Obras e Acervos'!$B:$X,20,0)</f>
        <v>15346.6</v>
      </c>
      <c r="K631" s="31">
        <f>VLOOKUP($B631,'Obras e Acervos'!$B:$X,21,0)</f>
        <v>6.94</v>
      </c>
      <c r="L631" s="31">
        <f t="shared" si="85"/>
        <v>532527.02</v>
      </c>
      <c r="M631" s="1">
        <v>46077</v>
      </c>
      <c r="N631" s="1">
        <f t="shared" si="84"/>
        <v>46305</v>
      </c>
      <c r="O631">
        <f t="shared" si="86"/>
        <v>229</v>
      </c>
      <c r="P631" s="49">
        <f t="shared" si="90"/>
        <v>7.6333333333333337</v>
      </c>
      <c r="Q631" s="34">
        <f>VLOOKUP($G631,Agendamento!$B:$F,5,0)</f>
        <v>17</v>
      </c>
      <c r="R631" s="36">
        <f t="shared" si="87"/>
        <v>77</v>
      </c>
      <c r="S631" s="44">
        <v>2.5499999999999998</v>
      </c>
      <c r="T631" s="44">
        <f t="shared" si="88"/>
        <v>44964.149999999994</v>
      </c>
      <c r="U631" t="s">
        <v>5478</v>
      </c>
      <c r="V631" t="str">
        <f t="shared" si="89"/>
        <v>NF/64307905_20260224_nf_18.pdf</v>
      </c>
      <c r="W631" s="32" t="str">
        <f t="shared" si="91"/>
        <v>NF - A CESTA DE CONTOS</v>
      </c>
      <c r="X631" t="s">
        <v>5591</v>
      </c>
    </row>
    <row r="632" spans="1:24" x14ac:dyDescent="0.25">
      <c r="A632" t="str">
        <f>CONCATENATE(D632,"_",TEXT(M632,"ddmmaaaa"),"_",COUNTIF($D$2:D632,D632))</f>
        <v>447827270001-43_24022026_1</v>
      </c>
      <c r="B632" t="str">
        <f>CONCATENATE(Analise!D632,"_",COUNTIF(Analise!$D$2:D632,Analise!D632))</f>
        <v>447827270001-43_1</v>
      </c>
      <c r="C632" s="34">
        <f>COUNTIF('Obras e Acervos'!$C:$C,CONCATENATE(LEFT(D632,12),RIGHT(D632,2)))</f>
        <v>1</v>
      </c>
      <c r="D632" s="35" t="s">
        <v>4872</v>
      </c>
      <c r="E632" t="str">
        <f>VLOOKUP($B632,'Obras e Acervos'!$B:$X,3,0)</f>
        <v>PHD EDITORIAL LTDA-PHD EDITORIAL</v>
      </c>
      <c r="F632" t="str">
        <f>VLOOKUP($B632,'Obras e Acervos'!$B:$X,7,0)</f>
        <v>1255L23000020LE</v>
      </c>
      <c r="G632" t="str">
        <f>VLOOKUP($B632,'Obras e Acervos'!$B:$X,5,0)</f>
        <v>UM TETO DE CÉU</v>
      </c>
      <c r="H632">
        <f>VLOOKUP($B632,'Obras e Acervos'!$B:$X,18,0)</f>
        <v>17</v>
      </c>
      <c r="I632">
        <f>VLOOKUP($B632,'Obras e Acervos'!$B:$X,19,0)</f>
        <v>27201</v>
      </c>
      <c r="J632" s="42">
        <f>VLOOKUP($B632,'Obras e Acervos'!$B:$X,20,0)</f>
        <v>3291.3209999999999</v>
      </c>
      <c r="K632" s="31">
        <f>VLOOKUP($B632,'Obras e Acervos'!$B:$X,21,0)</f>
        <v>7.35</v>
      </c>
      <c r="L632" s="31">
        <f t="shared" si="85"/>
        <v>199927.34999999998</v>
      </c>
      <c r="M632" s="1">
        <v>46077</v>
      </c>
      <c r="N632" s="1">
        <f t="shared" si="84"/>
        <v>46305</v>
      </c>
      <c r="O632">
        <f t="shared" si="86"/>
        <v>229</v>
      </c>
      <c r="P632" s="49">
        <f t="shared" si="90"/>
        <v>7.6333333333333337</v>
      </c>
      <c r="Q632" s="34">
        <f>VLOOKUP($G632,Agendamento!$B:$F,5,0)</f>
        <v>5</v>
      </c>
      <c r="R632" s="36">
        <f t="shared" si="87"/>
        <v>28</v>
      </c>
      <c r="S632" s="44">
        <v>2.5499999999999998</v>
      </c>
      <c r="T632" s="44">
        <f t="shared" si="88"/>
        <v>16350.599999999999</v>
      </c>
      <c r="U632" t="s">
        <v>5484</v>
      </c>
      <c r="V632" t="str">
        <f t="shared" si="89"/>
        <v>NF/64307905_20260224_nf_19.pdf</v>
      </c>
      <c r="W632" s="32" t="str">
        <f t="shared" si="91"/>
        <v>NF - UM TETO DE CÉU</v>
      </c>
      <c r="X632" t="s">
        <v>5591</v>
      </c>
    </row>
    <row r="633" spans="1:24" x14ac:dyDescent="0.25">
      <c r="A633" t="str">
        <f>CONCATENATE(D633,"_",TEXT(M633,"ddmmaaaa"),"_",COUNTIF($D$2:D633,D633))</f>
        <v>380622820001-24_24022026_2</v>
      </c>
      <c r="B633" t="str">
        <f>CONCATENATE(Analise!D633,"_",COUNTIF(Analise!$D$2:D633,Analise!D633))</f>
        <v>380622820001-24_2</v>
      </c>
      <c r="C633" s="34">
        <f>COUNTIF('Obras e Acervos'!$C:$C,CONCATENATE(LEFT(D633,12),RIGHT(D633,2)))</f>
        <v>2</v>
      </c>
      <c r="D633" s="35" t="s">
        <v>4763</v>
      </c>
      <c r="E633" t="str">
        <f>VLOOKUP($B633,'Obras e Acervos'!$B:$X,3,0)</f>
        <v>ZUM ZUM EDITORA LTDA-ZUM ZUM</v>
      </c>
      <c r="F633" t="str">
        <f>VLOOKUP($B633,'Obras e Acervos'!$B:$X,7,0)</f>
        <v>1137L23000020LE</v>
      </c>
      <c r="G633" t="str">
        <f>VLOOKUP($B633,'Obras e Acervos'!$B:$X,5,0)</f>
        <v>SONHA, ZÉ</v>
      </c>
      <c r="H633">
        <f>VLOOKUP($B633,'Obras e Acervos'!$B:$X,18,0)</f>
        <v>13</v>
      </c>
      <c r="I633">
        <f>VLOOKUP($B633,'Obras e Acervos'!$B:$X,19,0)</f>
        <v>30196</v>
      </c>
      <c r="J633" s="42">
        <f>VLOOKUP($B633,'Obras e Acervos'!$B:$X,20,0)</f>
        <v>1207.8399999999999</v>
      </c>
      <c r="K633" s="31">
        <f>VLOOKUP($B633,'Obras e Acervos'!$B:$X,21,0)</f>
        <v>4.38</v>
      </c>
      <c r="L633" s="31">
        <f t="shared" si="85"/>
        <v>132258.48000000001</v>
      </c>
      <c r="M633" s="1">
        <v>46077</v>
      </c>
      <c r="N633" s="1">
        <f t="shared" si="84"/>
        <v>46305</v>
      </c>
      <c r="O633">
        <f t="shared" si="86"/>
        <v>229</v>
      </c>
      <c r="P633" s="49">
        <f t="shared" si="90"/>
        <v>7.6333333333333337</v>
      </c>
      <c r="Q633" s="34">
        <f>VLOOKUP($G633,Agendamento!$B:$F,5,0)</f>
        <v>3</v>
      </c>
      <c r="R633" s="36">
        <f t="shared" si="87"/>
        <v>31</v>
      </c>
      <c r="S633" s="44">
        <v>2.5499999999999998</v>
      </c>
      <c r="T633" s="44">
        <f t="shared" si="88"/>
        <v>18102.449999999997</v>
      </c>
      <c r="U633" t="s">
        <v>5479</v>
      </c>
      <c r="V633" t="str">
        <f t="shared" si="89"/>
        <v>NF/64307905_20260224_nf_20.pdf</v>
      </c>
      <c r="W633" s="32" t="str">
        <f t="shared" si="91"/>
        <v>NF - SONHA, ZÉ</v>
      </c>
      <c r="X633" t="s">
        <v>5591</v>
      </c>
    </row>
    <row r="634" spans="1:24" x14ac:dyDescent="0.25">
      <c r="A634" t="str">
        <f>CONCATENATE(D634,"_",TEXT(M634,"ddmmaaaa"),"_",COUNTIF($D$2:D634,D634))</f>
        <v>071150470001-40_24022026_1</v>
      </c>
      <c r="B634" t="str">
        <f>CONCATENATE(Analise!D634,"_",COUNTIF(Analise!$D$2:D634,Analise!D634))</f>
        <v>071150470001-40_1</v>
      </c>
      <c r="C634" s="34">
        <f>COUNTIF('Obras e Acervos'!$C:$C,CONCATENATE(LEFT(D634,12),RIGHT(D634,2)))</f>
        <v>2</v>
      </c>
      <c r="D634" s="35" t="s">
        <v>4880</v>
      </c>
      <c r="E634" t="str">
        <f>VLOOKUP($B634,'Obras e Acervos'!$B:$X,3,0)</f>
        <v>EDITORA RECORD LTDA-EDITORA RECORD</v>
      </c>
      <c r="F634" t="str">
        <f>VLOOKUP($B634,'Obras e Acervos'!$B:$X,7,0)</f>
        <v>0612L23000030LE</v>
      </c>
      <c r="G634" t="str">
        <f>VLOOKUP($B634,'Obras e Acervos'!$B:$X,5,0)</f>
        <v>O QUE A ESTRADA ME DISSE</v>
      </c>
      <c r="H634">
        <f>VLOOKUP($B634,'Obras e Acervos'!$B:$X,18,0)</f>
        <v>1</v>
      </c>
      <c r="I634">
        <f>VLOOKUP($B634,'Obras e Acervos'!$B:$X,19,0)</f>
        <v>53534</v>
      </c>
      <c r="J634" s="42">
        <f>VLOOKUP($B634,'Obras e Acervos'!$B:$X,20,0)</f>
        <v>6691.75</v>
      </c>
      <c r="K634" s="31">
        <f>VLOOKUP($B634,'Obras e Acervos'!$B:$X,21,0)</f>
        <v>5.33</v>
      </c>
      <c r="L634" s="31">
        <f t="shared" si="85"/>
        <v>285336.22000000003</v>
      </c>
      <c r="M634" s="1">
        <v>46077</v>
      </c>
      <c r="N634" s="1">
        <f t="shared" si="84"/>
        <v>46305</v>
      </c>
      <c r="O634">
        <f t="shared" si="86"/>
        <v>229</v>
      </c>
      <c r="P634" s="49">
        <f t="shared" si="90"/>
        <v>7.6333333333333337</v>
      </c>
      <c r="Q634" s="34">
        <f>VLOOKUP($G634,Agendamento!$B:$F,5,0)</f>
        <v>8</v>
      </c>
      <c r="R634" s="36">
        <f t="shared" si="87"/>
        <v>54</v>
      </c>
      <c r="S634" s="44">
        <v>2.5499999999999998</v>
      </c>
      <c r="T634" s="44">
        <f t="shared" si="88"/>
        <v>31533.3</v>
      </c>
      <c r="U634" t="s">
        <v>5487</v>
      </c>
      <c r="V634" t="str">
        <f t="shared" si="89"/>
        <v>NF/64307905_20260224_nf_23.pdf</v>
      </c>
      <c r="W634" s="32" t="str">
        <f t="shared" si="91"/>
        <v>NF - O QUE A ESTRADA ME DISSE</v>
      </c>
      <c r="X634" t="s">
        <v>5591</v>
      </c>
    </row>
    <row r="635" spans="1:24" x14ac:dyDescent="0.25">
      <c r="A635" t="str">
        <f>CONCATENATE(D635,"_",TEXT(M635,"ddmmaaaa"),"_",COUNTIF($D$2:D635,D635))</f>
        <v>334512790001-89_24022026_2</v>
      </c>
      <c r="B635" t="str">
        <f>CONCATENATE(Analise!D635,"_",COUNTIF(Analise!$D$2:D635,Analise!D635))</f>
        <v>334512790001-89_2</v>
      </c>
      <c r="C635" s="34">
        <f>COUNTIF('Obras e Acervos'!$C:$C,CONCATENATE(LEFT(D635,12),RIGHT(D635,2)))</f>
        <v>2</v>
      </c>
      <c r="D635" s="35" t="s">
        <v>4857</v>
      </c>
      <c r="E635" t="str">
        <f>VLOOKUP($B635,'Obras e Acervos'!$B:$X,3,0)</f>
        <v>EDITORA PAZ E TERRA LTDA -EDITORA PAZ E TERRA</v>
      </c>
      <c r="F635" t="str">
        <f>VLOOKUP($B635,'Obras e Acervos'!$B:$X,7,0)</f>
        <v>0601L23000020LE</v>
      </c>
      <c r="G635" t="str">
        <f>VLOOKUP($B635,'Obras e Acervos'!$B:$X,5,0)</f>
        <v>O PARA SEMPRE DE PEDRINA E TUNICO</v>
      </c>
      <c r="H635">
        <f>VLOOKUP($B635,'Obras e Acervos'!$B:$X,18,0)</f>
        <v>18</v>
      </c>
      <c r="I635">
        <f>VLOOKUP($B635,'Obras e Acervos'!$B:$X,19,0)</f>
        <v>23624</v>
      </c>
      <c r="J635" s="42">
        <f>VLOOKUP($B635,'Obras e Acervos'!$B:$X,20,0)</f>
        <v>2953</v>
      </c>
      <c r="K635" s="31">
        <f>VLOOKUP($B635,'Obras e Acervos'!$B:$X,21,0)</f>
        <v>7.53</v>
      </c>
      <c r="L635" s="31">
        <f t="shared" si="85"/>
        <v>177888.72</v>
      </c>
      <c r="M635" s="1">
        <v>46077</v>
      </c>
      <c r="N635" s="1">
        <f t="shared" si="84"/>
        <v>46305</v>
      </c>
      <c r="O635">
        <f t="shared" si="86"/>
        <v>229</v>
      </c>
      <c r="P635" s="49">
        <f t="shared" si="90"/>
        <v>7.6333333333333337</v>
      </c>
      <c r="Q635" s="34">
        <f>VLOOKUP($G635,Agendamento!$B:$F,5,0)</f>
        <v>4</v>
      </c>
      <c r="R635" s="36">
        <f t="shared" si="87"/>
        <v>24</v>
      </c>
      <c r="S635" s="44">
        <v>2.5499999999999998</v>
      </c>
      <c r="T635" s="44">
        <f t="shared" si="88"/>
        <v>14014.8</v>
      </c>
      <c r="U635" t="s">
        <v>5490</v>
      </c>
      <c r="V635" t="str">
        <f t="shared" si="89"/>
        <v>NF/64307905_20260224_nf_24.pdf</v>
      </c>
      <c r="W635" s="32" t="str">
        <f t="shared" si="91"/>
        <v>NF - O PARA SEMPRE DE PEDRINA E TUNICO</v>
      </c>
      <c r="X635" t="s">
        <v>5591</v>
      </c>
    </row>
    <row r="636" spans="1:24" x14ac:dyDescent="0.25">
      <c r="A636" t="str">
        <f>CONCATENATE(D636,"_",TEXT(M636,"ddmmaaaa"),"_",COUNTIF($D$2:D636,D636))</f>
        <v>196543370001-40_24022026_1</v>
      </c>
      <c r="B636" t="str">
        <f>CONCATENATE(Analise!D636,"_",COUNTIF(Analise!$D$2:D636,Analise!D636))</f>
        <v>196543370001-40_1</v>
      </c>
      <c r="C636" s="34">
        <f>COUNTIF('Obras e Acervos'!$C:$C,CONCATENATE(LEFT(D636,12),RIGHT(D636,2)))</f>
        <v>2</v>
      </c>
      <c r="D636" s="35" t="s">
        <v>4879</v>
      </c>
      <c r="E636" t="str">
        <f>VLOOKUP($B636,'Obras e Acervos'!$B:$X,3,0)</f>
        <v>SOWILO EDITORA E DISTRIBUIDORA DE LIVROS LTDA.-SOWILO</v>
      </c>
      <c r="F636" t="str">
        <f>VLOOKUP($B636,'Obras e Acervos'!$B:$X,7,0)</f>
        <v>0771L23000030LE</v>
      </c>
      <c r="G636" t="str">
        <f>VLOOKUP($B636,'Obras e Acervos'!$B:$X,5,0)</f>
        <v>A ARANHA BAILARINA</v>
      </c>
      <c r="H636">
        <f>VLOOKUP($B636,'Obras e Acervos'!$B:$X,18,0)</f>
        <v>10</v>
      </c>
      <c r="I636">
        <f>VLOOKUP($B636,'Obras e Acervos'!$B:$X,19,0)</f>
        <v>58129</v>
      </c>
      <c r="J636" s="42">
        <f>VLOOKUP($B636,'Obras e Acervos'!$B:$X,20,0)</f>
        <v>6568.5770000000002</v>
      </c>
      <c r="K636" s="31">
        <f>VLOOKUP($B636,'Obras e Acervos'!$B:$X,21,0)</f>
        <v>4.55</v>
      </c>
      <c r="L636" s="31">
        <f t="shared" si="85"/>
        <v>264486.95</v>
      </c>
      <c r="M636" s="1">
        <v>46077</v>
      </c>
      <c r="N636" s="1">
        <f t="shared" si="84"/>
        <v>46305</v>
      </c>
      <c r="O636">
        <f t="shared" si="86"/>
        <v>229</v>
      </c>
      <c r="P636" s="49">
        <f t="shared" si="90"/>
        <v>7.6333333333333337</v>
      </c>
      <c r="Q636" s="34">
        <f>VLOOKUP($G636,Agendamento!$B:$F,5,0)</f>
        <v>12</v>
      </c>
      <c r="R636" s="36">
        <f t="shared" si="87"/>
        <v>59</v>
      </c>
      <c r="S636" s="44">
        <v>2.5499999999999998</v>
      </c>
      <c r="T636" s="44">
        <f t="shared" si="88"/>
        <v>34453.049999999996</v>
      </c>
      <c r="U636" t="s">
        <v>5499</v>
      </c>
      <c r="V636" t="str">
        <f t="shared" si="89"/>
        <v>NF/64307905_20260224_nf_25.pdf</v>
      </c>
      <c r="W636" s="32" t="str">
        <f t="shared" si="91"/>
        <v>NF - A ARANHA BAILARINA</v>
      </c>
      <c r="X636" t="s">
        <v>5591</v>
      </c>
    </row>
    <row r="637" spans="1:24" x14ac:dyDescent="0.25">
      <c r="A637" t="str">
        <f>CONCATENATE(D637,"_",TEXT(M637,"ddmmaaaa"),"_",COUNTIF($D$2:D637,D637))</f>
        <v>196543370001-40_24022026_2</v>
      </c>
      <c r="B637" t="str">
        <f>CONCATENATE(Analise!D637,"_",COUNTIF(Analise!$D$2:D637,Analise!D637))</f>
        <v>196543370001-40_2</v>
      </c>
      <c r="C637" s="34">
        <f>COUNTIF('Obras e Acervos'!$C:$C,CONCATENATE(LEFT(D637,12),RIGHT(D637,2)))</f>
        <v>2</v>
      </c>
      <c r="D637" s="35" t="s">
        <v>4879</v>
      </c>
      <c r="E637" t="str">
        <f>VLOOKUP($B637,'Obras e Acervos'!$B:$X,3,0)</f>
        <v>SOWILO EDITORA E DISTRIBUIDORA DE LIVROS LTDA.-SOWILO</v>
      </c>
      <c r="F637" t="str">
        <f>VLOOKUP($B637,'Obras e Acervos'!$B:$X,7,0)</f>
        <v>0772L23000020LE</v>
      </c>
      <c r="G637" t="str">
        <f>VLOOKUP($B637,'Obras e Acervos'!$B:$X,5,0)</f>
        <v>AS GANSAS DA BABA YAGA</v>
      </c>
      <c r="H637">
        <f>VLOOKUP($B637,'Obras e Acervos'!$B:$X,18,0)</f>
        <v>16</v>
      </c>
      <c r="I637">
        <f>VLOOKUP($B637,'Obras e Acervos'!$B:$X,19,0)</f>
        <v>29606</v>
      </c>
      <c r="J637" s="42">
        <f>VLOOKUP($B637,'Obras e Acervos'!$B:$X,20,0)</f>
        <v>4736.96</v>
      </c>
      <c r="K637" s="31">
        <f>VLOOKUP($B637,'Obras e Acervos'!$B:$X,21,0)</f>
        <v>7.67</v>
      </c>
      <c r="L637" s="31">
        <f t="shared" si="85"/>
        <v>227078.02</v>
      </c>
      <c r="M637" s="1">
        <v>46077</v>
      </c>
      <c r="N637" s="1">
        <f t="shared" si="84"/>
        <v>46305</v>
      </c>
      <c r="O637">
        <f t="shared" si="86"/>
        <v>229</v>
      </c>
      <c r="P637" s="49">
        <f t="shared" si="90"/>
        <v>7.6333333333333337</v>
      </c>
      <c r="Q637" s="34">
        <f>VLOOKUP($G637,Agendamento!$B:$F,5,0)</f>
        <v>6</v>
      </c>
      <c r="R637" s="36">
        <f t="shared" si="87"/>
        <v>30</v>
      </c>
      <c r="S637" s="44">
        <v>2.5499999999999998</v>
      </c>
      <c r="T637" s="44">
        <f t="shared" si="88"/>
        <v>17518.5</v>
      </c>
      <c r="U637" t="s">
        <v>5499</v>
      </c>
      <c r="V637" t="str">
        <f t="shared" si="89"/>
        <v>NF/64307905_20260224_nf_25.pdf</v>
      </c>
      <c r="W637" s="32" t="str">
        <f t="shared" si="91"/>
        <v>NF - AS GANSAS DA BABA YAGA</v>
      </c>
      <c r="X637" t="s">
        <v>5591</v>
      </c>
    </row>
    <row r="638" spans="1:24" x14ac:dyDescent="0.25">
      <c r="A638" t="str">
        <f>CONCATENATE(D638,"_",TEXT(M638,"ddmmaaaa"),"_",COUNTIF($D$2:D638,D638))</f>
        <v>411286730001-09_24022026_1</v>
      </c>
      <c r="B638" t="str">
        <f>CONCATENATE(Analise!D638,"_",COUNTIF(Analise!$D$2:D638,Analise!D638))</f>
        <v>411286730001-09_1</v>
      </c>
      <c r="C638" s="34">
        <f>COUNTIF('Obras e Acervos'!$C:$C,CONCATENATE(LEFT(D638,12),RIGHT(D638,2)))</f>
        <v>2</v>
      </c>
      <c r="D638" s="35" t="s">
        <v>4875</v>
      </c>
      <c r="E638" t="str">
        <f>VLOOKUP($B638,'Obras e Acervos'!$B:$X,3,0)</f>
        <v>ALÁFIA EDITORA E DISTRIBUIDORA DE LIVROS LTDA.-ALÁFIA EDITORA</v>
      </c>
      <c r="F638" t="str">
        <f>VLOOKUP($B638,'Obras e Acervos'!$B:$X,7,0)</f>
        <v>0615L23000030LE</v>
      </c>
      <c r="G638" t="str">
        <f>VLOOKUP($B638,'Obras e Acervos'!$B:$X,5,0)</f>
        <v>A JOIA DA GIRAFA</v>
      </c>
      <c r="H638">
        <f>VLOOKUP($B638,'Obras e Acervos'!$B:$X,18,0)</f>
        <v>2</v>
      </c>
      <c r="I638">
        <f>VLOOKUP($B638,'Obras e Acervos'!$B:$X,19,0)</f>
        <v>47058</v>
      </c>
      <c r="J638" s="42">
        <f>VLOOKUP($B638,'Obras e Acervos'!$B:$X,20,0)</f>
        <v>7293.99</v>
      </c>
      <c r="K638" s="31">
        <f>VLOOKUP($B638,'Obras e Acervos'!$B:$X,21,0)</f>
        <v>5.8</v>
      </c>
      <c r="L638" s="31">
        <f t="shared" si="85"/>
        <v>272936.39999999997</v>
      </c>
      <c r="M638" s="1">
        <v>46077</v>
      </c>
      <c r="N638" s="1">
        <f t="shared" si="84"/>
        <v>46305</v>
      </c>
      <c r="O638">
        <f t="shared" si="86"/>
        <v>229</v>
      </c>
      <c r="P638" s="49">
        <f t="shared" si="90"/>
        <v>7.6333333333333337</v>
      </c>
      <c r="Q638" s="34">
        <f>VLOOKUP($G638,Agendamento!$B:$F,5,0)</f>
        <v>10</v>
      </c>
      <c r="R638" s="36">
        <f t="shared" si="87"/>
        <v>48</v>
      </c>
      <c r="S638" s="44">
        <v>2.5499999999999998</v>
      </c>
      <c r="T638" s="44">
        <f t="shared" si="88"/>
        <v>28029.599999999999</v>
      </c>
      <c r="U638" t="s">
        <v>5489</v>
      </c>
      <c r="V638" t="str">
        <f t="shared" si="89"/>
        <v>NF/64307905_20260224_nf_26.pdf</v>
      </c>
      <c r="W638" s="32" t="str">
        <f t="shared" si="91"/>
        <v>NF - A JOIA DA GIRAFA</v>
      </c>
      <c r="X638" t="s">
        <v>5591</v>
      </c>
    </row>
    <row r="639" spans="1:24" x14ac:dyDescent="0.25">
      <c r="A639" t="str">
        <f>CONCATENATE(D639,"_",TEXT(M639,"ddmmaaaa"),"_",COUNTIF($D$2:D639,D639))</f>
        <v>411286730001-09_24022026_2</v>
      </c>
      <c r="B639" t="str">
        <f>CONCATENATE(Analise!D639,"_",COUNTIF(Analise!$D$2:D639,Analise!D639))</f>
        <v>411286730001-09_2</v>
      </c>
      <c r="C639" s="34">
        <f>COUNTIF('Obras e Acervos'!$C:$C,CONCATENATE(LEFT(D639,12),RIGHT(D639,2)))</f>
        <v>2</v>
      </c>
      <c r="D639" s="35" t="s">
        <v>4875</v>
      </c>
      <c r="E639" t="str">
        <f>VLOOKUP($B639,'Obras e Acervos'!$B:$X,3,0)</f>
        <v>ALÁFIA EDITORA E DISTRIBUIDORA DE LIVROS LTDA.-ALÁFIA EDITORA</v>
      </c>
      <c r="F639" t="str">
        <f>VLOOKUP($B639,'Obras e Acervos'!$B:$X,7,0)</f>
        <v>0757L23000020LE</v>
      </c>
      <c r="G639" t="str">
        <f>VLOOKUP($B639,'Obras e Acervos'!$B:$X,5,0)</f>
        <v>O NABO GIGANTE</v>
      </c>
      <c r="H639">
        <f>VLOOKUP($B639,'Obras e Acervos'!$B:$X,18,0)</f>
        <v>16</v>
      </c>
      <c r="I639">
        <f>VLOOKUP($B639,'Obras e Acervos'!$B:$X,19,0)</f>
        <v>31258</v>
      </c>
      <c r="J639" s="42">
        <f>VLOOKUP($B639,'Obras e Acervos'!$B:$X,20,0)</f>
        <v>3532.154</v>
      </c>
      <c r="K639" s="31">
        <f>VLOOKUP($B639,'Obras e Acervos'!$B:$X,21,0)</f>
        <v>6.39</v>
      </c>
      <c r="L639" s="31">
        <f t="shared" si="85"/>
        <v>199738.62</v>
      </c>
      <c r="M639" s="1">
        <v>46077</v>
      </c>
      <c r="N639" s="1">
        <f t="shared" si="84"/>
        <v>46305</v>
      </c>
      <c r="O639">
        <f t="shared" si="86"/>
        <v>229</v>
      </c>
      <c r="P639" s="49">
        <f t="shared" si="90"/>
        <v>7.6333333333333337</v>
      </c>
      <c r="Q639" s="34">
        <f>VLOOKUP($G639,Agendamento!$B:$F,5,0)</f>
        <v>6</v>
      </c>
      <c r="R639" s="36">
        <f t="shared" si="87"/>
        <v>32</v>
      </c>
      <c r="S639" s="44">
        <v>2.5499999999999998</v>
      </c>
      <c r="T639" s="44">
        <f t="shared" si="88"/>
        <v>18686.399999999998</v>
      </c>
      <c r="U639" t="s">
        <v>5489</v>
      </c>
      <c r="V639" t="str">
        <f t="shared" si="89"/>
        <v>NF/64307905_20260224_nf_26.pdf</v>
      </c>
      <c r="W639" s="32" t="str">
        <f t="shared" si="91"/>
        <v>NF - O NABO GIGANTE</v>
      </c>
      <c r="X639" t="s">
        <v>5591</v>
      </c>
    </row>
    <row r="640" spans="1:24" x14ac:dyDescent="0.25">
      <c r="A640" t="str">
        <f>CONCATENATE(D640,"_",TEXT(M640,"ddmmaaaa"),"_",COUNTIF($D$2:D640,D640))</f>
        <v>334957710001-56_24022026_1</v>
      </c>
      <c r="B640" t="str">
        <f>CONCATENATE(Analise!D640,"_",COUNTIF(Analise!$D$2:D640,Analise!D640))</f>
        <v>334957710001-56_1</v>
      </c>
      <c r="C640" s="34">
        <f>COUNTIF('Obras e Acervos'!$C:$C,CONCATENATE(LEFT(D640,12),RIGHT(D640,2)))</f>
        <v>2</v>
      </c>
      <c r="D640" s="35" t="s">
        <v>4883</v>
      </c>
      <c r="E640" t="str">
        <f>VLOOKUP($B640,'Obras e Acervos'!$B:$X,3,0)</f>
        <v>DISTRIBUIDORA RECORD DE SERVIÇOS DE IMPRENSA S/A-DISTRIBUIDORA RECORD</v>
      </c>
      <c r="F640" t="str">
        <f>VLOOKUP($B640,'Obras e Acervos'!$B:$X,7,0)</f>
        <v>1322L23000030LE</v>
      </c>
      <c r="G640" t="str">
        <f>VLOOKUP($B640,'Obras e Acervos'!$B:$X,5,0)</f>
        <v>O REINO ADORMECIDO</v>
      </c>
      <c r="H640">
        <f>VLOOKUP($B640,'Obras e Acervos'!$B:$X,18,0)</f>
        <v>9</v>
      </c>
      <c r="I640">
        <f>VLOOKUP($B640,'Obras e Acervos'!$B:$X,19,0)</f>
        <v>33416</v>
      </c>
      <c r="J640" s="42">
        <f>VLOOKUP($B640,'Obras e Acervos'!$B:$X,20,0)</f>
        <v>3341.6000000000004</v>
      </c>
      <c r="K640" s="31">
        <f>VLOOKUP($B640,'Obras e Acervos'!$B:$X,21,0)</f>
        <v>5.94</v>
      </c>
      <c r="L640" s="31">
        <f t="shared" si="85"/>
        <v>198491.04</v>
      </c>
      <c r="M640" s="1">
        <v>46077</v>
      </c>
      <c r="N640" s="1">
        <f t="shared" si="84"/>
        <v>46305</v>
      </c>
      <c r="O640">
        <f t="shared" si="86"/>
        <v>229</v>
      </c>
      <c r="P640" s="49">
        <f t="shared" si="90"/>
        <v>7.6333333333333337</v>
      </c>
      <c r="Q640" s="34">
        <f>VLOOKUP($G640,Agendamento!$B:$F,5,0)</f>
        <v>4</v>
      </c>
      <c r="R640" s="36">
        <f t="shared" si="87"/>
        <v>34</v>
      </c>
      <c r="S640" s="44">
        <v>2.5499999999999998</v>
      </c>
      <c r="T640" s="44">
        <f t="shared" si="88"/>
        <v>19854.3</v>
      </c>
      <c r="U640" t="s">
        <v>5493</v>
      </c>
      <c r="V640" t="str">
        <f t="shared" si="89"/>
        <v>NF/64307905_20260224_nf_27.pdf</v>
      </c>
      <c r="W640" s="32" t="str">
        <f t="shared" si="91"/>
        <v>NF - O REINO ADORMECIDO</v>
      </c>
      <c r="X640" t="s">
        <v>5591</v>
      </c>
    </row>
    <row r="641" spans="1:24" x14ac:dyDescent="0.25">
      <c r="A641" t="str">
        <f>CONCATENATE(D641,"_",TEXT(M641,"ddmmaaaa"),"_",COUNTIF($D$2:D641,D641))</f>
        <v>433994490001-87_24022026_1</v>
      </c>
      <c r="B641" t="str">
        <f>CONCATENATE(Analise!D641,"_",COUNTIF(Analise!$D$2:D641,Analise!D641)+1)</f>
        <v>433994490001-87_2</v>
      </c>
      <c r="C641" s="34">
        <f>COUNTIF('Obras e Acervos'!$C:$C,CONCATENATE(LEFT(D641,12),RIGHT(D641,2)))</f>
        <v>2</v>
      </c>
      <c r="D641" s="35" t="s">
        <v>4877</v>
      </c>
      <c r="E641" t="str">
        <f>VLOOKUP($B641,'Obras e Acervos'!$B:$X,3,0)</f>
        <v>WANGUARI EDITORA LTDA-WANGUARI EDITORA</v>
      </c>
      <c r="F641" t="str">
        <f>VLOOKUP($B641,'Obras e Acervos'!$B:$X,7,0)</f>
        <v>1034L23000020LE</v>
      </c>
      <c r="G641" t="str">
        <f>VLOOKUP($B641,'Obras e Acervos'!$B:$X,5,0)</f>
        <v>A RAINHA ALÉRGICA</v>
      </c>
      <c r="H641">
        <f>VLOOKUP($B641,'Obras e Acervos'!$B:$X,18,0)</f>
        <v>16</v>
      </c>
      <c r="I641">
        <f>VLOOKUP($B641,'Obras e Acervos'!$B:$X,19,0)</f>
        <v>36833</v>
      </c>
      <c r="J641" s="42">
        <f>VLOOKUP($B641,'Obras e Acervos'!$B:$X,20,0)</f>
        <v>7734.9299999999994</v>
      </c>
      <c r="K641" s="31">
        <f>VLOOKUP($B641,'Obras e Acervos'!$B:$X,21,0)</f>
        <v>10.3</v>
      </c>
      <c r="L641" s="31">
        <f t="shared" si="85"/>
        <v>379379.9</v>
      </c>
      <c r="M641" s="1">
        <v>46077</v>
      </c>
      <c r="N641" s="1">
        <f t="shared" si="84"/>
        <v>46305</v>
      </c>
      <c r="O641">
        <f t="shared" si="86"/>
        <v>229</v>
      </c>
      <c r="P641" s="49">
        <f t="shared" si="90"/>
        <v>7.6333333333333337</v>
      </c>
      <c r="Q641" s="34">
        <f>VLOOKUP($G641,Agendamento!$B:$F,5,0)</f>
        <v>8</v>
      </c>
      <c r="R641" s="36">
        <f t="shared" si="87"/>
        <v>37</v>
      </c>
      <c r="S641" s="44">
        <v>2.5499999999999998</v>
      </c>
      <c r="T641" s="44">
        <f t="shared" si="88"/>
        <v>21606.149999999998</v>
      </c>
      <c r="U641" t="s">
        <v>5492</v>
      </c>
      <c r="V641" t="str">
        <f t="shared" si="89"/>
        <v>NF/64307905_20260224_nf_28.pdf</v>
      </c>
      <c r="W641" s="32" t="str">
        <f t="shared" si="91"/>
        <v>NF - A RAINHA ALÉRGICA</v>
      </c>
      <c r="X641" t="s">
        <v>5591</v>
      </c>
    </row>
    <row r="642" spans="1:24" x14ac:dyDescent="0.25">
      <c r="A642" t="str">
        <f>CONCATENATE(D642,"_",TEXT(M642,"ddmmaaaa"),"_",COUNTIF($D$2:D642,D642))</f>
        <v>436794590001-76_24022026_2</v>
      </c>
      <c r="B642" t="str">
        <f>CONCATENATE(Analise!D642,"_",COUNTIF(Analise!$D$2:D642,Analise!D642))</f>
        <v>436794590001-76_2</v>
      </c>
      <c r="C642" s="34">
        <f>COUNTIF('Obras e Acervos'!$C:$C,CONCATENATE(LEFT(D642,12),RIGHT(D642,2)))</f>
        <v>2</v>
      </c>
      <c r="D642" s="35" t="s">
        <v>4750</v>
      </c>
      <c r="E642" t="str">
        <f>VLOOKUP($B642,'Obras e Acervos'!$B:$X,3,0)</f>
        <v>EDITORA CABO ORANGE LTDA-CABO ORANGE</v>
      </c>
      <c r="F642" t="str">
        <f>VLOOKUP($B642,'Obras e Acervos'!$B:$X,7,0)</f>
        <v>1148L23000020LE</v>
      </c>
      <c r="G642" t="str">
        <f>VLOOKUP($B642,'Obras e Acervos'!$B:$X,5,0)</f>
        <v>CORDEL DAS CAVALHADAS</v>
      </c>
      <c r="H642">
        <f>VLOOKUP($B642,'Obras e Acervos'!$B:$X,18,0)</f>
        <v>18</v>
      </c>
      <c r="I642">
        <f>VLOOKUP($B642,'Obras e Acervos'!$B:$X,19,0)</f>
        <v>26002</v>
      </c>
      <c r="J642" s="42">
        <f>VLOOKUP($B642,'Obras e Acervos'!$B:$X,20,0)</f>
        <v>2990.23</v>
      </c>
      <c r="K642" s="31">
        <f>VLOOKUP($B642,'Obras e Acervos'!$B:$X,21,0)</f>
        <v>6.94</v>
      </c>
      <c r="L642" s="31">
        <f t="shared" si="85"/>
        <v>180453.88</v>
      </c>
      <c r="M642" s="1">
        <v>46077</v>
      </c>
      <c r="N642" s="1">
        <f t="shared" ref="N642:N705" si="92">$AB$2</f>
        <v>46305</v>
      </c>
      <c r="O642">
        <f t="shared" si="86"/>
        <v>229</v>
      </c>
      <c r="P642" s="49">
        <f t="shared" si="90"/>
        <v>7.6333333333333337</v>
      </c>
      <c r="Q642" s="34">
        <f>VLOOKUP($G642,Agendamento!$B:$F,5,0)</f>
        <v>4</v>
      </c>
      <c r="R642" s="36">
        <f t="shared" si="87"/>
        <v>27</v>
      </c>
      <c r="S642" s="44">
        <v>2.5499999999999998</v>
      </c>
      <c r="T642" s="44">
        <f t="shared" si="88"/>
        <v>15766.65</v>
      </c>
      <c r="U642" t="s">
        <v>5494</v>
      </c>
      <c r="V642" t="str">
        <f t="shared" si="89"/>
        <v>NF/64307905_20260224_nf_29.pdf</v>
      </c>
      <c r="W642" s="32" t="str">
        <f t="shared" si="91"/>
        <v>NF - CORDEL DAS CAVALHADAS</v>
      </c>
      <c r="X642" t="s">
        <v>5591</v>
      </c>
    </row>
    <row r="643" spans="1:24" x14ac:dyDescent="0.25">
      <c r="A643" t="str">
        <f>CONCATENATE(D643,"_",TEXT(M643,"ddmmaaaa"),"_",COUNTIF($D$2:D643,D643))</f>
        <v>436799980001-05_24022026_2</v>
      </c>
      <c r="B643" t="str">
        <f>CONCATENATE(Analise!D643,"_",COUNTIF(Analise!$D$2:D643,Analise!D643)-1)</f>
        <v>436799980001-05_1</v>
      </c>
      <c r="C643" s="34">
        <f>COUNTIF('Obras e Acervos'!$C:$C,CONCATENATE(LEFT(D643,12),RIGHT(D643,2)))</f>
        <v>2</v>
      </c>
      <c r="D643" s="35" t="s">
        <v>4685</v>
      </c>
      <c r="E643" t="str">
        <f>VLOOKUP($B643,'Obras e Acervos'!$B:$X,3,0)</f>
        <v>EDITORA TUCUPI LTDA-TUCUPI</v>
      </c>
      <c r="F643" t="str">
        <f>VLOOKUP($B643,'Obras e Acervos'!$B:$X,7,0)</f>
        <v>1150L23000030LE</v>
      </c>
      <c r="G643" t="str">
        <f>VLOOKUP($B643,'Obras e Acervos'!$B:$X,5,0)</f>
        <v>A RÃ E O BOI</v>
      </c>
      <c r="H643">
        <f>VLOOKUP($B643,'Obras e Acervos'!$B:$X,18,0)</f>
        <v>10</v>
      </c>
      <c r="I643">
        <f>VLOOKUP($B643,'Obras e Acervos'!$B:$X,19,0)</f>
        <v>33192</v>
      </c>
      <c r="J643" s="42">
        <f>VLOOKUP($B643,'Obras e Acervos'!$B:$X,20,0)</f>
        <v>3817.0800000000004</v>
      </c>
      <c r="K643" s="31">
        <f>VLOOKUP($B643,'Obras e Acervos'!$B:$X,21,0)</f>
        <v>6.4</v>
      </c>
      <c r="L643" s="31">
        <f t="shared" ref="L643:L706" si="93">K643*I643</f>
        <v>212428.80000000002</v>
      </c>
      <c r="M643" s="1">
        <v>46077</v>
      </c>
      <c r="N643" s="1">
        <f t="shared" si="92"/>
        <v>46305</v>
      </c>
      <c r="O643">
        <f t="shared" ref="O643:O706" si="94">IF(M643="",0,(N643-M643)+1)</f>
        <v>229</v>
      </c>
      <c r="P643" s="49">
        <f t="shared" si="90"/>
        <v>7.6333333333333337</v>
      </c>
      <c r="Q643" s="34">
        <f>VLOOKUP($G643,Agendamento!$B:$F,5,0)</f>
        <v>4</v>
      </c>
      <c r="R643" s="36">
        <f t="shared" ref="R643:R706" si="95">IF(U643="",0,ROUNDUP($I643/1000,0))</f>
        <v>34</v>
      </c>
      <c r="S643" s="44">
        <v>2.5499999999999998</v>
      </c>
      <c r="T643" s="44">
        <f t="shared" ref="T643:T706" si="96">O643*R643*S643</f>
        <v>19854.3</v>
      </c>
      <c r="U643" t="s">
        <v>5495</v>
      </c>
      <c r="V643" t="str">
        <f t="shared" ref="V643:V706" si="97">CONCATENATE("NF/",U643)</f>
        <v>NF/64307905_20260224_nf_30.pdf</v>
      </c>
      <c r="W643" s="32" t="str">
        <f t="shared" si="91"/>
        <v>NF - A RÃ E O BOI</v>
      </c>
      <c r="X643" t="s">
        <v>5591</v>
      </c>
    </row>
    <row r="644" spans="1:24" x14ac:dyDescent="0.25">
      <c r="A644" t="str">
        <f>CONCATENATE(D644,"_",TEXT(M644,"ddmmaaaa"),"_",COUNTIF($D$2:D644,D644))</f>
        <v>405807310001-78_24022026_1</v>
      </c>
      <c r="B644" t="str">
        <f>CONCATENATE(Analise!D644,"_",COUNTIF(Analise!$D$2:D644,Analise!D644))</f>
        <v>405807310001-78_1</v>
      </c>
      <c r="C644" s="34">
        <f>COUNTIF('Obras e Acervos'!$C:$C,CONCATENATE(LEFT(D644,12),RIGHT(D644,2)))</f>
        <v>1</v>
      </c>
      <c r="D644" s="35" t="s">
        <v>4873</v>
      </c>
      <c r="E644" t="str">
        <f>VLOOKUP($B644,'Obras e Acervos'!$B:$X,3,0)</f>
        <v>PIZOTTI OFICINA DE IDEIAS E COMERCIO DE LIVROS LTDA-</v>
      </c>
      <c r="F644" t="str">
        <f>VLOOKUP($B644,'Obras e Acervos'!$B:$X,7,0)</f>
        <v>0977L23000020LE</v>
      </c>
      <c r="G644" t="str">
        <f>VLOOKUP($B644,'Obras e Acervos'!$B:$X,5,0)</f>
        <v>A HISTÓRIA DO PINGO</v>
      </c>
      <c r="H644">
        <f>VLOOKUP($B644,'Obras e Acervos'!$B:$X,18,0)</f>
        <v>12</v>
      </c>
      <c r="I644">
        <f>VLOOKUP($B644,'Obras e Acervos'!$B:$X,19,0)</f>
        <v>31691</v>
      </c>
      <c r="J644" s="42">
        <f>VLOOKUP($B644,'Obras e Acervos'!$B:$X,20,0)</f>
        <v>4246.5940000000001</v>
      </c>
      <c r="K644" s="31">
        <f>VLOOKUP($B644,'Obras e Acervos'!$B:$X,21,0)</f>
        <v>7.79</v>
      </c>
      <c r="L644" s="31">
        <f t="shared" si="93"/>
        <v>246872.89</v>
      </c>
      <c r="M644" s="1">
        <v>46077</v>
      </c>
      <c r="N644" s="1">
        <f t="shared" si="92"/>
        <v>46305</v>
      </c>
      <c r="O644">
        <f t="shared" si="94"/>
        <v>229</v>
      </c>
      <c r="P644" s="49">
        <f t="shared" si="90"/>
        <v>7.6333333333333337</v>
      </c>
      <c r="Q644" s="34">
        <f>VLOOKUP($G644,Agendamento!$B:$F,5,0)</f>
        <v>6</v>
      </c>
      <c r="R644" s="36">
        <f t="shared" si="95"/>
        <v>32</v>
      </c>
      <c r="S644" s="44">
        <v>2.5499999999999998</v>
      </c>
      <c r="T644" s="44">
        <f t="shared" si="96"/>
        <v>18686.399999999998</v>
      </c>
      <c r="U644" t="s">
        <v>5485</v>
      </c>
      <c r="V644" t="str">
        <f t="shared" si="97"/>
        <v>NF/64307905_20260224_nf_31.pdf</v>
      </c>
      <c r="W644" s="32" t="str">
        <f t="shared" si="91"/>
        <v>NF - A HISTÓRIA DO PINGO</v>
      </c>
      <c r="X644" t="s">
        <v>5763</v>
      </c>
    </row>
    <row r="645" spans="1:24" x14ac:dyDescent="0.25">
      <c r="A645" t="str">
        <f>CONCATENATE(D645,"_",TEXT(M645,"ddmmaaaa"),"_",COUNTIF($D$2:D645,D645))</f>
        <v>324554550001-98_24022026_2</v>
      </c>
      <c r="B645" t="str">
        <f>CONCATENATE(Analise!D645,"_",COUNTIF(Analise!$D$2:D645,Analise!D645))</f>
        <v>324554550001-98_2</v>
      </c>
      <c r="C645" s="34">
        <f>COUNTIF('Obras e Acervos'!$C:$C,CONCATENATE(LEFT(D645,12),RIGHT(D645,2)))</f>
        <v>2</v>
      </c>
      <c r="D645" s="35" t="s">
        <v>4642</v>
      </c>
      <c r="E645" t="str">
        <f>VLOOKUP($B645,'Obras e Acervos'!$B:$X,3,0)</f>
        <v>GODOYS SERVICOS E COMERCIO LTDA-</v>
      </c>
      <c r="F645" t="str">
        <f>VLOOKUP($B645,'Obras e Acervos'!$B:$X,7,0)</f>
        <v>0770L23000020LE</v>
      </c>
      <c r="G645" t="str">
        <f>VLOOKUP($B645,'Obras e Acervos'!$B:$X,5,0)</f>
        <v>NOEL, O MENINO DA VILA</v>
      </c>
      <c r="H645">
        <f>VLOOKUP($B645,'Obras e Acervos'!$B:$X,18,0)</f>
        <v>18</v>
      </c>
      <c r="I645">
        <f>VLOOKUP($B645,'Obras e Acervos'!$B:$X,19,0)</f>
        <v>24018</v>
      </c>
      <c r="J645" s="42">
        <f>VLOOKUP($B645,'Obras e Acervos'!$B:$X,20,0)</f>
        <v>4347.2579999999998</v>
      </c>
      <c r="K645" s="31">
        <f>VLOOKUP($B645,'Obras e Acervos'!$B:$X,21,0)</f>
        <v>10.32</v>
      </c>
      <c r="L645" s="31">
        <f t="shared" si="93"/>
        <v>247865.76</v>
      </c>
      <c r="M645" s="1">
        <v>46077</v>
      </c>
      <c r="N645" s="1">
        <f t="shared" si="92"/>
        <v>46305</v>
      </c>
      <c r="O645">
        <f t="shared" si="94"/>
        <v>229</v>
      </c>
      <c r="P645" s="49">
        <f t="shared" si="90"/>
        <v>7.6333333333333337</v>
      </c>
      <c r="Q645" s="34">
        <f>VLOOKUP($G645,Agendamento!$B:$F,5,0)</f>
        <v>5</v>
      </c>
      <c r="R645" s="36">
        <f t="shared" si="95"/>
        <v>25</v>
      </c>
      <c r="S645" s="44">
        <v>2.5499999999999998</v>
      </c>
      <c r="T645" s="44">
        <f t="shared" si="96"/>
        <v>14598.749999999998</v>
      </c>
      <c r="U645" t="s">
        <v>5502</v>
      </c>
      <c r="V645" t="str">
        <f t="shared" si="97"/>
        <v>NF/64307905_20260224_nf_32.pdf</v>
      </c>
      <c r="W645" s="32" t="str">
        <f t="shared" si="91"/>
        <v>NF - NOEL, O MENINO DA VILA</v>
      </c>
      <c r="X645" t="s">
        <v>5591</v>
      </c>
    </row>
    <row r="646" spans="1:24" x14ac:dyDescent="0.25">
      <c r="A646" t="str">
        <f>CONCATENATE(D646,"_",TEXT(M646,"ddmmaaaa"),"_",COUNTIF($D$2:D646,D646))</f>
        <v>056600450003-78_24022026_1</v>
      </c>
      <c r="B646" t="str">
        <f>CONCATENATE(Analise!D646,"_",COUNTIF(Analise!$D$2:D646,Analise!D646))</f>
        <v>056600450003-78_1</v>
      </c>
      <c r="C646" s="34">
        <f>COUNTIF('Obras e Acervos'!$C:$C,CONCATENATE(LEFT(D646,12),RIGHT(D646,2)))</f>
        <v>2</v>
      </c>
      <c r="D646" s="35" t="s">
        <v>4874</v>
      </c>
      <c r="E646" t="str">
        <f>VLOOKUP($B646,'Obras e Acervos'!$B:$X,3,0)</f>
        <v>EDITORA INTRINSECA LTDA-INTRÍNSECA</v>
      </c>
      <c r="F646" t="str">
        <f>VLOOKUP($B646,'Obras e Acervos'!$B:$X,7,0)</f>
        <v>0950L23000030LE</v>
      </c>
      <c r="G646" t="str">
        <f>VLOOKUP($B646,'Obras e Acervos'!$B:$X,5,0)</f>
        <v>CANÇÃO DA MUDANÇA</v>
      </c>
      <c r="H646">
        <f>VLOOKUP($B646,'Obras e Acervos'!$B:$X,18,0)</f>
        <v>6</v>
      </c>
      <c r="I646">
        <f>VLOOKUP($B646,'Obras e Acervos'!$B:$X,19,0)</f>
        <v>36750</v>
      </c>
      <c r="J646" s="42">
        <f>VLOOKUP($B646,'Obras e Acervos'!$B:$X,20,0)</f>
        <v>5145.0000000000009</v>
      </c>
      <c r="K646" s="31">
        <f>VLOOKUP($B646,'Obras e Acervos'!$B:$X,21,0)</f>
        <v>6.75</v>
      </c>
      <c r="L646" s="31">
        <f t="shared" si="93"/>
        <v>248062.5</v>
      </c>
      <c r="M646" s="1">
        <v>46077</v>
      </c>
      <c r="N646" s="1">
        <f t="shared" si="92"/>
        <v>46305</v>
      </c>
      <c r="O646">
        <f t="shared" si="94"/>
        <v>229</v>
      </c>
      <c r="P646" s="49">
        <f t="shared" si="90"/>
        <v>7.6333333333333337</v>
      </c>
      <c r="Q646" s="34">
        <f>VLOOKUP($G646,Agendamento!$B:$F,5,0)</f>
        <v>5</v>
      </c>
      <c r="R646" s="36">
        <f t="shared" si="95"/>
        <v>37</v>
      </c>
      <c r="S646" s="44">
        <v>2.5499999999999998</v>
      </c>
      <c r="T646" s="44">
        <f t="shared" si="96"/>
        <v>21606.149999999998</v>
      </c>
      <c r="U646" t="s">
        <v>5486</v>
      </c>
      <c r="V646" t="str">
        <f t="shared" si="97"/>
        <v>NF/64307905_20260224_nf_33.pdf</v>
      </c>
      <c r="W646" s="32" t="str">
        <f t="shared" si="91"/>
        <v>NF - CANÇÃO DA MUDANÇA</v>
      </c>
      <c r="X646" t="s">
        <v>5591</v>
      </c>
    </row>
    <row r="647" spans="1:24" x14ac:dyDescent="0.25">
      <c r="A647" t="str">
        <f>CONCATENATE(D647,"_",TEXT(M647,"ddmmaaaa"),"_",COUNTIF($D$2:D647,D647))</f>
        <v>056600450003-78_24022026_2</v>
      </c>
      <c r="B647" t="str">
        <f>CONCATENATE(Analise!D647,"_",COUNTIF(Analise!$D$2:D647,Analise!D647))</f>
        <v>056600450003-78_2</v>
      </c>
      <c r="C647" s="34">
        <f>COUNTIF('Obras e Acervos'!$C:$C,CONCATENATE(LEFT(D647,12),RIGHT(D647,2)))</f>
        <v>2</v>
      </c>
      <c r="D647" s="35" t="s">
        <v>4874</v>
      </c>
      <c r="E647" t="str">
        <f>VLOOKUP($B647,'Obras e Acervos'!$B:$X,3,0)</f>
        <v>EDITORA INTRINSECA LTDA-INTRÍNSECA</v>
      </c>
      <c r="F647" t="str">
        <f>VLOOKUP($B647,'Obras e Acervos'!$B:$X,7,0)</f>
        <v>0951L23000020LE</v>
      </c>
      <c r="G647" t="str">
        <f>VLOOKUP($B647,'Obras e Acervos'!$B:$X,5,0)</f>
        <v>ÁRVORE DOS DESEJOS</v>
      </c>
      <c r="H647">
        <f>VLOOKUP($B647,'Obras e Acervos'!$B:$X,18,0)</f>
        <v>20</v>
      </c>
      <c r="I647">
        <f>VLOOKUP($B647,'Obras e Acervos'!$B:$X,19,0)</f>
        <v>33137</v>
      </c>
      <c r="J647" s="42">
        <f>VLOOKUP($B647,'Obras e Acervos'!$B:$X,20,0)</f>
        <v>12757.745000000001</v>
      </c>
      <c r="K647" s="31">
        <f>VLOOKUP($B647,'Obras e Acervos'!$B:$X,21,0)</f>
        <v>20.61</v>
      </c>
      <c r="L647" s="31">
        <f t="shared" si="93"/>
        <v>682953.57</v>
      </c>
      <c r="M647" s="1">
        <v>46077</v>
      </c>
      <c r="N647" s="1">
        <f t="shared" si="92"/>
        <v>46305</v>
      </c>
      <c r="O647">
        <f t="shared" si="94"/>
        <v>229</v>
      </c>
      <c r="P647" s="49">
        <f t="shared" si="90"/>
        <v>7.6333333333333337</v>
      </c>
      <c r="Q647" s="34">
        <f>VLOOKUP($G647,Agendamento!$B:$F,5,0)</f>
        <v>7</v>
      </c>
      <c r="R647" s="36">
        <f t="shared" si="95"/>
        <v>34</v>
      </c>
      <c r="S647" s="44">
        <v>2.5499999999999998</v>
      </c>
      <c r="T647" s="44">
        <f t="shared" si="96"/>
        <v>19854.3</v>
      </c>
      <c r="U647" t="s">
        <v>5486</v>
      </c>
      <c r="V647" t="str">
        <f t="shared" si="97"/>
        <v>NF/64307905_20260224_nf_33.pdf</v>
      </c>
      <c r="W647" s="32" t="str">
        <f t="shared" si="91"/>
        <v>NF - ÁRVORE DOS DESEJOS</v>
      </c>
      <c r="X647" t="s">
        <v>5591</v>
      </c>
    </row>
    <row r="648" spans="1:24" x14ac:dyDescent="0.25">
      <c r="A648" t="str">
        <f>CONCATENATE(D648,"_",TEXT(M648,"ddmmaaaa"),"_",COUNTIF($D$2:D648,D648))</f>
        <v>036797150001-00_24022026_1</v>
      </c>
      <c r="B648" t="str">
        <f>CONCATENATE(Analise!D648,"_",COUNTIF(Analise!$D$2:D648,Analise!D648))</f>
        <v>036797150001-00_1</v>
      </c>
      <c r="C648" s="34">
        <f>COUNTIF('Obras e Acervos'!$C:$C,CONCATENATE(LEFT(D648,12),RIGHT(D648,2)))</f>
        <v>2</v>
      </c>
      <c r="D648" s="35" t="s">
        <v>4876</v>
      </c>
      <c r="E648" t="str">
        <f>VLOOKUP($B648,'Obras e Acervos'!$B:$X,3,0)</f>
        <v>VERUS EDITORA LTDA-EDITORA VERUS</v>
      </c>
      <c r="F648" t="str">
        <f>VLOOKUP($B648,'Obras e Acervos'!$B:$X,7,0)</f>
        <v>0576L23000030LE</v>
      </c>
      <c r="G648" t="str">
        <f>VLOOKUP($B648,'Obras e Acervos'!$B:$X,5,0)</f>
        <v>O CHAPÉU MARAVILHOSO DE MILA</v>
      </c>
      <c r="H648">
        <f>VLOOKUP($B648,'Obras e Acervos'!$B:$X,18,0)</f>
        <v>3</v>
      </c>
      <c r="I648">
        <f>VLOOKUP($B648,'Obras e Acervos'!$B:$X,19,0)</f>
        <v>46987</v>
      </c>
      <c r="J648" s="42">
        <f>VLOOKUP($B648,'Obras e Acervos'!$B:$X,20,0)</f>
        <v>5403.5050000000001</v>
      </c>
      <c r="K648" s="31">
        <f>VLOOKUP($B648,'Obras e Acervos'!$B:$X,21,0)</f>
        <v>5.42</v>
      </c>
      <c r="L648" s="31">
        <f t="shared" si="93"/>
        <v>254669.54</v>
      </c>
      <c r="M648" s="1">
        <v>46077</v>
      </c>
      <c r="N648" s="1">
        <f t="shared" si="92"/>
        <v>46305</v>
      </c>
      <c r="O648">
        <f t="shared" si="94"/>
        <v>229</v>
      </c>
      <c r="P648" s="49">
        <f t="shared" si="90"/>
        <v>7.6333333333333337</v>
      </c>
      <c r="Q648" s="34">
        <f>VLOOKUP($G648,Agendamento!$B:$F,5,0)</f>
        <v>6</v>
      </c>
      <c r="R648" s="36">
        <f t="shared" si="95"/>
        <v>47</v>
      </c>
      <c r="S648" s="44">
        <v>2.5499999999999998</v>
      </c>
      <c r="T648" s="44">
        <f t="shared" si="96"/>
        <v>27445.649999999998</v>
      </c>
      <c r="U648" t="s">
        <v>5491</v>
      </c>
      <c r="V648" t="str">
        <f t="shared" si="97"/>
        <v>NF/64307905_20260224_nf_34.pdf</v>
      </c>
      <c r="W648" s="32" t="str">
        <f t="shared" si="91"/>
        <v>NF - O CHAPÉU MARAVILHOSO DE MILA</v>
      </c>
      <c r="X648" t="s">
        <v>5591</v>
      </c>
    </row>
    <row r="649" spans="1:24" x14ac:dyDescent="0.25">
      <c r="A649" t="str">
        <f>CONCATENATE(D649,"_",TEXT(M649,"ddmmaaaa"),"_",COUNTIF($D$2:D649,D649))</f>
        <v>253021220001-63_24022026_2</v>
      </c>
      <c r="B649" t="str">
        <f>CONCATENATE(Analise!D649,"_",COUNTIF(Analise!$D$2:D649,Analise!D649))</f>
        <v>253021220001-63_2</v>
      </c>
      <c r="C649" s="34">
        <f>COUNTIF('Obras e Acervos'!$C:$C,CONCATENATE(LEFT(D649,12),RIGHT(D649,2)))</f>
        <v>2</v>
      </c>
      <c r="D649" s="35" t="s">
        <v>4686</v>
      </c>
      <c r="E649" t="str">
        <f>VLOOKUP($B649,'Obras e Acervos'!$B:$X,3,0)</f>
        <v>PÁGINAS EDITORA LTDA-PÁGINAS EDITORA</v>
      </c>
      <c r="F649" t="str">
        <f>VLOOKUP($B649,'Obras e Acervos'!$B:$X,7,0)</f>
        <v>0350L23000020LE</v>
      </c>
      <c r="G649" t="str">
        <f>VLOOKUP($B649,'Obras e Acervos'!$B:$X,5,0)</f>
        <v>VIAGEM DE CLARIDADE</v>
      </c>
      <c r="H649">
        <f>VLOOKUP($B649,'Obras e Acervos'!$B:$X,18,0)</f>
        <v>18</v>
      </c>
      <c r="I649">
        <f>VLOOKUP($B649,'Obras e Acervos'!$B:$X,19,0)</f>
        <v>23745</v>
      </c>
      <c r="J649" s="42">
        <f>VLOOKUP($B649,'Obras e Acervos'!$B:$X,20,0)</f>
        <v>2849.4</v>
      </c>
      <c r="K649" s="31">
        <f>VLOOKUP($B649,'Obras e Acervos'!$B:$X,21,0)</f>
        <v>6.11</v>
      </c>
      <c r="L649" s="31">
        <f t="shared" si="93"/>
        <v>145081.95000000001</v>
      </c>
      <c r="M649" s="1">
        <v>46077</v>
      </c>
      <c r="N649" s="1">
        <f t="shared" si="92"/>
        <v>46305</v>
      </c>
      <c r="O649">
        <f t="shared" si="94"/>
        <v>229</v>
      </c>
      <c r="P649" s="49">
        <f t="shared" si="90"/>
        <v>7.6333333333333337</v>
      </c>
      <c r="Q649" s="34">
        <f>VLOOKUP($G649,Agendamento!$B:$F,5,0)</f>
        <v>3</v>
      </c>
      <c r="R649" s="36">
        <f t="shared" si="95"/>
        <v>24</v>
      </c>
      <c r="S649" s="44">
        <v>2.5499999999999998</v>
      </c>
      <c r="T649" s="44">
        <f t="shared" si="96"/>
        <v>14014.8</v>
      </c>
      <c r="U649" t="s">
        <v>5488</v>
      </c>
      <c r="V649" t="str">
        <f t="shared" si="97"/>
        <v>NF/64307905_20260224_nf_35.pdf</v>
      </c>
      <c r="W649" s="32" t="str">
        <f t="shared" si="91"/>
        <v>NF - VIAGEM DE CLARIDADE</v>
      </c>
      <c r="X649" t="s">
        <v>5591</v>
      </c>
    </row>
    <row r="650" spans="1:24" x14ac:dyDescent="0.25">
      <c r="A650" t="str">
        <f>CONCATENATE(D650,"_",TEXT(M650,"ddmmaaaa"),"_",COUNTIF($D$2:D650,D650))</f>
        <v>436797320001-62_24022026_1</v>
      </c>
      <c r="B650" t="str">
        <f>CONCATENATE(Analise!D650,"_",COUNTIF(Analise!$D$2:D650,Analise!D650))</f>
        <v>436797320001-62_1</v>
      </c>
      <c r="C650" s="34">
        <f>COUNTIF('Obras e Acervos'!$C:$C,CONCATENATE(LEFT(D650,12),RIGHT(D650,2)))</f>
        <v>2</v>
      </c>
      <c r="D650" s="35" t="s">
        <v>4878</v>
      </c>
      <c r="E650" t="str">
        <f>VLOOKUP($B650,'Obras e Acervos'!$B:$X,3,0)</f>
        <v>EDITORA PEIXINHO DOURADO LTDA-PEIXINHO DOURADO</v>
      </c>
      <c r="F650" t="str">
        <f>VLOOKUP($B650,'Obras e Acervos'!$B:$X,7,0)</f>
        <v>0935L23000030LE</v>
      </c>
      <c r="G650" t="str">
        <f>VLOOKUP($B650,'Obras e Acervos'!$B:$X,5,0)</f>
        <v>A MENINA FEITA DE NUVENS</v>
      </c>
      <c r="H650">
        <f>VLOOKUP($B650,'Obras e Acervos'!$B:$X,18,0)</f>
        <v>2</v>
      </c>
      <c r="I650">
        <f>VLOOKUP($B650,'Obras e Acervos'!$B:$X,19,0)</f>
        <v>48497</v>
      </c>
      <c r="J650" s="42">
        <f>VLOOKUP($B650,'Obras e Acervos'!$B:$X,20,0)</f>
        <v>4170.7419999999993</v>
      </c>
      <c r="K650" s="31">
        <f>VLOOKUP($B650,'Obras e Acervos'!$B:$X,21,0)</f>
        <v>3.99</v>
      </c>
      <c r="L650" s="31">
        <f t="shared" si="93"/>
        <v>193503.03</v>
      </c>
      <c r="M650" s="1">
        <v>46077</v>
      </c>
      <c r="N650" s="1">
        <f t="shared" si="92"/>
        <v>46305</v>
      </c>
      <c r="O650">
        <f t="shared" si="94"/>
        <v>229</v>
      </c>
      <c r="P650" s="49">
        <f t="shared" si="90"/>
        <v>7.6333333333333337</v>
      </c>
      <c r="Q650" s="34">
        <f>VLOOKUP($G650,Agendamento!$B:$F,5,0)</f>
        <v>5</v>
      </c>
      <c r="R650" s="36">
        <f t="shared" si="95"/>
        <v>49</v>
      </c>
      <c r="S650" s="44">
        <v>2.5499999999999998</v>
      </c>
      <c r="T650" s="44">
        <f t="shared" si="96"/>
        <v>28613.55</v>
      </c>
      <c r="U650" t="s">
        <v>5497</v>
      </c>
      <c r="V650" t="str">
        <f t="shared" si="97"/>
        <v>NF/64307905_20260224_nf_36.pdf</v>
      </c>
      <c r="W650" s="32" t="str">
        <f t="shared" si="91"/>
        <v>NF - A MENINA FEITA DE NUVENS</v>
      </c>
      <c r="X650" t="s">
        <v>5591</v>
      </c>
    </row>
    <row r="651" spans="1:24" x14ac:dyDescent="0.25">
      <c r="A651" t="str">
        <f>CONCATENATE(D651,"_",TEXT(M651,"ddmmaaaa"),"_",COUNTIF($D$2:D651,D651))</f>
        <v>071150470001-40_24022026_2</v>
      </c>
      <c r="B651" t="str">
        <f>CONCATENATE(Analise!D651,"_",COUNTIF(Analise!$D$2:D651,Analise!D651))</f>
        <v>071150470001-40_2</v>
      </c>
      <c r="C651" s="34">
        <f>COUNTIF('Obras e Acervos'!$C:$C,CONCATENATE(LEFT(D651,12),RIGHT(D651,2)))</f>
        <v>2</v>
      </c>
      <c r="D651" s="35" t="s">
        <v>4880</v>
      </c>
      <c r="E651" t="str">
        <f>VLOOKUP($B651,'Obras e Acervos'!$B:$X,3,0)</f>
        <v>EDITORA RECORD LTDA-EDITORA RECORD</v>
      </c>
      <c r="F651" t="str">
        <f>VLOOKUP($B651,'Obras e Acervos'!$B:$X,7,0)</f>
        <v>0613L23000020LE</v>
      </c>
      <c r="G651" t="str">
        <f>VLOOKUP($B651,'Obras e Acervos'!$B:$X,5,0)</f>
        <v>CRIANÇA DAGORA É FOGO</v>
      </c>
      <c r="H651">
        <f>VLOOKUP($B651,'Obras e Acervos'!$B:$X,18,0)</f>
        <v>14</v>
      </c>
      <c r="I651">
        <f>VLOOKUP($B651,'Obras e Acervos'!$B:$X,19,0)</f>
        <v>25591</v>
      </c>
      <c r="J651" s="42">
        <f>VLOOKUP($B651,'Obras e Acervos'!$B:$X,20,0)</f>
        <v>3838.6499999999996</v>
      </c>
      <c r="K651" s="31">
        <f>VLOOKUP($B651,'Obras e Acervos'!$B:$X,21,0)</f>
        <v>7.19</v>
      </c>
      <c r="L651" s="31">
        <f t="shared" si="93"/>
        <v>183999.29</v>
      </c>
      <c r="M651" s="1">
        <v>46077</v>
      </c>
      <c r="N651" s="1">
        <f t="shared" si="92"/>
        <v>46305</v>
      </c>
      <c r="O651">
        <f t="shared" si="94"/>
        <v>229</v>
      </c>
      <c r="P651" s="49">
        <f t="shared" si="90"/>
        <v>7.6333333333333337</v>
      </c>
      <c r="Q651" s="34">
        <f>VLOOKUP($G651,Agendamento!$B:$F,5,0)</f>
        <v>4</v>
      </c>
      <c r="R651" s="36">
        <f t="shared" si="95"/>
        <v>26</v>
      </c>
      <c r="S651" s="44">
        <v>2.5499999999999998</v>
      </c>
      <c r="T651" s="44">
        <f t="shared" si="96"/>
        <v>15182.699999999999</v>
      </c>
      <c r="U651" t="s">
        <v>5501</v>
      </c>
      <c r="V651" t="str">
        <f t="shared" si="97"/>
        <v>NF/64307905_20260224_nf_37.pdf</v>
      </c>
      <c r="W651" s="32" t="str">
        <f t="shared" si="91"/>
        <v>NF - CRIANÇA DAGORA É FOGO</v>
      </c>
      <c r="X651" t="s">
        <v>5591</v>
      </c>
    </row>
    <row r="652" spans="1:24" x14ac:dyDescent="0.25">
      <c r="A652" t="str">
        <f>CONCATENATE(D652,"_",TEXT(M652,"ddmmaaaa"),"_",COUNTIF($D$2:D652,D652))</f>
        <v>036797150001-00_24022026_2</v>
      </c>
      <c r="B652" t="str">
        <f>CONCATENATE(Analise!D652,"_",COUNTIF(Analise!$D$2:D652,Analise!D652))</f>
        <v>036797150001-00_2</v>
      </c>
      <c r="C652" s="34">
        <f>COUNTIF('Obras e Acervos'!$C:$C,CONCATENATE(LEFT(D652,12),RIGHT(D652,2)))</f>
        <v>2</v>
      </c>
      <c r="D652" s="35" t="s">
        <v>4876</v>
      </c>
      <c r="E652" t="str">
        <f>VLOOKUP($B652,'Obras e Acervos'!$B:$X,3,0)</f>
        <v>VERUS EDITORA LTDA-EDITORA VERUS</v>
      </c>
      <c r="F652" t="str">
        <f>VLOOKUP($B652,'Obras e Acervos'!$B:$X,7,0)</f>
        <v>0577L23000020LE</v>
      </c>
      <c r="G652" t="str">
        <f>VLOOKUP($B652,'Obras e Acervos'!$B:$X,5,0)</f>
        <v>VOVÓ É PODER</v>
      </c>
      <c r="H652">
        <f>VLOOKUP($B652,'Obras e Acervos'!$B:$X,18,0)</f>
        <v>12</v>
      </c>
      <c r="I652">
        <f>VLOOKUP($B652,'Obras e Acervos'!$B:$X,19,0)</f>
        <v>30676</v>
      </c>
      <c r="J652" s="42">
        <f>VLOOKUP($B652,'Obras e Acervos'!$B:$X,20,0)</f>
        <v>3067.6000000000004</v>
      </c>
      <c r="K652" s="31">
        <f>VLOOKUP($B652,'Obras e Acervos'!$B:$X,21,0)</f>
        <v>5.52</v>
      </c>
      <c r="L652" s="31">
        <f t="shared" si="93"/>
        <v>169331.52</v>
      </c>
      <c r="M652" s="1">
        <v>46077</v>
      </c>
      <c r="N652" s="1">
        <f t="shared" si="92"/>
        <v>46305</v>
      </c>
      <c r="O652">
        <f t="shared" si="94"/>
        <v>229</v>
      </c>
      <c r="P652" s="49">
        <f t="shared" si="90"/>
        <v>7.6333333333333337</v>
      </c>
      <c r="Q652" s="34">
        <f>VLOOKUP($G652,Agendamento!$B:$F,5,0)</f>
        <v>4</v>
      </c>
      <c r="R652" s="36">
        <f t="shared" si="95"/>
        <v>31</v>
      </c>
      <c r="S652" s="44">
        <v>2.5499999999999998</v>
      </c>
      <c r="T652" s="44">
        <f t="shared" si="96"/>
        <v>18102.449999999997</v>
      </c>
      <c r="U652" t="s">
        <v>5498</v>
      </c>
      <c r="V652" t="str">
        <f t="shared" si="97"/>
        <v>NF/64307905_20260224_nf_39.pdf</v>
      </c>
      <c r="W652" s="32" t="str">
        <f t="shared" si="91"/>
        <v>NF - VOVÓ É PODER</v>
      </c>
      <c r="X652" t="s">
        <v>5591</v>
      </c>
    </row>
    <row r="653" spans="1:24" x14ac:dyDescent="0.25">
      <c r="A653" t="str">
        <f>CONCATENATE(D653,"_",TEXT(M653,"ddmmaaaa"),"_",COUNTIF($D$2:D653,D653))</f>
        <v>026325580001-15_24022026_2</v>
      </c>
      <c r="B653" t="str">
        <f>CONCATENATE(Analise!D653,"_",COUNTIF(Analise!$D$2:D653,Analise!D653))</f>
        <v>026325580001-15_2</v>
      </c>
      <c r="C653" s="34">
        <f>COUNTIF('Obras e Acervos'!$C:$C,CONCATENATE(LEFT(D653,12),RIGHT(D653,2)))</f>
        <v>2</v>
      </c>
      <c r="D653" s="35" t="s">
        <v>4639</v>
      </c>
      <c r="E653" t="str">
        <f>VLOOKUP($B653,'Obras e Acervos'!$B:$X,3,0)</f>
        <v>FBF CULTURAL LTDA-EDITORA EVOLUIR</v>
      </c>
      <c r="F653" t="str">
        <f>VLOOKUP($B653,'Obras e Acervos'!$B:$X,7,0)</f>
        <v>0663L23000020LE</v>
      </c>
      <c r="G653" t="str">
        <f>VLOOKUP($B653,'Obras e Acervos'!$B:$X,5,0)</f>
        <v>JOÃO MARIA, O CRIADOR DE JOANINHAS</v>
      </c>
      <c r="H653">
        <f>VLOOKUP($B653,'Obras e Acervos'!$B:$X,18,0)</f>
        <v>13</v>
      </c>
      <c r="I653">
        <f>VLOOKUP($B653,'Obras e Acervos'!$B:$X,19,0)</f>
        <v>31090</v>
      </c>
      <c r="J653" s="42">
        <f>VLOOKUP($B653,'Obras e Acervos'!$B:$X,20,0)</f>
        <v>5813.83</v>
      </c>
      <c r="K653" s="31">
        <f>VLOOKUP($B653,'Obras e Acervos'!$B:$X,21,0)</f>
        <v>7.42</v>
      </c>
      <c r="L653" s="31">
        <f t="shared" si="93"/>
        <v>230687.8</v>
      </c>
      <c r="M653" s="1">
        <v>46077</v>
      </c>
      <c r="N653" s="1">
        <f t="shared" si="92"/>
        <v>46305</v>
      </c>
      <c r="O653">
        <f t="shared" si="94"/>
        <v>229</v>
      </c>
      <c r="P653" s="49">
        <f t="shared" si="90"/>
        <v>7.6333333333333337</v>
      </c>
      <c r="Q653" s="34">
        <f>VLOOKUP($G653,Agendamento!$B:$F,5,0)</f>
        <v>6</v>
      </c>
      <c r="R653" s="36">
        <f t="shared" si="95"/>
        <v>32</v>
      </c>
      <c r="S653" s="44">
        <v>2.5499999999999998</v>
      </c>
      <c r="T653" s="44">
        <f t="shared" si="96"/>
        <v>18686.399999999998</v>
      </c>
      <c r="U653" t="s">
        <v>5500</v>
      </c>
      <c r="V653" t="str">
        <f t="shared" si="97"/>
        <v>NF/64307905_20260224_nf_41.pdf</v>
      </c>
      <c r="W653" s="32" t="str">
        <f t="shared" si="91"/>
        <v>NF - JOÃO MARIA, O CRIADOR DE JOANINHAS</v>
      </c>
      <c r="X653" t="s">
        <v>5591</v>
      </c>
    </row>
    <row r="654" spans="1:24" x14ac:dyDescent="0.25">
      <c r="A654" t="str">
        <f>CONCATENATE(D654,"_",TEXT(M654,"ddmmaaaa"),"_",COUNTIF($D$2:D654,D654))</f>
        <v>198243310001-74_24022026_1</v>
      </c>
      <c r="B654" t="str">
        <f>CONCATENATE(Analise!D654,"_",COUNTIF(Analise!$D$2:D654,Analise!D654))</f>
        <v>198243310001-74_1</v>
      </c>
      <c r="C654" s="34">
        <f>COUNTIF('Obras e Acervos'!$C:$C,CONCATENATE(LEFT(D654,12),RIGHT(D654,2)))</f>
        <v>1</v>
      </c>
      <c r="D654" s="35" t="s">
        <v>4868</v>
      </c>
      <c r="E654" t="str">
        <f>VLOOKUP($B654,'Obras e Acervos'!$B:$X,3,0)</f>
        <v>FALARE EDITORA TECNOLOGIA DA COMUNICAÇÃO COMÉRCIO DE SERVIÇOS E PRODUTOS LTDA.-FALARE EDITORA E TECNOLOGIA DA COMUNICAÇÃO</v>
      </c>
      <c r="F654" t="str">
        <f>VLOOKUP($B654,'Obras e Acervos'!$B:$X,7,0)</f>
        <v>1090L23000020LE</v>
      </c>
      <c r="G654" t="str">
        <f>VLOOKUP($B654,'Obras e Acervos'!$B:$X,5,0)</f>
        <v>FAMÍLIA: CADA UM TEM A SUA</v>
      </c>
      <c r="H654">
        <f>VLOOKUP($B654,'Obras e Acervos'!$B:$X,18,0)</f>
        <v>19</v>
      </c>
      <c r="I654">
        <f>VLOOKUP($B654,'Obras e Acervos'!$B:$X,19,0)</f>
        <v>40860</v>
      </c>
      <c r="J654" s="42">
        <f>VLOOKUP($B654,'Obras e Acervos'!$B:$X,20,0)</f>
        <v>4412.88</v>
      </c>
      <c r="K654" s="31">
        <f>VLOOKUP($B654,'Obras e Acervos'!$B:$X,21,0)</f>
        <v>7.15</v>
      </c>
      <c r="L654" s="31">
        <f t="shared" si="93"/>
        <v>292149</v>
      </c>
      <c r="M654" s="1">
        <v>46077</v>
      </c>
      <c r="N654" s="1">
        <f t="shared" si="92"/>
        <v>46305</v>
      </c>
      <c r="O654">
        <f t="shared" si="94"/>
        <v>229</v>
      </c>
      <c r="P654" s="49">
        <f t="shared" si="90"/>
        <v>7.6333333333333337</v>
      </c>
      <c r="Q654" s="34">
        <f>VLOOKUP($G654,Agendamento!$B:$F,5,0)</f>
        <v>9</v>
      </c>
      <c r="R654" s="36">
        <f t="shared" si="95"/>
        <v>41</v>
      </c>
      <c r="S654" s="44">
        <v>2.5499999999999998</v>
      </c>
      <c r="T654" s="44">
        <f t="shared" si="96"/>
        <v>23941.949999999997</v>
      </c>
      <c r="U654" t="s">
        <v>5496</v>
      </c>
      <c r="V654" t="str">
        <f t="shared" si="97"/>
        <v>NF/64307905_20260224_nf_42.pdf</v>
      </c>
      <c r="W654" s="32" t="str">
        <f t="shared" si="91"/>
        <v>NF - FAMÍLIA: CADA UM TEM A SUA</v>
      </c>
      <c r="X654" t="s">
        <v>5591</v>
      </c>
    </row>
    <row r="655" spans="1:24" x14ac:dyDescent="0.25">
      <c r="A655" t="str">
        <f>CONCATENATE(D655,"_",TEXT(M655,"ddmmaaaa"),"_",COUNTIF($D$2:D655,D655))</f>
        <v>133655820001-51_25022026_2</v>
      </c>
      <c r="B655" t="str">
        <f>CONCATENATE(Analise!D655,"_",COUNTIF(Analise!$D$2:D655,Analise!D655))</f>
        <v>133655820001-51_2</v>
      </c>
      <c r="C655" s="34">
        <f>COUNTIF('Obras e Acervos'!$C:$C,CONCATENATE(LEFT(D655,12),RIGHT(D655,2)))</f>
        <v>2</v>
      </c>
      <c r="D655" s="35" t="s">
        <v>4847</v>
      </c>
      <c r="E655" t="str">
        <f>VLOOKUP($B655,'Obras e Acervos'!$B:$X,3,0)</f>
        <v>CAMERON EDITORA E GRÁFICA LTDA -EDITORA CAMERON</v>
      </c>
      <c r="F655" t="str">
        <f>VLOOKUP($B655,'Obras e Acervos'!$B:$X,7,0)</f>
        <v>0608L23000020LE</v>
      </c>
      <c r="G655" t="str">
        <f>VLOOKUP($B655,'Obras e Acervos'!$B:$X,5,0)</f>
        <v>MENINOS, EU CONTO</v>
      </c>
      <c r="H655">
        <f>VLOOKUP($B655,'Obras e Acervos'!$B:$X,18,0)</f>
        <v>15</v>
      </c>
      <c r="I655">
        <f>VLOOKUP($B655,'Obras e Acervos'!$B:$X,19,0)</f>
        <v>32883</v>
      </c>
      <c r="J655" s="42">
        <f>VLOOKUP($B655,'Obras e Acervos'!$B:$X,20,0)</f>
        <v>3617.13</v>
      </c>
      <c r="K655" s="31">
        <f>VLOOKUP($B655,'Obras e Acervos'!$B:$X,21,0)</f>
        <v>9.32</v>
      </c>
      <c r="L655" s="31">
        <f t="shared" si="93"/>
        <v>306469.56</v>
      </c>
      <c r="M655" s="1">
        <v>46078</v>
      </c>
      <c r="N655" s="1">
        <f t="shared" si="92"/>
        <v>46305</v>
      </c>
      <c r="O655">
        <f t="shared" si="94"/>
        <v>228</v>
      </c>
      <c r="P655" s="49">
        <f t="shared" si="90"/>
        <v>7.6</v>
      </c>
      <c r="Q655" s="34">
        <f>VLOOKUP($G655,Agendamento!$B:$F,5,0)</f>
        <v>6</v>
      </c>
      <c r="R655" s="36">
        <f t="shared" si="95"/>
        <v>33</v>
      </c>
      <c r="S655" s="44">
        <v>2.5499999999999998</v>
      </c>
      <c r="T655" s="44">
        <f t="shared" si="96"/>
        <v>19186.199999999997</v>
      </c>
      <c r="U655" t="s">
        <v>5512</v>
      </c>
      <c r="V655" t="str">
        <f t="shared" si="97"/>
        <v>NF/64307905_20260225_nf_01.pdf</v>
      </c>
      <c r="W655" s="32" t="str">
        <f t="shared" si="91"/>
        <v>NF - MENINOS, EU CONTO</v>
      </c>
      <c r="X655" t="s">
        <v>5591</v>
      </c>
    </row>
    <row r="656" spans="1:24" x14ac:dyDescent="0.25">
      <c r="A656" t="str">
        <f>CONCATENATE(D656,"_",TEXT(M656,"ddmmaaaa"),"_",COUNTIF($D$2:D656,D656))</f>
        <v>557893900001-12_25022026_2</v>
      </c>
      <c r="B656" t="str">
        <f>CONCATENATE(Analise!D656,"_",COUNTIF(Analise!$D$2:D656,Analise!D656)-1)</f>
        <v>557893900001-12_1</v>
      </c>
      <c r="C656" s="34">
        <f>COUNTIF('Obras e Acervos'!$C:$C,CONCATENATE(LEFT(D656,12),RIGHT(D656,2)))</f>
        <v>2</v>
      </c>
      <c r="D656" s="35" t="s">
        <v>4830</v>
      </c>
      <c r="E656" t="str">
        <f>VLOOKUP($B656,'Obras e Acervos'!$B:$X,3,0)</f>
        <v>EDITORA SCHWARCZ S/A-</v>
      </c>
      <c r="F656" t="str">
        <f>VLOOKUP($B656,'Obras e Acervos'!$B:$X,7,0)</f>
        <v>0503L23000030LE</v>
      </c>
      <c r="G656" t="str">
        <f>VLOOKUP($B656,'Obras e Acervos'!$B:$X,5,0)</f>
        <v>MALALA E SEU LÁPIS MÁGICO</v>
      </c>
      <c r="H656">
        <f>VLOOKUP($B656,'Obras e Acervos'!$B:$X,18,0)</f>
        <v>3</v>
      </c>
      <c r="I656">
        <f>VLOOKUP($B656,'Obras e Acervos'!$B:$X,19,0)</f>
        <v>74166</v>
      </c>
      <c r="J656" s="42">
        <f>VLOOKUP($B656,'Obras e Acervos'!$B:$X,20,0)</f>
        <v>10160.742</v>
      </c>
      <c r="K656" s="31">
        <f>VLOOKUP($B656,'Obras e Acervos'!$B:$X,21,0)</f>
        <v>5.58</v>
      </c>
      <c r="L656" s="31">
        <f t="shared" si="93"/>
        <v>413846.28</v>
      </c>
      <c r="M656" s="1">
        <v>46078</v>
      </c>
      <c r="N656" s="1">
        <f t="shared" si="92"/>
        <v>46305</v>
      </c>
      <c r="O656">
        <f t="shared" si="94"/>
        <v>228</v>
      </c>
      <c r="P656" s="49">
        <f t="shared" si="90"/>
        <v>7.6</v>
      </c>
      <c r="Q656" s="34">
        <f>VLOOKUP($G656,Agendamento!$B:$F,5,0)</f>
        <v>10</v>
      </c>
      <c r="R656" s="36">
        <f t="shared" si="95"/>
        <v>75</v>
      </c>
      <c r="S656" s="44">
        <v>2.5499999999999998</v>
      </c>
      <c r="T656" s="44">
        <f t="shared" si="96"/>
        <v>43605</v>
      </c>
      <c r="U656" t="s">
        <v>5513</v>
      </c>
      <c r="V656" t="str">
        <f t="shared" si="97"/>
        <v>NF/64307905_20260225_nf_03.pdf</v>
      </c>
      <c r="W656" s="32" t="str">
        <f t="shared" si="91"/>
        <v>NF - MALALA E SEU LÁPIS MÁGICO</v>
      </c>
      <c r="X656" t="s">
        <v>5591</v>
      </c>
    </row>
    <row r="657" spans="1:24" x14ac:dyDescent="0.25">
      <c r="A657" t="str">
        <f>CONCATENATE(D657,"_",TEXT(M657,"ddmmaaaa"),"_",COUNTIF($D$2:D657,D657))</f>
        <v>167807990001-16_25022026_2</v>
      </c>
      <c r="B657" t="str">
        <f>CONCATENATE(Analise!D657,"_",COUNTIF(Analise!$D$2:D657,Analise!D657)-1)</f>
        <v>167807990001-16_1</v>
      </c>
      <c r="C657" s="34">
        <f>COUNTIF('Obras e Acervos'!$C:$C,CONCATENATE(LEFT(D657,12),RIGHT(D657,2)))</f>
        <v>2</v>
      </c>
      <c r="D657" s="35" t="s">
        <v>4852</v>
      </c>
      <c r="E657" t="str">
        <f>VLOOKUP($B657,'Obras e Acervos'!$B:$X,3,0)</f>
        <v>SDS EDITORA DE LIVROS LTDA-ESCARLATE</v>
      </c>
      <c r="F657" t="str">
        <f>VLOOKUP($B657,'Obras e Acervos'!$B:$X,7,0)</f>
        <v>0763L23000030LE</v>
      </c>
      <c r="G657" t="str">
        <f>VLOOKUP($B657,'Obras e Acervos'!$B:$X,5,0)</f>
        <v>MANU E MILA</v>
      </c>
      <c r="H657">
        <f>VLOOKUP($B657,'Obras e Acervos'!$B:$X,18,0)</f>
        <v>10</v>
      </c>
      <c r="I657">
        <f>VLOOKUP($B657,'Obras e Acervos'!$B:$X,19,0)</f>
        <v>33343</v>
      </c>
      <c r="J657" s="42">
        <f>VLOOKUP($B657,'Obras e Acervos'!$B:$X,20,0)</f>
        <v>3634.3870000000002</v>
      </c>
      <c r="K657" s="31">
        <f>VLOOKUP($B657,'Obras e Acervos'!$B:$X,21,0)</f>
        <v>6.4</v>
      </c>
      <c r="L657" s="31">
        <f t="shared" si="93"/>
        <v>213395.20000000001</v>
      </c>
      <c r="M657" s="1">
        <v>46078</v>
      </c>
      <c r="N657" s="1">
        <f t="shared" si="92"/>
        <v>46305</v>
      </c>
      <c r="O657">
        <f t="shared" si="94"/>
        <v>228</v>
      </c>
      <c r="P657" s="49">
        <f t="shared" si="90"/>
        <v>7.6</v>
      </c>
      <c r="Q657" s="34">
        <f>VLOOKUP($G657,Agendamento!$B:$F,5,0)</f>
        <v>5</v>
      </c>
      <c r="R657" s="36">
        <f t="shared" si="95"/>
        <v>34</v>
      </c>
      <c r="S657" s="44">
        <v>2.5499999999999998</v>
      </c>
      <c r="T657" s="44">
        <f t="shared" si="96"/>
        <v>19767.599999999999</v>
      </c>
      <c r="U657" t="s">
        <v>5507</v>
      </c>
      <c r="V657" t="str">
        <f t="shared" si="97"/>
        <v>NF/64307905_20260225_nf_04.pdf</v>
      </c>
      <c r="W657" s="32" t="str">
        <f t="shared" si="91"/>
        <v>NF - MANU E MILA</v>
      </c>
      <c r="X657" t="s">
        <v>5591</v>
      </c>
    </row>
    <row r="658" spans="1:24" x14ac:dyDescent="0.25">
      <c r="A658" t="str">
        <f>CONCATENATE(D658,"_",TEXT(M658,"ddmmaaaa"),"_",COUNTIF($D$2:D658,D658))</f>
        <v>444114050001-98_25022026_1</v>
      </c>
      <c r="B658" t="str">
        <f>CONCATENATE(Analise!D658,"_",COUNTIF(Analise!$D$2:D658,Analise!D658))</f>
        <v>444114050001-98_1</v>
      </c>
      <c r="C658" s="34">
        <f>COUNTIF('Obras e Acervos'!$C:$C,CONCATENATE(LEFT(D658,12),RIGHT(D658,2)))</f>
        <v>1</v>
      </c>
      <c r="D658" s="35" t="s">
        <v>4882</v>
      </c>
      <c r="E658" t="str">
        <f>VLOOKUP($B658,'Obras e Acervos'!$B:$X,3,0)</f>
        <v>LIBER EDITORA-LIBER EDITORA</v>
      </c>
      <c r="F658" t="str">
        <f>VLOOKUP($B658,'Obras e Acervos'!$B:$X,7,0)</f>
        <v>0901L23000030LE</v>
      </c>
      <c r="G658" t="str">
        <f>VLOOKUP($B658,'Obras e Acervos'!$B:$X,5,0)</f>
        <v>POEMINHAS ENFABULADOS</v>
      </c>
      <c r="H658">
        <f>VLOOKUP($B658,'Obras e Acervos'!$B:$X,18,0)</f>
        <v>7</v>
      </c>
      <c r="I658">
        <f>VLOOKUP($B658,'Obras e Acervos'!$B:$X,19,0)</f>
        <v>34343</v>
      </c>
      <c r="J658" s="42">
        <f>VLOOKUP($B658,'Obras e Acervos'!$B:$X,20,0)</f>
        <v>4430.2470000000003</v>
      </c>
      <c r="K658" s="31">
        <f>VLOOKUP($B658,'Obras e Acervos'!$B:$X,21,0)</f>
        <v>7.7</v>
      </c>
      <c r="L658" s="31">
        <f t="shared" si="93"/>
        <v>264441.10000000003</v>
      </c>
      <c r="M658" s="1">
        <v>46078</v>
      </c>
      <c r="N658" s="1">
        <f t="shared" si="92"/>
        <v>46305</v>
      </c>
      <c r="O658">
        <f t="shared" si="94"/>
        <v>228</v>
      </c>
      <c r="P658" s="49">
        <f t="shared" si="90"/>
        <v>7.6</v>
      </c>
      <c r="Q658" s="34">
        <f>VLOOKUP($G658,Agendamento!$B:$F,5,0)</f>
        <v>6</v>
      </c>
      <c r="R658" s="36">
        <f t="shared" si="95"/>
        <v>35</v>
      </c>
      <c r="S658" s="44">
        <v>2.5499999999999998</v>
      </c>
      <c r="T658" s="44">
        <f t="shared" si="96"/>
        <v>20349</v>
      </c>
      <c r="U658" t="s">
        <v>5505</v>
      </c>
      <c r="V658" t="str">
        <f t="shared" si="97"/>
        <v>NF/64307905_20260225_nf_05.pdf</v>
      </c>
      <c r="W658" s="32" t="str">
        <f t="shared" si="91"/>
        <v>NF - POEMINHAS ENFABULADOS</v>
      </c>
      <c r="X658" t="s">
        <v>5591</v>
      </c>
    </row>
    <row r="659" spans="1:24" x14ac:dyDescent="0.25">
      <c r="A659" t="str">
        <f>CONCATENATE(D659,"_",TEXT(M659,"ddmmaaaa"),"_",COUNTIF($D$2:D659,D659))</f>
        <v>281400850001-22_25022026_2</v>
      </c>
      <c r="B659" t="str">
        <f>CONCATENATE(Analise!D659,"_",COUNTIF(Analise!$D$2:D659,Analise!D659))</f>
        <v>281400850001-22_2</v>
      </c>
      <c r="C659" s="34">
        <f>COUNTIF('Obras e Acervos'!$C:$C,CONCATENATE(LEFT(D659,12),RIGHT(D659,2)))</f>
        <v>2</v>
      </c>
      <c r="D659" s="35" t="s">
        <v>4858</v>
      </c>
      <c r="E659" t="str">
        <f>VLOOKUP($B659,'Obras e Acervos'!$B:$X,3,0)</f>
        <v>REPRESENTACÕES PAULISTA LTDA-LOGOS LIVRARIA</v>
      </c>
      <c r="F659" t="str">
        <f>VLOOKUP($B659,'Obras e Acervos'!$B:$X,7,0)</f>
        <v>0841L23000020LE</v>
      </c>
      <c r="G659" t="str">
        <f>VLOOKUP($B659,'Obras e Acervos'!$B:$X,5,0)</f>
        <v>CHÃO DE PEIXES</v>
      </c>
      <c r="H659">
        <f>VLOOKUP($B659,'Obras e Acervos'!$B:$X,18,0)</f>
        <v>19</v>
      </c>
      <c r="I659">
        <f>VLOOKUP($B659,'Obras e Acervos'!$B:$X,19,0)</f>
        <v>24543</v>
      </c>
      <c r="J659" s="42">
        <f>VLOOKUP($B659,'Obras e Acervos'!$B:$X,20,0)</f>
        <v>3337.8480000000004</v>
      </c>
      <c r="K659" s="31">
        <f>VLOOKUP($B659,'Obras e Acervos'!$B:$X,21,0)</f>
        <v>8.42</v>
      </c>
      <c r="L659" s="31">
        <f t="shared" si="93"/>
        <v>206652.06</v>
      </c>
      <c r="M659" s="1">
        <v>46078</v>
      </c>
      <c r="N659" s="1">
        <f t="shared" si="92"/>
        <v>46305</v>
      </c>
      <c r="O659">
        <f t="shared" si="94"/>
        <v>228</v>
      </c>
      <c r="P659" s="49">
        <f t="shared" si="90"/>
        <v>7.6</v>
      </c>
      <c r="Q659" s="34">
        <f>VLOOKUP($G659,Agendamento!$B:$F,5,0)</f>
        <v>4</v>
      </c>
      <c r="R659" s="36">
        <f t="shared" si="95"/>
        <v>25</v>
      </c>
      <c r="S659" s="44">
        <v>2.5499999999999998</v>
      </c>
      <c r="T659" s="44">
        <f t="shared" si="96"/>
        <v>14534.999999999998</v>
      </c>
      <c r="U659" t="s">
        <v>5503</v>
      </c>
      <c r="V659" t="str">
        <f t="shared" si="97"/>
        <v>NF/64307905_20260225_nf_06.pdf</v>
      </c>
      <c r="W659" s="32" t="str">
        <f t="shared" si="91"/>
        <v>NF - CHÃO DE PEIXES</v>
      </c>
      <c r="X659" t="s">
        <v>5591</v>
      </c>
    </row>
    <row r="660" spans="1:24" x14ac:dyDescent="0.25">
      <c r="A660" t="str">
        <f>CONCATENATE(D660,"_",TEXT(M660,"ddmmaaaa"),"_",COUNTIF($D$2:D660,D660))</f>
        <v>334957710001-56_25022026_2</v>
      </c>
      <c r="B660" t="str">
        <f>CONCATENATE(Analise!D660,"_",COUNTIF(Analise!$D$2:D660,Analise!D660))</f>
        <v>334957710001-56_2</v>
      </c>
      <c r="C660" s="34">
        <f>COUNTIF('Obras e Acervos'!$C:$C,CONCATENATE(LEFT(D660,12),RIGHT(D660,2)))</f>
        <v>2</v>
      </c>
      <c r="D660" s="35" t="s">
        <v>4883</v>
      </c>
      <c r="E660" t="str">
        <f>VLOOKUP($B660,'Obras e Acervos'!$B:$X,3,0)</f>
        <v>DISTRIBUIDORA RECORD DE SERVIÇOS DE IMPRENSA S/A-DISTRIBUIDORA RECORD</v>
      </c>
      <c r="F660" t="str">
        <f>VLOOKUP($B660,'Obras e Acervos'!$B:$X,7,0)</f>
        <v>1323L23000020LE</v>
      </c>
      <c r="G660" t="str">
        <f>VLOOKUP($B660,'Obras e Acervos'!$B:$X,5,0)</f>
        <v>A PEQUENA ALICE NO PAÍS DAS MARAVILHAS</v>
      </c>
      <c r="H660">
        <f>VLOOKUP($B660,'Obras e Acervos'!$B:$X,18,0)</f>
        <v>11</v>
      </c>
      <c r="I660">
        <f>VLOOKUP($B660,'Obras e Acervos'!$B:$X,19,0)</f>
        <v>59192</v>
      </c>
      <c r="J660" s="42">
        <f>VLOOKUP($B660,'Obras e Acervos'!$B:$X,20,0)</f>
        <v>10358.599999999999</v>
      </c>
      <c r="K660" s="31">
        <f>VLOOKUP($B660,'Obras e Acervos'!$B:$X,21,0)</f>
        <v>6.72</v>
      </c>
      <c r="L660" s="31">
        <f t="shared" si="93"/>
        <v>397770.23999999999</v>
      </c>
      <c r="M660" s="1">
        <v>46078</v>
      </c>
      <c r="N660" s="1">
        <f t="shared" si="92"/>
        <v>46305</v>
      </c>
      <c r="O660">
        <f t="shared" si="94"/>
        <v>228</v>
      </c>
      <c r="P660" s="49">
        <f t="shared" si="90"/>
        <v>7.6</v>
      </c>
      <c r="Q660" s="34">
        <f>VLOOKUP($G660,Agendamento!$B:$F,5,0)</f>
        <v>10</v>
      </c>
      <c r="R660" s="36">
        <f t="shared" si="95"/>
        <v>60</v>
      </c>
      <c r="S660" s="44">
        <v>2.5499999999999998</v>
      </c>
      <c r="T660" s="44">
        <f t="shared" si="96"/>
        <v>34884</v>
      </c>
      <c r="U660" t="s">
        <v>5508</v>
      </c>
      <c r="V660" t="str">
        <f t="shared" si="97"/>
        <v>NF/64307905_20260225_nf_08.pdf</v>
      </c>
      <c r="W660" s="32" t="str">
        <f t="shared" si="91"/>
        <v>NF - A PEQUENA ALICE NO PAÍS DAS MARAVILHAS</v>
      </c>
      <c r="X660" t="s">
        <v>5591</v>
      </c>
    </row>
    <row r="661" spans="1:24" x14ac:dyDescent="0.25">
      <c r="A661" t="str">
        <f>CONCATENATE(D661,"_",TEXT(M661,"ddmmaaaa"),"_",COUNTIF($D$2:D661,D661))</f>
        <v>132672950001-09_25022026_1</v>
      </c>
      <c r="B661" t="str">
        <f>CONCATENATE(Analise!D661,"_",COUNTIF(Analise!$D$2:D661,Analise!D661)+1)</f>
        <v>132672950001-09_2</v>
      </c>
      <c r="C661" s="34">
        <f>COUNTIF('Obras e Acervos'!$C:$C,CONCATENATE(LEFT(D661,12),RIGHT(D661,2)))</f>
        <v>2</v>
      </c>
      <c r="D661" s="35" t="s">
        <v>4889</v>
      </c>
      <c r="E661" t="str">
        <f>VLOOKUP($B661,'Obras e Acervos'!$B:$X,3,0)</f>
        <v>BARCELOS COMERCIO DE LIVROS E SERVIÇOS LTDA-MAGIA DOS LIVROS</v>
      </c>
      <c r="F661" t="str">
        <f>VLOOKUP($B661,'Obras e Acervos'!$B:$X,7,0)</f>
        <v>0946L23000020LE</v>
      </c>
      <c r="G661" t="str">
        <f>VLOOKUP($B661,'Obras e Acervos'!$B:$X,5,0)</f>
        <v>O MÁGICO DE OZ</v>
      </c>
      <c r="H661">
        <f>VLOOKUP($B661,'Obras e Acervos'!$B:$X,18,0)</f>
        <v>13</v>
      </c>
      <c r="I661">
        <f>VLOOKUP($B661,'Obras e Acervos'!$B:$X,19,0)</f>
        <v>32423</v>
      </c>
      <c r="J661" s="42">
        <f>VLOOKUP($B661,'Obras e Acervos'!$B:$X,20,0)</f>
        <v>7262.7520000000004</v>
      </c>
      <c r="K661" s="31">
        <f>VLOOKUP($B661,'Obras e Acervos'!$B:$X,21,0)</f>
        <v>22.01</v>
      </c>
      <c r="L661" s="31">
        <f t="shared" si="93"/>
        <v>713630.2300000001</v>
      </c>
      <c r="M661" s="1">
        <v>46078</v>
      </c>
      <c r="N661" s="1">
        <f t="shared" si="92"/>
        <v>46305</v>
      </c>
      <c r="O661">
        <f t="shared" si="94"/>
        <v>228</v>
      </c>
      <c r="P661" s="49">
        <f t="shared" si="90"/>
        <v>7.6</v>
      </c>
      <c r="Q661" s="34">
        <f>VLOOKUP($G661,Agendamento!$B:$F,5,0)</f>
        <v>12</v>
      </c>
      <c r="R661" s="36">
        <f t="shared" si="95"/>
        <v>33</v>
      </c>
      <c r="S661" s="44">
        <v>2.5499999999999998</v>
      </c>
      <c r="T661" s="44">
        <f t="shared" si="96"/>
        <v>19186.199999999997</v>
      </c>
      <c r="U661" t="s">
        <v>5528</v>
      </c>
      <c r="V661" t="str">
        <f t="shared" si="97"/>
        <v>NF/64307905_20260225_nf_10.pdf</v>
      </c>
      <c r="W661" s="32" t="str">
        <f t="shared" si="91"/>
        <v>NF - O MÁGICO DE OZ</v>
      </c>
      <c r="X661" t="s">
        <v>5591</v>
      </c>
    </row>
    <row r="662" spans="1:24" x14ac:dyDescent="0.25">
      <c r="A662" t="str">
        <f>CONCATENATE(D662,"_",TEXT(M662,"ddmmaaaa"),"_",COUNTIF($D$2:D662,D662))</f>
        <v>290552870001-39_25022026_2</v>
      </c>
      <c r="B662" t="str">
        <f>CONCATENATE(Analise!D662,"_",COUNTIF(Analise!$D$2:D662,Analise!D662))</f>
        <v>290552870001-39_2</v>
      </c>
      <c r="C662" s="34">
        <f>COUNTIF('Obras e Acervos'!$C:$C,CONCATENATE(LEFT(D662,12),RIGHT(D662,2)))</f>
        <v>2</v>
      </c>
      <c r="D662" s="35" t="s">
        <v>4866</v>
      </c>
      <c r="E662" t="str">
        <f>VLOOKUP($B662,'Obras e Acervos'!$B:$X,3,0)</f>
        <v>PANTOGRAF GRÁFICA E EDITORA LTDA-PANTOGRAF</v>
      </c>
      <c r="F662" t="str">
        <f>VLOOKUP($B662,'Obras e Acervos'!$B:$X,7,0)</f>
        <v>0862L23000020LE</v>
      </c>
      <c r="G662" t="str">
        <f>VLOOKUP($B662,'Obras e Acervos'!$B:$X,5,0)</f>
        <v>MEUS PRIMEIROS CONTOS POPULARES</v>
      </c>
      <c r="H662">
        <f>VLOOKUP($B662,'Obras e Acervos'!$B:$X,18,0)</f>
        <v>21</v>
      </c>
      <c r="I662">
        <f>VLOOKUP($B662,'Obras e Acervos'!$B:$X,19,0)</f>
        <v>45903</v>
      </c>
      <c r="J662" s="42">
        <f>VLOOKUP($B662,'Obras e Acervos'!$B:$X,20,0)</f>
        <v>11797.071</v>
      </c>
      <c r="K662" s="31">
        <f>VLOOKUP($B662,'Obras e Acervos'!$B:$X,21,0)</f>
        <v>11.33</v>
      </c>
      <c r="L662" s="31">
        <f t="shared" si="93"/>
        <v>520080.99</v>
      </c>
      <c r="M662" s="1">
        <v>46078</v>
      </c>
      <c r="N662" s="1">
        <f t="shared" si="92"/>
        <v>46305</v>
      </c>
      <c r="O662">
        <f t="shared" si="94"/>
        <v>228</v>
      </c>
      <c r="P662" s="49">
        <f t="shared" si="90"/>
        <v>7.6</v>
      </c>
      <c r="Q662" s="34">
        <f>VLOOKUP($G662,Agendamento!$B:$F,5,0)</f>
        <v>8</v>
      </c>
      <c r="R662" s="36">
        <f t="shared" si="95"/>
        <v>46</v>
      </c>
      <c r="S662" s="44">
        <v>2.5499999999999998</v>
      </c>
      <c r="T662" s="44">
        <f t="shared" si="96"/>
        <v>26744.399999999998</v>
      </c>
      <c r="U662" t="s">
        <v>5519</v>
      </c>
      <c r="V662" t="str">
        <f t="shared" si="97"/>
        <v>NF/64307905_20260225_nf_12.pdf</v>
      </c>
      <c r="W662" s="32" t="str">
        <f t="shared" si="91"/>
        <v>NF - MEUS PRIMEIROS CONTOS POPULARES</v>
      </c>
      <c r="X662" t="s">
        <v>5591</v>
      </c>
    </row>
    <row r="663" spans="1:24" x14ac:dyDescent="0.25">
      <c r="A663" t="str">
        <f>CONCATENATE(D663,"_",TEXT(M663,"ddmmaaaa"),"_",COUNTIF($D$2:D663,D663))</f>
        <v>132061660001-00_25022026_2</v>
      </c>
      <c r="B663" t="str">
        <f>CONCATENATE(Analise!D663,"_",COUNTIF(Analise!$D$2:D663,Analise!D663)-1)</f>
        <v>132061660001-00_1</v>
      </c>
      <c r="C663" s="34">
        <f>COUNTIF('Obras e Acervos'!$C:$C,CONCATENATE(LEFT(D663,12),RIGHT(D663,2)))</f>
        <v>2</v>
      </c>
      <c r="D663" s="35" t="s">
        <v>4869</v>
      </c>
      <c r="E663" t="str">
        <f>VLOOKUP($B663,'Obras e Acervos'!$B:$X,3,0)</f>
        <v>EDITORA GAIVOTA LTDA.-EDITORA GAIVOTA</v>
      </c>
      <c r="F663" t="str">
        <f>VLOOKUP($B663,'Obras e Acervos'!$B:$X,7,0)</f>
        <v>0619L23000030LE</v>
      </c>
      <c r="G663" t="str">
        <f>VLOOKUP($B663,'Obras e Acervos'!$B:$X,5,0)</f>
        <v>FESTANÇA</v>
      </c>
      <c r="H663">
        <f>VLOOKUP($B663,'Obras e Acervos'!$B:$X,18,0)</f>
        <v>1</v>
      </c>
      <c r="I663">
        <f>VLOOKUP($B663,'Obras e Acervos'!$B:$X,19,0)</f>
        <v>52049</v>
      </c>
      <c r="J663" s="42">
        <f>VLOOKUP($B663,'Obras e Acervos'!$B:$X,20,0)</f>
        <v>4268.018</v>
      </c>
      <c r="K663" s="31">
        <f>VLOOKUP($B663,'Obras e Acervos'!$B:$X,21,0)</f>
        <v>3.89</v>
      </c>
      <c r="L663" s="31">
        <f t="shared" si="93"/>
        <v>202470.61000000002</v>
      </c>
      <c r="M663" s="1">
        <v>46078</v>
      </c>
      <c r="N663" s="1">
        <f t="shared" si="92"/>
        <v>46305</v>
      </c>
      <c r="O663">
        <f t="shared" si="94"/>
        <v>228</v>
      </c>
      <c r="P663" s="49">
        <f t="shared" si="90"/>
        <v>7.6</v>
      </c>
      <c r="Q663" s="34">
        <f>VLOOKUP($G663,Agendamento!$B:$F,5,0)</f>
        <v>5</v>
      </c>
      <c r="R663" s="36">
        <f t="shared" si="95"/>
        <v>53</v>
      </c>
      <c r="S663" s="44">
        <v>2.5499999999999998</v>
      </c>
      <c r="T663" s="44">
        <f t="shared" si="96"/>
        <v>30814.199999999997</v>
      </c>
      <c r="U663" t="s">
        <v>5506</v>
      </c>
      <c r="V663" t="str">
        <f t="shared" si="97"/>
        <v>NF/64307905_20260225_nf_14.pdf</v>
      </c>
      <c r="W663" s="32" t="str">
        <f t="shared" si="91"/>
        <v>NF - FESTANÇA</v>
      </c>
      <c r="X663" t="s">
        <v>5591</v>
      </c>
    </row>
    <row r="664" spans="1:24" x14ac:dyDescent="0.25">
      <c r="A664" t="str">
        <f>CONCATENATE(D664,"_",TEXT(M664,"ddmmaaaa"),"_",COUNTIF($D$2:D664,D664))</f>
        <v>304386290001-89_25022026_1</v>
      </c>
      <c r="B664" t="str">
        <f>CONCATENATE(Analise!D664,"_",COUNTIF(Analise!$D$2:D664,Analise!D664)+1)</f>
        <v>304386290001-89_2</v>
      </c>
      <c r="C664" s="34">
        <f>COUNTIF('Obras e Acervos'!$C:$C,CONCATENATE(LEFT(D664,12),RIGHT(D664,2)))</f>
        <v>2</v>
      </c>
      <c r="D664" s="35" t="s">
        <v>4892</v>
      </c>
      <c r="E664" t="str">
        <f>VLOOKUP($B664,'Obras e Acervos'!$B:$X,3,0)</f>
        <v>ISABELLA FELIX DE ARAUJO -ARTE DAS LETRAS</v>
      </c>
      <c r="F664" t="str">
        <f>VLOOKUP($B664,'Obras e Acervos'!$B:$X,7,0)</f>
        <v>0983L23000020LE</v>
      </c>
      <c r="G664" t="str">
        <f>VLOOKUP($B664,'Obras e Acervos'!$B:$X,5,0)</f>
        <v>CONTOS DE FADAS POR HOMENS E MULHERES DE TODOS OS TEMPOS</v>
      </c>
      <c r="H664">
        <f>VLOOKUP($B664,'Obras e Acervos'!$B:$X,18,0)</f>
        <v>15</v>
      </c>
      <c r="I664">
        <f>VLOOKUP($B664,'Obras e Acervos'!$B:$X,19,0)</f>
        <v>36913</v>
      </c>
      <c r="J664" s="42">
        <f>VLOOKUP($B664,'Obras e Acervos'!$B:$X,20,0)</f>
        <v>11295.378000000001</v>
      </c>
      <c r="K664" s="31">
        <f>VLOOKUP($B664,'Obras e Acervos'!$B:$X,21,0)</f>
        <v>16.53</v>
      </c>
      <c r="L664" s="31">
        <f t="shared" si="93"/>
        <v>610171.89</v>
      </c>
      <c r="M664" s="1">
        <v>46078</v>
      </c>
      <c r="N664" s="1">
        <f t="shared" si="92"/>
        <v>46305</v>
      </c>
      <c r="O664">
        <f t="shared" si="94"/>
        <v>228</v>
      </c>
      <c r="P664" s="49">
        <f t="shared" si="90"/>
        <v>7.6</v>
      </c>
      <c r="Q664" s="34">
        <f>VLOOKUP($G664,Agendamento!$B:$F,5,0)</f>
        <v>7</v>
      </c>
      <c r="R664" s="36">
        <f t="shared" si="95"/>
        <v>37</v>
      </c>
      <c r="S664" s="44">
        <v>2.5499999999999998</v>
      </c>
      <c r="T664" s="44">
        <f t="shared" si="96"/>
        <v>21511.8</v>
      </c>
      <c r="U664" t="s">
        <v>5524</v>
      </c>
      <c r="V664" t="str">
        <f t="shared" si="97"/>
        <v>NF/64307905_20260225_nf_15.pdf</v>
      </c>
      <c r="W664" s="32" t="str">
        <f t="shared" ref="W664" si="98">HYPERLINK(CONCATENATE("saida/",U664),CONCATENATE("NF - ",G664))</f>
        <v>NF - CONTOS DE FADAS POR HOMENS E MULHERES DE TODOS OS TEMPOS</v>
      </c>
      <c r="X664" t="s">
        <v>5591</v>
      </c>
    </row>
    <row r="665" spans="1:24" x14ac:dyDescent="0.25">
      <c r="A665" t="str">
        <f>CONCATENATE(D665,"_",TEXT(M665,"ddmmaaaa"),"_",COUNTIF($D$2:D665,D665))</f>
        <v>613535790001-60_25022026_1</v>
      </c>
      <c r="B665" t="str">
        <f>CONCATENATE(Analise!D665,"_",COUNTIF(Analise!$D$2:D665,Analise!D665)+1)</f>
        <v>613535790001-60_2</v>
      </c>
      <c r="C665" s="34">
        <f>COUNTIF('Obras e Acervos'!$C:$C,CONCATENATE(LEFT(D665,12),RIGHT(D665,2)))</f>
        <v>2</v>
      </c>
      <c r="D665" s="35" t="s">
        <v>4888</v>
      </c>
      <c r="E665" t="str">
        <f>VLOOKUP($B665,'Obras e Acervos'!$B:$X,3,0)</f>
        <v>EDITORA BERTRAND BRASIL LTDA-EDITORA BERTRAND BRASIL</v>
      </c>
      <c r="F665" t="str">
        <f>VLOOKUP($B665,'Obras e Acervos'!$B:$X,7,0)</f>
        <v>0567L23000020LE</v>
      </c>
      <c r="G665" t="str">
        <f>VLOOKUP($B665,'Obras e Acervos'!$B:$X,5,0)</f>
        <v>AMIGOS DA FLORESTA</v>
      </c>
      <c r="H665">
        <f>VLOOKUP($B665,'Obras e Acervos'!$B:$X,18,0)</f>
        <v>17</v>
      </c>
      <c r="I665">
        <f>VLOOKUP($B665,'Obras e Acervos'!$B:$X,19,0)</f>
        <v>36079</v>
      </c>
      <c r="J665" s="42">
        <f>VLOOKUP($B665,'Obras e Acervos'!$B:$X,20,0)</f>
        <v>4509.875</v>
      </c>
      <c r="K665" s="31">
        <f>VLOOKUP($B665,'Obras e Acervos'!$B:$X,21,0)</f>
        <v>6.76</v>
      </c>
      <c r="L665" s="31">
        <f t="shared" si="93"/>
        <v>243894.03999999998</v>
      </c>
      <c r="M665" s="1">
        <v>46078</v>
      </c>
      <c r="N665" s="1">
        <f t="shared" si="92"/>
        <v>46305</v>
      </c>
      <c r="O665">
        <f t="shared" si="94"/>
        <v>228</v>
      </c>
      <c r="P665" s="49">
        <f t="shared" si="90"/>
        <v>7.6</v>
      </c>
      <c r="Q665" s="34">
        <f>VLOOKUP($G665,Agendamento!$B:$F,5,0)</f>
        <v>6</v>
      </c>
      <c r="R665" s="36">
        <f t="shared" si="95"/>
        <v>37</v>
      </c>
      <c r="S665" s="44">
        <v>2.5499999999999998</v>
      </c>
      <c r="T665" s="44">
        <f t="shared" si="96"/>
        <v>21511.8</v>
      </c>
      <c r="U665" t="s">
        <v>5526</v>
      </c>
      <c r="V665" t="str">
        <f t="shared" si="97"/>
        <v>NF/64307905_20260225_nf_17.pdf</v>
      </c>
      <c r="W665" s="32" t="str">
        <f t="shared" si="91"/>
        <v>NF - AMIGOS DA FLORESTA</v>
      </c>
      <c r="X665" t="s">
        <v>5591</v>
      </c>
    </row>
    <row r="666" spans="1:24" x14ac:dyDescent="0.25">
      <c r="A666" t="str">
        <f>CONCATENATE(D666,"_",TEXT(M666,"ddmmaaaa"),"_",COUNTIF($D$2:D666,D666))</f>
        <v>613535790001-60_25022026_2</v>
      </c>
      <c r="B666" t="str">
        <f>CONCATENATE(Analise!D666,"_",COUNTIF(Analise!$D$2:D666,Analise!D666)-1)</f>
        <v>613535790001-60_1</v>
      </c>
      <c r="C666" s="34">
        <f>COUNTIF('Obras e Acervos'!$C:$C,CONCATENATE(LEFT(D666,12),RIGHT(D666,2)))</f>
        <v>2</v>
      </c>
      <c r="D666" s="35" t="s">
        <v>4888</v>
      </c>
      <c r="E666" t="str">
        <f>VLOOKUP($B666,'Obras e Acervos'!$B:$X,3,0)</f>
        <v>EDITORA BERTRAND BRASIL LTDA-EDITORA BERTRAND BRASIL</v>
      </c>
      <c r="F666" t="str">
        <f>VLOOKUP($B666,'Obras e Acervos'!$B:$X,7,0)</f>
        <v>0566L23000030LE</v>
      </c>
      <c r="G666" t="str">
        <f>VLOOKUP($B666,'Obras e Acervos'!$B:$X,5,0)</f>
        <v>A MENINA ALTA</v>
      </c>
      <c r="H666">
        <f>VLOOKUP($B666,'Obras e Acervos'!$B:$X,18,0)</f>
        <v>3</v>
      </c>
      <c r="I666">
        <f>VLOOKUP($B666,'Obras e Acervos'!$B:$X,19,0)</f>
        <v>57320</v>
      </c>
      <c r="J666" s="42">
        <f>VLOOKUP($B666,'Obras e Acervos'!$B:$X,20,0)</f>
        <v>6591.8</v>
      </c>
      <c r="K666" s="31">
        <f>VLOOKUP($B666,'Obras e Acervos'!$B:$X,21,0)</f>
        <v>4.92</v>
      </c>
      <c r="L666" s="31">
        <f t="shared" si="93"/>
        <v>282014.40000000002</v>
      </c>
      <c r="M666" s="1">
        <v>46078</v>
      </c>
      <c r="N666" s="1">
        <f t="shared" si="92"/>
        <v>46305</v>
      </c>
      <c r="O666">
        <f t="shared" si="94"/>
        <v>228</v>
      </c>
      <c r="P666" s="49">
        <f t="shared" si="90"/>
        <v>7.6</v>
      </c>
      <c r="Q666" s="34">
        <f>VLOOKUP($G666,Agendamento!$B:$F,5,0)</f>
        <v>8</v>
      </c>
      <c r="R666" s="36">
        <f t="shared" si="95"/>
        <v>58</v>
      </c>
      <c r="S666" s="44">
        <v>2.5499999999999998</v>
      </c>
      <c r="T666" s="44">
        <f t="shared" si="96"/>
        <v>33721.199999999997</v>
      </c>
      <c r="U666" t="s">
        <v>5584</v>
      </c>
      <c r="V666" t="str">
        <f t="shared" si="97"/>
        <v>NF/64307905_20260225_nf_18.pdf</v>
      </c>
      <c r="W666" s="32" t="str">
        <f t="shared" si="91"/>
        <v>NF - A MENINA ALTA</v>
      </c>
      <c r="X666" t="s">
        <v>5591</v>
      </c>
    </row>
    <row r="667" spans="1:24" x14ac:dyDescent="0.25">
      <c r="A667" t="str">
        <f>CONCATENATE(D667,"_",TEXT(M667,"ddmmaaaa"),"_",COUNTIF($D$2:D667,D667))</f>
        <v>144418800001-46_25022026_2</v>
      </c>
      <c r="B667" t="str">
        <f>CONCATENATE(Analise!D667,"_",COUNTIF(Analise!$D$2:D667,Analise!D667)-1)</f>
        <v>144418800001-46_1</v>
      </c>
      <c r="C667" s="34">
        <f>COUNTIF('Obras e Acervos'!$C:$C,CONCATENATE(LEFT(D667,12),RIGHT(D667,2)))</f>
        <v>2</v>
      </c>
      <c r="D667" s="35" t="s">
        <v>4749</v>
      </c>
      <c r="E667" t="str">
        <f>VLOOKUP($B667,'Obras e Acervos'!$B:$X,3,0)</f>
        <v>EDITORA VOO LTDA-EDITORA VOO</v>
      </c>
      <c r="F667" t="str">
        <f>VLOOKUP($B667,'Obras e Acervos'!$B:$X,7,0)</f>
        <v>0797L23000030LE</v>
      </c>
      <c r="G667" t="str">
        <f>VLOOKUP($B667,'Obras e Acervos'!$B:$X,5,0)</f>
        <v>A MENINA QUE ABRAÇA O VENTO</v>
      </c>
      <c r="H667">
        <f>VLOOKUP($B667,'Obras e Acervos'!$B:$X,18,0)</f>
        <v>3</v>
      </c>
      <c r="I667">
        <f>VLOOKUP($B667,'Obras e Acervos'!$B:$X,19,0)</f>
        <v>56744</v>
      </c>
      <c r="J667" s="42">
        <f>VLOOKUP($B667,'Obras e Acervos'!$B:$X,20,0)</f>
        <v>7660.4400000000005</v>
      </c>
      <c r="K667" s="31">
        <f>VLOOKUP($B667,'Obras e Acervos'!$B:$X,21,0)</f>
        <v>5.29</v>
      </c>
      <c r="L667" s="31">
        <f t="shared" si="93"/>
        <v>300175.76</v>
      </c>
      <c r="M667" s="1">
        <v>46078</v>
      </c>
      <c r="N667" s="1">
        <f t="shared" si="92"/>
        <v>46305</v>
      </c>
      <c r="O667">
        <f t="shared" si="94"/>
        <v>228</v>
      </c>
      <c r="P667" s="49">
        <f t="shared" si="90"/>
        <v>7.6</v>
      </c>
      <c r="Q667" s="34">
        <f>VLOOKUP($G667,Agendamento!$B:$F,5,0)</f>
        <v>11</v>
      </c>
      <c r="R667" s="36">
        <f t="shared" si="95"/>
        <v>57</v>
      </c>
      <c r="S667" s="44">
        <v>2.5499999999999998</v>
      </c>
      <c r="T667" s="44">
        <f t="shared" si="96"/>
        <v>33139.799999999996</v>
      </c>
      <c r="U667" t="s">
        <v>5515</v>
      </c>
      <c r="V667" t="str">
        <f t="shared" si="97"/>
        <v>NF/64307905_20260225_nf_20.pdf</v>
      </c>
      <c r="W667" s="32" t="str">
        <f t="shared" si="91"/>
        <v>NF - A MENINA QUE ABRAÇA O VENTO</v>
      </c>
      <c r="X667" t="s">
        <v>5591</v>
      </c>
    </row>
    <row r="668" spans="1:24" x14ac:dyDescent="0.25">
      <c r="A668" t="str">
        <f>CONCATENATE(D668,"_",TEXT(M668,"ddmmaaaa"),"_",COUNTIF($D$2:D668,D668))</f>
        <v>141433880001-94_25022026_1</v>
      </c>
      <c r="B668" t="str">
        <f>CONCATENATE(Analise!D668,"_",COUNTIF(Analise!$D$2:D668,Analise!D668))</f>
        <v>141433880001-94_1</v>
      </c>
      <c r="C668" s="34">
        <f>COUNTIF('Obras e Acervos'!$C:$C,CONCATENATE(LEFT(D668,12),RIGHT(D668,2)))</f>
        <v>1</v>
      </c>
      <c r="D668" s="35" t="s">
        <v>4884</v>
      </c>
      <c r="E668" t="str">
        <f>VLOOKUP($B668,'Obras e Acervos'!$B:$X,3,0)</f>
        <v>GULLIVER EDITORA LTDA-GULLIVER EDITORA</v>
      </c>
      <c r="F668" t="str">
        <f>VLOOKUP($B668,'Obras e Acervos'!$B:$X,7,0)</f>
        <v>1336L23000020LE</v>
      </c>
      <c r="G668" t="str">
        <f>VLOOKUP($B668,'Obras e Acervos'!$B:$X,5,0)</f>
        <v>OS TRÊS MEDOS</v>
      </c>
      <c r="H668">
        <f>VLOOKUP($B668,'Obras e Acervos'!$B:$X,18,0)</f>
        <v>21</v>
      </c>
      <c r="I668">
        <f>VLOOKUP($B668,'Obras e Acervos'!$B:$X,19,0)</f>
        <v>23647</v>
      </c>
      <c r="J668" s="42">
        <f>VLOOKUP($B668,'Obras e Acervos'!$B:$X,20,0)</f>
        <v>4492.93</v>
      </c>
      <c r="K668" s="31">
        <f>VLOOKUP($B668,'Obras e Acervos'!$B:$X,21,0)</f>
        <v>7.3</v>
      </c>
      <c r="L668" s="31">
        <f t="shared" si="93"/>
        <v>172623.1</v>
      </c>
      <c r="M668" s="1">
        <v>46078</v>
      </c>
      <c r="N668" s="1">
        <f t="shared" si="92"/>
        <v>46305</v>
      </c>
      <c r="O668">
        <f t="shared" si="94"/>
        <v>228</v>
      </c>
      <c r="P668" s="49">
        <f t="shared" si="90"/>
        <v>7.6</v>
      </c>
      <c r="Q668" s="34">
        <f>VLOOKUP($G668,Agendamento!$B:$F,5,0)</f>
        <v>3</v>
      </c>
      <c r="R668" s="36">
        <f t="shared" si="95"/>
        <v>24</v>
      </c>
      <c r="S668" s="44">
        <v>2.5499999999999998</v>
      </c>
      <c r="T668" s="44">
        <f t="shared" si="96"/>
        <v>13953.599999999999</v>
      </c>
      <c r="U668" t="s">
        <v>5509</v>
      </c>
      <c r="V668" t="str">
        <f t="shared" si="97"/>
        <v>NF/64307905_20260225_nf_21.pdf</v>
      </c>
      <c r="W668" s="32" t="str">
        <f t="shared" si="91"/>
        <v>NF - OS TRÊS MEDOS</v>
      </c>
      <c r="X668" t="s">
        <v>5591</v>
      </c>
    </row>
    <row r="669" spans="1:24" x14ac:dyDescent="0.25">
      <c r="A669" t="str">
        <f>CONCATENATE(D669,"_",TEXT(M669,"ddmmaaaa"),"_",COUNTIF($D$2:D669,D669))</f>
        <v>309102720001-90_25022026_1</v>
      </c>
      <c r="B669" t="str">
        <f>CONCATENATE(Analise!D669,"_",COUNTIF(Analise!$D$2:D669,Analise!D669))</f>
        <v>309102720001-90_1</v>
      </c>
      <c r="C669" s="34">
        <f>COUNTIF('Obras e Acervos'!$C:$C,CONCATENATE(LEFT(D669,12),RIGHT(D669,2)))</f>
        <v>2</v>
      </c>
      <c r="D669" s="35" t="s">
        <v>4885</v>
      </c>
      <c r="E669" t="str">
        <f>VLOOKUP($B669,'Obras e Acervos'!$B:$X,3,0)</f>
        <v>EDITORA FORMAR E DISTRIBUIÇÃO LTDA-</v>
      </c>
      <c r="F669" t="str">
        <f>VLOOKUP($B669,'Obras e Acervos'!$B:$X,7,0)</f>
        <v>0899L23000030LE</v>
      </c>
      <c r="G669" t="str">
        <f>VLOOKUP($B669,'Obras e Acervos'!$B:$X,5,0)</f>
        <v>EI, VOCÊ!: UM LIVRO SOBRE CRESCER COM ORGULHO DE SER NEGRO</v>
      </c>
      <c r="H669">
        <f>VLOOKUP($B669,'Obras e Acervos'!$B:$X,18,0)</f>
        <v>5</v>
      </c>
      <c r="I669">
        <f>VLOOKUP($B669,'Obras e Acervos'!$B:$X,19,0)</f>
        <v>64162</v>
      </c>
      <c r="J669" s="42">
        <f>VLOOKUP($B669,'Obras e Acervos'!$B:$X,20,0)</f>
        <v>9945.11</v>
      </c>
      <c r="K669" s="31">
        <f>VLOOKUP($B669,'Obras e Acervos'!$B:$X,21,0)</f>
        <v>6.34</v>
      </c>
      <c r="L669" s="31">
        <f t="shared" si="93"/>
        <v>406787.08</v>
      </c>
      <c r="M669" s="1">
        <v>46078</v>
      </c>
      <c r="N669" s="1">
        <f t="shared" si="92"/>
        <v>46305</v>
      </c>
      <c r="O669">
        <f t="shared" si="94"/>
        <v>228</v>
      </c>
      <c r="P669" s="49">
        <f t="shared" si="90"/>
        <v>7.6</v>
      </c>
      <c r="Q669" s="34">
        <f>VLOOKUP($G669,Agendamento!$B:$F,5,0)</f>
        <v>8</v>
      </c>
      <c r="R669" s="36">
        <f t="shared" si="95"/>
        <v>65</v>
      </c>
      <c r="S669" s="44">
        <v>2.5499999999999998</v>
      </c>
      <c r="T669" s="44">
        <f t="shared" si="96"/>
        <v>37791</v>
      </c>
      <c r="U669" t="s">
        <v>5510</v>
      </c>
      <c r="V669" t="str">
        <f t="shared" si="97"/>
        <v>NF/64307905_20260225_nf_22.pdf</v>
      </c>
      <c r="W669" s="32" t="str">
        <f t="shared" si="91"/>
        <v>NF - EI, VOCÊ!: UM LIVRO SOBRE CRESCER COM ORGULHO DE SER NEGRO</v>
      </c>
      <c r="X669" t="s">
        <v>5591</v>
      </c>
    </row>
    <row r="670" spans="1:24" x14ac:dyDescent="0.25">
      <c r="A670" t="str">
        <f>CONCATENATE(D670,"_",TEXT(M670,"ddmmaaaa"),"_",COUNTIF($D$2:D670,D670))</f>
        <v>309102720001-90_25022026_2</v>
      </c>
      <c r="B670" t="str">
        <f>CONCATENATE(Analise!D670,"_",COUNTIF(Analise!$D$2:D670,Analise!D670))</f>
        <v>309102720001-90_2</v>
      </c>
      <c r="C670" s="34">
        <f>COUNTIF('Obras e Acervos'!$C:$C,CONCATENATE(LEFT(D670,12),RIGHT(D670,2)))</f>
        <v>2</v>
      </c>
      <c r="D670" s="35" t="s">
        <v>4885</v>
      </c>
      <c r="E670" t="str">
        <f>VLOOKUP($B670,'Obras e Acervos'!$B:$X,3,0)</f>
        <v>EDITORA FORMAR E DISTRIBUIÇÃO LTDA-</v>
      </c>
      <c r="F670" t="str">
        <f>VLOOKUP($B670,'Obras e Acervos'!$B:$X,7,0)</f>
        <v>0900L23000020LE</v>
      </c>
      <c r="G670" t="str">
        <f>VLOOKUP($B670,'Obras e Acervos'!$B:$X,5,0)</f>
        <v>O DIA EM QUE MEU PRÉDIO DEU NO PÉ</v>
      </c>
      <c r="H670">
        <f>VLOOKUP($B670,'Obras e Acervos'!$B:$X,18,0)</f>
        <v>11</v>
      </c>
      <c r="I670">
        <f>VLOOKUP($B670,'Obras e Acervos'!$B:$X,19,0)</f>
        <v>34861</v>
      </c>
      <c r="J670" s="42">
        <f>VLOOKUP($B670,'Obras e Acervos'!$B:$X,20,0)</f>
        <v>4462.2080000000005</v>
      </c>
      <c r="K670" s="31">
        <f>VLOOKUP($B670,'Obras e Acervos'!$B:$X,21,0)</f>
        <v>7.24</v>
      </c>
      <c r="L670" s="31">
        <f t="shared" si="93"/>
        <v>252393.64</v>
      </c>
      <c r="M670" s="1">
        <v>46078</v>
      </c>
      <c r="N670" s="1">
        <f t="shared" si="92"/>
        <v>46305</v>
      </c>
      <c r="O670">
        <f t="shared" si="94"/>
        <v>228</v>
      </c>
      <c r="P670" s="49">
        <f t="shared" si="90"/>
        <v>7.6</v>
      </c>
      <c r="Q670" s="34">
        <f>VLOOKUP($G670,Agendamento!$B:$F,5,0)</f>
        <v>4</v>
      </c>
      <c r="R670" s="36">
        <f t="shared" si="95"/>
        <v>35</v>
      </c>
      <c r="S670" s="44">
        <v>2.5499999999999998</v>
      </c>
      <c r="T670" s="44">
        <f t="shared" si="96"/>
        <v>20349</v>
      </c>
      <c r="U670" t="s">
        <v>5517</v>
      </c>
      <c r="V670" t="str">
        <f t="shared" si="97"/>
        <v>NF/64307905_20260225_nf_23.pdf</v>
      </c>
      <c r="W670" s="32" t="str">
        <f t="shared" si="91"/>
        <v>NF - O DIA EM QUE MEU PRÉDIO DEU NO PÉ</v>
      </c>
      <c r="X670" t="s">
        <v>5591</v>
      </c>
    </row>
    <row r="671" spans="1:24" x14ac:dyDescent="0.25">
      <c r="A671" t="str">
        <f>CONCATENATE(D671,"_",TEXT(M671,"ddmmaaaa"),"_",COUNTIF($D$2:D671,D671))</f>
        <v>053346270001-00_25022026_2</v>
      </c>
      <c r="B671" t="str">
        <f>CONCATENATE(Analise!D671,"_",COUNTIF(Analise!$D$2:D671,Analise!D671)-1)</f>
        <v>053346270001-00_1</v>
      </c>
      <c r="C671" s="34">
        <f>COUNTIF('Obras e Acervos'!$C:$C,CONCATENATE(LEFT(D671,12),RIGHT(D671,2)))</f>
        <v>2</v>
      </c>
      <c r="D671" s="35" t="s">
        <v>4622</v>
      </c>
      <c r="E671" t="str">
        <f>VLOOKUP($B671,'Obras e Acervos'!$B:$X,3,0)</f>
        <v>CAPITAL DAS LETRAS DISTRIBUIDORA DE LIVROS LTDA-CAPITAL DAS LETRAS</v>
      </c>
      <c r="F671" t="str">
        <f>VLOOKUP($B671,'Obras e Acervos'!$B:$X,7,0)</f>
        <v>0803L23000030LE</v>
      </c>
      <c r="G671" t="str">
        <f>VLOOKUP($B671,'Obras e Acervos'!$B:$X,5,0)</f>
        <v>JÁ SEI LER!</v>
      </c>
      <c r="H671">
        <f>VLOOKUP($B671,'Obras e Acervos'!$B:$X,18,0)</f>
        <v>4</v>
      </c>
      <c r="I671">
        <f>VLOOKUP($B671,'Obras e Acervos'!$B:$X,19,0)</f>
        <v>50307</v>
      </c>
      <c r="J671" s="42">
        <f>VLOOKUP($B671,'Obras e Acervos'!$B:$X,20,0)</f>
        <v>6388.9890000000005</v>
      </c>
      <c r="K671" s="31">
        <f>VLOOKUP($B671,'Obras e Acervos'!$B:$X,21,0)</f>
        <v>5.72</v>
      </c>
      <c r="L671" s="31">
        <f t="shared" si="93"/>
        <v>287756.03999999998</v>
      </c>
      <c r="M671" s="1">
        <v>46078</v>
      </c>
      <c r="N671" s="1">
        <f t="shared" si="92"/>
        <v>46305</v>
      </c>
      <c r="O671">
        <f t="shared" si="94"/>
        <v>228</v>
      </c>
      <c r="P671" s="49">
        <f t="shared" si="90"/>
        <v>7.6</v>
      </c>
      <c r="Q671" s="34">
        <f>VLOOKUP($G671,Agendamento!$B:$F,5,0)</f>
        <v>8</v>
      </c>
      <c r="R671" s="36">
        <f t="shared" si="95"/>
        <v>51</v>
      </c>
      <c r="S671" s="44">
        <v>2.5499999999999998</v>
      </c>
      <c r="T671" s="44">
        <f t="shared" si="96"/>
        <v>29651.399999999998</v>
      </c>
      <c r="U671" t="s">
        <v>5514</v>
      </c>
      <c r="V671" t="str">
        <f t="shared" si="97"/>
        <v>NF/64307905_20260225_nf_24.pdf</v>
      </c>
      <c r="W671" s="32" t="str">
        <f t="shared" si="91"/>
        <v>NF - JÁ SEI LER!</v>
      </c>
      <c r="X671" t="s">
        <v>5591</v>
      </c>
    </row>
    <row r="672" spans="1:24" x14ac:dyDescent="0.25">
      <c r="A672" t="str">
        <f>CONCATENATE(D672,"_",TEXT(M672,"ddmmaaaa"),"_",COUNTIF($D$2:D672,D672))</f>
        <v>176299430001-80_25022026_2</v>
      </c>
      <c r="B672" t="str">
        <f>CONCATENATE(Analise!D672,"_",COUNTIF(Analise!$D$2:D672,Analise!D672))</f>
        <v>176299430001-80_2</v>
      </c>
      <c r="C672" s="34">
        <f>COUNTIF('Obras e Acervos'!$C:$C,CONCATENATE(LEFT(D672,12),RIGHT(D672,2)))</f>
        <v>2</v>
      </c>
      <c r="D672" s="35" t="s">
        <v>4855</v>
      </c>
      <c r="E672" t="str">
        <f>VLOOKUP($B672,'Obras e Acervos'!$B:$X,3,0)</f>
        <v>EDITORA PEQUENA ZAHAR LTDA-</v>
      </c>
      <c r="F672" t="str">
        <f>VLOOKUP($B672,'Obras e Acervos'!$B:$X,7,0)</f>
        <v>0814L23000020LE</v>
      </c>
      <c r="G672" t="str">
        <f>VLOOKUP($B672,'Obras e Acervos'!$B:$X,5,0)</f>
        <v>MALALA PELO DIREITO DAS MENINAS À EDUCAÇÃO</v>
      </c>
      <c r="H672">
        <f>VLOOKUP($B672,'Obras e Acervos'!$B:$X,18,0)</f>
        <v>15</v>
      </c>
      <c r="I672">
        <f>VLOOKUP($B672,'Obras e Acervos'!$B:$X,19,0)</f>
        <v>67758</v>
      </c>
      <c r="J672" s="42">
        <f>VLOOKUP($B672,'Obras e Acervos'!$B:$X,20,0)</f>
        <v>9282.8460000000014</v>
      </c>
      <c r="K672" s="31">
        <f>VLOOKUP($B672,'Obras e Acervos'!$B:$X,21,0)</f>
        <v>5.6</v>
      </c>
      <c r="L672" s="31">
        <f t="shared" si="93"/>
        <v>379444.8</v>
      </c>
      <c r="M672" s="1">
        <v>46078</v>
      </c>
      <c r="N672" s="1">
        <f t="shared" si="92"/>
        <v>46305</v>
      </c>
      <c r="O672">
        <f t="shared" si="94"/>
        <v>228</v>
      </c>
      <c r="P672" s="49">
        <f t="shared" si="90"/>
        <v>7.6</v>
      </c>
      <c r="Q672" s="34">
        <f>VLOOKUP($G672,Agendamento!$B:$F,5,0)</f>
        <v>9</v>
      </c>
      <c r="R672" s="36">
        <f t="shared" si="95"/>
        <v>68</v>
      </c>
      <c r="S672" s="44">
        <v>2.5499999999999998</v>
      </c>
      <c r="T672" s="44">
        <f t="shared" si="96"/>
        <v>39535.199999999997</v>
      </c>
      <c r="U672" t="s">
        <v>5529</v>
      </c>
      <c r="V672" t="str">
        <f t="shared" si="97"/>
        <v>NF/64307905_20260225_nf_26.pdf</v>
      </c>
      <c r="W672" s="32" t="str">
        <f t="shared" ref="W672" si="99">HYPERLINK(CONCATENATE("saida/",U672),CONCATENATE("NF - ",G672))</f>
        <v>NF - MALALA PELO DIREITO DAS MENINAS À EDUCAÇÃO</v>
      </c>
      <c r="X672" t="s">
        <v>5591</v>
      </c>
    </row>
    <row r="673" spans="1:24" x14ac:dyDescent="0.25">
      <c r="A673" t="str">
        <f>CONCATENATE(D673,"_",TEXT(M673,"ddmmaaaa"),"_",COUNTIF($D$2:D673,D673))</f>
        <v>074274340001-11_25022026_2</v>
      </c>
      <c r="B673" t="str">
        <f>CONCATENATE(Analise!D673,"_",COUNTIF(Analise!$D$2:D673,Analise!D673)-1)</f>
        <v>074274340001-11_1</v>
      </c>
      <c r="C673" s="34">
        <f>COUNTIF('Obras e Acervos'!$C:$C,CONCATENATE(LEFT(D673,12),RIGHT(D673,2)))</f>
        <v>2</v>
      </c>
      <c r="D673" s="35" t="s">
        <v>4633</v>
      </c>
      <c r="E673" t="str">
        <f>VLOOKUP($B673,'Obras e Acervos'!$B:$X,3,0)</f>
        <v>EDITORA CLARO ENIGMA LTDA-</v>
      </c>
      <c r="F673" t="str">
        <f>VLOOKUP($B673,'Obras e Acervos'!$B:$X,7,0)</f>
        <v>0474L23000030LE</v>
      </c>
      <c r="G673" t="str">
        <f>VLOOKUP($B673,'Obras e Acervos'!$B:$X,5,0)</f>
        <v>E FOI ASSIM QUE EU E A ESCURIDÃO FICAMOS AMIGAS</v>
      </c>
      <c r="H673">
        <f>VLOOKUP($B673,'Obras e Acervos'!$B:$X,18,0)</f>
        <v>3</v>
      </c>
      <c r="I673">
        <f>VLOOKUP($B673,'Obras e Acervos'!$B:$X,19,0)</f>
        <v>52305</v>
      </c>
      <c r="J673" s="42">
        <f>VLOOKUP($B673,'Obras e Acervos'!$B:$X,20,0)</f>
        <v>3033.69</v>
      </c>
      <c r="K673" s="31">
        <f>VLOOKUP($B673,'Obras e Acervos'!$B:$X,21,0)</f>
        <v>4.32</v>
      </c>
      <c r="L673" s="31">
        <f t="shared" si="93"/>
        <v>225957.6</v>
      </c>
      <c r="M673" s="1">
        <v>46078</v>
      </c>
      <c r="N673" s="1">
        <f t="shared" si="92"/>
        <v>46305</v>
      </c>
      <c r="O673">
        <f t="shared" si="94"/>
        <v>228</v>
      </c>
      <c r="P673" s="49">
        <f t="shared" si="90"/>
        <v>7.6</v>
      </c>
      <c r="Q673" s="34">
        <f>VLOOKUP($G673,Agendamento!$B:$F,5,0)</f>
        <v>8</v>
      </c>
      <c r="R673" s="36">
        <f t="shared" si="95"/>
        <v>53</v>
      </c>
      <c r="S673" s="44">
        <v>2.5499999999999998</v>
      </c>
      <c r="T673" s="44">
        <f t="shared" si="96"/>
        <v>30814.199999999997</v>
      </c>
      <c r="U673" t="s">
        <v>5527</v>
      </c>
      <c r="V673" t="str">
        <f t="shared" si="97"/>
        <v>NF/64307905_20260225_nf_27.pdf</v>
      </c>
      <c r="W673" s="32" t="str">
        <f t="shared" si="91"/>
        <v>NF - E FOI ASSIM QUE EU E A ESCURIDÃO FICAMOS AMIGAS</v>
      </c>
      <c r="X673" t="s">
        <v>5591</v>
      </c>
    </row>
    <row r="674" spans="1:24" x14ac:dyDescent="0.25">
      <c r="A674" t="str">
        <f>CONCATENATE(D674,"_",TEXT(M674,"ddmmaaaa"),"_",COUNTIF($D$2:D674,D674))</f>
        <v>365446300001-74_25022026_2</v>
      </c>
      <c r="B674" t="str">
        <f>CONCATENATE(Analise!D674,"_",COUNTIF(Analise!$D$2:D674,Analise!D674))</f>
        <v>365446300001-74_2</v>
      </c>
      <c r="C674" s="34">
        <f>COUNTIF('Obras e Acervos'!$C:$C,CONCATENATE(LEFT(D674,12),RIGHT(D674,2)))</f>
        <v>2</v>
      </c>
      <c r="D674" s="35" t="s">
        <v>4841</v>
      </c>
      <c r="E674" t="str">
        <f>VLOOKUP($B674,'Obras e Acervos'!$B:$X,3,0)</f>
        <v>BECBOOKS SOLUCOES EDUCACIONAIS LTDA-BECBOOKS SOLUCOES EDUCACIONAIS</v>
      </c>
      <c r="F674" t="str">
        <f>VLOOKUP($B674,'Obras e Acervos'!$B:$X,7,0)</f>
        <v>0881L23000020LE</v>
      </c>
      <c r="G674" t="str">
        <f>VLOOKUP($B674,'Obras e Acervos'!$B:$X,5,0)</f>
        <v>CARMEN: A GRANDE PEQUENA NOTÁVEL</v>
      </c>
      <c r="H674">
        <f>VLOOKUP($B674,'Obras e Acervos'!$B:$X,18,0)</f>
        <v>12</v>
      </c>
      <c r="I674">
        <f>VLOOKUP($B674,'Obras e Acervos'!$B:$X,19,0)</f>
        <v>97805</v>
      </c>
      <c r="J674" s="42">
        <f>VLOOKUP($B674,'Obras e Acervos'!$B:$X,20,0)</f>
        <v>12421.235000000001</v>
      </c>
      <c r="K674" s="31">
        <f>VLOOKUP($B674,'Obras e Acervos'!$B:$X,21,0)</f>
        <v>4.8499999999999996</v>
      </c>
      <c r="L674" s="31">
        <f t="shared" si="93"/>
        <v>474354.24999999994</v>
      </c>
      <c r="M674" s="1">
        <v>46078</v>
      </c>
      <c r="N674" s="1">
        <f t="shared" si="92"/>
        <v>46305</v>
      </c>
      <c r="O674">
        <f t="shared" si="94"/>
        <v>228</v>
      </c>
      <c r="P674" s="49">
        <f t="shared" si="90"/>
        <v>7.6</v>
      </c>
      <c r="Q674" s="34">
        <f>VLOOKUP($G674,Agendamento!$B:$F,5,0)</f>
        <v>16</v>
      </c>
      <c r="R674" s="36">
        <f t="shared" si="95"/>
        <v>98</v>
      </c>
      <c r="S674" s="44">
        <v>2.5499999999999998</v>
      </c>
      <c r="T674" s="44">
        <f t="shared" si="96"/>
        <v>56977.2</v>
      </c>
      <c r="U674" t="s">
        <v>5522</v>
      </c>
      <c r="V674" t="str">
        <f t="shared" si="97"/>
        <v>NF/64307905_20260225_nf_28.pdf</v>
      </c>
      <c r="W674" s="32" t="str">
        <f t="shared" ref="W674" si="100">HYPERLINK(CONCATENATE("saida/",U674),CONCATENATE("NF - ",G674))</f>
        <v>NF - CARMEN: A GRANDE PEQUENA NOTÁVEL</v>
      </c>
      <c r="X674" t="s">
        <v>5591</v>
      </c>
    </row>
    <row r="675" spans="1:24" x14ac:dyDescent="0.25">
      <c r="A675" t="str">
        <f>CONCATENATE(D675,"_",TEXT(M675,"ddmmaaaa"),"_",COUNTIF($D$2:D675,D675))</f>
        <v>350689400001-05_25022026_1</v>
      </c>
      <c r="B675" t="str">
        <f>CONCATENATE(Analise!D675,"_",COUNTIF(Analise!$D$2:D675,Analise!D675))</f>
        <v>350689400001-05_1</v>
      </c>
      <c r="C675" s="34">
        <f>COUNTIF('Obras e Acervos'!$C:$C,CONCATENATE(LEFT(D675,12),RIGHT(D675,2)))</f>
        <v>1</v>
      </c>
      <c r="D675" s="35" t="s">
        <v>4887</v>
      </c>
      <c r="E675" t="str">
        <f>VLOOKUP($B675,'Obras e Acervos'!$B:$X,3,0)</f>
        <v>EDITORA FORCA MAXIMA LTDA-EDITORA FORCA MAXIMA</v>
      </c>
      <c r="F675" t="str">
        <f>VLOOKUP($B675,'Obras e Acervos'!$B:$X,7,0)</f>
        <v>0741L23000020LE</v>
      </c>
      <c r="G675" t="str">
        <f>VLOOKUP($B675,'Obras e Acervos'!$B:$X,5,0)</f>
        <v>O ROUXINOL E O IMPERADOR</v>
      </c>
      <c r="H675">
        <f>VLOOKUP($B675,'Obras e Acervos'!$B:$X,18,0)</f>
        <v>20</v>
      </c>
      <c r="I675">
        <f>VLOOKUP($B675,'Obras e Acervos'!$B:$X,19,0)</f>
        <v>27229</v>
      </c>
      <c r="J675" s="42">
        <f>VLOOKUP($B675,'Obras e Acervos'!$B:$X,20,0)</f>
        <v>4928.4489999999996</v>
      </c>
      <c r="K675" s="31">
        <f>VLOOKUP($B675,'Obras e Acervos'!$B:$X,21,0)</f>
        <v>10.17</v>
      </c>
      <c r="L675" s="31">
        <f t="shared" si="93"/>
        <v>276918.93</v>
      </c>
      <c r="M675" s="1">
        <v>46078</v>
      </c>
      <c r="N675" s="1">
        <f t="shared" si="92"/>
        <v>46305</v>
      </c>
      <c r="O675">
        <f t="shared" si="94"/>
        <v>228</v>
      </c>
      <c r="P675" s="49">
        <f t="shared" si="90"/>
        <v>7.6</v>
      </c>
      <c r="Q675" s="34">
        <f>VLOOKUP($G675,Agendamento!$B:$F,5,0)</f>
        <v>6</v>
      </c>
      <c r="R675" s="36">
        <f t="shared" si="95"/>
        <v>28</v>
      </c>
      <c r="S675" s="44">
        <v>2.5499999999999998</v>
      </c>
      <c r="T675" s="44">
        <f t="shared" si="96"/>
        <v>16279.199999999999</v>
      </c>
      <c r="U675" t="s">
        <v>5521</v>
      </c>
      <c r="V675" t="str">
        <f t="shared" si="97"/>
        <v>NF/64307905_20260225_nf_30.pdf</v>
      </c>
      <c r="W675" s="32" t="str">
        <f t="shared" si="91"/>
        <v>NF - O ROUXINOL E O IMPERADOR</v>
      </c>
      <c r="X675" t="s">
        <v>5591</v>
      </c>
    </row>
    <row r="676" spans="1:24" x14ac:dyDescent="0.25">
      <c r="A676" t="str">
        <f>CONCATENATE(D676,"_",TEXT(M676,"ddmmaaaa"),"_",COUNTIF($D$2:D676,D676))</f>
        <v>219191640001-97_25022026_1</v>
      </c>
      <c r="B676" t="str">
        <f>CONCATENATE(Analise!D676,"_",COUNTIF(Analise!$D$2:D676,Analise!D676))</f>
        <v>219191640001-97_1</v>
      </c>
      <c r="C676" s="34">
        <f>COUNTIF('Obras e Acervos'!$C:$C,CONCATENATE(LEFT(D676,12),RIGHT(D676,2)))</f>
        <v>2</v>
      </c>
      <c r="D676" s="35" t="s">
        <v>4886</v>
      </c>
      <c r="E676" t="str">
        <f>VLOOKUP($B676,'Obras e Acervos'!$B:$X,3,0)</f>
        <v>BICO DE LLACRE EDITORA DE LIVROS LTDA-BICO DE LLACRE</v>
      </c>
      <c r="F676" t="str">
        <f>VLOOKUP($B676,'Obras e Acervos'!$B:$X,7,0)</f>
        <v>0795L23000030LE</v>
      </c>
      <c r="G676" t="str">
        <f>VLOOKUP($B676,'Obras e Acervos'!$B:$X,5,0)</f>
        <v>A FABULOSA MÁQUINA DE AMIGOS</v>
      </c>
      <c r="H676">
        <f>VLOOKUP($B676,'Obras e Acervos'!$B:$X,18,0)</f>
        <v>4</v>
      </c>
      <c r="I676">
        <f>VLOOKUP($B676,'Obras e Acervos'!$B:$X,19,0)</f>
        <v>65078</v>
      </c>
      <c r="J676" s="42">
        <f>VLOOKUP($B676,'Obras e Acervos'!$B:$X,20,0)</f>
        <v>7679.2039999999997</v>
      </c>
      <c r="K676" s="31">
        <f>VLOOKUP($B676,'Obras e Acervos'!$B:$X,21,0)</f>
        <v>4.9400000000000004</v>
      </c>
      <c r="L676" s="31">
        <f t="shared" si="93"/>
        <v>321485.32</v>
      </c>
      <c r="M676" s="1">
        <v>46078</v>
      </c>
      <c r="N676" s="1">
        <f t="shared" si="92"/>
        <v>46305</v>
      </c>
      <c r="O676">
        <f t="shared" si="94"/>
        <v>228</v>
      </c>
      <c r="P676" s="49">
        <f t="shared" si="90"/>
        <v>7.6</v>
      </c>
      <c r="Q676" s="34">
        <f>VLOOKUP($G676,Agendamento!$B:$F,5,0)</f>
        <v>9</v>
      </c>
      <c r="R676" s="36">
        <f t="shared" si="95"/>
        <v>66</v>
      </c>
      <c r="S676" s="44">
        <v>2.5499999999999998</v>
      </c>
      <c r="T676" s="44">
        <f t="shared" si="96"/>
        <v>38372.399999999994</v>
      </c>
      <c r="U676" t="s">
        <v>5523</v>
      </c>
      <c r="V676" t="str">
        <f t="shared" si="97"/>
        <v>NF/64307905_20260225_nf_31.pdf</v>
      </c>
      <c r="W676" s="32" t="str">
        <f t="shared" si="91"/>
        <v>NF - A FABULOSA MÁQUINA DE AMIGOS</v>
      </c>
      <c r="X676" t="s">
        <v>5591</v>
      </c>
    </row>
    <row r="677" spans="1:24" x14ac:dyDescent="0.25">
      <c r="A677" t="str">
        <f>CONCATENATE(D677,"_",TEXT(M677,"ddmmaaaa"),"_",COUNTIF($D$2:D677,D677))</f>
        <v>219191640001-97_25022026_2</v>
      </c>
      <c r="B677" t="str">
        <f>CONCATENATE(Analise!D677,"_",COUNTIF(Analise!$D$2:D677,Analise!D677))</f>
        <v>219191640001-97_2</v>
      </c>
      <c r="C677" s="34">
        <f>COUNTIF('Obras e Acervos'!$C:$C,CONCATENATE(LEFT(D677,12),RIGHT(D677,2)))</f>
        <v>2</v>
      </c>
      <c r="D677" s="35" t="s">
        <v>4886</v>
      </c>
      <c r="E677" t="str">
        <f>VLOOKUP($B677,'Obras e Acervos'!$B:$X,3,0)</f>
        <v>BICO DE LLACRE EDITORA DE LIVROS LTDA-BICO DE LLACRE</v>
      </c>
      <c r="F677" t="str">
        <f>VLOOKUP($B677,'Obras e Acervos'!$B:$X,7,0)</f>
        <v>0796L23000020LE</v>
      </c>
      <c r="G677" t="str">
        <f>VLOOKUP($B677,'Obras e Acervos'!$B:$X,5,0)</f>
        <v>SALVOS POR UM FIO</v>
      </c>
      <c r="H677">
        <f>VLOOKUP($B677,'Obras e Acervos'!$B:$X,18,0)</f>
        <v>20</v>
      </c>
      <c r="I677">
        <f>VLOOKUP($B677,'Obras e Acervos'!$B:$X,19,0)</f>
        <v>27789</v>
      </c>
      <c r="J677" s="42">
        <f>VLOOKUP($B677,'Obras e Acervos'!$B:$X,20,0)</f>
        <v>3362.4690000000001</v>
      </c>
      <c r="K677" s="31">
        <f>VLOOKUP($B677,'Obras e Acervos'!$B:$X,21,0)</f>
        <v>10.81</v>
      </c>
      <c r="L677" s="31">
        <f t="shared" si="93"/>
        <v>300399.09000000003</v>
      </c>
      <c r="M677" s="1">
        <v>46078</v>
      </c>
      <c r="N677" s="1">
        <f t="shared" si="92"/>
        <v>46305</v>
      </c>
      <c r="O677">
        <f t="shared" si="94"/>
        <v>228</v>
      </c>
      <c r="P677" s="49">
        <f t="shared" si="90"/>
        <v>7.6</v>
      </c>
      <c r="Q677" s="34">
        <f>VLOOKUP($G677,Agendamento!$B:$F,5,0)</f>
        <v>3</v>
      </c>
      <c r="R677" s="36">
        <f t="shared" si="95"/>
        <v>28</v>
      </c>
      <c r="S677" s="44">
        <v>2.5499999999999998</v>
      </c>
      <c r="T677" s="44">
        <f t="shared" si="96"/>
        <v>16279.199999999999</v>
      </c>
      <c r="U677" t="s">
        <v>5518</v>
      </c>
      <c r="V677" t="str">
        <f t="shared" si="97"/>
        <v>NF/64307905_20260225_nf_32.pdf</v>
      </c>
      <c r="W677" s="32" t="str">
        <f t="shared" si="91"/>
        <v>NF - SALVOS POR UM FIO</v>
      </c>
      <c r="X677" t="s">
        <v>5591</v>
      </c>
    </row>
    <row r="678" spans="1:24" x14ac:dyDescent="0.25">
      <c r="A678" t="str">
        <f>CONCATENATE(D678,"_",TEXT(M678,"ddmmaaaa"),"_",COUNTIF($D$2:D678,D678))</f>
        <v>330386960001-02_25022026_2</v>
      </c>
      <c r="B678" t="str">
        <f>CONCATENATE(Analise!D678,"_",COUNTIF(Analise!$D$2:D678,Analise!D678))</f>
        <v>330386960001-02_2</v>
      </c>
      <c r="C678" s="34">
        <f>COUNTIF('Obras e Acervos'!$C:$C,CONCATENATE(LEFT(D678,12),RIGHT(D678,2)))</f>
        <v>2</v>
      </c>
      <c r="D678" s="35" t="s">
        <v>4836</v>
      </c>
      <c r="E678" t="str">
        <f>VLOOKUP($B678,'Obras e Acervos'!$B:$X,3,0)</f>
        <v>EDITORA JOSÉ OLYMPIO LTDA-EDITORA JOSÉ OLYMPIO</v>
      </c>
      <c r="F678" t="str">
        <f>VLOOKUP($B678,'Obras e Acervos'!$B:$X,7,0)</f>
        <v>0594L23000020LE</v>
      </c>
      <c r="G678" t="str">
        <f>VLOOKUP($B678,'Obras e Acervos'!$B:$X,5,0)</f>
        <v>O MENINO MÁGICO</v>
      </c>
      <c r="H678">
        <f>VLOOKUP($B678,'Obras e Acervos'!$B:$X,18,0)</f>
        <v>11</v>
      </c>
      <c r="I678">
        <f>VLOOKUP($B678,'Obras e Acervos'!$B:$X,19,0)</f>
        <v>34437</v>
      </c>
      <c r="J678" s="42">
        <f>VLOOKUP($B678,'Obras e Acervos'!$B:$X,20,0)</f>
        <v>5165.55</v>
      </c>
      <c r="K678" s="31">
        <f>VLOOKUP($B678,'Obras e Acervos'!$B:$X,21,0)</f>
        <v>12.1</v>
      </c>
      <c r="L678" s="31">
        <f t="shared" si="93"/>
        <v>416687.7</v>
      </c>
      <c r="M678" s="1">
        <v>46078</v>
      </c>
      <c r="N678" s="1">
        <f t="shared" si="92"/>
        <v>46305</v>
      </c>
      <c r="O678">
        <f t="shared" si="94"/>
        <v>228</v>
      </c>
      <c r="P678" s="49">
        <f t="shared" si="90"/>
        <v>7.6</v>
      </c>
      <c r="Q678" s="34">
        <f>VLOOKUP($G678,Agendamento!$B:$F,5,0)</f>
        <v>6</v>
      </c>
      <c r="R678" s="36">
        <f t="shared" si="95"/>
        <v>35</v>
      </c>
      <c r="S678" s="44">
        <v>2.5499999999999998</v>
      </c>
      <c r="T678" s="44">
        <f t="shared" si="96"/>
        <v>20349</v>
      </c>
      <c r="U678" t="s">
        <v>5516</v>
      </c>
      <c r="V678" t="str">
        <f t="shared" si="97"/>
        <v>NF/64307905_20260225_nf_33.pdf</v>
      </c>
      <c r="W678" s="32" t="str">
        <f t="shared" si="91"/>
        <v>NF - O MENINO MÁGICO</v>
      </c>
      <c r="X678" t="s">
        <v>5591</v>
      </c>
    </row>
    <row r="679" spans="1:24" x14ac:dyDescent="0.25">
      <c r="A679" t="str">
        <f>CONCATENATE(D679,"_",TEXT(M679,"ddmmaaaa"),"_",COUNTIF($D$2:D679,D679))</f>
        <v>094707630001-70_25022026_2</v>
      </c>
      <c r="B679" t="str">
        <f>CONCATENATE(Analise!D679,"_",COUNTIF(Analise!$D$2:D679,Analise!D679))</f>
        <v>094707630001-70_2</v>
      </c>
      <c r="C679" s="34">
        <f>COUNTIF('Obras e Acervos'!$C:$C,CONCATENATE(LEFT(D679,12),RIGHT(D679,2)))</f>
        <v>2</v>
      </c>
      <c r="D679" s="35" t="s">
        <v>4860</v>
      </c>
      <c r="E679" t="str">
        <f>VLOOKUP($B679,'Obras e Acervos'!$B:$X,3,0)</f>
        <v>ESTÚDIO MADALENA PRODUÇÕES FOTOGRÁFICAS EIRELI-MADALENA</v>
      </c>
      <c r="F679" t="str">
        <f>VLOOKUP($B679,'Obras e Acervos'!$B:$X,7,0)</f>
        <v>1365L23000020LE</v>
      </c>
      <c r="G679" t="str">
        <f>VLOOKUP($B679,'Obras e Acervos'!$B:$X,5,0)</f>
        <v>MEU BAÚ DE CORDÉIS</v>
      </c>
      <c r="H679">
        <f>VLOOKUP($B679,'Obras e Acervos'!$B:$X,18,0)</f>
        <v>14</v>
      </c>
      <c r="I679">
        <f>VLOOKUP($B679,'Obras e Acervos'!$B:$X,19,0)</f>
        <v>31803</v>
      </c>
      <c r="J679" s="42">
        <f>VLOOKUP($B679,'Obras e Acervos'!$B:$X,20,0)</f>
        <v>12721.2</v>
      </c>
      <c r="K679" s="31">
        <f>VLOOKUP($B679,'Obras e Acervos'!$B:$X,21,0)</f>
        <v>20.78</v>
      </c>
      <c r="L679" s="31">
        <f t="shared" si="93"/>
        <v>660866.34000000008</v>
      </c>
      <c r="M679" s="1">
        <v>46078</v>
      </c>
      <c r="N679" s="1">
        <f t="shared" si="92"/>
        <v>46305</v>
      </c>
      <c r="O679">
        <f t="shared" si="94"/>
        <v>228</v>
      </c>
      <c r="P679" s="49">
        <f t="shared" si="90"/>
        <v>7.6</v>
      </c>
      <c r="Q679" s="34">
        <f>VLOOKUP($G679,Agendamento!$B:$F,5,0)</f>
        <v>6</v>
      </c>
      <c r="R679" s="36">
        <f t="shared" si="95"/>
        <v>32</v>
      </c>
      <c r="S679" s="44">
        <v>2.5499999999999998</v>
      </c>
      <c r="T679" s="44">
        <f t="shared" si="96"/>
        <v>18604.8</v>
      </c>
      <c r="U679" t="s">
        <v>5525</v>
      </c>
      <c r="V679" t="str">
        <f t="shared" si="97"/>
        <v>NF/64307905_20260225_nf_35.pdf</v>
      </c>
      <c r="W679" s="32" t="str">
        <f t="shared" si="91"/>
        <v>NF - MEU BAÚ DE CORDÉIS</v>
      </c>
      <c r="X679" t="s">
        <v>5591</v>
      </c>
    </row>
    <row r="680" spans="1:24" x14ac:dyDescent="0.25">
      <c r="A680" t="str">
        <f>CONCATENATE(D680,"_",TEXT(M680,"ddmmaaaa"),"_",COUNTIF($D$2:D680,D680))</f>
        <v>114065460001-63_25022026_2</v>
      </c>
      <c r="B680" t="str">
        <f>CONCATENATE(Analise!D680,"_",COUNTIF(Analise!$D$2:D680,Analise!D680)-1)</f>
        <v>114065460001-63_1</v>
      </c>
      <c r="C680" s="34">
        <f>COUNTIF('Obras e Acervos'!$C:$C,CONCATENATE(LEFT(D680,12),RIGHT(D680,2)))</f>
        <v>2</v>
      </c>
      <c r="D680" s="35" t="s">
        <v>4675</v>
      </c>
      <c r="E680" t="str">
        <f>VLOOKUP($B680,'Obras e Acervos'!$B:$X,3,0)</f>
        <v>BELLATRIX SERVICOS EM TECNOLOGIA LTDA-</v>
      </c>
      <c r="F680" t="str">
        <f>VLOOKUP($B680,'Obras e Acervos'!$B:$X,7,0)</f>
        <v>0755L23000030LE</v>
      </c>
      <c r="G680" t="str">
        <f>VLOOKUP($B680,'Obras e Acervos'!$B:$X,5,0)</f>
        <v>O ANIVERSÁRIO DO TILTAPES</v>
      </c>
      <c r="H680">
        <f>VLOOKUP($B680,'Obras e Acervos'!$B:$X,18,0)</f>
        <v>1</v>
      </c>
      <c r="I680">
        <f>VLOOKUP($B680,'Obras e Acervos'!$B:$X,19,0)</f>
        <v>49913</v>
      </c>
      <c r="J680" s="42">
        <f>VLOOKUP($B680,'Obras e Acervos'!$B:$X,20,0)</f>
        <v>5240.8649999999998</v>
      </c>
      <c r="K680" s="31">
        <f>VLOOKUP($B680,'Obras e Acervos'!$B:$X,21,0)</f>
        <v>4.72</v>
      </c>
      <c r="L680" s="31">
        <f t="shared" si="93"/>
        <v>235589.36</v>
      </c>
      <c r="M680" s="1">
        <v>46078</v>
      </c>
      <c r="N680" s="1">
        <f t="shared" si="92"/>
        <v>46305</v>
      </c>
      <c r="O680">
        <f t="shared" si="94"/>
        <v>228</v>
      </c>
      <c r="P680" s="49">
        <f t="shared" si="90"/>
        <v>7.6</v>
      </c>
      <c r="Q680" s="34">
        <f>VLOOKUP($G680,Agendamento!$B:$F,5,0)</f>
        <v>6</v>
      </c>
      <c r="R680" s="36">
        <f t="shared" si="95"/>
        <v>50</v>
      </c>
      <c r="S680" s="44">
        <v>2.5499999999999998</v>
      </c>
      <c r="T680" s="44">
        <f t="shared" si="96"/>
        <v>29069.999999999996</v>
      </c>
      <c r="U680" t="s">
        <v>5585</v>
      </c>
      <c r="V680" t="str">
        <f t="shared" si="97"/>
        <v>NF/64307905_20260225_nf_37.pdf</v>
      </c>
      <c r="W680" s="32" t="str">
        <f t="shared" si="91"/>
        <v>NF - O ANIVERSÁRIO DO TILTAPES</v>
      </c>
      <c r="X680" t="s">
        <v>5591</v>
      </c>
    </row>
    <row r="681" spans="1:24" x14ac:dyDescent="0.25">
      <c r="A681" t="str">
        <f>CONCATENATE(D681,"_",TEXT(M681,"ddmmaaaa"),"_",COUNTIF($D$2:D681,D681))</f>
        <v>433994490001-87_25022026_2</v>
      </c>
      <c r="B681" t="str">
        <f>CONCATENATE(Analise!D681,"_",COUNTIF(Analise!$D$2:D681,Analise!D681)-1)</f>
        <v>433994490001-87_1</v>
      </c>
      <c r="C681" s="34">
        <f>COUNTIF('Obras e Acervos'!$C:$C,CONCATENATE(LEFT(D681,12),RIGHT(D681,2)))</f>
        <v>2</v>
      </c>
      <c r="D681" s="35" t="s">
        <v>4877</v>
      </c>
      <c r="E681" t="str">
        <f>VLOOKUP($B681,'Obras e Acervos'!$B:$X,3,0)</f>
        <v>WANGUARI EDITORA LTDA-WANGUARI EDITORA</v>
      </c>
      <c r="F681" t="str">
        <f>VLOOKUP($B681,'Obras e Acervos'!$B:$X,7,0)</f>
        <v>1033L23000030LE</v>
      </c>
      <c r="G681" t="str">
        <f>VLOOKUP($B681,'Obras e Acervos'!$B:$X,5,0)</f>
        <v>AS AVENTURAS DE UMA CRIANÇA DOWNADINHA</v>
      </c>
      <c r="H681">
        <f>VLOOKUP($B681,'Obras e Acervos'!$B:$X,18,0)</f>
        <v>8</v>
      </c>
      <c r="I681">
        <f>VLOOKUP($B681,'Obras e Acervos'!$B:$X,19,0)</f>
        <v>41421</v>
      </c>
      <c r="J681" s="42">
        <f>VLOOKUP($B681,'Obras e Acervos'!$B:$X,20,0)</f>
        <v>4307.7839999999997</v>
      </c>
      <c r="K681" s="31">
        <f>VLOOKUP($B681,'Obras e Acervos'!$B:$X,21,0)</f>
        <v>6.25</v>
      </c>
      <c r="L681" s="31">
        <f t="shared" si="93"/>
        <v>258881.25</v>
      </c>
      <c r="M681" s="1">
        <v>46078</v>
      </c>
      <c r="N681" s="1">
        <f t="shared" si="92"/>
        <v>46305</v>
      </c>
      <c r="O681">
        <f t="shared" si="94"/>
        <v>228</v>
      </c>
      <c r="P681" s="49">
        <f t="shared" si="90"/>
        <v>7.6</v>
      </c>
      <c r="Q681" s="34">
        <f>VLOOKUP($G681,Agendamento!$B:$F,5,0)</f>
        <v>6</v>
      </c>
      <c r="R681" s="36">
        <f t="shared" si="95"/>
        <v>42</v>
      </c>
      <c r="S681" s="44">
        <v>2.5499999999999998</v>
      </c>
      <c r="T681" s="44">
        <f t="shared" si="96"/>
        <v>24418.799999999999</v>
      </c>
      <c r="U681" t="s">
        <v>5511</v>
      </c>
      <c r="V681" t="str">
        <f t="shared" si="97"/>
        <v>NF/64307905_20260225_nf_38.pdf</v>
      </c>
      <c r="W681" s="32" t="str">
        <f t="shared" si="91"/>
        <v>NF - AS AVENTURAS DE UMA CRIANÇA DOWNADINHA</v>
      </c>
      <c r="X681" t="s">
        <v>5591</v>
      </c>
    </row>
    <row r="682" spans="1:24" x14ac:dyDescent="0.25">
      <c r="A682" t="str">
        <f>CONCATENATE(D682,"_",TEXT(M682,"ddmmaaaa"),"_",COUNTIF($D$2:D682,D682))</f>
        <v>434117480001-90_25022026_2</v>
      </c>
      <c r="B682" t="str">
        <f>CONCATENATE(Analise!D682,"_",COUNTIF(Analise!$D$2:D682,Analise!D682)-1)</f>
        <v>434117480001-90_1</v>
      </c>
      <c r="C682" s="34">
        <f>COUNTIF('Obras e Acervos'!$C:$C,CONCATENATE(LEFT(D682,12),RIGHT(D682,2)))</f>
        <v>2</v>
      </c>
      <c r="D682" s="35" t="s">
        <v>4722</v>
      </c>
      <c r="E682" t="str">
        <f>VLOOKUP($B682,'Obras e Acervos'!$B:$X,3,0)</f>
        <v>EDITORA CAMELIA LTDA-CAMELIA</v>
      </c>
      <c r="F682" t="str">
        <f>VLOOKUP($B682,'Obras e Acervos'!$B:$X,7,0)</f>
        <v>1173L23000030LE</v>
      </c>
      <c r="G682" t="str">
        <f>VLOOKUP($B682,'Obras e Acervos'!$B:$X,5,0)</f>
        <v>CAFOFO DO REMELEXO</v>
      </c>
      <c r="H682">
        <f>VLOOKUP($B682,'Obras e Acervos'!$B:$X,18,0)</f>
        <v>10</v>
      </c>
      <c r="I682">
        <f>VLOOKUP($B682,'Obras e Acervos'!$B:$X,19,0)</f>
        <v>33510</v>
      </c>
      <c r="J682" s="42">
        <f>VLOOKUP($B682,'Obras e Acervos'!$B:$X,20,0)</f>
        <v>3485.04</v>
      </c>
      <c r="K682" s="31">
        <f>VLOOKUP($B682,'Obras e Acervos'!$B:$X,21,0)</f>
        <v>6.83</v>
      </c>
      <c r="L682" s="31">
        <f t="shared" si="93"/>
        <v>228873.3</v>
      </c>
      <c r="M682" s="1">
        <v>46078</v>
      </c>
      <c r="N682" s="1">
        <f t="shared" si="92"/>
        <v>46305</v>
      </c>
      <c r="O682">
        <f t="shared" si="94"/>
        <v>228</v>
      </c>
      <c r="P682" s="49">
        <f t="shared" si="90"/>
        <v>7.6</v>
      </c>
      <c r="Q682" s="34">
        <f>VLOOKUP($G682,Agendamento!$B:$F,5,0)</f>
        <v>5</v>
      </c>
      <c r="R682" s="36">
        <f t="shared" si="95"/>
        <v>34</v>
      </c>
      <c r="S682" s="44">
        <v>2.5499999999999998</v>
      </c>
      <c r="T682" s="44">
        <f t="shared" si="96"/>
        <v>19767.599999999999</v>
      </c>
      <c r="U682" t="s">
        <v>5520</v>
      </c>
      <c r="V682" t="str">
        <f t="shared" si="97"/>
        <v>NF/64307905_20260225_nf_39.pdf</v>
      </c>
      <c r="W682" s="32" t="str">
        <f t="shared" si="91"/>
        <v>NF - CAFOFO DO REMELEXO</v>
      </c>
      <c r="X682" t="s">
        <v>5591</v>
      </c>
    </row>
    <row r="683" spans="1:24" x14ac:dyDescent="0.25">
      <c r="A683" t="str">
        <f>CONCATENATE(D683,"_",TEXT(M683,"ddmmaaaa"),"_",COUNTIF($D$2:D683,D683))</f>
        <v>435967300001-00_25022026_1</v>
      </c>
      <c r="B683" t="str">
        <f>CONCATENATE(Analise!D683,"_",COUNTIF(Analise!$D$2:D683,Analise!D683))</f>
        <v>435967300001-00_1</v>
      </c>
      <c r="C683" s="34">
        <f>COUNTIF('Obras e Acervos'!$C:$C,CONCATENATE(LEFT(D683,12),RIGHT(D683,2)))</f>
        <v>1</v>
      </c>
      <c r="D683" s="35" t="s">
        <v>4881</v>
      </c>
      <c r="E683" t="str">
        <f>VLOOKUP($B683,'Obras e Acervos'!$B:$X,3,0)</f>
        <v>AGNES EDITORA LTDA-AGNES</v>
      </c>
      <c r="F683" t="str">
        <f>VLOOKUP($B683,'Obras e Acervos'!$B:$X,7,0)</f>
        <v>1138L23000030LE</v>
      </c>
      <c r="G683" t="str">
        <f>VLOOKUP($B683,'Obras e Acervos'!$B:$X,5,0)</f>
        <v>O DONO DA LUA</v>
      </c>
      <c r="H683">
        <f>VLOOKUP($B683,'Obras e Acervos'!$B:$X,18,0)</f>
        <v>10</v>
      </c>
      <c r="I683">
        <f>VLOOKUP($B683,'Obras e Acervos'!$B:$X,19,0)</f>
        <v>33116</v>
      </c>
      <c r="J683" s="42">
        <f>VLOOKUP($B683,'Obras e Acervos'!$B:$X,20,0)</f>
        <v>4106.384</v>
      </c>
      <c r="K683" s="31">
        <f>VLOOKUP($B683,'Obras e Acervos'!$B:$X,21,0)</f>
        <v>6.86</v>
      </c>
      <c r="L683" s="31">
        <f t="shared" si="93"/>
        <v>227175.76</v>
      </c>
      <c r="M683" s="1">
        <v>46078</v>
      </c>
      <c r="N683" s="1">
        <f t="shared" si="92"/>
        <v>46305</v>
      </c>
      <c r="O683">
        <f t="shared" si="94"/>
        <v>228</v>
      </c>
      <c r="P683" s="49">
        <f t="shared" si="90"/>
        <v>7.6</v>
      </c>
      <c r="Q683" s="34">
        <f>VLOOKUP($G683,Agendamento!$B:$F,5,0)</f>
        <v>5</v>
      </c>
      <c r="R683" s="36">
        <f t="shared" si="95"/>
        <v>34</v>
      </c>
      <c r="S683" s="44">
        <v>2.5499999999999998</v>
      </c>
      <c r="T683" s="44">
        <f t="shared" si="96"/>
        <v>19767.599999999999</v>
      </c>
      <c r="U683" t="s">
        <v>5504</v>
      </c>
      <c r="V683" t="str">
        <f t="shared" si="97"/>
        <v>NF/64307905_20260225_nf_40.pdf</v>
      </c>
      <c r="W683" s="32" t="str">
        <f t="shared" si="91"/>
        <v>NF - O DONO DA LUA</v>
      </c>
      <c r="X683" t="s">
        <v>5591</v>
      </c>
    </row>
    <row r="684" spans="1:24" x14ac:dyDescent="0.25">
      <c r="A684" t="str">
        <f>CONCATENATE(D684,"_",TEXT(M684,"ddmmaaaa"),"_",COUNTIF($D$2:D684,D684))</f>
        <v>155950140001-72_13032026_1</v>
      </c>
      <c r="B684" t="str">
        <f>CONCATENATE(Analise!D684,"_",COUNTIF(Analise!$D$2:D684,Analise!D684))</f>
        <v>155950140001-72_1</v>
      </c>
      <c r="C684" s="34">
        <f>COUNTIF('Obras e Acervos'!$C:$C,CONCATENATE(LEFT(D684,12),RIGHT(D684,2)))</f>
        <v>1</v>
      </c>
      <c r="D684" s="35" t="s">
        <v>4891</v>
      </c>
      <c r="E684" t="str">
        <f>VLOOKUP($B684,'Obras e Acervos'!$B:$X,3,0)</f>
        <v>CULTURA ESCRITA EDIÇÃO E EDUCAÇÃO LTDA ME-CULTURA ESCRITA</v>
      </c>
      <c r="F684" t="str">
        <f>VLOOKUP($B684,'Obras e Acervos'!$B:$X,7,0)</f>
        <v>1037L23000030LE</v>
      </c>
      <c r="G684" t="str">
        <f>VLOOKUP($B684,'Obras e Acervos'!$B:$X,5,0)</f>
        <v>RAUL. O LOBINHO</v>
      </c>
      <c r="H684">
        <f>VLOOKUP($B684,'Obras e Acervos'!$B:$X,18,0)</f>
        <v>1</v>
      </c>
      <c r="I684">
        <f>VLOOKUP($B684,'Obras e Acervos'!$B:$X,19,0)</f>
        <v>50989</v>
      </c>
      <c r="J684" s="42">
        <f>VLOOKUP($B684,'Obras e Acervos'!$B:$X,20,0)</f>
        <v>5149.8890000000001</v>
      </c>
      <c r="K684" s="31">
        <f>VLOOKUP($B684,'Obras e Acervos'!$B:$X,21,0)</f>
        <v>4.63</v>
      </c>
      <c r="L684" s="31">
        <f t="shared" si="93"/>
        <v>236079.07</v>
      </c>
      <c r="M684" s="1">
        <v>46094</v>
      </c>
      <c r="N684" s="1">
        <f t="shared" si="92"/>
        <v>46305</v>
      </c>
      <c r="O684">
        <f t="shared" si="94"/>
        <v>212</v>
      </c>
      <c r="P684" s="49">
        <f t="shared" ref="P684:P737" si="101">O684/30</f>
        <v>7.0666666666666664</v>
      </c>
      <c r="Q684" s="34">
        <f>VLOOKUP($G684,Agendamento!$B:$F,5,0)</f>
        <v>6</v>
      </c>
      <c r="R684" s="36">
        <f t="shared" si="95"/>
        <v>51</v>
      </c>
      <c r="S684" s="44">
        <v>2.5499999999999998</v>
      </c>
      <c r="T684" s="44">
        <f t="shared" si="96"/>
        <v>27570.6</v>
      </c>
      <c r="U684" t="s">
        <v>5531</v>
      </c>
      <c r="V684" t="str">
        <f t="shared" si="97"/>
        <v>NF/64374799_20260313_nf_01.pdf</v>
      </c>
      <c r="W684" s="32" t="str">
        <f t="shared" ref="W684:W737" si="102">HYPERLINK(CONCATENATE("saida/",U684),CONCATENATE("NF - ",G684))</f>
        <v>NF - RAUL. O LOBINHO</v>
      </c>
      <c r="X684" t="s">
        <v>5591</v>
      </c>
    </row>
    <row r="685" spans="1:24" x14ac:dyDescent="0.25">
      <c r="A685" t="str">
        <f>CONCATENATE(D685,"_",TEXT(M685,"ddmmaaaa"),"_",COUNTIF($D$2:D685,D685))</f>
        <v>313453190001-82_13032026_2</v>
      </c>
      <c r="B685" t="str">
        <f>CONCATENATE(Analise!D685,"_",COUNTIF(Analise!$D$2:D685,Analise!D685)-1)</f>
        <v>313453190001-82_1</v>
      </c>
      <c r="C685" s="34">
        <f>COUNTIF('Obras e Acervos'!$C:$C,CONCATENATE(LEFT(D685,12),RIGHT(D685,2)))</f>
        <v>2</v>
      </c>
      <c r="D685" s="35" t="s">
        <v>4809</v>
      </c>
      <c r="E685" t="str">
        <f>VLOOKUP($B685,'Obras e Acervos'!$B:$X,3,0)</f>
        <v>QUASE OITO EDITORA E LIVRARIA LTDA.-QUASE OITO</v>
      </c>
      <c r="F685" t="str">
        <f>VLOOKUP($B685,'Obras e Acervos'!$B:$X,7,0)</f>
        <v>0690L23000030LE</v>
      </c>
      <c r="G685" t="str">
        <f>VLOOKUP($B685,'Obras e Acervos'!$B:$X,5,0)</f>
        <v>EM BUSCA DO MAR</v>
      </c>
      <c r="H685">
        <f>VLOOKUP($B685,'Obras e Acervos'!$B:$X,18,0)</f>
        <v>8</v>
      </c>
      <c r="I685">
        <f>VLOOKUP($B685,'Obras e Acervos'!$B:$X,19,0)</f>
        <v>35528</v>
      </c>
      <c r="J685" s="42">
        <f>VLOOKUP($B685,'Obras e Acervos'!$B:$X,20,0)</f>
        <v>2522.4879999999998</v>
      </c>
      <c r="K685" s="31">
        <f>VLOOKUP($B685,'Obras e Acervos'!$B:$X,21,0)</f>
        <v>5.79</v>
      </c>
      <c r="L685" s="31">
        <f t="shared" si="93"/>
        <v>205707.12</v>
      </c>
      <c r="M685" s="1">
        <v>46094</v>
      </c>
      <c r="N685" s="1">
        <f t="shared" si="92"/>
        <v>46305</v>
      </c>
      <c r="O685">
        <f t="shared" si="94"/>
        <v>212</v>
      </c>
      <c r="P685" s="49">
        <f t="shared" si="101"/>
        <v>7.0666666666666664</v>
      </c>
      <c r="Q685" s="34">
        <f>VLOOKUP($G685,Agendamento!$B:$F,5,0)</f>
        <v>4</v>
      </c>
      <c r="R685" s="36">
        <f t="shared" si="95"/>
        <v>36</v>
      </c>
      <c r="S685" s="44">
        <v>2.5499999999999998</v>
      </c>
      <c r="T685" s="44">
        <f t="shared" si="96"/>
        <v>19461.599999999999</v>
      </c>
      <c r="U685" t="s">
        <v>5535</v>
      </c>
      <c r="V685" t="str">
        <f t="shared" si="97"/>
        <v>NF/64374799_20260313_nf_02.pdf</v>
      </c>
      <c r="W685" s="32" t="str">
        <f t="shared" si="102"/>
        <v>NF - EM BUSCA DO MAR</v>
      </c>
      <c r="X685" t="s">
        <v>5591</v>
      </c>
    </row>
    <row r="686" spans="1:24" x14ac:dyDescent="0.25">
      <c r="A686" t="str">
        <f>CONCATENATE(D686,"_",TEXT(M686,"ddmmaaaa"),"_",COUNTIF($D$2:D686,D686))</f>
        <v>005825840001-50_13032026_1</v>
      </c>
      <c r="B686" t="str">
        <f>CONCATENATE(Analise!D686,"_",COUNTIF(Analise!$D$2:D686,Analise!D686)+1)</f>
        <v>005825840001-50_2</v>
      </c>
      <c r="C686" s="34">
        <f>COUNTIF('Obras e Acervos'!$C:$C,CONCATENATE(LEFT(D686,12),RIGHT(D686,2)))</f>
        <v>2</v>
      </c>
      <c r="D686" s="35" t="s">
        <v>4890</v>
      </c>
      <c r="E686" t="str">
        <f>VLOOKUP($B686,'Obras e Acervos'!$B:$X,3,0)</f>
        <v>GILMAR CASSOL EDITORA LTDA-LIVRARIA E EDITORA CASSOL</v>
      </c>
      <c r="F686" t="str">
        <f>VLOOKUP($B686,'Obras e Acervos'!$B:$X,7,0)</f>
        <v>0522L23000020LE</v>
      </c>
      <c r="G686" t="str">
        <f>VLOOKUP($B686,'Obras e Acervos'!$B:$X,5,0)</f>
        <v>IMAGINAÇÃO</v>
      </c>
      <c r="H686">
        <f>VLOOKUP($B686,'Obras e Acervos'!$B:$X,18,0)</f>
        <v>17</v>
      </c>
      <c r="I686">
        <f>VLOOKUP($B686,'Obras e Acervos'!$B:$X,19,0)</f>
        <v>27747</v>
      </c>
      <c r="J686" s="42">
        <f>VLOOKUP($B686,'Obras e Acervos'!$B:$X,20,0)</f>
        <v>2081.0250000000001</v>
      </c>
      <c r="K686" s="31">
        <f>VLOOKUP($B686,'Obras e Acervos'!$B:$X,21,0)</f>
        <v>6</v>
      </c>
      <c r="L686" s="31">
        <f t="shared" si="93"/>
        <v>166482</v>
      </c>
      <c r="M686" s="1">
        <v>46094</v>
      </c>
      <c r="N686" s="1">
        <f t="shared" si="92"/>
        <v>46305</v>
      </c>
      <c r="O686">
        <f t="shared" si="94"/>
        <v>212</v>
      </c>
      <c r="P686" s="49">
        <f t="shared" si="101"/>
        <v>7.0666666666666664</v>
      </c>
      <c r="Q686" s="34">
        <f>VLOOKUP($G686,Agendamento!$B:$F,5,0)</f>
        <v>3</v>
      </c>
      <c r="R686" s="36">
        <f t="shared" si="95"/>
        <v>28</v>
      </c>
      <c r="S686" s="44">
        <v>2.5499999999999998</v>
      </c>
      <c r="T686" s="44">
        <f t="shared" si="96"/>
        <v>15136.8</v>
      </c>
      <c r="U686" t="s">
        <v>5532</v>
      </c>
      <c r="V686" t="str">
        <f t="shared" si="97"/>
        <v>NF/64374799_20260313_nf_03.pdf</v>
      </c>
      <c r="W686" s="32" t="str">
        <f t="shared" si="102"/>
        <v>NF - IMAGINAÇÃO</v>
      </c>
      <c r="X686" t="s">
        <v>5591</v>
      </c>
    </row>
    <row r="687" spans="1:24" x14ac:dyDescent="0.25">
      <c r="A687" t="str">
        <f>CONCATENATE(D687,"_",TEXT(M687,"ddmmaaaa"),"_",COUNTIF($D$2:D687,D687))</f>
        <v>005825840001-50_13032026_2</v>
      </c>
      <c r="B687" t="str">
        <f>CONCATENATE(Analise!D687,"_",COUNTIF(Analise!$D$2:D687,Analise!D687)-1)</f>
        <v>005825840001-50_1</v>
      </c>
      <c r="C687" s="34">
        <f>COUNTIF('Obras e Acervos'!$C:$C,CONCATENATE(LEFT(D687,12),RIGHT(D687,2)))</f>
        <v>2</v>
      </c>
      <c r="D687" s="35" t="s">
        <v>4890</v>
      </c>
      <c r="E687" t="str">
        <f>VLOOKUP($B687,'Obras e Acervos'!$B:$X,3,0)</f>
        <v>GILMAR CASSOL EDITORA LTDA-LIVRARIA E EDITORA CASSOL</v>
      </c>
      <c r="F687" t="str">
        <f>VLOOKUP($B687,'Obras e Acervos'!$B:$X,7,0)</f>
        <v>0521L23000030LE</v>
      </c>
      <c r="G687" t="str">
        <f>VLOOKUP($B687,'Obras e Acervos'!$B:$X,5,0)</f>
        <v>A MENINA DO CABELO ROXO EM... O CHÁ DAS MARAVILHAS</v>
      </c>
      <c r="H687">
        <f>VLOOKUP($B687,'Obras e Acervos'!$B:$X,18,0)</f>
        <v>10</v>
      </c>
      <c r="I687">
        <f>VLOOKUP($B687,'Obras e Acervos'!$B:$X,19,0)</f>
        <v>36525</v>
      </c>
      <c r="J687" s="42">
        <f>VLOOKUP($B687,'Obras e Acervos'!$B:$X,20,0)</f>
        <v>2739.375</v>
      </c>
      <c r="K687" s="31">
        <f>VLOOKUP($B687,'Obras e Acervos'!$B:$X,21,0)</f>
        <v>5.85</v>
      </c>
      <c r="L687" s="31">
        <f t="shared" si="93"/>
        <v>213671.25</v>
      </c>
      <c r="M687" s="1">
        <v>46094</v>
      </c>
      <c r="N687" s="1">
        <f t="shared" si="92"/>
        <v>46305</v>
      </c>
      <c r="O687">
        <f t="shared" si="94"/>
        <v>212</v>
      </c>
      <c r="P687" s="49">
        <f t="shared" si="101"/>
        <v>7.0666666666666664</v>
      </c>
      <c r="Q687" s="34">
        <f>VLOOKUP($G687,Agendamento!$B:$F,5,0)</f>
        <v>4</v>
      </c>
      <c r="R687" s="36">
        <f t="shared" si="95"/>
        <v>37</v>
      </c>
      <c r="S687" s="44">
        <v>2.5499999999999998</v>
      </c>
      <c r="T687" s="44">
        <f t="shared" si="96"/>
        <v>20002.199999999997</v>
      </c>
      <c r="U687" t="s">
        <v>5530</v>
      </c>
      <c r="V687" t="str">
        <f t="shared" si="97"/>
        <v>NF/64374799_20260313_nf_04.pdf</v>
      </c>
      <c r="W687" s="32" t="str">
        <f t="shared" si="102"/>
        <v>NF - A MENINA DO CABELO ROXO EM... O CHÁ DAS MARAVILHAS</v>
      </c>
      <c r="X687" t="s">
        <v>5591</v>
      </c>
    </row>
    <row r="688" spans="1:24" x14ac:dyDescent="0.25">
      <c r="A688" t="str">
        <f>CONCATENATE(D688,"_",TEXT(M688,"ddmmaaaa"),"_",COUNTIF($D$2:D688,D688))</f>
        <v>284752980001-05_13032026_2</v>
      </c>
      <c r="B688" t="str">
        <f>CONCATENATE(Analise!D688,"_",COUNTIF(Analise!$D$2:D688,Analise!D688)-1)</f>
        <v>284752980001-05_1</v>
      </c>
      <c r="C688" s="34">
        <f>COUNTIF('Obras e Acervos'!$C:$C,CONCATENATE(LEFT(D688,12),RIGHT(D688,2)))</f>
        <v>2</v>
      </c>
      <c r="D688" s="35" t="s">
        <v>4811</v>
      </c>
      <c r="E688" t="str">
        <f>VLOOKUP($B688,'Obras e Acervos'!$B:$X,3,0)</f>
        <v>TULIPA EDITORA EIRELI-</v>
      </c>
      <c r="F688" t="str">
        <f>VLOOKUP($B688,'Obras e Acervos'!$B:$X,7,0)</f>
        <v>0458L23000030LE</v>
      </c>
      <c r="G688" t="str">
        <f>VLOOKUP($B688,'Obras e Acervos'!$B:$X,5,0)</f>
        <v>CÃO SOBRE RODAS</v>
      </c>
      <c r="H688">
        <f>VLOOKUP($B688,'Obras e Acervos'!$B:$X,18,0)</f>
        <v>7</v>
      </c>
      <c r="I688">
        <f>VLOOKUP($B688,'Obras e Acervos'!$B:$X,19,0)</f>
        <v>33070</v>
      </c>
      <c r="J688" s="42">
        <f>VLOOKUP($B688,'Obras e Acervos'!$B:$X,20,0)</f>
        <v>4100.68</v>
      </c>
      <c r="K688" s="31">
        <f>VLOOKUP($B688,'Obras e Acervos'!$B:$X,21,0)</f>
        <v>6.86</v>
      </c>
      <c r="L688" s="31">
        <f t="shared" si="93"/>
        <v>226860.2</v>
      </c>
      <c r="M688" s="1">
        <v>46094</v>
      </c>
      <c r="N688" s="1">
        <f t="shared" si="92"/>
        <v>46305</v>
      </c>
      <c r="O688">
        <f t="shared" si="94"/>
        <v>212</v>
      </c>
      <c r="P688" s="49">
        <f t="shared" si="101"/>
        <v>7.0666666666666664</v>
      </c>
      <c r="Q688" s="34">
        <f>VLOOKUP($G688,Agendamento!$B:$F,5,0)</f>
        <v>5</v>
      </c>
      <c r="R688" s="36">
        <f t="shared" si="95"/>
        <v>34</v>
      </c>
      <c r="S688" s="44">
        <v>2.5499999999999998</v>
      </c>
      <c r="T688" s="44">
        <f t="shared" si="96"/>
        <v>18380.399999999998</v>
      </c>
      <c r="U688" t="s">
        <v>5537</v>
      </c>
      <c r="V688" t="str">
        <f t="shared" si="97"/>
        <v>NF/64374799_20260313_nf_05.pdf</v>
      </c>
      <c r="W688" s="32" t="str">
        <f t="shared" si="102"/>
        <v>NF - CÃO SOBRE RODAS</v>
      </c>
      <c r="X688" t="s">
        <v>5591</v>
      </c>
    </row>
    <row r="689" spans="1:24" x14ac:dyDescent="0.25">
      <c r="A689" t="str">
        <f>CONCATENATE(D689,"_",TEXT(M689,"ddmmaaaa"),"_",COUNTIF($D$2:D689,D689))</f>
        <v>304386290001-89_13032026_2</v>
      </c>
      <c r="B689" t="str">
        <f>CONCATENATE(Analise!D689,"_",COUNTIF(Analise!$D$2:D689,Analise!D689)-1)</f>
        <v>304386290001-89_1</v>
      </c>
      <c r="C689" s="34">
        <f>COUNTIF('Obras e Acervos'!$C:$C,CONCATENATE(LEFT(D689,12),RIGHT(D689,2)))</f>
        <v>2</v>
      </c>
      <c r="D689" s="35" t="s">
        <v>4892</v>
      </c>
      <c r="E689" t="str">
        <f>VLOOKUP($B689,'Obras e Acervos'!$B:$X,3,0)</f>
        <v>ISABELLA FELIX DE ARAUJO -ARTE DAS LETRAS</v>
      </c>
      <c r="F689" t="str">
        <f>VLOOKUP($B689,'Obras e Acervos'!$B:$X,7,0)</f>
        <v>0982L23000030LE</v>
      </c>
      <c r="G689" t="str">
        <f>VLOOKUP($B689,'Obras e Acervos'!$B:$X,5,0)</f>
        <v>SETE ANOS</v>
      </c>
      <c r="H689">
        <f>VLOOKUP($B689,'Obras e Acervos'!$B:$X,18,0)</f>
        <v>3</v>
      </c>
      <c r="I689">
        <f>VLOOKUP($B689,'Obras e Acervos'!$B:$X,19,0)</f>
        <v>45836</v>
      </c>
      <c r="J689" s="42">
        <f>VLOOKUP($B689,'Obras e Acervos'!$B:$X,20,0)</f>
        <v>5683.6639999999998</v>
      </c>
      <c r="K689" s="31">
        <f>VLOOKUP($B689,'Obras e Acervos'!$B:$X,21,0)</f>
        <v>5.83</v>
      </c>
      <c r="L689" s="31">
        <f t="shared" si="93"/>
        <v>267223.88</v>
      </c>
      <c r="M689" s="1">
        <v>46094</v>
      </c>
      <c r="N689" s="1">
        <f t="shared" si="92"/>
        <v>46305</v>
      </c>
      <c r="O689">
        <f t="shared" si="94"/>
        <v>212</v>
      </c>
      <c r="P689" s="49">
        <f t="shared" si="101"/>
        <v>7.0666666666666664</v>
      </c>
      <c r="Q689" s="34">
        <f>VLOOKUP($G689,Agendamento!$B:$F,5,0)</f>
        <v>7</v>
      </c>
      <c r="R689" s="36">
        <f t="shared" si="95"/>
        <v>46</v>
      </c>
      <c r="S689" s="44">
        <v>2.5499999999999998</v>
      </c>
      <c r="T689" s="44">
        <f t="shared" si="96"/>
        <v>24867.599999999999</v>
      </c>
      <c r="U689" t="s">
        <v>5533</v>
      </c>
      <c r="V689" t="str">
        <f t="shared" si="97"/>
        <v>NF/64374799_20260313_nf_06.pdf</v>
      </c>
      <c r="W689" s="32" t="str">
        <f t="shared" si="102"/>
        <v>NF - SETE ANOS</v>
      </c>
      <c r="X689" t="s">
        <v>5591</v>
      </c>
    </row>
    <row r="690" spans="1:24" x14ac:dyDescent="0.25">
      <c r="A690" t="str">
        <f>CONCATENATE(D690,"_",TEXT(M690,"ddmmaaaa"),"_",COUNTIF($D$2:D690,D690))</f>
        <v>223441030001-01_13032026_2</v>
      </c>
      <c r="B690" t="str">
        <f>CONCATENATE(Analise!D690,"_",COUNTIF(Analise!$D$2:D690,Analise!D690)-1)</f>
        <v>223441030001-01_1</v>
      </c>
      <c r="C690" s="34">
        <f>COUNTIF('Obras e Acervos'!$C:$C,CONCATENATE(LEFT(D690,12),RIGHT(D690,2)))</f>
        <v>2</v>
      </c>
      <c r="D690" s="35" t="s">
        <v>4815</v>
      </c>
      <c r="E690" t="str">
        <f>VLOOKUP($B690,'Obras e Acervos'!$B:$X,3,0)</f>
        <v>LUISE BARROS COSTA LIMA-MIL CARAMIOLAS</v>
      </c>
      <c r="F690" t="str">
        <f>VLOOKUP($B690,'Obras e Acervos'!$B:$X,7,0)</f>
        <v>0553L23000030LE</v>
      </c>
      <c r="G690" t="str">
        <f>VLOOKUP($B690,'Obras e Acervos'!$B:$X,5,0)</f>
        <v>UMA ESCOLA LUNÁTICA</v>
      </c>
      <c r="H690">
        <f>VLOOKUP($B690,'Obras e Acervos'!$B:$X,18,0)</f>
        <v>4</v>
      </c>
      <c r="I690">
        <f>VLOOKUP($B690,'Obras e Acervos'!$B:$X,19,0)</f>
        <v>45595</v>
      </c>
      <c r="J690" s="42">
        <f>VLOOKUP($B690,'Obras e Acervos'!$B:$X,20,0)</f>
        <v>5243.4250000000002</v>
      </c>
      <c r="K690" s="31">
        <f>VLOOKUP($B690,'Obras e Acervos'!$B:$X,21,0)</f>
        <v>6.67</v>
      </c>
      <c r="L690" s="31">
        <f t="shared" si="93"/>
        <v>304118.65000000002</v>
      </c>
      <c r="M690" s="1">
        <v>46094</v>
      </c>
      <c r="N690" s="1">
        <f t="shared" si="92"/>
        <v>46305</v>
      </c>
      <c r="O690">
        <f t="shared" si="94"/>
        <v>212</v>
      </c>
      <c r="P690" s="49">
        <f t="shared" si="101"/>
        <v>7.0666666666666664</v>
      </c>
      <c r="Q690" s="34">
        <f>VLOOKUP($G690,Agendamento!$B:$F,5,0)</f>
        <v>8</v>
      </c>
      <c r="R690" s="36">
        <f t="shared" si="95"/>
        <v>46</v>
      </c>
      <c r="S690" s="44">
        <v>2.5499999999999998</v>
      </c>
      <c r="T690" s="44">
        <f t="shared" si="96"/>
        <v>24867.599999999999</v>
      </c>
      <c r="U690" t="s">
        <v>5538</v>
      </c>
      <c r="V690" t="str">
        <f t="shared" si="97"/>
        <v>NF/64374799_20260313_nf_07.pdf</v>
      </c>
      <c r="W690" s="32" t="str">
        <f t="shared" si="102"/>
        <v>NF - UMA ESCOLA LUNÁTICA</v>
      </c>
      <c r="X690" t="s">
        <v>5591</v>
      </c>
    </row>
    <row r="691" spans="1:24" x14ac:dyDescent="0.25">
      <c r="A691" t="str">
        <f>CONCATENATE(D691,"_",TEXT(M691,"ddmmaaaa"),"_",COUNTIF($D$2:D691,D691))</f>
        <v>047761360001-49_13032026_1</v>
      </c>
      <c r="B691" t="str">
        <f>CONCATENATE(Analise!D691,"_",COUNTIF(Analise!$D$2:D691,Analise!D691))</f>
        <v>047761360001-49_1</v>
      </c>
      <c r="C691" s="34">
        <f>COUNTIF('Obras e Acervos'!$C:$C,CONCATENATE(LEFT(D691,12),RIGHT(D691,2)))</f>
        <v>1</v>
      </c>
      <c r="D691" s="35" t="s">
        <v>4894</v>
      </c>
      <c r="E691" t="str">
        <f>VLOOKUP($B691,'Obras e Acervos'!$B:$X,3,0)</f>
        <v>MORALES PERLINGEIRO EDITORA E ASSESSORIA LTDA-MEMÓRIA VISUAL</v>
      </c>
      <c r="F691" t="str">
        <f>VLOOKUP($B691,'Obras e Acervos'!$B:$X,7,0)</f>
        <v>1324L23000020LE</v>
      </c>
      <c r="G691" t="str">
        <f>VLOOKUP($B691,'Obras e Acervos'!$B:$X,5,0)</f>
        <v>ZAP DO OLIMPO. E SE OS DEUSES GREGOS TIVESSEM CELULAR?</v>
      </c>
      <c r="H691">
        <f>VLOOKUP($B691,'Obras e Acervos'!$B:$X,18,0)</f>
        <v>20</v>
      </c>
      <c r="I691">
        <f>VLOOKUP($B691,'Obras e Acervos'!$B:$X,19,0)</f>
        <v>115538</v>
      </c>
      <c r="J691" s="42">
        <f>VLOOKUP($B691,'Obras e Acervos'!$B:$X,20,0)</f>
        <v>19641.460000000003</v>
      </c>
      <c r="K691" s="31">
        <f>VLOOKUP($B691,'Obras e Acervos'!$B:$X,21,0)</f>
        <v>6.49</v>
      </c>
      <c r="L691" s="31">
        <f t="shared" si="93"/>
        <v>749841.62</v>
      </c>
      <c r="M691" s="1">
        <v>46094</v>
      </c>
      <c r="N691" s="1">
        <f t="shared" si="92"/>
        <v>46305</v>
      </c>
      <c r="O691">
        <f t="shared" si="94"/>
        <v>212</v>
      </c>
      <c r="P691" s="49">
        <f t="shared" si="101"/>
        <v>7.0666666666666664</v>
      </c>
      <c r="Q691" s="34">
        <f>VLOOKUP($G691,Agendamento!$B:$F,5,0)</f>
        <v>20</v>
      </c>
      <c r="R691" s="36">
        <f t="shared" si="95"/>
        <v>116</v>
      </c>
      <c r="S691" s="44">
        <v>2.5499999999999998</v>
      </c>
      <c r="T691" s="44">
        <f t="shared" si="96"/>
        <v>62709.599999999999</v>
      </c>
      <c r="U691" t="s">
        <v>5539</v>
      </c>
      <c r="V691" t="str">
        <f t="shared" si="97"/>
        <v>NF/64374799_20260313_nf_08.pdf</v>
      </c>
      <c r="W691" s="32" t="str">
        <f t="shared" si="102"/>
        <v>NF - ZAP DO OLIMPO. E SE OS DEUSES GREGOS TIVESSEM CELULAR?</v>
      </c>
      <c r="X691" t="s">
        <v>5591</v>
      </c>
    </row>
    <row r="692" spans="1:24" x14ac:dyDescent="0.25">
      <c r="A692" t="str">
        <f>CONCATENATE(D692,"_",TEXT(M692,"ddmmaaaa"),"_",COUNTIF($D$2:D692,D692))</f>
        <v>442293190001-69_13032026_2</v>
      </c>
      <c r="B692" t="str">
        <f>CONCATENATE(Analise!D692,"_",COUNTIF(Analise!$D$2:D692,Analise!D692)-1)</f>
        <v>442293190001-69_1</v>
      </c>
      <c r="C692" s="34">
        <f>COUNTIF('Obras e Acervos'!$C:$C,CONCATENATE(LEFT(D692,12),RIGHT(D692,2)))</f>
        <v>2</v>
      </c>
      <c r="D692" s="35" t="s">
        <v>4820</v>
      </c>
      <c r="E692" t="str">
        <f>VLOOKUP($B692,'Obras e Acervos'!$B:$X,3,0)</f>
        <v>CHUÁ EDITORA LTDA.-CHUÁ</v>
      </c>
      <c r="F692" t="str">
        <f>VLOOKUP($B692,'Obras e Acervos'!$B:$X,7,0)</f>
        <v>1236L23000030LE</v>
      </c>
      <c r="G692" t="str">
        <f>VLOOKUP($B692,'Obras e Acervos'!$B:$X,5,0)</f>
        <v>GRETA E OS GIGANTES: INSPIRADO NA LUTA DE GRETA THUNBERG PARA SALVAR O PLANETA</v>
      </c>
      <c r="H692">
        <f>VLOOKUP($B692,'Obras e Acervos'!$B:$X,18,0)</f>
        <v>7</v>
      </c>
      <c r="I692">
        <f>VLOOKUP($B692,'Obras e Acervos'!$B:$X,19,0)</f>
        <v>40873</v>
      </c>
      <c r="J692" s="42">
        <f>VLOOKUP($B692,'Obras e Acervos'!$B:$X,20,0)</f>
        <v>3147.221</v>
      </c>
      <c r="K692" s="31">
        <f>VLOOKUP($B692,'Obras e Acervos'!$B:$X,21,0)</f>
        <v>5.43</v>
      </c>
      <c r="L692" s="31">
        <f t="shared" si="93"/>
        <v>221940.38999999998</v>
      </c>
      <c r="M692" s="1">
        <v>46094</v>
      </c>
      <c r="N692" s="1">
        <f t="shared" si="92"/>
        <v>46305</v>
      </c>
      <c r="O692">
        <f t="shared" si="94"/>
        <v>212</v>
      </c>
      <c r="P692" s="49">
        <f t="shared" si="101"/>
        <v>7.0666666666666664</v>
      </c>
      <c r="Q692" s="34">
        <f>VLOOKUP($G692,Agendamento!$B:$F,5,0)</f>
        <v>5</v>
      </c>
      <c r="R692" s="36">
        <f t="shared" si="95"/>
        <v>41</v>
      </c>
      <c r="S692" s="44">
        <v>2.5499999999999998</v>
      </c>
      <c r="T692" s="44">
        <f t="shared" si="96"/>
        <v>22164.6</v>
      </c>
      <c r="U692" t="s">
        <v>5547</v>
      </c>
      <c r="V692" t="str">
        <f t="shared" si="97"/>
        <v>NF/64374799_20260313_nf_09.pdf</v>
      </c>
      <c r="W692" s="32" t="str">
        <f t="shared" si="102"/>
        <v>NF - GRETA E OS GIGANTES: INSPIRADO NA LUTA DE GRETA THUNBERG PARA SALVAR O PLANETA</v>
      </c>
      <c r="X692" t="s">
        <v>5591</v>
      </c>
    </row>
    <row r="693" spans="1:24" x14ac:dyDescent="0.25">
      <c r="A693" t="str">
        <f>CONCATENATE(D693,"_",TEXT(M693,"ddmmaaaa"),"_",COUNTIF($D$2:D693,D693))</f>
        <v>439541750001-40_13032026_2</v>
      </c>
      <c r="B693" t="str">
        <f>CONCATENATE(Analise!D693,"_",COUNTIF(Analise!$D$2:D693,Analise!D693)-1)</f>
        <v>439541750001-40_1</v>
      </c>
      <c r="C693" s="34">
        <f>COUNTIF('Obras e Acervos'!$C:$C,CONCATENATE(LEFT(D693,12),RIGHT(D693,2)))</f>
        <v>2</v>
      </c>
      <c r="D693" s="35" t="s">
        <v>4719</v>
      </c>
      <c r="E693" t="str">
        <f>VLOOKUP($B693,'Obras e Acervos'!$B:$X,3,0)</f>
        <v>EDITORA PINGO DE LUZ LTDA-LARISSA KOROVAEFF</v>
      </c>
      <c r="F693" t="str">
        <f>VLOOKUP($B693,'Obras e Acervos'!$B:$X,7,0)</f>
        <v>0825L23000030LE</v>
      </c>
      <c r="G693" t="str">
        <f>VLOOKUP($B693,'Obras e Acervos'!$B:$X,5,0)</f>
        <v>O LIVRO ESCRITO POR KIBO</v>
      </c>
      <c r="H693">
        <f>VLOOKUP($B693,'Obras e Acervos'!$B:$X,18,0)</f>
        <v>6</v>
      </c>
      <c r="I693">
        <f>VLOOKUP($B693,'Obras e Acervos'!$B:$X,19,0)</f>
        <v>35992</v>
      </c>
      <c r="J693" s="42">
        <f>VLOOKUP($B693,'Obras e Acervos'!$B:$X,20,0)</f>
        <v>2735.3919999999998</v>
      </c>
      <c r="K693" s="31">
        <f>VLOOKUP($B693,'Obras e Acervos'!$B:$X,21,0)</f>
        <v>5.87</v>
      </c>
      <c r="L693" s="31">
        <f t="shared" si="93"/>
        <v>211273.04</v>
      </c>
      <c r="M693" s="1">
        <v>46094</v>
      </c>
      <c r="N693" s="1">
        <f t="shared" si="92"/>
        <v>46305</v>
      </c>
      <c r="O693">
        <f t="shared" si="94"/>
        <v>212</v>
      </c>
      <c r="P693" s="49">
        <f t="shared" si="101"/>
        <v>7.0666666666666664</v>
      </c>
      <c r="Q693" s="34">
        <f>VLOOKUP($G693,Agendamento!$B:$F,5,0)</f>
        <v>4</v>
      </c>
      <c r="R693" s="36">
        <f t="shared" si="95"/>
        <v>36</v>
      </c>
      <c r="S693" s="44">
        <v>2.5499999999999998</v>
      </c>
      <c r="T693" s="44">
        <f t="shared" si="96"/>
        <v>19461.599999999999</v>
      </c>
      <c r="U693" t="s">
        <v>5544</v>
      </c>
      <c r="V693" t="str">
        <f t="shared" si="97"/>
        <v>NF/64374799_20260313_nf_10.pdf</v>
      </c>
      <c r="W693" s="32" t="str">
        <f t="shared" si="102"/>
        <v>NF - O LIVRO ESCRITO POR KIBO</v>
      </c>
      <c r="X693" t="s">
        <v>5591</v>
      </c>
    </row>
    <row r="694" spans="1:24" x14ac:dyDescent="0.25">
      <c r="A694" t="str">
        <f>CONCATENATE(D694,"_",TEXT(M694,"ddmmaaaa"),"_",COUNTIF($D$2:D694,D694))</f>
        <v>126591980001-07_13032026_1</v>
      </c>
      <c r="B694" t="str">
        <f>CONCATENATE(Analise!D694,"_",COUNTIF(Analise!$D$2:D694,Analise!D694))</f>
        <v>126591980001-07_1</v>
      </c>
      <c r="C694" s="34">
        <f>COUNTIF('Obras e Acervos'!$C:$C,CONCATENATE(LEFT(D694,12),RIGHT(D694,2)))</f>
        <v>1</v>
      </c>
      <c r="D694" s="35" t="s">
        <v>4895</v>
      </c>
      <c r="E694" t="str">
        <f>VLOOKUP($B694,'Obras e Acervos'!$B:$X,3,0)</f>
        <v>EDITORA VERMELHO MARINHO USINA DE LETRAS LTDA.-VERMELHO MARINHO</v>
      </c>
      <c r="F694" t="str">
        <f>VLOOKUP($B694,'Obras e Acervos'!$B:$X,7,0)</f>
        <v>1309L23000020LE</v>
      </c>
      <c r="G694" t="str">
        <f>VLOOKUP($B694,'Obras e Acervos'!$B:$X,5,0)</f>
        <v>ESPINAFRA</v>
      </c>
      <c r="H694">
        <f>VLOOKUP($B694,'Obras e Acervos'!$B:$X,18,0)</f>
        <v>14</v>
      </c>
      <c r="I694">
        <f>VLOOKUP($B694,'Obras e Acervos'!$B:$X,19,0)</f>
        <v>23849</v>
      </c>
      <c r="J694" s="42">
        <f>VLOOKUP($B694,'Obras e Acervos'!$B:$X,20,0)</f>
        <v>1907.92</v>
      </c>
      <c r="K694" s="31">
        <f>VLOOKUP($B694,'Obras e Acervos'!$B:$X,21,0)</f>
        <v>6.57</v>
      </c>
      <c r="L694" s="31">
        <f t="shared" si="93"/>
        <v>156687.93</v>
      </c>
      <c r="M694" s="1">
        <v>46094</v>
      </c>
      <c r="N694" s="1">
        <f t="shared" si="92"/>
        <v>46305</v>
      </c>
      <c r="O694">
        <f t="shared" si="94"/>
        <v>212</v>
      </c>
      <c r="P694" s="49">
        <f t="shared" si="101"/>
        <v>7.0666666666666664</v>
      </c>
      <c r="Q694" s="34">
        <f>VLOOKUP($G694,Agendamento!$B:$F,5,0)</f>
        <v>3</v>
      </c>
      <c r="R694" s="36">
        <f t="shared" si="95"/>
        <v>24</v>
      </c>
      <c r="S694" s="44">
        <v>2.5499999999999998</v>
      </c>
      <c r="T694" s="44">
        <f t="shared" si="96"/>
        <v>12974.4</v>
      </c>
      <c r="U694" t="s">
        <v>5541</v>
      </c>
      <c r="V694" t="str">
        <f t="shared" si="97"/>
        <v>NF/64374799_20260313_nf_11.pdf</v>
      </c>
      <c r="W694" s="32" t="str">
        <f t="shared" si="102"/>
        <v>NF - ESPINAFRA</v>
      </c>
      <c r="X694" t="s">
        <v>5591</v>
      </c>
    </row>
    <row r="695" spans="1:24" x14ac:dyDescent="0.25">
      <c r="A695" t="str">
        <f>CONCATENATE(D695,"_",TEXT(M695,"ddmmaaaa"),"_",COUNTIF($D$2:D695,D695))</f>
        <v>442288440001-60_13032026_1</v>
      </c>
      <c r="B695" t="str">
        <f>CONCATENATE(Analise!D695,"_",COUNTIF(Analise!$D$2:D695,Analise!D695))</f>
        <v>442288440001-60_1</v>
      </c>
      <c r="C695" s="34">
        <f>COUNTIF('Obras e Acervos'!$C:$C,CONCATENATE(LEFT(D695,12),RIGHT(D695,2)))</f>
        <v>2</v>
      </c>
      <c r="D695" s="35" t="s">
        <v>4893</v>
      </c>
      <c r="E695" t="str">
        <f>VLOOKUP($B695,'Obras e Acervos'!$B:$X,3,0)</f>
        <v>BORALÁ EDITORA LTDA.-BORALÁ</v>
      </c>
      <c r="F695" t="str">
        <f>VLOOKUP($B695,'Obras e Acervos'!$B:$X,7,0)</f>
        <v>1246L23000030LE</v>
      </c>
      <c r="G695" t="str">
        <f>VLOOKUP($B695,'Obras e Acervos'!$B:$X,5,0)</f>
        <v>QUEM NUNCA COMEU UM BOMBOM DE OLHOS FECHADOS?</v>
      </c>
      <c r="H695">
        <f>VLOOKUP($B695,'Obras e Acervos'!$B:$X,18,0)</f>
        <v>7</v>
      </c>
      <c r="I695">
        <f>VLOOKUP($B695,'Obras e Acervos'!$B:$X,19,0)</f>
        <v>36176</v>
      </c>
      <c r="J695" s="42">
        <f>VLOOKUP($B695,'Obras e Acervos'!$B:$X,20,0)</f>
        <v>2785.5520000000001</v>
      </c>
      <c r="K695" s="31">
        <f>VLOOKUP($B695,'Obras e Acervos'!$B:$X,21,0)</f>
        <v>5.87</v>
      </c>
      <c r="L695" s="31">
        <f t="shared" si="93"/>
        <v>212353.12</v>
      </c>
      <c r="M695" s="1">
        <v>46094</v>
      </c>
      <c r="N695" s="1">
        <f t="shared" si="92"/>
        <v>46305</v>
      </c>
      <c r="O695">
        <f t="shared" si="94"/>
        <v>212</v>
      </c>
      <c r="P695" s="49">
        <f t="shared" si="101"/>
        <v>7.0666666666666664</v>
      </c>
      <c r="Q695" s="34">
        <f>VLOOKUP($G695,Agendamento!$B:$F,5,0)</f>
        <v>4</v>
      </c>
      <c r="R695" s="36">
        <f t="shared" si="95"/>
        <v>37</v>
      </c>
      <c r="S695" s="44">
        <v>2.5499999999999998</v>
      </c>
      <c r="T695" s="44">
        <f t="shared" si="96"/>
        <v>20002.199999999997</v>
      </c>
      <c r="U695" t="s">
        <v>5534</v>
      </c>
      <c r="V695" t="str">
        <f t="shared" si="97"/>
        <v>NF/64374799_20260313_nf_12.pdf</v>
      </c>
      <c r="W695" s="32" t="str">
        <f t="shared" si="102"/>
        <v>NF - QUEM NUNCA COMEU UM BOMBOM DE OLHOS FECHADOS?</v>
      </c>
      <c r="X695" t="s">
        <v>5591</v>
      </c>
    </row>
    <row r="696" spans="1:24" x14ac:dyDescent="0.25">
      <c r="A696" t="str">
        <f>CONCATENATE(D696,"_",TEXT(M696,"ddmmaaaa"),"_",COUNTIF($D$2:D696,D696))</f>
        <v>898407970001-49_13032026_2</v>
      </c>
      <c r="B696" t="str">
        <f>CONCATENATE(Analise!D696,"_",COUNTIF(Analise!$D$2:D696,Analise!D696)-1)</f>
        <v>898407970001-49_1</v>
      </c>
      <c r="C696" s="34">
        <f>COUNTIF('Obras e Acervos'!$C:$C,CONCATENATE(LEFT(D696,12),RIGHT(D696,2)))</f>
        <v>2</v>
      </c>
      <c r="D696" s="35" t="s">
        <v>4808</v>
      </c>
      <c r="E696" t="str">
        <f>VLOOKUP($B696,'Obras e Acervos'!$B:$X,3,0)</f>
        <v>GRÁFICA E EDITORA COMUNICAÇÃO IMPRESSA LTDA-COMUNICAÇÃO IMPRESSA</v>
      </c>
      <c r="F696" t="str">
        <f>VLOOKUP($B696,'Obras e Acervos'!$B:$X,7,0)</f>
        <v>0761L23000030LE</v>
      </c>
      <c r="G696" t="str">
        <f>VLOOKUP($B696,'Obras e Acervos'!$B:$X,5,0)</f>
        <v>UM FIO DE AMIZADE</v>
      </c>
      <c r="H696">
        <f>VLOOKUP($B696,'Obras e Acervos'!$B:$X,18,0)</f>
        <v>4</v>
      </c>
      <c r="I696">
        <f>VLOOKUP($B696,'Obras e Acervos'!$B:$X,19,0)</f>
        <v>51186</v>
      </c>
      <c r="J696" s="42">
        <f>VLOOKUP($B696,'Obras e Acervos'!$B:$X,20,0)</f>
        <v>3583.0200000000004</v>
      </c>
      <c r="K696" s="31">
        <f>VLOOKUP($B696,'Obras e Acervos'!$B:$X,21,0)</f>
        <v>4.63</v>
      </c>
      <c r="L696" s="31">
        <f t="shared" si="93"/>
        <v>236991.18</v>
      </c>
      <c r="M696" s="1">
        <v>46094</v>
      </c>
      <c r="N696" s="1">
        <f t="shared" si="92"/>
        <v>46305</v>
      </c>
      <c r="O696">
        <f t="shared" si="94"/>
        <v>212</v>
      </c>
      <c r="P696" s="49">
        <f t="shared" si="101"/>
        <v>7.0666666666666664</v>
      </c>
      <c r="Q696" s="34">
        <f>VLOOKUP($G696,Agendamento!$B:$F,5,0)</f>
        <v>6</v>
      </c>
      <c r="R696" s="36">
        <f t="shared" si="95"/>
        <v>52</v>
      </c>
      <c r="S696" s="44">
        <v>2.5499999999999998</v>
      </c>
      <c r="T696" s="44">
        <f t="shared" si="96"/>
        <v>28111.199999999997</v>
      </c>
      <c r="U696" t="s">
        <v>5549</v>
      </c>
      <c r="V696" t="str">
        <f t="shared" si="97"/>
        <v>NF/64374799_20260313_nf_13.pdf</v>
      </c>
      <c r="W696" s="32" t="str">
        <f t="shared" si="102"/>
        <v>NF - UM FIO DE AMIZADE</v>
      </c>
      <c r="X696" t="s">
        <v>5591</v>
      </c>
    </row>
    <row r="697" spans="1:24" x14ac:dyDescent="0.25">
      <c r="A697" t="str">
        <f>CONCATENATE(D697,"_",TEXT(M697,"ddmmaaaa"),"_",COUNTIF($D$2:D697,D697))</f>
        <v>438852910001-55_13032026_1</v>
      </c>
      <c r="B697" t="str">
        <f>CONCATENATE(Analise!D697,"_",COUNTIF(Analise!$D$2:D697,Analise!D697)+1)</f>
        <v>438852910001-55_2</v>
      </c>
      <c r="C697" s="34">
        <f>COUNTIF('Obras e Acervos'!$C:$C,CONCATENATE(LEFT(D697,12),RIGHT(D697,2)))</f>
        <v>2</v>
      </c>
      <c r="D697" s="35" t="s">
        <v>4900</v>
      </c>
      <c r="E697" t="str">
        <f>VLOOKUP($B697,'Obras e Acervos'!$B:$X,3,0)</f>
        <v>EDITORA BRINCANTE LTDA-BRINCANTE</v>
      </c>
      <c r="F697" t="str">
        <f>VLOOKUP($B697,'Obras e Acervos'!$B:$X,7,0)</f>
        <v>1061L23000020LE</v>
      </c>
      <c r="G697" t="str">
        <f>VLOOKUP($B697,'Obras e Acervos'!$B:$X,5,0)</f>
        <v>DUDA CATA TUDO</v>
      </c>
      <c r="H697">
        <f>VLOOKUP($B697,'Obras e Acervos'!$B:$X,18,0)</f>
        <v>14</v>
      </c>
      <c r="I697">
        <f>VLOOKUP($B697,'Obras e Acervos'!$B:$X,19,0)</f>
        <v>24501</v>
      </c>
      <c r="J697" s="42">
        <f>VLOOKUP($B697,'Obras e Acervos'!$B:$X,20,0)</f>
        <v>3185.13</v>
      </c>
      <c r="K697" s="31">
        <f>VLOOKUP($B697,'Obras e Acervos'!$B:$X,21,0)</f>
        <v>7.47</v>
      </c>
      <c r="L697" s="31">
        <f t="shared" si="93"/>
        <v>183022.47</v>
      </c>
      <c r="M697" s="1">
        <v>46094</v>
      </c>
      <c r="N697" s="1">
        <f t="shared" si="92"/>
        <v>46305</v>
      </c>
      <c r="O697">
        <f t="shared" si="94"/>
        <v>212</v>
      </c>
      <c r="P697" s="49">
        <f t="shared" si="101"/>
        <v>7.0666666666666664</v>
      </c>
      <c r="Q697" s="34">
        <f>VLOOKUP($G697,Agendamento!$B:$F,5,0)</f>
        <v>4</v>
      </c>
      <c r="R697" s="36">
        <f t="shared" si="95"/>
        <v>25</v>
      </c>
      <c r="S697" s="44">
        <v>2.5499999999999998</v>
      </c>
      <c r="T697" s="44">
        <f t="shared" si="96"/>
        <v>13514.999999999998</v>
      </c>
      <c r="U697" t="s">
        <v>5551</v>
      </c>
      <c r="V697" t="str">
        <f t="shared" si="97"/>
        <v>NF/64374799_20260313_nf_14.pdf</v>
      </c>
      <c r="W697" s="32" t="str">
        <f t="shared" si="102"/>
        <v>NF - DUDA CATA TUDO</v>
      </c>
      <c r="X697" t="s">
        <v>5591</v>
      </c>
    </row>
    <row r="698" spans="1:24" x14ac:dyDescent="0.25">
      <c r="A698" t="str">
        <f>CONCATENATE(D698,"_",TEXT(M698,"ddmmaaaa"),"_",COUNTIF($D$2:D698,D698))</f>
        <v>029760330001-05_13032026_2</v>
      </c>
      <c r="B698" t="str">
        <f>CONCATENATE(Analise!D698,"_",COUNTIF(Analise!$D$2:D698,Analise!D698))</f>
        <v>029760330001-05_2</v>
      </c>
      <c r="C698" s="34">
        <f>COUNTIF('Obras e Acervos'!$C:$C,CONCATENATE(LEFT(D698,12),RIGHT(D698,2)))</f>
        <v>2</v>
      </c>
      <c r="D698" s="35" t="s">
        <v>4766</v>
      </c>
      <c r="E698" t="str">
        <f>VLOOKUP($B698,'Obras e Acervos'!$B:$X,3,0)</f>
        <v>CARRION CARRACEDO LTDA - EPP-ENTRELINHAS EDITORA</v>
      </c>
      <c r="F698" t="str">
        <f>VLOOKUP($B698,'Obras e Acervos'!$B:$X,7,0)</f>
        <v>1119L23000020LE</v>
      </c>
      <c r="G698" t="str">
        <f>VLOOKUP($B698,'Obras e Acervos'!$B:$X,5,0)</f>
        <v>PANTANIMAIS</v>
      </c>
      <c r="H698">
        <f>VLOOKUP($B698,'Obras e Acervos'!$B:$X,18,0)</f>
        <v>20</v>
      </c>
      <c r="I698">
        <f>VLOOKUP($B698,'Obras e Acervos'!$B:$X,19,0)</f>
        <v>26804</v>
      </c>
      <c r="J698" s="42">
        <f>VLOOKUP($B698,'Obras e Acervos'!$B:$X,20,0)</f>
        <v>5119.5640000000003</v>
      </c>
      <c r="K698" s="31">
        <f>VLOOKUP($B698,'Obras e Acervos'!$B:$X,21,0)</f>
        <v>11.14</v>
      </c>
      <c r="L698" s="31">
        <f t="shared" si="93"/>
        <v>298596.56</v>
      </c>
      <c r="M698" s="1">
        <v>46094</v>
      </c>
      <c r="N698" s="1">
        <f t="shared" si="92"/>
        <v>46305</v>
      </c>
      <c r="O698">
        <f t="shared" si="94"/>
        <v>212</v>
      </c>
      <c r="P698" s="49">
        <f t="shared" si="101"/>
        <v>7.0666666666666664</v>
      </c>
      <c r="Q698" s="34">
        <f>VLOOKUP($G698,Agendamento!$B:$F,5,0)</f>
        <v>5</v>
      </c>
      <c r="R698" s="36">
        <f t="shared" si="95"/>
        <v>27</v>
      </c>
      <c r="S698" s="44">
        <v>2.5499999999999998</v>
      </c>
      <c r="T698" s="44">
        <f t="shared" si="96"/>
        <v>14596.199999999999</v>
      </c>
      <c r="U698" t="s">
        <v>5536</v>
      </c>
      <c r="V698" t="str">
        <f t="shared" si="97"/>
        <v>NF/64374799_20260313_nf_15.pdf</v>
      </c>
      <c r="W698" s="32" t="str">
        <f t="shared" si="102"/>
        <v>NF - PANTANIMAIS</v>
      </c>
      <c r="X698" t="s">
        <v>5591</v>
      </c>
    </row>
    <row r="699" spans="1:24" x14ac:dyDescent="0.25">
      <c r="A699" t="str">
        <f>CONCATENATE(D699,"_",TEXT(M699,"ddmmaaaa"),"_",COUNTIF($D$2:D699,D699))</f>
        <v>438870180001-60_13032026_2</v>
      </c>
      <c r="B699" t="str">
        <f>CONCATENATE(Analise!D699,"_",COUNTIF(Analise!$D$2:D699,Analise!D699))</f>
        <v>438870180001-60_2</v>
      </c>
      <c r="C699" s="34">
        <f>COUNTIF('Obras e Acervos'!$C:$C,CONCATENATE(LEFT(D699,12),RIGHT(D699,2)))</f>
        <v>2</v>
      </c>
      <c r="D699" s="35" t="s">
        <v>4709</v>
      </c>
      <c r="E699" t="str">
        <f>VLOOKUP($B699,'Obras e Acervos'!$B:$X,3,0)</f>
        <v>EDITORA ZIG-ZAG LTDA-ZIG-ZAG</v>
      </c>
      <c r="F699" t="str">
        <f>VLOOKUP($B699,'Obras e Acervos'!$B:$X,7,0)</f>
        <v>1074L23000020LE</v>
      </c>
      <c r="G699" t="str">
        <f>VLOOKUP($B699,'Obras e Acervos'!$B:$X,5,0)</f>
        <v>CORDELINHO</v>
      </c>
      <c r="H699">
        <f>VLOOKUP($B699,'Obras e Acervos'!$B:$X,18,0)</f>
        <v>13</v>
      </c>
      <c r="I699">
        <f>VLOOKUP($B699,'Obras e Acervos'!$B:$X,19,0)</f>
        <v>31181</v>
      </c>
      <c r="J699" s="42">
        <f>VLOOKUP($B699,'Obras e Acervos'!$B:$X,20,0)</f>
        <v>5643.7609999999995</v>
      </c>
      <c r="K699" s="31">
        <f>VLOOKUP($B699,'Obras e Acervos'!$B:$X,21,0)</f>
        <v>10.18</v>
      </c>
      <c r="L699" s="31">
        <f t="shared" si="93"/>
        <v>317422.58</v>
      </c>
      <c r="M699" s="1">
        <v>46094</v>
      </c>
      <c r="N699" s="1">
        <f t="shared" si="92"/>
        <v>46305</v>
      </c>
      <c r="O699">
        <f t="shared" si="94"/>
        <v>212</v>
      </c>
      <c r="P699" s="49">
        <f t="shared" si="101"/>
        <v>7.0666666666666664</v>
      </c>
      <c r="Q699" s="34">
        <f>VLOOKUP($G699,Agendamento!$B:$F,5,0)</f>
        <v>8</v>
      </c>
      <c r="R699" s="36">
        <f t="shared" si="95"/>
        <v>32</v>
      </c>
      <c r="S699" s="44">
        <v>2.5499999999999998</v>
      </c>
      <c r="T699" s="44">
        <f t="shared" si="96"/>
        <v>17299.199999999997</v>
      </c>
      <c r="U699" t="s">
        <v>5546</v>
      </c>
      <c r="V699" t="str">
        <f t="shared" si="97"/>
        <v>NF/64374799_20260313_nf_17.pdf</v>
      </c>
      <c r="W699" s="32" t="str">
        <f t="shared" si="102"/>
        <v>NF - CORDELINHO</v>
      </c>
      <c r="X699" t="s">
        <v>5591</v>
      </c>
    </row>
    <row r="700" spans="1:24" x14ac:dyDescent="0.25">
      <c r="A700" t="str">
        <f>CONCATENATE(D700,"_",TEXT(M700,"ddmmaaaa"),"_",COUNTIF($D$2:D700,D700))</f>
        <v>239672560001-78_13032026_1</v>
      </c>
      <c r="B700" t="str">
        <f>CONCATENATE(Analise!D700,"_",COUNTIF(Analise!$D$2:D700,Analise!D700))</f>
        <v>239672560001-78_1</v>
      </c>
      <c r="C700" s="34">
        <f>COUNTIF('Obras e Acervos'!$C:$C,CONCATENATE(LEFT(D700,12),RIGHT(D700,2)))</f>
        <v>2</v>
      </c>
      <c r="D700" s="35" t="s">
        <v>4898</v>
      </c>
      <c r="E700" t="str">
        <f>VLOOKUP($B700,'Obras e Acervos'!$B:$X,3,0)</f>
        <v>TRIOLECA CASA EDITORIAL LTDA.-TRIOLECA CASA EDITORIAL</v>
      </c>
      <c r="F700" t="str">
        <f>VLOOKUP($B700,'Obras e Acervos'!$B:$X,7,0)</f>
        <v>0744L23000030LE</v>
      </c>
      <c r="G700" t="str">
        <f>VLOOKUP($B700,'Obras e Acervos'!$B:$X,5,0)</f>
        <v>AS PALAVRAS DE BIANCA SÃO BORBOLETAS</v>
      </c>
      <c r="H700">
        <f>VLOOKUP($B700,'Obras e Acervos'!$B:$X,18,0)</f>
        <v>3</v>
      </c>
      <c r="I700">
        <f>VLOOKUP($B700,'Obras e Acervos'!$B:$X,19,0)</f>
        <v>48730</v>
      </c>
      <c r="J700" s="42">
        <f>VLOOKUP($B700,'Obras e Acervos'!$B:$X,20,0)</f>
        <v>8771.4</v>
      </c>
      <c r="K700" s="31">
        <f>VLOOKUP($B700,'Obras e Acervos'!$B:$X,21,0)</f>
        <v>5.12</v>
      </c>
      <c r="L700" s="31">
        <f t="shared" si="93"/>
        <v>249497.60000000001</v>
      </c>
      <c r="M700" s="1">
        <v>46094</v>
      </c>
      <c r="N700" s="1">
        <f t="shared" si="92"/>
        <v>46305</v>
      </c>
      <c r="O700">
        <f t="shared" si="94"/>
        <v>212</v>
      </c>
      <c r="P700" s="49">
        <f t="shared" si="101"/>
        <v>7.0666666666666664</v>
      </c>
      <c r="Q700" s="34">
        <f>VLOOKUP($G700,Agendamento!$B:$F,5,0)</f>
        <v>6</v>
      </c>
      <c r="R700" s="36">
        <f t="shared" si="95"/>
        <v>49</v>
      </c>
      <c r="S700" s="44">
        <v>2.5499999999999998</v>
      </c>
      <c r="T700" s="44">
        <f t="shared" si="96"/>
        <v>26489.399999999998</v>
      </c>
      <c r="U700" t="s">
        <v>5545</v>
      </c>
      <c r="V700" t="str">
        <f t="shared" si="97"/>
        <v>NF/64374799_20260313_nf_19.pdf</v>
      </c>
      <c r="W700" s="32" t="str">
        <f t="shared" si="102"/>
        <v>NF - AS PALAVRAS DE BIANCA SÃO BORBOLETAS</v>
      </c>
      <c r="X700" t="s">
        <v>5591</v>
      </c>
    </row>
    <row r="701" spans="1:24" x14ac:dyDescent="0.25">
      <c r="A701" t="str">
        <f>CONCATENATE(D701,"_",TEXT(M701,"ddmmaaaa"),"_",COUNTIF($D$2:D701,D701))</f>
        <v>581223180001-25_13032026_2</v>
      </c>
      <c r="B701" t="str">
        <f>CONCATENATE(Analise!D701,"_",COUNTIF(Analise!$D$2:D701,Analise!D701)-1)</f>
        <v>581223180001-25_1</v>
      </c>
      <c r="C701" s="34">
        <f>COUNTIF('Obras e Acervos'!$C:$C,CONCATENATE(LEFT(D701,12),RIGHT(D701,2)))</f>
        <v>2</v>
      </c>
      <c r="D701" s="35" t="s">
        <v>4701</v>
      </c>
      <c r="E701" t="str">
        <f>VLOOKUP($B701,'Obras e Acervos'!$B:$X,3,0)</f>
        <v>EDITORA ILUMINURAS LTDA-ILUMINURAS</v>
      </c>
      <c r="F701" t="str">
        <f>VLOOKUP($B701,'Obras e Acervos'!$B:$X,7,0)</f>
        <v>1349L23000030LE</v>
      </c>
      <c r="G701" t="str">
        <f>VLOOKUP($B701,'Obras e Acervos'!$B:$X,5,0)</f>
        <v>CULTURA</v>
      </c>
      <c r="H701">
        <f>VLOOKUP($B701,'Obras e Acervos'!$B:$X,18,0)</f>
        <v>5</v>
      </c>
      <c r="I701">
        <f>VLOOKUP($B701,'Obras e Acervos'!$B:$X,19,0)</f>
        <v>39559</v>
      </c>
      <c r="J701" s="42">
        <f>VLOOKUP($B701,'Obras e Acervos'!$B:$X,20,0)</f>
        <v>3955.9</v>
      </c>
      <c r="K701" s="31">
        <f>VLOOKUP($B701,'Obras e Acervos'!$B:$X,21,0)</f>
        <v>7.54</v>
      </c>
      <c r="L701" s="31">
        <f t="shared" si="93"/>
        <v>298274.86</v>
      </c>
      <c r="M701" s="1">
        <v>46094</v>
      </c>
      <c r="N701" s="1">
        <f t="shared" si="92"/>
        <v>46305</v>
      </c>
      <c r="O701">
        <f t="shared" si="94"/>
        <v>212</v>
      </c>
      <c r="P701" s="49">
        <f t="shared" si="101"/>
        <v>7.0666666666666664</v>
      </c>
      <c r="Q701" s="34">
        <f>VLOOKUP($G701,Agendamento!$B:$F,5,0)</f>
        <v>7</v>
      </c>
      <c r="R701" s="36">
        <f t="shared" si="95"/>
        <v>40</v>
      </c>
      <c r="S701" s="44">
        <v>2.5499999999999998</v>
      </c>
      <c r="T701" s="44">
        <f t="shared" si="96"/>
        <v>21624</v>
      </c>
      <c r="U701" t="s">
        <v>5540</v>
      </c>
      <c r="V701" t="str">
        <f t="shared" si="97"/>
        <v>NF/64374799_20260313_nf_20.pdf</v>
      </c>
      <c r="W701" s="32" t="str">
        <f t="shared" si="102"/>
        <v>NF - CULTURA</v>
      </c>
      <c r="X701" t="s">
        <v>5591</v>
      </c>
    </row>
    <row r="702" spans="1:24" x14ac:dyDescent="0.25">
      <c r="A702" t="str">
        <f>CONCATENATE(D702,"_",TEXT(M702,"ddmmaaaa"),"_",COUNTIF($D$2:D702,D702))</f>
        <v>332237370001-22_13032026_1</v>
      </c>
      <c r="B702" t="str">
        <f>CONCATENATE(Analise!D702,"_",COUNTIF(Analise!$D$2:D702,Analise!D702))</f>
        <v>332237370001-22_1</v>
      </c>
      <c r="C702" s="34">
        <f>COUNTIF('Obras e Acervos'!$C:$C,CONCATENATE(LEFT(D702,12),RIGHT(D702,2)))</f>
        <v>1</v>
      </c>
      <c r="D702" s="35" t="s">
        <v>4897</v>
      </c>
      <c r="E702" t="str">
        <f>VLOOKUP($B702,'Obras e Acervos'!$B:$X,3,0)</f>
        <v>CAMILA WERNER 28178656850-C. WERNER EDITORIAL</v>
      </c>
      <c r="F702" t="str">
        <f>VLOOKUP($B702,'Obras e Acervos'!$B:$X,7,0)</f>
        <v>1360L23000030LE</v>
      </c>
      <c r="G702" t="str">
        <f>VLOOKUP($B702,'Obras e Acervos'!$B:$X,5,0)</f>
        <v>NINGUÉM E EU</v>
      </c>
      <c r="H702">
        <f>VLOOKUP($B702,'Obras e Acervos'!$B:$X,18,0)</f>
        <v>2</v>
      </c>
      <c r="I702">
        <f>VLOOKUP($B702,'Obras e Acervos'!$B:$X,19,0)</f>
        <v>44028</v>
      </c>
      <c r="J702" s="42">
        <f>VLOOKUP($B702,'Obras e Acervos'!$B:$X,20,0)</f>
        <v>4402.8</v>
      </c>
      <c r="K702" s="31">
        <f>VLOOKUP($B702,'Obras e Acervos'!$B:$X,21,0)</f>
        <v>5.07</v>
      </c>
      <c r="L702" s="31">
        <f t="shared" si="93"/>
        <v>223221.96000000002</v>
      </c>
      <c r="M702" s="1">
        <v>46094</v>
      </c>
      <c r="N702" s="1">
        <f t="shared" si="92"/>
        <v>46305</v>
      </c>
      <c r="O702">
        <f t="shared" si="94"/>
        <v>212</v>
      </c>
      <c r="P702" s="49">
        <f t="shared" si="101"/>
        <v>7.0666666666666664</v>
      </c>
      <c r="Q702" s="34">
        <f>VLOOKUP($G702,Agendamento!$B:$F,5,0)</f>
        <v>5</v>
      </c>
      <c r="R702" s="36">
        <f t="shared" si="95"/>
        <v>45</v>
      </c>
      <c r="S702" s="44">
        <v>2.5499999999999998</v>
      </c>
      <c r="T702" s="44">
        <f t="shared" si="96"/>
        <v>24327</v>
      </c>
      <c r="U702" t="s">
        <v>5543</v>
      </c>
      <c r="V702" t="str">
        <f t="shared" si="97"/>
        <v>NF/64374799_20260313_nf_21.pdf</v>
      </c>
      <c r="W702" s="32" t="str">
        <f t="shared" si="102"/>
        <v>NF - NINGUÉM E EU</v>
      </c>
      <c r="X702" t="s">
        <v>5591</v>
      </c>
    </row>
    <row r="703" spans="1:24" x14ac:dyDescent="0.25">
      <c r="A703" t="str">
        <f>CONCATENATE(D703,"_",TEXT(M703,"ddmmaaaa"),"_",COUNTIF($D$2:D703,D703))</f>
        <v>438866840001-83_13032026_2</v>
      </c>
      <c r="B703" t="str">
        <f>CONCATENATE(Analise!D703,"_",COUNTIF(Analise!$D$2:D703,Analise!D703))</f>
        <v>438866840001-83_2</v>
      </c>
      <c r="C703" s="34">
        <f>COUNTIF('Obras e Acervos'!$C:$C,CONCATENATE(LEFT(D703,12),RIGHT(D703,2)))</f>
        <v>2</v>
      </c>
      <c r="D703" s="35" t="s">
        <v>4512</v>
      </c>
      <c r="E703" t="str">
        <f>VLOOKUP($B703,'Obras e Acervos'!$B:$X,3,0)</f>
        <v>EDITORA LULELE LTDA-EDITORA PENSAMENTO LTDA</v>
      </c>
      <c r="F703" t="str">
        <f>VLOOKUP($B703,'Obras e Acervos'!$B:$X,7,0)</f>
        <v>1072L23000020LE</v>
      </c>
      <c r="G703" t="str">
        <f>VLOOKUP($B703,'Obras e Acervos'!$B:$X,5,0)</f>
        <v>A CUTIA QUE VIROU PRINCESA</v>
      </c>
      <c r="H703">
        <f>VLOOKUP($B703,'Obras e Acervos'!$B:$X,18,0)</f>
        <v>18</v>
      </c>
      <c r="I703">
        <f>VLOOKUP($B703,'Obras e Acervos'!$B:$X,19,0)</f>
        <v>26457</v>
      </c>
      <c r="J703" s="42">
        <f>VLOOKUP($B703,'Obras e Acervos'!$B:$X,20,0)</f>
        <v>2777.9849999999997</v>
      </c>
      <c r="K703" s="31">
        <f>VLOOKUP($B703,'Obras e Acervos'!$B:$X,21,0)</f>
        <v>6.45</v>
      </c>
      <c r="L703" s="31">
        <f t="shared" si="93"/>
        <v>170647.65</v>
      </c>
      <c r="M703" s="1">
        <v>46094</v>
      </c>
      <c r="N703" s="1">
        <f t="shared" si="92"/>
        <v>46305</v>
      </c>
      <c r="O703">
        <f t="shared" si="94"/>
        <v>212</v>
      </c>
      <c r="P703" s="49">
        <f t="shared" si="101"/>
        <v>7.0666666666666664</v>
      </c>
      <c r="Q703" s="34">
        <f>VLOOKUP($G703,Agendamento!$B:$F,5,0)</f>
        <v>3</v>
      </c>
      <c r="R703" s="36">
        <f t="shared" si="95"/>
        <v>27</v>
      </c>
      <c r="S703" s="44">
        <v>2.5499999999999998</v>
      </c>
      <c r="T703" s="44">
        <f t="shared" si="96"/>
        <v>14596.199999999999</v>
      </c>
      <c r="U703" t="s">
        <v>5548</v>
      </c>
      <c r="V703" t="str">
        <f t="shared" si="97"/>
        <v>NF/64374799_20260313_nf_22.pdf</v>
      </c>
      <c r="W703" s="32" t="str">
        <f t="shared" si="102"/>
        <v>NF - A CUTIA QUE VIROU PRINCESA</v>
      </c>
      <c r="X703" t="s">
        <v>5591</v>
      </c>
    </row>
    <row r="704" spans="1:24" x14ac:dyDescent="0.25">
      <c r="A704" t="str">
        <f>CONCATENATE(D704,"_",TEXT(M704,"ddmmaaaa"),"_",COUNTIF($D$2:D704,D704))</f>
        <v>556217000001-95_13032026_1</v>
      </c>
      <c r="B704" t="str">
        <f>CONCATENATE(Analise!D704,"_",COUNTIF(Analise!$D$2:D704,Analise!D704))</f>
        <v>556217000001-95_1</v>
      </c>
      <c r="C704" s="34">
        <f>COUNTIF('Obras e Acervos'!$C:$C,CONCATENATE(LEFT(D704,12),RIGHT(D704,2)))</f>
        <v>1</v>
      </c>
      <c r="D704" s="35" t="s">
        <v>4896</v>
      </c>
      <c r="E704" t="str">
        <f>VLOOKUP($B704,'Obras e Acervos'!$B:$X,3,0)</f>
        <v>PUBLICAÇÕES MERCURYO NOVO TEMPO LTDA-MERCURYO JOVEM</v>
      </c>
      <c r="F704" t="str">
        <f>VLOOKUP($B704,'Obras e Acervos'!$B:$X,7,0)</f>
        <v>0373L23000020LE</v>
      </c>
      <c r="G704" t="str">
        <f>VLOOKUP($B704,'Obras e Acervos'!$B:$X,5,0)</f>
        <v>O CAVALEIRO DO SONHO - AS AVENTURAS E DESVENTURAS DE D. QUIXOTE DE LA MANCHA</v>
      </c>
      <c r="H704">
        <f>VLOOKUP($B704,'Obras e Acervos'!$B:$X,18,0)</f>
        <v>17</v>
      </c>
      <c r="I704">
        <f>VLOOKUP($B704,'Obras e Acervos'!$B:$X,19,0)</f>
        <v>29625</v>
      </c>
      <c r="J704" s="42">
        <f>VLOOKUP($B704,'Obras e Acervos'!$B:$X,20,0)</f>
        <v>5243.625</v>
      </c>
      <c r="K704" s="31">
        <f>VLOOKUP($B704,'Obras e Acervos'!$B:$X,21,0)</f>
        <v>9.1199999999999992</v>
      </c>
      <c r="L704" s="31">
        <f t="shared" si="93"/>
        <v>270180</v>
      </c>
      <c r="M704" s="1">
        <v>46094</v>
      </c>
      <c r="N704" s="1">
        <f t="shared" si="92"/>
        <v>46305</v>
      </c>
      <c r="O704">
        <f t="shared" si="94"/>
        <v>212</v>
      </c>
      <c r="P704" s="49">
        <f t="shared" si="101"/>
        <v>7.0666666666666664</v>
      </c>
      <c r="Q704" s="34">
        <f>VLOOKUP($G704,Agendamento!$B:$F,5,0)</f>
        <v>7</v>
      </c>
      <c r="R704" s="36">
        <f t="shared" si="95"/>
        <v>30</v>
      </c>
      <c r="S704" s="44">
        <v>2.5499999999999998</v>
      </c>
      <c r="T704" s="44">
        <f t="shared" si="96"/>
        <v>16217.999999999998</v>
      </c>
      <c r="U704" t="s">
        <v>5542</v>
      </c>
      <c r="V704" t="str">
        <f t="shared" si="97"/>
        <v>NF/64374799_20260313_nf_23.pdf</v>
      </c>
      <c r="W704" s="32" t="str">
        <f t="shared" si="102"/>
        <v>NF - O CAVALEIRO DO SONHO - AS AVENTURAS E DESVENTURAS DE D. QUIXOTE DE LA MANCHA</v>
      </c>
      <c r="X704" t="s">
        <v>5591</v>
      </c>
    </row>
    <row r="705" spans="1:24" x14ac:dyDescent="0.25">
      <c r="A705" t="str">
        <f>CONCATENATE(D705,"_",TEXT(M705,"ddmmaaaa"),"_",COUNTIF($D$2:D705,D705))</f>
        <v>436816100001-00_13032026_2</v>
      </c>
      <c r="B705" t="str">
        <f>CONCATENATE(Analise!D705,"_",COUNTIF(Analise!$D$2:D705,Analise!D705)-1)</f>
        <v>436816100001-00_1</v>
      </c>
      <c r="C705" s="34">
        <f>COUNTIF('Obras e Acervos'!$C:$C,CONCATENATE(LEFT(D705,12),RIGHT(D705,2)))</f>
        <v>2</v>
      </c>
      <c r="D705" s="35" t="s">
        <v>4899</v>
      </c>
      <c r="E705" t="str">
        <f>VLOOKUP($B705,'Obras e Acervos'!$B:$X,3,0)</f>
        <v>EDITORA SORRISO LTDA-EDITORA SORRISO</v>
      </c>
      <c r="F705" t="str">
        <f>VLOOKUP($B705,'Obras e Acervos'!$B:$X,7,0)</f>
        <v>1279L23000030LE</v>
      </c>
      <c r="G705" t="str">
        <f>VLOOKUP($B705,'Obras e Acervos'!$B:$X,5,0)</f>
        <v>MEUS PRIMEIROS CONTOS DE FADAS</v>
      </c>
      <c r="H705">
        <f>VLOOKUP($B705,'Obras e Acervos'!$B:$X,18,0)</f>
        <v>6</v>
      </c>
      <c r="I705">
        <f>VLOOKUP($B705,'Obras e Acervos'!$B:$X,19,0)</f>
        <v>41840</v>
      </c>
      <c r="J705" s="42">
        <f>VLOOKUP($B705,'Obras e Acervos'!$B:$X,20,0)</f>
        <v>9162.9599999999991</v>
      </c>
      <c r="K705" s="31">
        <f>VLOOKUP($B705,'Obras e Acervos'!$B:$X,21,0)</f>
        <v>10.4</v>
      </c>
      <c r="L705" s="31">
        <f t="shared" si="93"/>
        <v>435136</v>
      </c>
      <c r="M705" s="1">
        <v>46094</v>
      </c>
      <c r="N705" s="1">
        <f t="shared" si="92"/>
        <v>46305</v>
      </c>
      <c r="O705">
        <f t="shared" si="94"/>
        <v>212</v>
      </c>
      <c r="P705" s="49">
        <f t="shared" si="101"/>
        <v>7.0666666666666664</v>
      </c>
      <c r="Q705" s="34">
        <f>VLOOKUP($G705,Agendamento!$B:$F,5,0)</f>
        <v>7</v>
      </c>
      <c r="R705" s="36">
        <f t="shared" si="95"/>
        <v>42</v>
      </c>
      <c r="S705" s="44">
        <v>2.5499999999999998</v>
      </c>
      <c r="T705" s="44">
        <f t="shared" si="96"/>
        <v>22705.199999999997</v>
      </c>
      <c r="U705" t="s">
        <v>5550</v>
      </c>
      <c r="V705" t="str">
        <f t="shared" si="97"/>
        <v>NF/64374799_20260313_nf_25.pdf</v>
      </c>
      <c r="W705" s="32" t="str">
        <f t="shared" si="102"/>
        <v>NF - MEUS PRIMEIROS CONTOS DE FADAS</v>
      </c>
      <c r="X705" t="s">
        <v>5591</v>
      </c>
    </row>
    <row r="706" spans="1:24" x14ac:dyDescent="0.25">
      <c r="A706" t="str">
        <f>CONCATENATE(D706,"_",TEXT(M706,"ddmmaaaa"),"_",COUNTIF($D$2:D706,D706))</f>
        <v>239672560001-78_16032026_2</v>
      </c>
      <c r="B706" t="str">
        <f>CONCATENATE(Analise!D706,"_",COUNTIF(Analise!$D$2:D706,Analise!D706))</f>
        <v>239672560001-78_2</v>
      </c>
      <c r="C706" s="34">
        <f>COUNTIF('Obras e Acervos'!$C:$C,CONCATENATE(LEFT(D706,12),RIGHT(D706,2)))</f>
        <v>2</v>
      </c>
      <c r="D706" s="35" t="s">
        <v>4898</v>
      </c>
      <c r="E706" t="str">
        <f>VLOOKUP($B706,'Obras e Acervos'!$B:$X,3,0)</f>
        <v>TRIOLECA CASA EDITORIAL LTDA.-TRIOLECA CASA EDITORIAL</v>
      </c>
      <c r="F706" t="str">
        <f>VLOOKUP($B706,'Obras e Acervos'!$B:$X,7,0)</f>
        <v>0745L23000020LE</v>
      </c>
      <c r="G706" t="str">
        <f>VLOOKUP($B706,'Obras e Acervos'!$B:$X,5,0)</f>
        <v>A HISTÓRIA DO PÁSSARO E O REALEJO</v>
      </c>
      <c r="H706">
        <f>VLOOKUP($B706,'Obras e Acervos'!$B:$X,18,0)</f>
        <v>22</v>
      </c>
      <c r="I706">
        <f>VLOOKUP($B706,'Obras e Acervos'!$B:$X,19,0)</f>
        <v>138771</v>
      </c>
      <c r="J706" s="42">
        <f>VLOOKUP($B706,'Obras e Acervos'!$B:$X,20,0)</f>
        <v>27754.2</v>
      </c>
      <c r="K706" s="31">
        <f>VLOOKUP($B706,'Obras e Acervos'!$B:$X,21,0)</f>
        <v>4.75</v>
      </c>
      <c r="L706" s="31">
        <f t="shared" si="93"/>
        <v>659162.25</v>
      </c>
      <c r="M706" s="1">
        <v>46097</v>
      </c>
      <c r="N706" s="1">
        <f t="shared" ref="N706:N769" si="103">$AB$2</f>
        <v>46305</v>
      </c>
      <c r="O706">
        <f t="shared" si="94"/>
        <v>209</v>
      </c>
      <c r="P706" s="49">
        <f t="shared" si="101"/>
        <v>6.9666666666666668</v>
      </c>
      <c r="Q706" s="34">
        <f>VLOOKUP($G706,Agendamento!$B:$F,5,0)</f>
        <v>22</v>
      </c>
      <c r="R706" s="36">
        <f t="shared" si="95"/>
        <v>139</v>
      </c>
      <c r="S706" s="44">
        <v>2.5499999999999998</v>
      </c>
      <c r="T706" s="44">
        <f t="shared" si="96"/>
        <v>74080.049999999988</v>
      </c>
      <c r="U706" t="s">
        <v>5555</v>
      </c>
      <c r="V706" t="str">
        <f t="shared" si="97"/>
        <v>NF/64374799_20260316_nf_01.pdf</v>
      </c>
      <c r="W706" s="32" t="str">
        <f t="shared" si="102"/>
        <v>NF - A HISTÓRIA DO PÁSSARO E O REALEJO</v>
      </c>
      <c r="X706" t="s">
        <v>5591</v>
      </c>
    </row>
    <row r="707" spans="1:24" x14ac:dyDescent="0.25">
      <c r="A707" t="str">
        <f>CONCATENATE(D707,"_",TEXT(M707,"ddmmaaaa"),"_",COUNTIF($D$2:D707,D707))</f>
        <v>438868800001-58_16032026_2</v>
      </c>
      <c r="B707" t="str">
        <f>CONCATENATE(Analise!D707,"_",COUNTIF(Analise!$D$2:D707,Analise!D707)-1)</f>
        <v>438868800001-58_1</v>
      </c>
      <c r="C707" s="34">
        <f>COUNTIF('Obras e Acervos'!$C:$C,CONCATENATE(LEFT(D707,12),RIGHT(D707,2)))</f>
        <v>2</v>
      </c>
      <c r="D707" s="35" t="s">
        <v>4810</v>
      </c>
      <c r="E707" t="str">
        <f>VLOOKUP($B707,'Obras e Acervos'!$B:$X,3,0)</f>
        <v>EDITORA SAMBA LELE LTDA-EDITORA CORRE COTIA LTDA</v>
      </c>
      <c r="F707" t="str">
        <f>VLOOKUP($B707,'Obras e Acervos'!$B:$X,7,0)</f>
        <v>1077L23000030LE</v>
      </c>
      <c r="G707" t="str">
        <f>VLOOKUP($B707,'Obras e Acervos'!$B:$X,5,0)</f>
        <v>FICA COMIGO</v>
      </c>
      <c r="H707">
        <f>VLOOKUP($B707,'Obras e Acervos'!$B:$X,18,0)</f>
        <v>2</v>
      </c>
      <c r="I707">
        <f>VLOOKUP($B707,'Obras e Acervos'!$B:$X,19,0)</f>
        <v>43937</v>
      </c>
      <c r="J707" s="42">
        <f>VLOOKUP($B707,'Obras e Acervos'!$B:$X,20,0)</f>
        <v>6282.9909999999991</v>
      </c>
      <c r="K707" s="31">
        <f>VLOOKUP($B707,'Obras e Acervos'!$B:$X,21,0)</f>
        <v>6.66</v>
      </c>
      <c r="L707" s="31">
        <f t="shared" ref="L707:L770" si="104">K707*I707</f>
        <v>292620.42</v>
      </c>
      <c r="M707" s="1">
        <v>46097</v>
      </c>
      <c r="N707" s="1">
        <f t="shared" si="103"/>
        <v>46305</v>
      </c>
      <c r="O707">
        <f t="shared" ref="O707:O770" si="105">IF(M707="",0,(N707-M707)+1)</f>
        <v>209</v>
      </c>
      <c r="P707" s="49">
        <f t="shared" si="101"/>
        <v>6.9666666666666668</v>
      </c>
      <c r="Q707" s="34">
        <f>VLOOKUP($G707,Agendamento!$B:$F,5,0)</f>
        <v>7</v>
      </c>
      <c r="R707" s="36">
        <f t="shared" ref="R707:R770" si="106">IF(U707="",0,ROUNDUP($I707/1000,0))</f>
        <v>44</v>
      </c>
      <c r="S707" s="44">
        <v>2.5499999999999998</v>
      </c>
      <c r="T707" s="44">
        <f t="shared" ref="T707:T770" si="107">O707*R707*S707</f>
        <v>23449.8</v>
      </c>
      <c r="U707" t="s">
        <v>5583</v>
      </c>
      <c r="V707" t="str">
        <f t="shared" ref="V707:V770" si="108">CONCATENATE("NF/",U707)</f>
        <v>NF/64374799_20260316_nf_02.pdf</v>
      </c>
      <c r="W707" s="32" t="str">
        <f t="shared" si="102"/>
        <v>NF - FICA COMIGO</v>
      </c>
      <c r="X707" t="s">
        <v>5591</v>
      </c>
    </row>
    <row r="708" spans="1:24" x14ac:dyDescent="0.25">
      <c r="A708" t="str">
        <f>CONCATENATE(D708,"_",TEXT(M708,"ddmmaaaa"),"_",COUNTIF($D$2:D708,D708))</f>
        <v>438852910001-55_16032026_2</v>
      </c>
      <c r="B708" t="str">
        <f>CONCATENATE(Analise!D708,"_",COUNTIF(Analise!$D$2:D708,Analise!D708)-1)</f>
        <v>438852910001-55_1</v>
      </c>
      <c r="C708" s="34">
        <f>COUNTIF('Obras e Acervos'!$C:$C,CONCATENATE(LEFT(D708,12),RIGHT(D708,2)))</f>
        <v>2</v>
      </c>
      <c r="D708" s="35" t="s">
        <v>4900</v>
      </c>
      <c r="E708" t="str">
        <f>VLOOKUP($B708,'Obras e Acervos'!$B:$X,3,0)</f>
        <v>EDITORA BRINCANTE LTDA-BRINCANTE</v>
      </c>
      <c r="F708" t="str">
        <f>VLOOKUP($B708,'Obras e Acervos'!$B:$X,7,0)</f>
        <v>1060L23000030LE</v>
      </c>
      <c r="G708" t="str">
        <f>VLOOKUP($B708,'Obras e Acervos'!$B:$X,5,0)</f>
        <v>A CASA DA AVÓ DAS PALAVRAS</v>
      </c>
      <c r="H708">
        <f>VLOOKUP($B708,'Obras e Acervos'!$B:$X,18,0)</f>
        <v>8</v>
      </c>
      <c r="I708">
        <f>VLOOKUP($B708,'Obras e Acervos'!$B:$X,19,0)</f>
        <v>51072</v>
      </c>
      <c r="J708" s="42">
        <f>VLOOKUP($B708,'Obras e Acervos'!$B:$X,20,0)</f>
        <v>3830.3999999999996</v>
      </c>
      <c r="K708" s="31">
        <f>VLOOKUP($B708,'Obras e Acervos'!$B:$X,21,0)</f>
        <v>6.08</v>
      </c>
      <c r="L708" s="31">
        <f t="shared" si="104"/>
        <v>310517.76000000001</v>
      </c>
      <c r="M708" s="1">
        <v>46097</v>
      </c>
      <c r="N708" s="1">
        <f t="shared" si="103"/>
        <v>46305</v>
      </c>
      <c r="O708">
        <f t="shared" si="105"/>
        <v>209</v>
      </c>
      <c r="P708" s="49">
        <f t="shared" si="101"/>
        <v>6.9666666666666668</v>
      </c>
      <c r="Q708" s="34">
        <f>VLOOKUP($G708,Agendamento!$B:$F,5,0)</f>
        <v>8</v>
      </c>
      <c r="R708" s="36">
        <f t="shared" si="106"/>
        <v>52</v>
      </c>
      <c r="S708" s="44">
        <v>2.5499999999999998</v>
      </c>
      <c r="T708" s="44">
        <f t="shared" si="107"/>
        <v>27713.399999999998</v>
      </c>
      <c r="U708" t="s">
        <v>5560</v>
      </c>
      <c r="V708" t="str">
        <f t="shared" si="108"/>
        <v>NF/64374799_20260316_nf_03.pdf</v>
      </c>
      <c r="W708" s="32" t="str">
        <f t="shared" si="102"/>
        <v>NF - A CASA DA AVÓ DAS PALAVRAS</v>
      </c>
      <c r="X708" t="s">
        <v>5591</v>
      </c>
    </row>
    <row r="709" spans="1:24" x14ac:dyDescent="0.25">
      <c r="A709" t="str">
        <f>CONCATENATE(D709,"_",TEXT(M709,"ddmmaaaa"),"_",COUNTIF($D$2:D709,D709))</f>
        <v>062221720001-96_16032026_2</v>
      </c>
      <c r="B709" t="str">
        <f>CONCATENATE(Analise!D709,"_",COUNTIF(Analise!$D$2:D709,Analise!D709)-1)</f>
        <v>062221720001-96_1</v>
      </c>
      <c r="C709" s="34">
        <f>COUNTIF('Obras e Acervos'!$C:$C,CONCATENATE(LEFT(D709,12),RIGHT(D709,2)))</f>
        <v>2</v>
      </c>
      <c r="D709" s="35" t="s">
        <v>4577</v>
      </c>
      <c r="E709" t="str">
        <f>VLOOKUP($B709,'Obras e Acervos'!$B:$X,3,0)</f>
        <v>CAROCHINHA EDITORA LTDA.-CAROCHINHA</v>
      </c>
      <c r="F709" t="str">
        <f>VLOOKUP($B709,'Obras e Acervos'!$B:$X,7,0)</f>
        <v>1242L23000030LE</v>
      </c>
      <c r="G709" t="str">
        <f>VLOOKUP($B709,'Obras e Acervos'!$B:$X,5,0)</f>
        <v>O LEÃO DA NEVE</v>
      </c>
      <c r="H709">
        <f>VLOOKUP($B709,'Obras e Acervos'!$B:$X,18,0)</f>
        <v>5</v>
      </c>
      <c r="I709">
        <f>VLOOKUP($B709,'Obras e Acervos'!$B:$X,19,0)</f>
        <v>38044</v>
      </c>
      <c r="J709" s="42">
        <f>VLOOKUP($B709,'Obras e Acervos'!$B:$X,20,0)</f>
        <v>2929.3879999999999</v>
      </c>
      <c r="K709" s="31">
        <f>VLOOKUP($B709,'Obras e Acervos'!$B:$X,21,0)</f>
        <v>5.49</v>
      </c>
      <c r="L709" s="31">
        <f t="shared" si="104"/>
        <v>208861.56</v>
      </c>
      <c r="M709" s="1">
        <v>46097</v>
      </c>
      <c r="N709" s="1">
        <f t="shared" si="103"/>
        <v>46305</v>
      </c>
      <c r="O709">
        <f t="shared" si="105"/>
        <v>209</v>
      </c>
      <c r="P709" s="49">
        <f t="shared" si="101"/>
        <v>6.9666666666666668</v>
      </c>
      <c r="Q709" s="34">
        <f>VLOOKUP($G709,Agendamento!$B:$F,5,0)</f>
        <v>5</v>
      </c>
      <c r="R709" s="36">
        <f t="shared" si="106"/>
        <v>39</v>
      </c>
      <c r="S709" s="44">
        <v>2.5499999999999998</v>
      </c>
      <c r="T709" s="44">
        <f t="shared" si="107"/>
        <v>20785.05</v>
      </c>
      <c r="U709" t="s">
        <v>5556</v>
      </c>
      <c r="V709" t="str">
        <f t="shared" si="108"/>
        <v>NF/64374799_20260316_nf_04.pdf</v>
      </c>
      <c r="W709" s="32" t="str">
        <f t="shared" si="102"/>
        <v>NF - O LEÃO DA NEVE</v>
      </c>
      <c r="X709" t="s">
        <v>5591</v>
      </c>
    </row>
    <row r="710" spans="1:24" x14ac:dyDescent="0.25">
      <c r="A710" t="str">
        <f>CONCATENATE(D710,"_",TEXT(M710,"ddmmaaaa"),"_",COUNTIF($D$2:D710,D710))</f>
        <v>008029210001-78_16032026_1</v>
      </c>
      <c r="B710" t="str">
        <f>CONCATENATE(Analise!D710,"_",COUNTIF(Analise!$D$2:D710,Analise!D710))</f>
        <v>008029210001-78_1</v>
      </c>
      <c r="C710" s="34">
        <f>COUNTIF('Obras e Acervos'!$C:$C,CONCATENATE(LEFT(D710,12),RIGHT(D710,2)))</f>
        <v>1</v>
      </c>
      <c r="D710" s="35" t="s">
        <v>4901</v>
      </c>
      <c r="E710" t="str">
        <f>VLOOKUP($B710,'Obras e Acervos'!$B:$X,3,0)</f>
        <v>K. G. PANSA EDITORIAL LTDA-AMORA EDITORIAL</v>
      </c>
      <c r="F710" t="str">
        <f>VLOOKUP($B710,'Obras e Acervos'!$B:$X,7,0)</f>
        <v>1131L23000030LE</v>
      </c>
      <c r="G710" t="str">
        <f>VLOOKUP($B710,'Obras e Acervos'!$B:$X,5,0)</f>
        <v>LIVRO</v>
      </c>
      <c r="H710">
        <f>VLOOKUP($B710,'Obras e Acervos'!$B:$X,18,0)</f>
        <v>6</v>
      </c>
      <c r="I710">
        <f>VLOOKUP($B710,'Obras e Acervos'!$B:$X,19,0)</f>
        <v>36129</v>
      </c>
      <c r="J710" s="42">
        <f>VLOOKUP($B710,'Obras e Acervos'!$B:$X,20,0)</f>
        <v>3612.9</v>
      </c>
      <c r="K710" s="31">
        <f>VLOOKUP($B710,'Obras e Acervos'!$B:$X,21,0)</f>
        <v>5.42</v>
      </c>
      <c r="L710" s="31">
        <f t="shared" si="104"/>
        <v>195819.18</v>
      </c>
      <c r="M710" s="1">
        <v>46097</v>
      </c>
      <c r="N710" s="1">
        <f t="shared" si="103"/>
        <v>46305</v>
      </c>
      <c r="O710">
        <f t="shared" si="105"/>
        <v>209</v>
      </c>
      <c r="P710" s="49">
        <f t="shared" si="101"/>
        <v>6.9666666666666668</v>
      </c>
      <c r="Q710" s="34">
        <f>VLOOKUP($G710,Agendamento!$B:$F,5,0)</f>
        <v>4</v>
      </c>
      <c r="R710" s="36">
        <f t="shared" si="106"/>
        <v>37</v>
      </c>
      <c r="S710" s="44">
        <v>2.5499999999999998</v>
      </c>
      <c r="T710" s="44">
        <f t="shared" si="107"/>
        <v>19719.149999999998</v>
      </c>
      <c r="U710" t="s">
        <v>5552</v>
      </c>
      <c r="V710" t="str">
        <f t="shared" si="108"/>
        <v>NF/64374799_20260316_nf_05.pdf</v>
      </c>
      <c r="W710" s="32" t="str">
        <f t="shared" si="102"/>
        <v>NF - LIVRO</v>
      </c>
      <c r="X710" t="s">
        <v>5591</v>
      </c>
    </row>
    <row r="711" spans="1:24" x14ac:dyDescent="0.25">
      <c r="A711" t="str">
        <f>CONCATENATE(D711,"_",TEXT(M711,"ddmmaaaa"),"_",COUNTIF($D$2:D711,D711))</f>
        <v>174234570001-01_16032026_2</v>
      </c>
      <c r="B711" t="str">
        <f>CONCATENATE(Analise!D711,"_",COUNTIF(Analise!$D$2:D711,Analise!D711)-1)</f>
        <v>174234570001-01_1</v>
      </c>
      <c r="C711" s="34">
        <f>COUNTIF('Obras e Acervos'!$C:$C,CONCATENATE(LEFT(D711,12),RIGHT(D711,2)))</f>
        <v>2</v>
      </c>
      <c r="D711" s="35" t="s">
        <v>4742</v>
      </c>
      <c r="E711" t="str">
        <f>VLOOKUP($B711,'Obras e Acervos'!$B:$X,3,0)</f>
        <v>EDITORA BAOBA LTDA-EDITORA BAOBÁ</v>
      </c>
      <c r="F711" t="str">
        <f>VLOOKUP($B711,'Obras e Acervos'!$B:$X,7,0)</f>
        <v>1155L23000030LE</v>
      </c>
      <c r="G711" t="str">
        <f>VLOOKUP($B711,'Obras e Acervos'!$B:$X,5,0)</f>
        <v>O SAPO APAIXONADO E A CHALEIRA CHORADEIRA</v>
      </c>
      <c r="H711">
        <f>VLOOKUP($B711,'Obras e Acervos'!$B:$X,18,0)</f>
        <v>2</v>
      </c>
      <c r="I711">
        <f>VLOOKUP($B711,'Obras e Acervos'!$B:$X,19,0)</f>
        <v>46649</v>
      </c>
      <c r="J711" s="42">
        <f>VLOOKUP($B711,'Obras e Acervos'!$B:$X,20,0)</f>
        <v>6344.2640000000001</v>
      </c>
      <c r="K711" s="31">
        <f>VLOOKUP($B711,'Obras e Acervos'!$B:$X,21,0)</f>
        <v>6.26</v>
      </c>
      <c r="L711" s="31">
        <f t="shared" si="104"/>
        <v>292022.74</v>
      </c>
      <c r="M711" s="1">
        <v>46097</v>
      </c>
      <c r="N711" s="1">
        <f t="shared" si="103"/>
        <v>46305</v>
      </c>
      <c r="O711">
        <f t="shared" si="105"/>
        <v>209</v>
      </c>
      <c r="P711" s="49">
        <f t="shared" si="101"/>
        <v>6.9666666666666668</v>
      </c>
      <c r="Q711" s="34">
        <f>VLOOKUP($G711,Agendamento!$B:$F,5,0)</f>
        <v>8</v>
      </c>
      <c r="R711" s="36">
        <f t="shared" si="106"/>
        <v>47</v>
      </c>
      <c r="S711" s="44">
        <v>2.5499999999999998</v>
      </c>
      <c r="T711" s="44">
        <f t="shared" si="107"/>
        <v>25048.649999999998</v>
      </c>
      <c r="U711" t="s">
        <v>5553</v>
      </c>
      <c r="V711" t="str">
        <f t="shared" si="108"/>
        <v>NF/64374799_20260316_nf_06.pdf</v>
      </c>
      <c r="W711" s="32" t="str">
        <f t="shared" si="102"/>
        <v>NF - O SAPO APAIXONADO E A CHALEIRA CHORADEIRA</v>
      </c>
      <c r="X711" t="s">
        <v>5591</v>
      </c>
    </row>
    <row r="712" spans="1:24" x14ac:dyDescent="0.25">
      <c r="A712" t="str">
        <f>CONCATENATE(D712,"_",TEXT(M712,"ddmmaaaa"),"_",COUNTIF($D$2:D712,D712))</f>
        <v>235151720001-01_16032026_1</v>
      </c>
      <c r="B712" t="str">
        <f>CONCATENATE(Analise!D712,"_",COUNTIF(Analise!$D$2:D712,Analise!D712))</f>
        <v>235151720001-01_1</v>
      </c>
      <c r="C712" s="34">
        <f>COUNTIF('Obras e Acervos'!$C:$C,CONCATENATE(LEFT(D712,12),RIGHT(D712,2)))</f>
        <v>1</v>
      </c>
      <c r="D712" s="35" t="s">
        <v>4903</v>
      </c>
      <c r="E712" t="str">
        <f>VLOOKUP($B712,'Obras e Acervos'!$B:$X,3,0)</f>
        <v>SILVA LOBO EDITORIAL LTDA-EDITORA CASA DO LOBO E EDITORA LOBINHO</v>
      </c>
      <c r="F712" t="str">
        <f>VLOOKUP($B712,'Obras e Acervos'!$B:$X,7,0)</f>
        <v>1341L23000030LE</v>
      </c>
      <c r="G712" t="str">
        <f>VLOOKUP($B712,'Obras e Acervos'!$B:$X,5,0)</f>
        <v>QUANTAS RODAS TEM UMA BICICLETA?</v>
      </c>
      <c r="H712">
        <f>VLOOKUP($B712,'Obras e Acervos'!$B:$X,18,0)</f>
        <v>5</v>
      </c>
      <c r="I712">
        <f>VLOOKUP($B712,'Obras e Acervos'!$B:$X,19,0)</f>
        <v>39180</v>
      </c>
      <c r="J712" s="42">
        <f>VLOOKUP($B712,'Obras e Acervos'!$B:$X,20,0)</f>
        <v>3761.28</v>
      </c>
      <c r="K712" s="31">
        <f>VLOOKUP($B712,'Obras e Acervos'!$B:$X,21,0)</f>
        <v>5.89</v>
      </c>
      <c r="L712" s="31">
        <f t="shared" si="104"/>
        <v>230770.19999999998</v>
      </c>
      <c r="M712" s="1">
        <v>46097</v>
      </c>
      <c r="N712" s="1">
        <f t="shared" si="103"/>
        <v>46305</v>
      </c>
      <c r="O712">
        <f t="shared" si="105"/>
        <v>209</v>
      </c>
      <c r="P712" s="49">
        <f t="shared" si="101"/>
        <v>6.9666666666666668</v>
      </c>
      <c r="Q712" s="34">
        <f>VLOOKUP($G712,Agendamento!$B:$F,5,0)</f>
        <v>5</v>
      </c>
      <c r="R712" s="36">
        <f t="shared" si="106"/>
        <v>40</v>
      </c>
      <c r="S712" s="44">
        <v>2.5499999999999998</v>
      </c>
      <c r="T712" s="44">
        <f t="shared" si="107"/>
        <v>21318</v>
      </c>
      <c r="U712" t="s">
        <v>5557</v>
      </c>
      <c r="V712" t="str">
        <f t="shared" si="108"/>
        <v>NF/64374799_20260316_nf_08.pdf</v>
      </c>
      <c r="W712" s="32" t="str">
        <f t="shared" si="102"/>
        <v>NF - QUANTAS RODAS TEM UMA BICICLETA?</v>
      </c>
      <c r="X712" t="s">
        <v>5591</v>
      </c>
    </row>
    <row r="713" spans="1:24" x14ac:dyDescent="0.25">
      <c r="A713" t="str">
        <f>CONCATENATE(D713,"_",TEXT(M713,"ddmmaaaa"),"_",COUNTIF($D$2:D713,D713))</f>
        <v>433984660001-08_16032026_2</v>
      </c>
      <c r="B713" t="str">
        <f>CONCATENATE(Analise!D713,"_",COUNTIF(Analise!$D$2:D713,Analise!D713)-1)</f>
        <v>433984660001-08_1</v>
      </c>
      <c r="C713" s="34">
        <f>COUNTIF('Obras e Acervos'!$C:$C,CONCATENATE(LEFT(D713,12),RIGHT(D713,2)))</f>
        <v>2</v>
      </c>
      <c r="D713" s="35" t="s">
        <v>4751</v>
      </c>
      <c r="E713" t="str">
        <f>VLOOKUP($B713,'Obras e Acervos'!$B:$X,3,0)</f>
        <v>BERTHA EDITORA LTDA-BERTHA EDITORA</v>
      </c>
      <c r="F713" t="str">
        <f>VLOOKUP($B713,'Obras e Acervos'!$B:$X,7,0)</f>
        <v>0449L23000030LE</v>
      </c>
      <c r="G713" t="str">
        <f>VLOOKUP($B713,'Obras e Acervos'!$B:$X,5,0)</f>
        <v>MEU CADERNO DE DESENHO</v>
      </c>
      <c r="H713">
        <f>VLOOKUP($B713,'Obras e Acervos'!$B:$X,18,0)</f>
        <v>3</v>
      </c>
      <c r="I713">
        <f>VLOOKUP($B713,'Obras e Acervos'!$B:$X,19,0)</f>
        <v>46245</v>
      </c>
      <c r="J713" s="42">
        <f>VLOOKUP($B713,'Obras e Acervos'!$B:$X,20,0)</f>
        <v>6011.85</v>
      </c>
      <c r="K713" s="31">
        <f>VLOOKUP($B713,'Obras e Acervos'!$B:$X,21,0)</f>
        <v>5.83</v>
      </c>
      <c r="L713" s="31">
        <f t="shared" si="104"/>
        <v>269608.34999999998</v>
      </c>
      <c r="M713" s="1">
        <v>46097</v>
      </c>
      <c r="N713" s="1">
        <f t="shared" si="103"/>
        <v>46305</v>
      </c>
      <c r="O713">
        <f t="shared" si="105"/>
        <v>209</v>
      </c>
      <c r="P713" s="49">
        <f t="shared" si="101"/>
        <v>6.9666666666666668</v>
      </c>
      <c r="Q713" s="34">
        <f>VLOOKUP($G713,Agendamento!$B:$F,5,0)</f>
        <v>7</v>
      </c>
      <c r="R713" s="36">
        <f t="shared" si="106"/>
        <v>47</v>
      </c>
      <c r="S713" s="44">
        <v>2.5499999999999998</v>
      </c>
      <c r="T713" s="44">
        <f t="shared" si="107"/>
        <v>25048.649999999998</v>
      </c>
      <c r="U713" t="s">
        <v>5565</v>
      </c>
      <c r="V713" t="str">
        <f t="shared" si="108"/>
        <v>NF/64374799_20260316_nf_09.pdf</v>
      </c>
      <c r="W713" s="32" t="str">
        <f t="shared" si="102"/>
        <v>NF - MEU CADERNO DE DESENHO</v>
      </c>
      <c r="X713" t="s">
        <v>5591</v>
      </c>
    </row>
    <row r="714" spans="1:24" x14ac:dyDescent="0.25">
      <c r="A714" t="str">
        <f>CONCATENATE(D714,"_",TEXT(M714,"ddmmaaaa"),"_",COUNTIF($D$2:D714,D714))</f>
        <v>436812550001-70_16032026_2</v>
      </c>
      <c r="B714" t="str">
        <f>CONCATENATE(Analise!D714,"_",COUNTIF(Analise!$D$2:D714,Analise!D714)-1)</f>
        <v>436812550001-70_1</v>
      </c>
      <c r="C714" s="34">
        <f>COUNTIF('Obras e Acervos'!$C:$C,CONCATENATE(LEFT(D714,12),RIGHT(D714,2)))</f>
        <v>2</v>
      </c>
      <c r="D714" s="35" t="s">
        <v>4698</v>
      </c>
      <c r="E714" t="str">
        <f>VLOOKUP($B714,'Obras e Acervos'!$B:$X,3,0)</f>
        <v>EDITORA PAPA GOIABA LTDA-PAPA GOIABA</v>
      </c>
      <c r="F714" t="str">
        <f>VLOOKUP($B714,'Obras e Acervos'!$B:$X,7,0)</f>
        <v>0525L23000030LE</v>
      </c>
      <c r="G714" t="str">
        <f>VLOOKUP($B714,'Obras e Acervos'!$B:$X,5,0)</f>
        <v>SE UM DIA EU FOR EMBORA</v>
      </c>
      <c r="H714">
        <f>VLOOKUP($B714,'Obras e Acervos'!$B:$X,18,0)</f>
        <v>8</v>
      </c>
      <c r="I714">
        <f>VLOOKUP($B714,'Obras e Acervos'!$B:$X,19,0)</f>
        <v>33074</v>
      </c>
      <c r="J714" s="42">
        <f>VLOOKUP($B714,'Obras e Acervos'!$B:$X,20,0)</f>
        <v>4101.1760000000004</v>
      </c>
      <c r="K714" s="31">
        <f>VLOOKUP($B714,'Obras e Acervos'!$B:$X,21,0)</f>
        <v>6.86</v>
      </c>
      <c r="L714" s="31">
        <f t="shared" si="104"/>
        <v>226887.64</v>
      </c>
      <c r="M714" s="1">
        <v>46097</v>
      </c>
      <c r="N714" s="1">
        <f t="shared" si="103"/>
        <v>46305</v>
      </c>
      <c r="O714">
        <f t="shared" si="105"/>
        <v>209</v>
      </c>
      <c r="P714" s="49">
        <f t="shared" si="101"/>
        <v>6.9666666666666668</v>
      </c>
      <c r="Q714" s="34">
        <f>VLOOKUP($G714,Agendamento!$B:$F,5,0)</f>
        <v>5</v>
      </c>
      <c r="R714" s="36">
        <f t="shared" si="106"/>
        <v>34</v>
      </c>
      <c r="S714" s="44">
        <v>2.5499999999999998</v>
      </c>
      <c r="T714" s="44">
        <f t="shared" si="107"/>
        <v>18120.3</v>
      </c>
      <c r="U714" t="s">
        <v>5574</v>
      </c>
      <c r="V714" t="str">
        <f t="shared" si="108"/>
        <v>NF/64374799_20260316_nf_10.pdf</v>
      </c>
      <c r="W714" s="32" t="str">
        <f t="shared" si="102"/>
        <v>NF - SE UM DIA EU FOR EMBORA</v>
      </c>
      <c r="X714" t="s">
        <v>5591</v>
      </c>
    </row>
    <row r="715" spans="1:24" x14ac:dyDescent="0.25">
      <c r="A715" t="str">
        <f>CONCATENATE(D715,"_",TEXT(M715,"ddmmaaaa"),"_",COUNTIF($D$2:D715,D715))</f>
        <v>132672950001-09_16032026_2</v>
      </c>
      <c r="B715" t="str">
        <f>CONCATENATE(Analise!D715,"_",COUNTIF(Analise!$D$2:D715,Analise!D715)-1)</f>
        <v>132672950001-09_1</v>
      </c>
      <c r="C715" s="34">
        <f>COUNTIF('Obras e Acervos'!$C:$C,CONCATENATE(LEFT(D715,12),RIGHT(D715,2)))</f>
        <v>2</v>
      </c>
      <c r="D715" s="35" t="s">
        <v>4889</v>
      </c>
      <c r="E715" t="str">
        <f>VLOOKUP($B715,'Obras e Acervos'!$B:$X,3,0)</f>
        <v>BARCELOS COMERCIO DE LIVROS E SERVIÇOS LTDA-MAGIA DOS LIVROS</v>
      </c>
      <c r="F715" t="str">
        <f>VLOOKUP($B715,'Obras e Acervos'!$B:$X,7,0)</f>
        <v>0945L23000030LE</v>
      </c>
      <c r="G715" t="str">
        <f>VLOOKUP($B715,'Obras e Acervos'!$B:$X,5,0)</f>
        <v>AS MIL E UMA HISTÓRIAS DE MANUELA</v>
      </c>
      <c r="H715">
        <f>VLOOKUP($B715,'Obras e Acervos'!$B:$X,18,0)</f>
        <v>7</v>
      </c>
      <c r="I715">
        <f>VLOOKUP($B715,'Obras e Acervos'!$B:$X,19,0)</f>
        <v>34267</v>
      </c>
      <c r="J715" s="42">
        <f>VLOOKUP($B715,'Obras e Acervos'!$B:$X,20,0)</f>
        <v>3598.0349999999999</v>
      </c>
      <c r="K715" s="31">
        <f>VLOOKUP($B715,'Obras e Acervos'!$B:$X,21,0)</f>
        <v>5.91</v>
      </c>
      <c r="L715" s="31">
        <f t="shared" si="104"/>
        <v>202517.97</v>
      </c>
      <c r="M715" s="1">
        <v>46097</v>
      </c>
      <c r="N715" s="1">
        <f t="shared" si="103"/>
        <v>46305</v>
      </c>
      <c r="O715">
        <f t="shared" si="105"/>
        <v>209</v>
      </c>
      <c r="P715" s="49">
        <f t="shared" si="101"/>
        <v>6.9666666666666668</v>
      </c>
      <c r="Q715" s="34">
        <f>VLOOKUP($G715,Agendamento!$B:$F,5,0)</f>
        <v>4</v>
      </c>
      <c r="R715" s="36">
        <f t="shared" si="106"/>
        <v>35</v>
      </c>
      <c r="S715" s="44">
        <v>2.5499999999999998</v>
      </c>
      <c r="T715" s="44">
        <f t="shared" si="107"/>
        <v>18653.25</v>
      </c>
      <c r="U715" t="s">
        <v>5558</v>
      </c>
      <c r="V715" t="str">
        <f t="shared" si="108"/>
        <v>NF/64374799_20260316_nf_11.pdf</v>
      </c>
      <c r="W715" s="32" t="str">
        <f t="shared" si="102"/>
        <v>NF - AS MIL E UMA HISTÓRIAS DE MANUELA</v>
      </c>
      <c r="X715" t="s">
        <v>5591</v>
      </c>
    </row>
    <row r="716" spans="1:24" x14ac:dyDescent="0.25">
      <c r="A716" t="str">
        <f>CONCATENATE(D716,"_",TEXT(M716,"ddmmaaaa"),"_",COUNTIF($D$2:D716,D716))</f>
        <v>438865780001-08_16032026_1</v>
      </c>
      <c r="B716" t="str">
        <f>CONCATENATE(Analise!D716,"_",COUNTIF(Analise!$D$2:D716,Analise!D716))</f>
        <v>438865780001-08_1</v>
      </c>
      <c r="C716" s="34">
        <f>COUNTIF('Obras e Acervos'!$C:$C,CONCATENATE(LEFT(D716,12),RIGHT(D716,2)))</f>
        <v>1</v>
      </c>
      <c r="D716" s="35" t="s">
        <v>4908</v>
      </c>
      <c r="E716" t="str">
        <f>VLOOKUP($B716,'Obras e Acervos'!$B:$X,3,0)</f>
        <v>EDITORA ESCALADA LTDA-ESCALADA</v>
      </c>
      <c r="F716" t="str">
        <f>VLOOKUP($B716,'Obras e Acervos'!$B:$X,7,0)</f>
        <v>1065L23000030LE</v>
      </c>
      <c r="G716" t="str">
        <f>VLOOKUP($B716,'Obras e Acervos'!$B:$X,5,0)</f>
        <v>TEQUINHO, O MENINO DO SAMBA</v>
      </c>
      <c r="H716">
        <f>VLOOKUP($B716,'Obras e Acervos'!$B:$X,18,0)</f>
        <v>6</v>
      </c>
      <c r="I716">
        <f>VLOOKUP($B716,'Obras e Acervos'!$B:$X,19,0)</f>
        <v>36553</v>
      </c>
      <c r="J716" s="42">
        <f>VLOOKUP($B716,'Obras e Acervos'!$B:$X,20,0)</f>
        <v>3838.0650000000001</v>
      </c>
      <c r="K716" s="31">
        <f>VLOOKUP($B716,'Obras e Acervos'!$B:$X,21,0)</f>
        <v>5.85</v>
      </c>
      <c r="L716" s="31">
        <f t="shared" si="104"/>
        <v>213835.05</v>
      </c>
      <c r="M716" s="1">
        <v>46097</v>
      </c>
      <c r="N716" s="1">
        <f t="shared" si="103"/>
        <v>46305</v>
      </c>
      <c r="O716">
        <f t="shared" si="105"/>
        <v>209</v>
      </c>
      <c r="P716" s="49">
        <f t="shared" si="101"/>
        <v>6.9666666666666668</v>
      </c>
      <c r="Q716" s="34">
        <f>VLOOKUP($G716,Agendamento!$B:$F,5,0)</f>
        <v>6</v>
      </c>
      <c r="R716" s="36">
        <f t="shared" si="106"/>
        <v>37</v>
      </c>
      <c r="S716" s="44">
        <v>2.5499999999999998</v>
      </c>
      <c r="T716" s="44">
        <f t="shared" si="107"/>
        <v>19719.149999999998</v>
      </c>
      <c r="U716" t="s">
        <v>5575</v>
      </c>
      <c r="V716" t="str">
        <f t="shared" si="108"/>
        <v>NF/64374799_20260316_nf_12.pdf</v>
      </c>
      <c r="W716" s="32" t="str">
        <f t="shared" si="102"/>
        <v>NF - TEQUINHO, O MENINO DO SAMBA</v>
      </c>
      <c r="X716" t="s">
        <v>5591</v>
      </c>
    </row>
    <row r="717" spans="1:24" x14ac:dyDescent="0.25">
      <c r="A717" t="str">
        <f>CONCATENATE(D717,"_",TEXT(M717,"ddmmaaaa"),"_",COUNTIF($D$2:D717,D717))</f>
        <v>105881860001-03_16032026_1</v>
      </c>
      <c r="B717" t="str">
        <f>CONCATENATE(Analise!D717,"_",COUNTIF(Analise!$D$2:D717,Analise!D717)+1)</f>
        <v>105881860001-03_2</v>
      </c>
      <c r="C717" s="34">
        <f>COUNTIF('Obras e Acervos'!$C:$C,CONCATENATE(LEFT(D717,12),RIGHT(D717,2)))</f>
        <v>2</v>
      </c>
      <c r="D717" s="35" t="s">
        <v>4905</v>
      </c>
      <c r="E717" t="str">
        <f>VLOOKUP($B717,'Obras e Acervos'!$B:$X,3,0)</f>
        <v>ABACATTE EDITORIAL LTDA - EPP-ABACATTE EDITORIAL</v>
      </c>
      <c r="F717" t="str">
        <f>VLOOKUP($B717,'Obras e Acervos'!$B:$X,7,0)</f>
        <v>0669L23000020LE</v>
      </c>
      <c r="G717" t="str">
        <f>VLOOKUP($B717,'Obras e Acervos'!$B:$X,5,0)</f>
        <v>O OVO DE PÉGASO</v>
      </c>
      <c r="H717">
        <f>VLOOKUP($B717,'Obras e Acervos'!$B:$X,18,0)</f>
        <v>20</v>
      </c>
      <c r="I717">
        <f>VLOOKUP($B717,'Obras e Acervos'!$B:$X,19,0)</f>
        <v>62528</v>
      </c>
      <c r="J717" s="42">
        <f>VLOOKUP($B717,'Obras e Acervos'!$B:$X,20,0)</f>
        <v>26261.759999999998</v>
      </c>
      <c r="K717" s="31">
        <f>VLOOKUP($B717,'Obras e Acervos'!$B:$X,21,0)</f>
        <v>13.57</v>
      </c>
      <c r="L717" s="31">
        <f t="shared" si="104"/>
        <v>848504.96</v>
      </c>
      <c r="M717" s="1">
        <v>46097</v>
      </c>
      <c r="N717" s="1">
        <f t="shared" si="103"/>
        <v>46305</v>
      </c>
      <c r="O717">
        <f t="shared" si="105"/>
        <v>209</v>
      </c>
      <c r="P717" s="49">
        <f t="shared" si="101"/>
        <v>6.9666666666666668</v>
      </c>
      <c r="Q717" s="34">
        <f>VLOOKUP($G717,Agendamento!$B:$F,5,0)</f>
        <v>11</v>
      </c>
      <c r="R717" s="36">
        <f t="shared" si="106"/>
        <v>63</v>
      </c>
      <c r="S717" s="44">
        <v>2.5499999999999998</v>
      </c>
      <c r="T717" s="44">
        <f t="shared" si="107"/>
        <v>33575.85</v>
      </c>
      <c r="U717" t="s">
        <v>5567</v>
      </c>
      <c r="V717" t="str">
        <f t="shared" si="108"/>
        <v>NF/64374799_20260316_nf_13.pdf</v>
      </c>
      <c r="W717" s="32" t="str">
        <f t="shared" si="102"/>
        <v>NF - O OVO DE PÉGASO</v>
      </c>
      <c r="X717" t="s">
        <v>5591</v>
      </c>
    </row>
    <row r="718" spans="1:24" x14ac:dyDescent="0.25">
      <c r="A718" t="str">
        <f>CONCATENATE(D718,"_",TEXT(M718,"ddmmaaaa"),"_",COUNTIF($D$2:D718,D718))</f>
        <v>436793700001-00_16032026_2</v>
      </c>
      <c r="B718" t="str">
        <f>CONCATENATE(Analise!D718,"_",COUNTIF(Analise!$D$2:D718,Analise!D718)-1)</f>
        <v>436793700001-00_1</v>
      </c>
      <c r="C718" s="34">
        <f>COUNTIF('Obras e Acervos'!$C:$C,CONCATENATE(LEFT(D718,12),RIGHT(D718,2)))</f>
        <v>2</v>
      </c>
      <c r="D718" s="35" t="s">
        <v>4697</v>
      </c>
      <c r="E718" t="str">
        <f>VLOOKUP($B718,'Obras e Acervos'!$B:$X,3,0)</f>
        <v>EDITORA UVINHA BEBÊ LTDA-UVINHA BEBÊ</v>
      </c>
      <c r="F718" t="str">
        <f>VLOOKUP($B718,'Obras e Acervos'!$B:$X,7,0)</f>
        <v>0921L23000030LE</v>
      </c>
      <c r="G718" t="str">
        <f>VLOOKUP($B718,'Obras e Acervos'!$B:$X,5,0)</f>
        <v>BELO, O PATINHO AMARELO</v>
      </c>
      <c r="H718">
        <f>VLOOKUP($B718,'Obras e Acervos'!$B:$X,18,0)</f>
        <v>1</v>
      </c>
      <c r="I718">
        <f>VLOOKUP($B718,'Obras e Acervos'!$B:$X,19,0)</f>
        <v>61336</v>
      </c>
      <c r="J718" s="42">
        <f>VLOOKUP($B718,'Obras e Acervos'!$B:$X,20,0)</f>
        <v>11101.815999999999</v>
      </c>
      <c r="K718" s="31">
        <f>VLOOKUP($B718,'Obras e Acervos'!$B:$X,21,0)</f>
        <v>7.44</v>
      </c>
      <c r="L718" s="31">
        <f t="shared" si="104"/>
        <v>456339.84</v>
      </c>
      <c r="M718" s="1">
        <v>46097</v>
      </c>
      <c r="N718" s="1">
        <f t="shared" si="103"/>
        <v>46305</v>
      </c>
      <c r="O718">
        <f t="shared" si="105"/>
        <v>209</v>
      </c>
      <c r="P718" s="49">
        <f t="shared" si="101"/>
        <v>6.9666666666666668</v>
      </c>
      <c r="Q718" s="34">
        <f>VLOOKUP($G718,Agendamento!$B:$F,5,0)</f>
        <v>15</v>
      </c>
      <c r="R718" s="36">
        <f t="shared" si="106"/>
        <v>62</v>
      </c>
      <c r="S718" s="44">
        <v>2.5499999999999998</v>
      </c>
      <c r="T718" s="44">
        <f t="shared" si="107"/>
        <v>33042.899999999994</v>
      </c>
      <c r="U718" t="s">
        <v>5571</v>
      </c>
      <c r="V718" t="str">
        <f t="shared" si="108"/>
        <v>NF/64374799_20260316_nf_15.pdf</v>
      </c>
      <c r="W718" s="32" t="str">
        <f t="shared" ref="W718" si="109">HYPERLINK(CONCATENATE("saida/",U718),CONCATENATE("NF - ",G718))</f>
        <v>NF - BELO, O PATINHO AMARELO</v>
      </c>
      <c r="X718" t="s">
        <v>5591</v>
      </c>
    </row>
    <row r="719" spans="1:24" x14ac:dyDescent="0.25">
      <c r="A719" t="str">
        <f>CONCATENATE(D719,"_",TEXT(M719,"ddmmaaaa"),"_",COUNTIF($D$2:D719,D719))</f>
        <v>435908740001-59_16032026_2</v>
      </c>
      <c r="B719" t="str">
        <f>CONCATENATE(Analise!D719,"_",COUNTIF(Analise!$D$2:D719,Analise!D719))</f>
        <v>435908740001-59_2</v>
      </c>
      <c r="C719" s="34">
        <f>COUNTIF('Obras e Acervos'!$C:$C,CONCATENATE(LEFT(D719,12),RIGHT(D719,2)))</f>
        <v>2</v>
      </c>
      <c r="D719" s="35" t="s">
        <v>4850</v>
      </c>
      <c r="E719" t="str">
        <f>VLOOKUP($B719,'Obras e Acervos'!$B:$X,3,0)</f>
        <v>EDITORA PINHEIRO LTDA-EDITORA PINHEIRO</v>
      </c>
      <c r="F719" t="str">
        <f>VLOOKUP($B719,'Obras e Acervos'!$B:$X,7,0)</f>
        <v>1326L23000020LE</v>
      </c>
      <c r="G719" t="str">
        <f>VLOOKUP($B719,'Obras e Acervos'!$B:$X,5,0)</f>
        <v>OS MEDOS SECRETOS DO TIJOLO OCO</v>
      </c>
      <c r="H719">
        <f>VLOOKUP($B719,'Obras e Acervos'!$B:$X,18,0)</f>
        <v>20</v>
      </c>
      <c r="I719">
        <f>VLOOKUP($B719,'Obras e Acervos'!$B:$X,19,0)</f>
        <v>27910</v>
      </c>
      <c r="J719" s="42">
        <f>VLOOKUP($B719,'Obras e Acervos'!$B:$X,20,0)</f>
        <v>2456.08</v>
      </c>
      <c r="K719" s="31">
        <f>VLOOKUP($B719,'Obras e Acervos'!$B:$X,21,0)</f>
        <v>5.83</v>
      </c>
      <c r="L719" s="31">
        <f t="shared" si="104"/>
        <v>162715.29999999999</v>
      </c>
      <c r="M719" s="1">
        <v>46097</v>
      </c>
      <c r="N719" s="1">
        <f t="shared" si="103"/>
        <v>46305</v>
      </c>
      <c r="O719">
        <f t="shared" si="105"/>
        <v>209</v>
      </c>
      <c r="P719" s="49">
        <f t="shared" si="101"/>
        <v>6.9666666666666668</v>
      </c>
      <c r="Q719" s="34">
        <f>VLOOKUP($G719,Agendamento!$B:$F,5,0)</f>
        <v>4</v>
      </c>
      <c r="R719" s="36">
        <f t="shared" si="106"/>
        <v>28</v>
      </c>
      <c r="S719" s="44">
        <v>2.5499999999999998</v>
      </c>
      <c r="T719" s="44">
        <f t="shared" si="107"/>
        <v>14922.599999999999</v>
      </c>
      <c r="U719" t="s">
        <v>5562</v>
      </c>
      <c r="V719" t="str">
        <f t="shared" si="108"/>
        <v>NF/64374799_20260316_nf_17.pdf</v>
      </c>
      <c r="W719" s="32" t="str">
        <f t="shared" si="102"/>
        <v>NF - OS MEDOS SECRETOS DO TIJOLO OCO</v>
      </c>
      <c r="X719" t="s">
        <v>5591</v>
      </c>
    </row>
    <row r="720" spans="1:24" x14ac:dyDescent="0.25">
      <c r="A720" t="str">
        <f>CONCATENATE(D720,"_",TEXT(M720,"ddmmaaaa"),"_",COUNTIF($D$2:D720,D720))</f>
        <v>288258240001-10_16032026_2</v>
      </c>
      <c r="B720" t="str">
        <f>CONCATENATE(Analise!D720,"_",COUNTIF(Analise!$D$2:D720,Analise!D720)-1)</f>
        <v>288258240001-10_1</v>
      </c>
      <c r="C720" s="34">
        <f>COUNTIF('Obras e Acervos'!$C:$C,CONCATENATE(LEFT(D720,12),RIGHT(D720,2)))</f>
        <v>2</v>
      </c>
      <c r="D720" s="35" t="s">
        <v>4541</v>
      </c>
      <c r="E720" t="str">
        <f>VLOOKUP($B720,'Obras e Acervos'!$B:$X,3,0)</f>
        <v>AYLLON EDITORA LTDA-AYLLON</v>
      </c>
      <c r="F720" t="str">
        <f>VLOOKUP($B720,'Obras e Acervos'!$B:$X,7,0)</f>
        <v>1345L23000030LE</v>
      </c>
      <c r="G720" t="str">
        <f>VLOOKUP($B720,'Obras e Acervos'!$B:$X,5,0)</f>
        <v>O GALO GOGÓ</v>
      </c>
      <c r="H720">
        <f>VLOOKUP($B720,'Obras e Acervos'!$B:$X,18,0)</f>
        <v>10</v>
      </c>
      <c r="I720">
        <f>VLOOKUP($B720,'Obras e Acervos'!$B:$X,19,0)</f>
        <v>35373</v>
      </c>
      <c r="J720" s="42">
        <f>VLOOKUP($B720,'Obras e Acervos'!$B:$X,20,0)</f>
        <v>3537.3</v>
      </c>
      <c r="K720" s="31">
        <f>VLOOKUP($B720,'Obras e Acervos'!$B:$X,21,0)</f>
        <v>6.34</v>
      </c>
      <c r="L720" s="31">
        <f t="shared" si="104"/>
        <v>224264.82</v>
      </c>
      <c r="M720" s="1">
        <v>46097</v>
      </c>
      <c r="N720" s="1">
        <f t="shared" si="103"/>
        <v>46305</v>
      </c>
      <c r="O720">
        <f t="shared" si="105"/>
        <v>209</v>
      </c>
      <c r="P720" s="49">
        <f t="shared" si="101"/>
        <v>6.9666666666666668</v>
      </c>
      <c r="Q720" s="34">
        <f>VLOOKUP($G720,Agendamento!$B:$F,5,0)</f>
        <v>4</v>
      </c>
      <c r="R720" s="36">
        <f t="shared" si="106"/>
        <v>36</v>
      </c>
      <c r="S720" s="44">
        <v>2.5499999999999998</v>
      </c>
      <c r="T720" s="44">
        <f t="shared" si="107"/>
        <v>19186.199999999997</v>
      </c>
      <c r="U720" t="s">
        <v>5582</v>
      </c>
      <c r="V720" t="str">
        <f t="shared" si="108"/>
        <v>NF/64374799_20260316_nf_18.pdf</v>
      </c>
      <c r="W720" s="32" t="str">
        <f t="shared" si="102"/>
        <v>NF - O GALO GOGÓ</v>
      </c>
      <c r="X720" t="s">
        <v>5591</v>
      </c>
    </row>
    <row r="721" spans="1:24" x14ac:dyDescent="0.25">
      <c r="A721" t="str">
        <f>CONCATENATE(D721,"_",TEXT(M721,"ddmmaaaa"),"_",COUNTIF($D$2:D721,D721))</f>
        <v>438896310001-16_16032026_1</v>
      </c>
      <c r="B721" t="str">
        <f>CONCATENATE(Analise!D721,"_",COUNTIF(Analise!$D$2:D721,Analise!D721))</f>
        <v>438896310001-16_1</v>
      </c>
      <c r="C721" s="34">
        <f>COUNTIF('Obras e Acervos'!$C:$C,CONCATENATE(LEFT(D721,12),RIGHT(D721,2)))</f>
        <v>1</v>
      </c>
      <c r="D721" s="35" t="s">
        <v>4904</v>
      </c>
      <c r="E721" t="str">
        <f>VLOOKUP($B721,'Obras e Acervos'!$B:$X,3,0)</f>
        <v>EDITORA FABULOSAS LTDA-FABULOSAS</v>
      </c>
      <c r="F721" t="str">
        <f>VLOOKUP($B721,'Obras e Acervos'!$B:$X,7,0)</f>
        <v>1066L23000020LE</v>
      </c>
      <c r="G721" t="str">
        <f>VLOOKUP($B721,'Obras e Acervos'!$B:$X,5,0)</f>
        <v>UMA HISTÓRIA BARRIGUDA</v>
      </c>
      <c r="H721">
        <f>VLOOKUP($B721,'Obras e Acervos'!$B:$X,18,0)</f>
        <v>14</v>
      </c>
      <c r="I721">
        <f>VLOOKUP($B721,'Obras e Acervos'!$B:$X,19,0)</f>
        <v>24092</v>
      </c>
      <c r="J721" s="42">
        <f>VLOOKUP($B721,'Obras e Acervos'!$B:$X,20,0)</f>
        <v>4360.652</v>
      </c>
      <c r="K721" s="31">
        <f>VLOOKUP($B721,'Obras e Acervos'!$B:$X,21,0)</f>
        <v>10.32</v>
      </c>
      <c r="L721" s="31">
        <f t="shared" si="104"/>
        <v>248629.44</v>
      </c>
      <c r="M721" s="1">
        <v>46097</v>
      </c>
      <c r="N721" s="1">
        <f t="shared" si="103"/>
        <v>46305</v>
      </c>
      <c r="O721">
        <f t="shared" si="105"/>
        <v>209</v>
      </c>
      <c r="P721" s="49">
        <f t="shared" si="101"/>
        <v>6.9666666666666668</v>
      </c>
      <c r="Q721" s="34">
        <f>VLOOKUP($G721,Agendamento!$B:$F,5,0)</f>
        <v>4</v>
      </c>
      <c r="R721" s="36">
        <f t="shared" si="106"/>
        <v>25</v>
      </c>
      <c r="S721" s="44">
        <v>2.5499999999999998</v>
      </c>
      <c r="T721" s="44">
        <f t="shared" si="107"/>
        <v>13323.749999999998</v>
      </c>
      <c r="U721" t="s">
        <v>5564</v>
      </c>
      <c r="V721" t="str">
        <f t="shared" si="108"/>
        <v>NF/64374799_20260316_nf_19.pdf</v>
      </c>
      <c r="W721" s="32" t="str">
        <f t="shared" si="102"/>
        <v>NF - UMA HISTÓRIA BARRIGUDA</v>
      </c>
      <c r="X721" t="s">
        <v>5591</v>
      </c>
    </row>
    <row r="722" spans="1:24" x14ac:dyDescent="0.25">
      <c r="A722" t="str">
        <f>CONCATENATE(D722,"_",TEXT(M722,"ddmmaaaa"),"_",COUNTIF($D$2:D722,D722))</f>
        <v>048643160001-82_16032026_2</v>
      </c>
      <c r="B722" t="str">
        <f>CONCATENATE(Analise!D722,"_",COUNTIF(Analise!$D$2:D722,Analise!D722)-1)</f>
        <v>048643160001-82_1</v>
      </c>
      <c r="C722" s="34">
        <f>COUNTIF('Obras e Acervos'!$C:$C,CONCATENATE(LEFT(D722,12),RIGHT(D722,2)))</f>
        <v>2</v>
      </c>
      <c r="D722" s="35" t="s">
        <v>4496</v>
      </c>
      <c r="E722" t="str">
        <f>VLOOKUP($B722,'Obras e Acervos'!$B:$X,3,0)</f>
        <v>EDITORA E GRAFICA INDICO LTDA-EDITORA INDICO</v>
      </c>
      <c r="F722" t="str">
        <f>VLOOKUP($B722,'Obras e Acervos'!$B:$X,7,0)</f>
        <v>0455L23000030LE</v>
      </c>
      <c r="G722" t="str">
        <f>VLOOKUP($B722,'Obras e Acervos'!$B:$X,5,0)</f>
        <v>ESSE TAL DE TEMPO</v>
      </c>
      <c r="H722">
        <f>VLOOKUP($B722,'Obras e Acervos'!$B:$X,18,0)</f>
        <v>7</v>
      </c>
      <c r="I722">
        <f>VLOOKUP($B722,'Obras e Acervos'!$B:$X,19,0)</f>
        <v>33116</v>
      </c>
      <c r="J722" s="42">
        <f>VLOOKUP($B722,'Obras e Acervos'!$B:$X,20,0)</f>
        <v>1655.8000000000002</v>
      </c>
      <c r="K722" s="31">
        <f>VLOOKUP($B722,'Obras e Acervos'!$B:$X,21,0)</f>
        <v>4.38</v>
      </c>
      <c r="L722" s="31">
        <f t="shared" si="104"/>
        <v>145048.07999999999</v>
      </c>
      <c r="M722" s="1">
        <v>46097</v>
      </c>
      <c r="N722" s="1">
        <f t="shared" si="103"/>
        <v>46305</v>
      </c>
      <c r="O722">
        <f t="shared" si="105"/>
        <v>209</v>
      </c>
      <c r="P722" s="49">
        <f t="shared" si="101"/>
        <v>6.9666666666666668</v>
      </c>
      <c r="Q722" s="34">
        <f>VLOOKUP($G722,Agendamento!$B:$F,5,0)</f>
        <v>2</v>
      </c>
      <c r="R722" s="36">
        <f t="shared" si="106"/>
        <v>34</v>
      </c>
      <c r="S722" s="44">
        <v>2.5499999999999998</v>
      </c>
      <c r="T722" s="44">
        <f t="shared" si="107"/>
        <v>18120.3</v>
      </c>
      <c r="U722" t="s">
        <v>5559</v>
      </c>
      <c r="V722" t="str">
        <f t="shared" si="108"/>
        <v>NF/64374799_20260316_nf_20.pdf</v>
      </c>
      <c r="W722" s="32" t="str">
        <f t="shared" si="102"/>
        <v>NF - ESSE TAL DE TEMPO</v>
      </c>
      <c r="X722" t="s">
        <v>5591</v>
      </c>
    </row>
    <row r="723" spans="1:24" x14ac:dyDescent="0.25">
      <c r="A723" t="str">
        <f>CONCATENATE(D723,"_",TEXT(M723,"ddmmaaaa"),"_",COUNTIF($D$2:D723,D723))</f>
        <v>436797320001-62_16032026_2</v>
      </c>
      <c r="B723" t="str">
        <f>CONCATENATE(Analise!D723,"_",COUNTIF(Analise!$D$2:D723,Analise!D723))</f>
        <v>436797320001-62_2</v>
      </c>
      <c r="C723" s="34">
        <f>COUNTIF('Obras e Acervos'!$C:$C,CONCATENATE(LEFT(D723,12),RIGHT(D723,2)))</f>
        <v>2</v>
      </c>
      <c r="D723" s="35" t="s">
        <v>4878</v>
      </c>
      <c r="E723" t="str">
        <f>VLOOKUP($B723,'Obras e Acervos'!$B:$X,3,0)</f>
        <v>EDITORA PEIXINHO DOURADO LTDA-PEIXINHO DOURADO</v>
      </c>
      <c r="F723" t="str">
        <f>VLOOKUP($B723,'Obras e Acervos'!$B:$X,7,0)</f>
        <v>0934L23000020LE</v>
      </c>
      <c r="G723" t="str">
        <f>VLOOKUP($B723,'Obras e Acervos'!$B:$X,5,0)</f>
        <v>A MULHER DO FRANKS TEM</v>
      </c>
      <c r="H723">
        <f>VLOOKUP($B723,'Obras e Acervos'!$B:$X,18,0)</f>
        <v>20</v>
      </c>
      <c r="I723">
        <f>VLOOKUP($B723,'Obras e Acervos'!$B:$X,19,0)</f>
        <v>28138</v>
      </c>
      <c r="J723" s="42">
        <f>VLOOKUP($B723,'Obras e Acervos'!$B:$X,20,0)</f>
        <v>1181.796</v>
      </c>
      <c r="K723" s="31">
        <f>VLOOKUP($B723,'Obras e Acervos'!$B:$X,21,0)</f>
        <v>4.47</v>
      </c>
      <c r="L723" s="31">
        <f t="shared" si="104"/>
        <v>125776.85999999999</v>
      </c>
      <c r="M723" s="1">
        <v>46097</v>
      </c>
      <c r="N723" s="1">
        <f t="shared" si="103"/>
        <v>46305</v>
      </c>
      <c r="O723">
        <f t="shared" si="105"/>
        <v>209</v>
      </c>
      <c r="P723" s="49">
        <f t="shared" si="101"/>
        <v>6.9666666666666668</v>
      </c>
      <c r="Q723" s="34">
        <f>VLOOKUP($G723,Agendamento!$B:$F,5,0)</f>
        <v>3</v>
      </c>
      <c r="R723" s="36">
        <f t="shared" si="106"/>
        <v>29</v>
      </c>
      <c r="S723" s="44">
        <v>2.5499999999999998</v>
      </c>
      <c r="T723" s="44">
        <f t="shared" si="107"/>
        <v>15455.55</v>
      </c>
      <c r="U723" t="s">
        <v>5576</v>
      </c>
      <c r="V723" t="str">
        <f t="shared" si="108"/>
        <v>NF/64374799_20260316_nf_21.pdf</v>
      </c>
      <c r="W723" s="32" t="str">
        <f t="shared" si="102"/>
        <v>NF - A MULHER DO FRANKS TEM</v>
      </c>
      <c r="X723" t="s">
        <v>5591</v>
      </c>
    </row>
    <row r="724" spans="1:24" x14ac:dyDescent="0.25">
      <c r="A724" t="str">
        <f>CONCATENATE(D724,"_",TEXT(M724,"ddmmaaaa"),"_",COUNTIF($D$2:D724,D724))</f>
        <v>436803710001-74_16032026_2</v>
      </c>
      <c r="B724" t="str">
        <f>CONCATENATE(Analise!D724,"_",COUNTIF(Analise!$D$2:D724,Analise!D724))</f>
        <v>436803710001-74_2</v>
      </c>
      <c r="C724" s="34">
        <f>COUNTIF('Obras e Acervos'!$C:$C,CONCATENATE(LEFT(D724,12),RIGHT(D724,2)))</f>
        <v>2</v>
      </c>
      <c r="D724" s="35" t="s">
        <v>4813</v>
      </c>
      <c r="E724" t="str">
        <f>VLOOKUP($B724,'Obras e Acervos'!$B:$X,3,0)</f>
        <v>EDITORA COQUINHO LTDA-COQUINHO</v>
      </c>
      <c r="F724" t="str">
        <f>VLOOKUP($B724,'Obras e Acervos'!$B:$X,7,0)</f>
        <v>0929L23000020LE</v>
      </c>
      <c r="G724" t="str">
        <f>VLOOKUP($B724,'Obras e Acervos'!$B:$X,5,0)</f>
        <v>DOM QUIXOTE DE LA MANCHA</v>
      </c>
      <c r="H724">
        <f>VLOOKUP($B724,'Obras e Acervos'!$B:$X,18,0)</f>
        <v>19</v>
      </c>
      <c r="I724">
        <f>VLOOKUP($B724,'Obras e Acervos'!$B:$X,19,0)</f>
        <v>29664</v>
      </c>
      <c r="J724" s="42">
        <f>VLOOKUP($B724,'Obras e Acervos'!$B:$X,20,0)</f>
        <v>7623.6480000000001</v>
      </c>
      <c r="K724" s="31">
        <f>VLOOKUP($B724,'Obras e Acervos'!$B:$X,21,0)</f>
        <v>12.92</v>
      </c>
      <c r="L724" s="31">
        <f t="shared" si="104"/>
        <v>383258.88</v>
      </c>
      <c r="M724" s="1">
        <v>46097</v>
      </c>
      <c r="N724" s="1">
        <f t="shared" si="103"/>
        <v>46305</v>
      </c>
      <c r="O724">
        <f t="shared" si="105"/>
        <v>209</v>
      </c>
      <c r="P724" s="49">
        <f t="shared" si="101"/>
        <v>6.9666666666666668</v>
      </c>
      <c r="Q724" s="34">
        <f>VLOOKUP($G724,Agendamento!$B:$F,5,0)</f>
        <v>5</v>
      </c>
      <c r="R724" s="36">
        <f t="shared" si="106"/>
        <v>30</v>
      </c>
      <c r="S724" s="44">
        <v>2.5499999999999998</v>
      </c>
      <c r="T724" s="44">
        <f t="shared" si="107"/>
        <v>15988.499999999998</v>
      </c>
      <c r="U724" t="s">
        <v>5568</v>
      </c>
      <c r="V724" t="str">
        <f t="shared" si="108"/>
        <v>NF/64374799_20260316_nf_22.pdf</v>
      </c>
      <c r="W724" s="32" t="str">
        <f t="shared" si="102"/>
        <v>NF - DOM QUIXOTE DE LA MANCHA</v>
      </c>
      <c r="X724" t="s">
        <v>5591</v>
      </c>
    </row>
    <row r="725" spans="1:24" x14ac:dyDescent="0.25">
      <c r="A725" t="str">
        <f>CONCATENATE(D725,"_",TEXT(M725,"ddmmaaaa"),"_",COUNTIF($D$2:D725,D725))</f>
        <v>380155110001-50_16032026_2</v>
      </c>
      <c r="B725" t="str">
        <f>CONCATENATE(Analise!D725,"_",COUNTIF(Analise!$D$2:D725,Analise!D725)-1)</f>
        <v>380155110001-50_1</v>
      </c>
      <c r="C725" s="34">
        <f>COUNTIF('Obras e Acervos'!$C:$C,CONCATENATE(LEFT(D725,12),RIGHT(D725,2)))</f>
        <v>2</v>
      </c>
      <c r="D725" s="35" t="s">
        <v>4758</v>
      </c>
      <c r="E725" t="str">
        <f>VLOOKUP($B725,'Obras e Acervos'!$B:$X,3,0)</f>
        <v>TROIA EDITORA E DISTRIBUIDORA LTDA-TROIA EDITORA</v>
      </c>
      <c r="F725" t="str">
        <f>VLOOKUP($B725,'Obras e Acervos'!$B:$X,7,0)</f>
        <v>0517L23000030LE</v>
      </c>
      <c r="G725" t="str">
        <f>VLOOKUP($B725,'Obras e Acervos'!$B:$X,5,0)</f>
        <v>A MENINA SEM COR</v>
      </c>
      <c r="H725">
        <f>VLOOKUP($B725,'Obras e Acervos'!$B:$X,18,0)</f>
        <v>5</v>
      </c>
      <c r="I725">
        <f>VLOOKUP($B725,'Obras e Acervos'!$B:$X,19,0)</f>
        <v>67904</v>
      </c>
      <c r="J725" s="42">
        <f>VLOOKUP($B725,'Obras e Acervos'!$B:$X,20,0)</f>
        <v>5432.32</v>
      </c>
      <c r="K725" s="31">
        <f>VLOOKUP($B725,'Obras e Acervos'!$B:$X,21,0)</f>
        <v>4.22</v>
      </c>
      <c r="L725" s="31">
        <f t="shared" si="104"/>
        <v>286554.88</v>
      </c>
      <c r="M725" s="1">
        <v>46097</v>
      </c>
      <c r="N725" s="1">
        <f t="shared" si="103"/>
        <v>46305</v>
      </c>
      <c r="O725">
        <f t="shared" si="105"/>
        <v>209</v>
      </c>
      <c r="P725" s="49">
        <f t="shared" si="101"/>
        <v>6.9666666666666668</v>
      </c>
      <c r="Q725" s="34">
        <f>VLOOKUP($G725,Agendamento!$B:$F,5,0)</f>
        <v>8</v>
      </c>
      <c r="R725" s="36">
        <f t="shared" si="106"/>
        <v>68</v>
      </c>
      <c r="S725" s="44">
        <v>2.5499999999999998</v>
      </c>
      <c r="T725" s="44">
        <f t="shared" si="107"/>
        <v>36240.6</v>
      </c>
      <c r="U725" t="s">
        <v>5569</v>
      </c>
      <c r="V725" t="str">
        <f t="shared" si="108"/>
        <v>NF/64374799_20260316_nf_23.pdf</v>
      </c>
      <c r="W725" s="32" t="str">
        <f t="shared" si="102"/>
        <v>NF - A MENINA SEM COR</v>
      </c>
      <c r="X725" t="s">
        <v>5591</v>
      </c>
    </row>
    <row r="726" spans="1:24" x14ac:dyDescent="0.25">
      <c r="A726" t="str">
        <f>CONCATENATE(D726,"_",TEXT(M726,"ddmmaaaa"),"_",COUNTIF($D$2:D726,D726))</f>
        <v>573033560001-11_16032026_2</v>
      </c>
      <c r="B726" t="str">
        <f>CONCATENATE(Analise!D726,"_",COUNTIF(Analise!$D$2:D726,Analise!D726))</f>
        <v>573033560001-11_2</v>
      </c>
      <c r="C726" s="34">
        <f>COUNTIF('Obras e Acervos'!$C:$C,CONCATENATE(LEFT(D726,12),RIGHT(D726,2)))</f>
        <v>2</v>
      </c>
      <c r="D726" s="35" t="s">
        <v>4817</v>
      </c>
      <c r="E726" t="str">
        <f>VLOOKUP($B726,'Obras e Acervos'!$B:$X,3,0)</f>
        <v>CALLIS EDITORA LTDA.-CALLIS</v>
      </c>
      <c r="F726" t="str">
        <f>VLOOKUP($B726,'Obras e Acervos'!$B:$X,7,0)</f>
        <v>0656L23000020LE</v>
      </c>
      <c r="G726" t="str">
        <f>VLOOKUP($B726,'Obras e Acervos'!$B:$X,5,0)</f>
        <v>ROUBO NO CASARÃO</v>
      </c>
      <c r="H726">
        <f>VLOOKUP($B726,'Obras e Acervos'!$B:$X,18,0)</f>
        <v>14</v>
      </c>
      <c r="I726">
        <f>VLOOKUP($B726,'Obras e Acervos'!$B:$X,19,0)</f>
        <v>26273</v>
      </c>
      <c r="J726" s="42">
        <f>VLOOKUP($B726,'Obras e Acervos'!$B:$X,20,0)</f>
        <v>2758.665</v>
      </c>
      <c r="K726" s="31">
        <f>VLOOKUP($B726,'Obras e Acervos'!$B:$X,21,0)</f>
        <v>10.76</v>
      </c>
      <c r="L726" s="31">
        <f t="shared" si="104"/>
        <v>282697.48</v>
      </c>
      <c r="M726" s="1">
        <v>46097</v>
      </c>
      <c r="N726" s="1">
        <f t="shared" si="103"/>
        <v>46305</v>
      </c>
      <c r="O726">
        <f t="shared" si="105"/>
        <v>209</v>
      </c>
      <c r="P726" s="49">
        <f t="shared" si="101"/>
        <v>6.9666666666666668</v>
      </c>
      <c r="Q726" s="34">
        <f>VLOOKUP($G726,Agendamento!$B:$F,5,0)</f>
        <v>5</v>
      </c>
      <c r="R726" s="36">
        <f t="shared" si="106"/>
        <v>27</v>
      </c>
      <c r="S726" s="44">
        <v>2.5499999999999998</v>
      </c>
      <c r="T726" s="44">
        <f t="shared" si="107"/>
        <v>14389.65</v>
      </c>
      <c r="U726" t="s">
        <v>5561</v>
      </c>
      <c r="V726" t="str">
        <f t="shared" si="108"/>
        <v>NF/64374799_20260316_nf_24.pdf</v>
      </c>
      <c r="W726" s="32" t="str">
        <f t="shared" si="102"/>
        <v>NF - ROUBO NO CASARÃO</v>
      </c>
      <c r="X726" t="s">
        <v>5591</v>
      </c>
    </row>
    <row r="727" spans="1:24" x14ac:dyDescent="0.25">
      <c r="A727" t="str">
        <f>CONCATENATE(D727,"_",TEXT(M727,"ddmmaaaa"),"_",COUNTIF($D$2:D727,D727))</f>
        <v>423246590001-43_16032026_2</v>
      </c>
      <c r="B727" t="str">
        <f>CONCATENATE(Analise!D727,"_",COUNTIF(Analise!$D$2:D727,Analise!D727))</f>
        <v>423246590001-43_2</v>
      </c>
      <c r="C727" s="34">
        <f>COUNTIF('Obras e Acervos'!$C:$C,CONCATENATE(LEFT(D727,12),RIGHT(D727,2)))</f>
        <v>2</v>
      </c>
      <c r="D727" s="35" t="s">
        <v>4780</v>
      </c>
      <c r="E727" t="str">
        <f>VLOOKUP($B727,'Obras e Acervos'!$B:$X,3,0)</f>
        <v>BELLABOOKS GRAFICA E EDITORA LTDA-BELLABOOKS EDICOES</v>
      </c>
      <c r="F727" t="str">
        <f>VLOOKUP($B727,'Obras e Acervos'!$B:$X,7,0)</f>
        <v>0985L23000020LE</v>
      </c>
      <c r="G727" t="str">
        <f>VLOOKUP($B727,'Obras e Acervos'!$B:$X,5,0)</f>
        <v>LENDAS AMAZÔNICAS E OUTRAS HISTÓRIAS QUE VOCÊ DEVERIA CONHECER</v>
      </c>
      <c r="H727">
        <f>VLOOKUP($B727,'Obras e Acervos'!$B:$X,18,0)</f>
        <v>18</v>
      </c>
      <c r="I727">
        <f>VLOOKUP($B727,'Obras e Acervos'!$B:$X,19,0)</f>
        <v>35289</v>
      </c>
      <c r="J727" s="42">
        <f>VLOOKUP($B727,'Obras e Acervos'!$B:$X,20,0)</f>
        <v>7728.2910000000002</v>
      </c>
      <c r="K727" s="31">
        <f>VLOOKUP($B727,'Obras e Acervos'!$B:$X,21,0)</f>
        <v>11.23</v>
      </c>
      <c r="L727" s="31">
        <f t="shared" si="104"/>
        <v>396295.47000000003</v>
      </c>
      <c r="M727" s="1">
        <v>46097</v>
      </c>
      <c r="N727" s="1">
        <f t="shared" si="103"/>
        <v>46305</v>
      </c>
      <c r="O727">
        <f t="shared" si="105"/>
        <v>209</v>
      </c>
      <c r="P727" s="49">
        <f t="shared" si="101"/>
        <v>6.9666666666666668</v>
      </c>
      <c r="Q727" s="34">
        <f>VLOOKUP($G727,Agendamento!$B:$F,5,0)</f>
        <v>6</v>
      </c>
      <c r="R727" s="36">
        <f t="shared" si="106"/>
        <v>36</v>
      </c>
      <c r="S727" s="44">
        <v>2.5499999999999998</v>
      </c>
      <c r="T727" s="44">
        <f t="shared" si="107"/>
        <v>19186.199999999997</v>
      </c>
      <c r="U727" t="s">
        <v>5572</v>
      </c>
      <c r="V727" t="str">
        <f t="shared" si="108"/>
        <v>NF/64374799_20260316_nf_26.pdf</v>
      </c>
      <c r="W727" s="32" t="str">
        <f t="shared" ref="W727" si="110">HYPERLINK(CONCATENATE("saida/",U727),CONCATENATE("NF - ",G727))</f>
        <v>NF - LENDAS AMAZÔNICAS E OUTRAS HISTÓRIAS QUE VOCÊ DEVERIA CONHECER</v>
      </c>
      <c r="X727" t="s">
        <v>5591</v>
      </c>
    </row>
    <row r="728" spans="1:24" x14ac:dyDescent="0.25">
      <c r="A728" t="str">
        <f>CONCATENATE(D728,"_",TEXT(M728,"ddmmaaaa"),"_",COUNTIF($D$2:D728,D728))</f>
        <v>215411180001-05_16032026_1</v>
      </c>
      <c r="B728" t="str">
        <f>CONCATENATE(Analise!D728,"_",COUNTIF(Analise!$D$2:D728,Analise!D728))</f>
        <v>215411180001-05_1</v>
      </c>
      <c r="C728" s="34">
        <f>COUNTIF('Obras e Acervos'!$C:$C,CONCATENATE(LEFT(D728,12),RIGHT(D728,2)))</f>
        <v>1</v>
      </c>
      <c r="D728" t="s">
        <v>4906</v>
      </c>
      <c r="E728" t="str">
        <f>VLOOKUP($B728,'Obras e Acervos'!$B:$X,3,0)</f>
        <v>DANIELA ANTONIETA LUZ MACHADO 95725440044-PHYSALIS EDITORA</v>
      </c>
      <c r="F728" t="str">
        <f>VLOOKUP($B728,'Obras e Acervos'!$B:$X,7,0)</f>
        <v>1104L23000020LE</v>
      </c>
      <c r="G728" t="str">
        <f>VLOOKUP($B728,'Obras e Acervos'!$B:$X,5,0)</f>
        <v>O MAIOR MOTIVO DO MUNDO E OUTRAS HISTÓRIAS DE SIM E DE NÃO</v>
      </c>
      <c r="H728">
        <f>VLOOKUP($B728,'Obras e Acervos'!$B:$X,18,0)</f>
        <v>21</v>
      </c>
      <c r="I728">
        <f>VLOOKUP($B728,'Obras e Acervos'!$B:$X,19,0)</f>
        <v>23753</v>
      </c>
      <c r="J728" s="42">
        <f>VLOOKUP($B728,'Obras e Acervos'!$B:$X,20,0)</f>
        <v>5581.9549999999999</v>
      </c>
      <c r="K728" s="31">
        <f>VLOOKUP($B728,'Obras e Acervos'!$B:$X,21,0)</f>
        <v>10.64</v>
      </c>
      <c r="L728" s="31">
        <f t="shared" si="104"/>
        <v>252731.92</v>
      </c>
      <c r="M728" s="1">
        <v>46097</v>
      </c>
      <c r="N728" s="1">
        <f t="shared" si="103"/>
        <v>46305</v>
      </c>
      <c r="O728">
        <f t="shared" si="105"/>
        <v>209</v>
      </c>
      <c r="P728" s="49">
        <f t="shared" si="101"/>
        <v>6.9666666666666668</v>
      </c>
      <c r="Q728" s="34">
        <f>VLOOKUP($G728,Agendamento!$B:$F,5,0)</f>
        <v>4</v>
      </c>
      <c r="R728" s="36">
        <f t="shared" si="106"/>
        <v>24</v>
      </c>
      <c r="S728" s="44">
        <v>2.5499999999999998</v>
      </c>
      <c r="T728" s="44">
        <f t="shared" si="107"/>
        <v>12790.8</v>
      </c>
      <c r="U728" t="s">
        <v>5570</v>
      </c>
      <c r="V728" t="str">
        <f t="shared" si="108"/>
        <v>NF/64374799_20260316_nf_28.pdf</v>
      </c>
      <c r="W728" s="32" t="str">
        <f t="shared" si="102"/>
        <v>NF - O MAIOR MOTIVO DO MUNDO E OUTRAS HISTÓRIAS DE SIM E DE NÃO</v>
      </c>
      <c r="X728" t="s">
        <v>5591</v>
      </c>
    </row>
    <row r="729" spans="1:24" x14ac:dyDescent="0.25">
      <c r="A729" t="str">
        <f>CONCATENATE(D729,"_",TEXT(M729,"ddmmaaaa"),"_",COUNTIF($D$2:D729,D729))</f>
        <v>436795990001-44_16032026_1</v>
      </c>
      <c r="B729" t="str">
        <f>CONCATENATE(Analise!D729,"_",COUNTIF(Analise!$D$2:D729,Analise!D729))</f>
        <v>436795990001-44_1</v>
      </c>
      <c r="C729" s="34">
        <f>COUNTIF('Obras e Acervos'!$C:$C,CONCATENATE(LEFT(D729,12),RIGHT(D729,2)))</f>
        <v>1</v>
      </c>
      <c r="D729" t="s">
        <v>4907</v>
      </c>
      <c r="E729" t="str">
        <f>VLOOKUP($B729,'Obras e Acervos'!$B:$X,3,0)</f>
        <v>EDITORA FEJUKA LTDA-FEJUKA</v>
      </c>
      <c r="F729" t="str">
        <f>VLOOKUP($B729,'Obras e Acervos'!$B:$X,7,0)</f>
        <v>0919L23000030LE</v>
      </c>
      <c r="G729" t="str">
        <f>VLOOKUP($B729,'Obras e Acervos'!$B:$X,5,0)</f>
        <v>CURUPIRA E A FLORESTA DAS LETRAS</v>
      </c>
      <c r="H729">
        <f>VLOOKUP($B729,'Obras e Acervos'!$B:$X,18,0)</f>
        <v>9</v>
      </c>
      <c r="I729">
        <f>VLOOKUP($B729,'Obras e Acervos'!$B:$X,19,0)</f>
        <v>40673</v>
      </c>
      <c r="J729" s="42">
        <f>VLOOKUP($B729,'Obras e Acervos'!$B:$X,20,0)</f>
        <v>4270.665</v>
      </c>
      <c r="K729" s="31">
        <f>VLOOKUP($B729,'Obras e Acervos'!$B:$X,21,0)</f>
        <v>5.43</v>
      </c>
      <c r="L729" s="31">
        <f t="shared" si="104"/>
        <v>220854.38999999998</v>
      </c>
      <c r="M729" s="1">
        <v>46097</v>
      </c>
      <c r="N729" s="1">
        <f t="shared" si="103"/>
        <v>46305</v>
      </c>
      <c r="O729">
        <f t="shared" si="105"/>
        <v>209</v>
      </c>
      <c r="P729" s="49">
        <f t="shared" si="101"/>
        <v>6.9666666666666668</v>
      </c>
      <c r="Q729" s="34">
        <f>VLOOKUP($G729,Agendamento!$B:$F,5,0)</f>
        <v>5</v>
      </c>
      <c r="R729" s="36">
        <f t="shared" si="106"/>
        <v>41</v>
      </c>
      <c r="S729" s="44">
        <v>2.5499999999999998</v>
      </c>
      <c r="T729" s="44">
        <f t="shared" si="107"/>
        <v>21850.949999999997</v>
      </c>
      <c r="U729" t="s">
        <v>5573</v>
      </c>
      <c r="V729" t="str">
        <f t="shared" si="108"/>
        <v>NF/64374799_20260316_nf_29.pdf</v>
      </c>
      <c r="W729" s="32" t="str">
        <f t="shared" si="102"/>
        <v>NF - CURUPIRA E A FLORESTA DAS LETRAS</v>
      </c>
      <c r="X729" t="s">
        <v>5591</v>
      </c>
    </row>
    <row r="730" spans="1:24" x14ac:dyDescent="0.25">
      <c r="A730" t="str">
        <f>CONCATENATE(D730,"_",TEXT(M730,"ddmmaaaa"),"_",COUNTIF($D$2:D730,D730))</f>
        <v>438904920001-40_16032026_1</v>
      </c>
      <c r="B730" t="str">
        <f>CONCATENATE(Analise!D730,"_",COUNTIF(Analise!$D$2:D730,Analise!D730))</f>
        <v>438904920001-40_1</v>
      </c>
      <c r="C730" s="34">
        <f>COUNTIF('Obras e Acervos'!$C:$C,CONCATENATE(LEFT(D730,12),RIGHT(D730,2)))</f>
        <v>1</v>
      </c>
      <c r="D730" t="s">
        <v>4912</v>
      </c>
      <c r="E730" t="str">
        <f>VLOOKUP($B730,'Obras e Acervos'!$B:$X,3,0)</f>
        <v>EDITORA JULIETA LTDA-JULIETA</v>
      </c>
      <c r="F730" t="str">
        <f>VLOOKUP($B730,'Obras e Acervos'!$B:$X,7,0)</f>
        <v>1070L23000020LE</v>
      </c>
      <c r="G730" t="str">
        <f>VLOOKUP($B730,'Obras e Acervos'!$B:$X,5,0)</f>
        <v>MANOEL E LUGO CONTRA O INVASOR</v>
      </c>
      <c r="H730">
        <f>VLOOKUP($B730,'Obras e Acervos'!$B:$X,18,0)</f>
        <v>13</v>
      </c>
      <c r="I730">
        <f>VLOOKUP($B730,'Obras e Acervos'!$B:$X,19,0)</f>
        <v>29590</v>
      </c>
      <c r="J730" s="42">
        <f>VLOOKUP($B730,'Obras e Acervos'!$B:$X,20,0)</f>
        <v>3106.95</v>
      </c>
      <c r="K730" s="31">
        <f>VLOOKUP($B730,'Obras e Acervos'!$B:$X,21,0)</f>
        <v>5.93</v>
      </c>
      <c r="L730" s="31">
        <f t="shared" si="104"/>
        <v>175468.69999999998</v>
      </c>
      <c r="M730" s="1">
        <v>46097</v>
      </c>
      <c r="N730" s="1">
        <f t="shared" si="103"/>
        <v>46305</v>
      </c>
      <c r="O730">
        <f t="shared" si="105"/>
        <v>209</v>
      </c>
      <c r="P730" s="49">
        <f t="shared" si="101"/>
        <v>6.9666666666666668</v>
      </c>
      <c r="Q730" s="34">
        <f>VLOOKUP($G730,Agendamento!$B:$F,5,0)</f>
        <v>5</v>
      </c>
      <c r="R730" s="36">
        <f t="shared" si="106"/>
        <v>30</v>
      </c>
      <c r="S730" s="44">
        <v>2.5499999999999998</v>
      </c>
      <c r="T730" s="44">
        <f t="shared" si="107"/>
        <v>15988.499999999998</v>
      </c>
      <c r="U730" t="s">
        <v>5581</v>
      </c>
      <c r="V730" t="str">
        <f t="shared" si="108"/>
        <v>NF/64374799_20260316_nf_30.pdf</v>
      </c>
      <c r="W730" s="32" t="str">
        <f t="shared" si="102"/>
        <v>NF - MANOEL E LUGO CONTRA O INVASOR</v>
      </c>
      <c r="X730" t="s">
        <v>5591</v>
      </c>
    </row>
    <row r="731" spans="1:24" x14ac:dyDescent="0.25">
      <c r="A731" t="str">
        <f>CONCATENATE(D731,"_",TEXT(M731,"ddmmaaaa"),"_",COUNTIF($D$2:D731,D731))</f>
        <v>166754490001-90_16032026_2</v>
      </c>
      <c r="B731" t="str">
        <f>CONCATENATE(Analise!D731,"_",COUNTIF(Analise!$D$2:D731,Analise!D731))</f>
        <v>166754490001-90_2</v>
      </c>
      <c r="C731" s="34">
        <f>COUNTIF('Obras e Acervos'!$C:$C,CONCATENATE(LEFT(D731,12),RIGHT(D731,2)))</f>
        <v>2</v>
      </c>
      <c r="D731" t="s">
        <v>4819</v>
      </c>
      <c r="E731" t="str">
        <f>VLOOKUP($B731,'Obras e Acervos'!$B:$X,3,0)</f>
        <v>RHJ LIVROS LTDA-EDITORA RHJ</v>
      </c>
      <c r="F731" t="str">
        <f>VLOOKUP($B731,'Obras e Acervos'!$B:$X,7,0)</f>
        <v>1140L23000020LE</v>
      </c>
      <c r="G731" t="str">
        <f>VLOOKUP($B731,'Obras e Acervos'!$B:$X,5,0)</f>
        <v>SEGREDOS DO SAPATEIRO MÁGICO</v>
      </c>
      <c r="H731">
        <f>VLOOKUP($B731,'Obras e Acervos'!$B:$X,18,0)</f>
        <v>21</v>
      </c>
      <c r="I731">
        <f>VLOOKUP($B731,'Obras e Acervos'!$B:$X,19,0)</f>
        <v>23768</v>
      </c>
      <c r="J731" s="42">
        <f>VLOOKUP($B731,'Obras e Acervos'!$B:$X,20,0)</f>
        <v>6940.2559999999994</v>
      </c>
      <c r="K731" s="31">
        <f>VLOOKUP($B731,'Obras e Acervos'!$B:$X,21,0)</f>
        <v>16.03</v>
      </c>
      <c r="L731" s="31">
        <f t="shared" si="104"/>
        <v>381001.04000000004</v>
      </c>
      <c r="M731" s="1">
        <v>46097</v>
      </c>
      <c r="N731" s="1">
        <f t="shared" si="103"/>
        <v>46305</v>
      </c>
      <c r="O731">
        <f t="shared" si="105"/>
        <v>209</v>
      </c>
      <c r="P731" s="49">
        <f t="shared" si="101"/>
        <v>6.9666666666666668</v>
      </c>
      <c r="Q731" s="34">
        <f>VLOOKUP($G731,Agendamento!$B:$F,5,0)</f>
        <v>4</v>
      </c>
      <c r="R731" s="36">
        <f t="shared" si="106"/>
        <v>24</v>
      </c>
      <c r="S731" s="44">
        <v>2.5499999999999998</v>
      </c>
      <c r="T731" s="44">
        <f t="shared" si="107"/>
        <v>12790.8</v>
      </c>
      <c r="U731" t="s">
        <v>5578</v>
      </c>
      <c r="V731" t="str">
        <f t="shared" si="108"/>
        <v>NF/64374799_20260316_nf_32.pdf</v>
      </c>
      <c r="W731" s="32" t="str">
        <f t="shared" si="102"/>
        <v>NF - SEGREDOS DO SAPATEIRO MÁGICO</v>
      </c>
      <c r="X731" t="s">
        <v>5591</v>
      </c>
    </row>
    <row r="732" spans="1:24" x14ac:dyDescent="0.25">
      <c r="A732" t="str">
        <f>CONCATENATE(D732,"_",TEXT(M732,"ddmmaaaa"),"_",COUNTIF($D$2:D732,D732))</f>
        <v>438869200001-61_16032026_1</v>
      </c>
      <c r="B732" t="str">
        <f>CONCATENATE(Analise!D732,"_",COUNTIF(Analise!$D$2:D732,Analise!D732))</f>
        <v>438869200001-61_1</v>
      </c>
      <c r="C732" s="34">
        <f>COUNTIF('Obras e Acervos'!$C:$C,CONCATENATE(LEFT(D732,12),RIGHT(D732,2)))</f>
        <v>1</v>
      </c>
      <c r="D732" t="s">
        <v>4910</v>
      </c>
      <c r="E732" t="str">
        <f>VLOOKUP($B732,'Obras e Acervos'!$B:$X,3,0)</f>
        <v>EDITORA PENSANTE LTDA-PENSANTE</v>
      </c>
      <c r="F732" t="str">
        <f>VLOOKUP($B732,'Obras e Acervos'!$B:$X,7,0)</f>
        <v>1079L23000030LE</v>
      </c>
      <c r="G732" t="str">
        <f>VLOOKUP($B732,'Obras e Acervos'!$B:$X,5,0)</f>
        <v>TEQUINHO E O ENSAIO DA BATERIA</v>
      </c>
      <c r="H732">
        <f>VLOOKUP($B732,'Obras e Acervos'!$B:$X,18,0)</f>
        <v>3</v>
      </c>
      <c r="I732">
        <f>VLOOKUP($B732,'Obras e Acervos'!$B:$X,19,0)</f>
        <v>45654</v>
      </c>
      <c r="J732" s="42">
        <f>VLOOKUP($B732,'Obras e Acervos'!$B:$X,20,0)</f>
        <v>4793.67</v>
      </c>
      <c r="K732" s="31">
        <f>VLOOKUP($B732,'Obras e Acervos'!$B:$X,21,0)</f>
        <v>5.05</v>
      </c>
      <c r="L732" s="31">
        <f t="shared" si="104"/>
        <v>230552.69999999998</v>
      </c>
      <c r="M732" s="1">
        <v>46097</v>
      </c>
      <c r="N732" s="1">
        <f t="shared" si="103"/>
        <v>46305</v>
      </c>
      <c r="O732">
        <f t="shared" si="105"/>
        <v>209</v>
      </c>
      <c r="P732" s="49">
        <f t="shared" si="101"/>
        <v>6.9666666666666668</v>
      </c>
      <c r="Q732" s="34">
        <f>VLOOKUP($G732,Agendamento!$B:$F,5,0)</f>
        <v>7</v>
      </c>
      <c r="R732" s="36">
        <f t="shared" si="106"/>
        <v>46</v>
      </c>
      <c r="S732" s="44">
        <v>2.5499999999999998</v>
      </c>
      <c r="T732" s="44">
        <f t="shared" si="107"/>
        <v>24515.699999999997</v>
      </c>
      <c r="U732" t="s">
        <v>5579</v>
      </c>
      <c r="V732" t="str">
        <f t="shared" si="108"/>
        <v>NF/64374799_20260316_nf_34.pdf</v>
      </c>
      <c r="W732" s="32" t="str">
        <f t="shared" si="102"/>
        <v>NF - TEQUINHO E O ENSAIO DA BATERIA</v>
      </c>
      <c r="X732" t="s">
        <v>5591</v>
      </c>
    </row>
    <row r="733" spans="1:24" x14ac:dyDescent="0.25">
      <c r="A733" t="str">
        <f>CONCATENATE(D733,"_",TEXT(M733,"ddmmaaaa"),"_",COUNTIF($D$2:D733,D733))</f>
        <v>073006320001-10_16032026_2</v>
      </c>
      <c r="B733" t="str">
        <f>CONCATENATE(Analise!D733,"_",COUNTIF(Analise!$D$2:D733,Analise!D733))</f>
        <v>073006320001-10_2</v>
      </c>
      <c r="C733" s="34">
        <f>COUNTIF('Obras e Acervos'!$C:$C,CONCATENATE(LEFT(D733,12),RIGHT(D733,2)))</f>
        <v>2</v>
      </c>
      <c r="D733" t="s">
        <v>4502</v>
      </c>
      <c r="E733" t="str">
        <f>VLOOKUP($B733,'Obras e Acervos'!$B:$X,3,0)</f>
        <v>ROVELLE EDIÇÃO E COMERCIO DE LIVOS LTDA-EDITORA ROVELLE</v>
      </c>
      <c r="F733" t="str">
        <f>VLOOKUP($B733,'Obras e Acervos'!$B:$X,7,0)</f>
        <v>0860L23000020LE</v>
      </c>
      <c r="G733" t="str">
        <f>VLOOKUP($B733,'Obras e Acervos'!$B:$X,5,0)</f>
        <v>A PROMESSA</v>
      </c>
      <c r="H733">
        <f>VLOOKUP($B733,'Obras e Acervos'!$B:$X,18,0)</f>
        <v>13</v>
      </c>
      <c r="I733">
        <f>VLOOKUP($B733,'Obras e Acervos'!$B:$X,19,0)</f>
        <v>30847</v>
      </c>
      <c r="J733" s="42">
        <f>VLOOKUP($B733,'Obras e Acervos'!$B:$X,20,0)</f>
        <v>4195.192</v>
      </c>
      <c r="K733" s="31">
        <f>VLOOKUP($B733,'Obras e Acervos'!$B:$X,21,0)</f>
        <v>8.16</v>
      </c>
      <c r="L733" s="31">
        <f t="shared" si="104"/>
        <v>251711.52000000002</v>
      </c>
      <c r="M733" s="1">
        <v>46097</v>
      </c>
      <c r="N733" s="1">
        <f t="shared" si="103"/>
        <v>46305</v>
      </c>
      <c r="O733">
        <f t="shared" si="105"/>
        <v>209</v>
      </c>
      <c r="P733" s="49">
        <f t="shared" si="101"/>
        <v>6.9666666666666668</v>
      </c>
      <c r="Q733" s="34">
        <f>VLOOKUP($G733,Agendamento!$B:$F,5,0)</f>
        <v>5</v>
      </c>
      <c r="R733" s="36">
        <f t="shared" si="106"/>
        <v>31</v>
      </c>
      <c r="S733" s="44">
        <v>2.5499999999999998</v>
      </c>
      <c r="T733" s="44">
        <f t="shared" si="107"/>
        <v>16521.449999999997</v>
      </c>
      <c r="U733" t="s">
        <v>5563</v>
      </c>
      <c r="V733" t="str">
        <f t="shared" si="108"/>
        <v>NF/64374799_20260316_nf_35.pdf</v>
      </c>
      <c r="W733" s="32" t="str">
        <f t="shared" si="102"/>
        <v>NF - A PROMESSA</v>
      </c>
      <c r="X733" t="s">
        <v>5591</v>
      </c>
    </row>
    <row r="734" spans="1:24" x14ac:dyDescent="0.25">
      <c r="A734" t="str">
        <f>CONCATENATE(D734,"_",TEXT(M734,"ddmmaaaa"),"_",COUNTIF($D$2:D734,D734))</f>
        <v>433955940001-90_16032026_1</v>
      </c>
      <c r="B734" t="str">
        <f>CONCATENATE(Analise!D734,"_",COUNTIF(Analise!$D$2:D734,Analise!D734))</f>
        <v>433955940001-90_1</v>
      </c>
      <c r="C734" s="34">
        <f>COUNTIF('Obras e Acervos'!$C:$C,CONCATENATE(LEFT(D734,12),RIGHT(D734,2)))</f>
        <v>1</v>
      </c>
      <c r="D734" t="s">
        <v>4911</v>
      </c>
      <c r="E734" t="str">
        <f>VLOOKUP($B734,'Obras e Acervos'!$B:$X,3,0)</f>
        <v>FRIDA EDITORA LTDA-FRIDA EDITORA</v>
      </c>
      <c r="F734" t="str">
        <f>VLOOKUP($B734,'Obras e Acervos'!$B:$X,7,0)</f>
        <v>0918L23000030LE</v>
      </c>
      <c r="G734" t="str">
        <f>VLOOKUP($B734,'Obras e Acervos'!$B:$X,5,0)</f>
        <v>ARRAIAL DAS LETRAS</v>
      </c>
      <c r="H734">
        <f>VLOOKUP($B734,'Obras e Acervos'!$B:$X,18,0)</f>
        <v>4</v>
      </c>
      <c r="I734">
        <f>VLOOKUP($B734,'Obras e Acervos'!$B:$X,19,0)</f>
        <v>44853</v>
      </c>
      <c r="J734" s="42">
        <f>VLOOKUP($B734,'Obras e Acervos'!$B:$X,20,0)</f>
        <v>5158.0950000000003</v>
      </c>
      <c r="K734" s="31">
        <f>VLOOKUP($B734,'Obras e Acervos'!$B:$X,21,0)</f>
        <v>4.97</v>
      </c>
      <c r="L734" s="31">
        <f t="shared" si="104"/>
        <v>222919.40999999997</v>
      </c>
      <c r="M734" s="1">
        <v>46097</v>
      </c>
      <c r="N734" s="1">
        <f t="shared" si="103"/>
        <v>46305</v>
      </c>
      <c r="O734">
        <f t="shared" si="105"/>
        <v>209</v>
      </c>
      <c r="P734" s="49">
        <f t="shared" si="101"/>
        <v>6.9666666666666668</v>
      </c>
      <c r="Q734" s="34">
        <f>VLOOKUP($G734,Agendamento!$B:$F,5,0)</f>
        <v>5</v>
      </c>
      <c r="R734" s="36">
        <f t="shared" si="106"/>
        <v>45</v>
      </c>
      <c r="S734" s="44">
        <v>2.5499999999999998</v>
      </c>
      <c r="T734" s="44">
        <f t="shared" si="107"/>
        <v>23982.75</v>
      </c>
      <c r="U734" t="s">
        <v>5580</v>
      </c>
      <c r="V734" t="str">
        <f t="shared" si="108"/>
        <v>NF/64374799_20260316_nf_36.pdf</v>
      </c>
      <c r="W734" s="32" t="str">
        <f t="shared" si="102"/>
        <v>NF - ARRAIAL DAS LETRAS</v>
      </c>
      <c r="X734" t="s">
        <v>5591</v>
      </c>
    </row>
    <row r="735" spans="1:24" x14ac:dyDescent="0.25">
      <c r="A735" t="str">
        <f>CONCATENATE(D735,"_",TEXT(M735,"ddmmaaaa"),"_",COUNTIF($D$2:D735,D735))</f>
        <v>253189850001-29_17032026_1</v>
      </c>
      <c r="B735" t="str">
        <f>CONCATENATE(Analise!D735,"_",COUNTIF(Analise!$D$2:D735,Analise!D735))</f>
        <v>253189850001-29_1</v>
      </c>
      <c r="C735" s="34">
        <f>COUNTIF('Obras e Acervos'!$C:$C,CONCATENATE(LEFT(D735,12),RIGHT(D735,2)))</f>
        <v>1</v>
      </c>
      <c r="D735" t="s">
        <v>4909</v>
      </c>
      <c r="E735" t="str">
        <f>VLOOKUP($B735,'Obras e Acervos'!$B:$X,3,0)</f>
        <v>TIBI LIVROS LTDA ME-XXXXXXX</v>
      </c>
      <c r="F735" t="str">
        <f>VLOOKUP($B735,'Obras e Acervos'!$B:$X,7,0)</f>
        <v>0971L23000030LE</v>
      </c>
      <c r="G735" t="str">
        <f>VLOOKUP($B735,'Obras e Acervos'!$B:$X,5,0)</f>
        <v>A MENINA DA CABEÇA QUADRADA</v>
      </c>
      <c r="H735">
        <f>VLOOKUP($B735,'Obras e Acervos'!$B:$X,18,0)</f>
        <v>1</v>
      </c>
      <c r="I735">
        <f>VLOOKUP($B735,'Obras e Acervos'!$B:$X,19,0)</f>
        <v>94909</v>
      </c>
      <c r="J735" s="42">
        <f>VLOOKUP($B735,'Obras e Acervos'!$B:$X,20,0)</f>
        <v>11958.534</v>
      </c>
      <c r="K735" s="31">
        <f>VLOOKUP($B735,'Obras e Acervos'!$B:$X,21,0)</f>
        <v>3.89</v>
      </c>
      <c r="L735" s="31">
        <f t="shared" si="104"/>
        <v>369196.01</v>
      </c>
      <c r="M735" s="1">
        <v>46098</v>
      </c>
      <c r="N735" s="1">
        <f t="shared" si="103"/>
        <v>46305</v>
      </c>
      <c r="O735">
        <f t="shared" si="105"/>
        <v>208</v>
      </c>
      <c r="P735" s="49">
        <f t="shared" si="101"/>
        <v>6.9333333333333336</v>
      </c>
      <c r="Q735" s="34">
        <f>VLOOKUP($G735,Agendamento!$B:$F,5,0)</f>
        <v>11</v>
      </c>
      <c r="R735" s="36">
        <f t="shared" si="106"/>
        <v>95</v>
      </c>
      <c r="S735" s="44">
        <v>2.5499999999999998</v>
      </c>
      <c r="T735" s="44">
        <f t="shared" si="107"/>
        <v>50388</v>
      </c>
      <c r="U735" t="s">
        <v>5577</v>
      </c>
      <c r="V735" t="str">
        <f t="shared" si="108"/>
        <v>NF/64374799_20260317_nf_01.pdf</v>
      </c>
      <c r="W735" s="32" t="str">
        <f t="shared" si="102"/>
        <v>NF - A MENINA DA CABEÇA QUADRADA</v>
      </c>
      <c r="X735" t="s">
        <v>5591</v>
      </c>
    </row>
    <row r="736" spans="1:24" x14ac:dyDescent="0.25">
      <c r="A736" t="str">
        <f>CONCATENATE(D736,"_",TEXT(M736,"ddmmaaaa"),"_",COUNTIF($D$2:D736,D736))</f>
        <v>105881860001-03_17032026_2</v>
      </c>
      <c r="B736" t="str">
        <f>CONCATENATE(Analise!D736,"_",COUNTIF(Analise!$D$2:D736,Analise!D736)-1)</f>
        <v>105881860001-03_1</v>
      </c>
      <c r="C736" s="34">
        <f>COUNTIF('Obras e Acervos'!$C:$C,CONCATENATE(LEFT(D736,12),RIGHT(D736,2)))</f>
        <v>2</v>
      </c>
      <c r="D736" t="s">
        <v>4905</v>
      </c>
      <c r="E736" t="str">
        <f>VLOOKUP($B736,'Obras e Acervos'!$B:$X,3,0)</f>
        <v>ABACATTE EDITORIAL LTDA - EPP-ABACATTE EDITORIAL</v>
      </c>
      <c r="F736" t="str">
        <f>VLOOKUP($B736,'Obras e Acervos'!$B:$X,7,0)</f>
        <v>0670L23000030LE</v>
      </c>
      <c r="G736" t="str">
        <f>VLOOKUP($B736,'Obras e Acervos'!$B:$X,5,0)</f>
        <v>A PESCARIA MAGNÉTICA DO SEU VIVINHO E OUTRAS HISTÓRIAS</v>
      </c>
      <c r="H736">
        <f>VLOOKUP($B736,'Obras e Acervos'!$B:$X,18,0)</f>
        <v>5</v>
      </c>
      <c r="I736">
        <f>VLOOKUP($B736,'Obras e Acervos'!$B:$X,19,0)</f>
        <v>38089</v>
      </c>
      <c r="J736" s="42">
        <f>VLOOKUP($B736,'Obras e Acervos'!$B:$X,20,0)</f>
        <v>4875.3919999999998</v>
      </c>
      <c r="K736" s="31">
        <f>VLOOKUP($B736,'Obras e Acervos'!$B:$X,21,0)</f>
        <v>6.61</v>
      </c>
      <c r="L736" s="31">
        <f t="shared" si="104"/>
        <v>251768.29</v>
      </c>
      <c r="M736" s="1">
        <v>46098</v>
      </c>
      <c r="N736" s="1">
        <f t="shared" si="103"/>
        <v>46305</v>
      </c>
      <c r="O736">
        <f t="shared" si="105"/>
        <v>208</v>
      </c>
      <c r="P736" s="49">
        <f t="shared" si="101"/>
        <v>6.9333333333333336</v>
      </c>
      <c r="Q736" s="34">
        <f>VLOOKUP($G736,Agendamento!$B:$F,5,0)</f>
        <v>7</v>
      </c>
      <c r="R736" s="36">
        <f t="shared" si="106"/>
        <v>39</v>
      </c>
      <c r="S736" s="44">
        <v>2.5499999999999998</v>
      </c>
      <c r="T736" s="44">
        <f t="shared" si="107"/>
        <v>20685.599999999999</v>
      </c>
      <c r="U736" t="s">
        <v>5566</v>
      </c>
      <c r="V736" t="str">
        <f t="shared" si="108"/>
        <v>NF/64374799_20260317_nf_02.pdf</v>
      </c>
      <c r="W736" s="32" t="str">
        <f t="shared" si="102"/>
        <v>NF - A PESCARIA MAGNÉTICA DO SEU VIVINHO E OUTRAS HISTÓRIAS</v>
      </c>
      <c r="X736" t="s">
        <v>5591</v>
      </c>
    </row>
    <row r="737" spans="1:24" x14ac:dyDescent="0.25">
      <c r="A737" t="str">
        <f>CONCATENATE(D737,"_",TEXT(M737,"ddmmaaaa"),"_",COUNTIF($D$2:D737,D737))</f>
        <v>165094860001-28_17032026_1</v>
      </c>
      <c r="B737" t="str">
        <f>CONCATENATE(Analise!D737,"_",COUNTIF(Analise!$D$2:D737,Analise!D737))</f>
        <v>165094860001-28_1</v>
      </c>
      <c r="C737" s="34">
        <f>COUNTIF('Obras e Acervos'!$C:$C,CONCATENATE(LEFT(D737,12),RIGHT(D737,2)))</f>
        <v>1</v>
      </c>
      <c r="D737" t="s">
        <v>4902</v>
      </c>
      <c r="E737" t="str">
        <f>VLOOKUP($B737,'Obras e Acervos'!$B:$X,3,0)</f>
        <v>N-1 EDITORA E DISTRIBUIDORA LTDA-N-1 EDIÇÕES</v>
      </c>
      <c r="F737" t="str">
        <f>VLOOKUP($B737,'Obras e Acervos'!$B:$X,7,0)</f>
        <v>1366L23000030LE</v>
      </c>
      <c r="G737" t="str">
        <f>VLOOKUP($B737,'Obras e Acervos'!$B:$X,5,0)</f>
        <v>O REISADO</v>
      </c>
      <c r="H737">
        <f>VLOOKUP($B737,'Obras e Acervos'!$B:$X,18,0)</f>
        <v>6</v>
      </c>
      <c r="I737">
        <f>VLOOKUP($B737,'Obras e Acervos'!$B:$X,19,0)</f>
        <v>36644</v>
      </c>
      <c r="J737" s="42">
        <f>VLOOKUP($B737,'Obras e Acervos'!$B:$X,20,0)</f>
        <v>3664.4</v>
      </c>
      <c r="K737" s="31">
        <f>VLOOKUP($B737,'Obras e Acervos'!$B:$X,21,0)</f>
        <v>5.69</v>
      </c>
      <c r="L737" s="31">
        <f t="shared" si="104"/>
        <v>208504.36000000002</v>
      </c>
      <c r="M737" s="1">
        <v>46098</v>
      </c>
      <c r="N737" s="1">
        <f t="shared" si="103"/>
        <v>46305</v>
      </c>
      <c r="O737">
        <f t="shared" si="105"/>
        <v>208</v>
      </c>
      <c r="P737" s="49">
        <f t="shared" si="101"/>
        <v>6.9333333333333336</v>
      </c>
      <c r="Q737" s="34">
        <f>VLOOKUP($G737,Agendamento!$B:$F,5,0)</f>
        <v>6</v>
      </c>
      <c r="R737" s="36">
        <f t="shared" si="106"/>
        <v>37</v>
      </c>
      <c r="S737" s="44">
        <v>2.5499999999999998</v>
      </c>
      <c r="T737" s="44">
        <f t="shared" si="107"/>
        <v>19624.8</v>
      </c>
      <c r="U737" t="s">
        <v>5554</v>
      </c>
      <c r="V737" t="str">
        <f t="shared" si="108"/>
        <v>NF/64374799_20260317_nf_04.pdf</v>
      </c>
      <c r="W737" s="32" t="str">
        <f t="shared" si="102"/>
        <v>NF - O REISADO</v>
      </c>
      <c r="X737" t="s">
        <v>5591</v>
      </c>
    </row>
    <row r="738" spans="1:24" x14ac:dyDescent="0.25">
      <c r="A738" t="str">
        <f>CONCATENATE(D738,"_",TEXT(M738,"ddmmaaaa"),"_",COUNTIF($D$2:D738,D738))</f>
        <v>612599580001-96_11022026_1</v>
      </c>
      <c r="B738" t="str">
        <f>CONCATENATE(Analise!D738,"_",COUNTIF(Analise!$D$2:D738,Analise!D738))</f>
        <v>612599580001-96_1</v>
      </c>
      <c r="C738" s="34">
        <f>COUNTIF('Obras e Acervos'!$C:$C,CONCATENATE(LEFT(D738,12),RIGHT(D738,2)))</f>
        <v>2</v>
      </c>
      <c r="D738" t="s">
        <v>5799</v>
      </c>
      <c r="E738" t="str">
        <f>VLOOKUP($B738,'Obras e Acervos'!$B:$X,3,0)</f>
        <v>EDITORA ATICA S/A-ÁTICA</v>
      </c>
      <c r="F738" t="str">
        <f>VLOOKUP($B738,'Obras e Acervos'!$B:$X,7,0)</f>
        <v>0399L23000030LE</v>
      </c>
      <c r="G738" t="str">
        <f>VLOOKUP($B738,'Obras e Acervos'!$B:$X,5,0)</f>
        <v>O FRIO PODE SER QUENTE?</v>
      </c>
      <c r="H738">
        <f>VLOOKUP($B738,'Obras e Acervos'!$B:$X,18,0)</f>
        <v>1</v>
      </c>
      <c r="I738">
        <f>VLOOKUP($B738,'Obras e Acervos'!$B:$X,19,0)</f>
        <v>54398</v>
      </c>
      <c r="J738" s="42">
        <f>VLOOKUP($B738,'Obras e Acervos'!$B:$X,20,0)</f>
        <v>6527.7599999999993</v>
      </c>
      <c r="K738" s="31">
        <f>VLOOKUP($B738,'Obras e Acervos'!$B:$X,21,0)</f>
        <v>4.28</v>
      </c>
      <c r="L738" s="31">
        <f t="shared" si="104"/>
        <v>232823.44</v>
      </c>
      <c r="M738" s="1">
        <v>46064</v>
      </c>
      <c r="N738" s="1">
        <f t="shared" si="103"/>
        <v>46305</v>
      </c>
      <c r="O738">
        <f t="shared" si="105"/>
        <v>242</v>
      </c>
      <c r="P738" s="49">
        <f t="shared" ref="P738:P801" si="111">O738/30</f>
        <v>8.0666666666666664</v>
      </c>
      <c r="Q738" s="34">
        <f>VLOOKUP($G738,Agendamento!$B:$F,5,0)</f>
        <v>1</v>
      </c>
      <c r="R738" s="36">
        <f t="shared" si="106"/>
        <v>55</v>
      </c>
      <c r="S738" s="44">
        <v>2.5499999999999998</v>
      </c>
      <c r="T738" s="44">
        <f t="shared" si="107"/>
        <v>33940.5</v>
      </c>
      <c r="U738" t="s">
        <v>5880</v>
      </c>
      <c r="V738" t="str">
        <f t="shared" si="108"/>
        <v>NF/20260211_nf_55.pdf</v>
      </c>
      <c r="W738" s="32" t="str">
        <f t="shared" ref="W738:W801" si="112">HYPERLINK(CONCATENATE("saida/",U738),CONCATENATE("NF - ",G738))</f>
        <v>NF - O FRIO PODE SER QUENTE?</v>
      </c>
      <c r="X738" t="s">
        <v>5591</v>
      </c>
    </row>
    <row r="739" spans="1:24" x14ac:dyDescent="0.25">
      <c r="A739" t="str">
        <f>CONCATENATE(D739,"_",TEXT(M739,"ddmmaaaa"),"_",COUNTIF($D$2:D739,D739))</f>
        <v>334512790001-89_27022026_3</v>
      </c>
      <c r="B739" t="str">
        <f>CONCATENATE(Analise!D739,"_",COUNTIF(Analise!$D$2:D739,Analise!D739)-1)</f>
        <v>334512790001-89_2</v>
      </c>
      <c r="C739" s="34">
        <f>COUNTIF('Obras e Acervos'!$C:$C,CONCATENATE(LEFT(D739,12),RIGHT(D739,2)))</f>
        <v>2</v>
      </c>
      <c r="D739" t="s">
        <v>4857</v>
      </c>
      <c r="E739" t="str">
        <f>VLOOKUP($B739,'Obras e Acervos'!$B:$X,3,0)</f>
        <v>EDITORA PAZ E TERRA LTDA -EDITORA PAZ E TERRA</v>
      </c>
      <c r="F739" t="str">
        <f>VLOOKUP($B739,'Obras e Acervos'!$B:$X,7,0)</f>
        <v>0601L23000020LE</v>
      </c>
      <c r="G739" t="str">
        <f>VLOOKUP($B739,'Obras e Acervos'!$B:$X,5,0)</f>
        <v>O PARA SEMPRE DE PEDRINA E TUNICO</v>
      </c>
      <c r="H739">
        <f>VLOOKUP($B739,'Obras e Acervos'!$B:$X,18,0)</f>
        <v>18</v>
      </c>
      <c r="I739">
        <f>VLOOKUP($B739,'Obras e Acervos'!$B:$X,19,0)</f>
        <v>23624</v>
      </c>
      <c r="J739" s="42">
        <f>VLOOKUP($B739,'Obras e Acervos'!$B:$X,20,0)</f>
        <v>2953</v>
      </c>
      <c r="K739" s="31">
        <f>VLOOKUP($B739,'Obras e Acervos'!$B:$X,21,0)</f>
        <v>7.53</v>
      </c>
      <c r="L739" s="31">
        <f t="shared" si="104"/>
        <v>177888.72</v>
      </c>
      <c r="M739" s="1">
        <v>46080</v>
      </c>
      <c r="N739" s="1">
        <f t="shared" si="103"/>
        <v>46305</v>
      </c>
      <c r="O739">
        <f t="shared" si="105"/>
        <v>226</v>
      </c>
      <c r="P739" s="49">
        <f t="shared" si="111"/>
        <v>7.5333333333333332</v>
      </c>
      <c r="Q739" s="34">
        <f>VLOOKUP($G739,Agendamento!$B:$F,5,0)</f>
        <v>4</v>
      </c>
      <c r="R739" s="36">
        <f t="shared" si="106"/>
        <v>24</v>
      </c>
      <c r="S739" s="44">
        <v>2.5499999999999998</v>
      </c>
      <c r="T739" s="44">
        <f t="shared" si="107"/>
        <v>13831.199999999999</v>
      </c>
      <c r="U739" t="s">
        <v>5882</v>
      </c>
      <c r="V739" t="str">
        <f t="shared" si="108"/>
        <v>NF/20260227_nf_32.pdf</v>
      </c>
      <c r="W739" s="32" t="str">
        <f t="shared" si="112"/>
        <v>NF - O PARA SEMPRE DE PEDRINA E TUNICO</v>
      </c>
      <c r="X739" t="s">
        <v>5591</v>
      </c>
    </row>
    <row r="740" spans="1:24" x14ac:dyDescent="0.25">
      <c r="A740" t="str">
        <f>CONCATENATE(D740,"_",TEXT(M740,"ddmmaaaa"),"_",COUNTIF($D$2:D740,D740))</f>
        <v>174639630001-24_12022026_1</v>
      </c>
      <c r="B740" t="str">
        <f>CONCATENATE(Analise!D740,"_",COUNTIF(Analise!$D$2:D740,Analise!D740))</f>
        <v>174639630001-24_1</v>
      </c>
      <c r="C740" s="34">
        <f>COUNTIF('Obras e Acervos'!$C:$C,CONCATENATE(LEFT(D740,12),RIGHT(D740,2)))</f>
        <v>2</v>
      </c>
      <c r="D740" t="s">
        <v>5800</v>
      </c>
      <c r="E740" t="str">
        <f>VLOOKUP($B740,'Obras e Acervos'!$B:$X,3,0)</f>
        <v>EMPRESA BRASILEIRA DE SISTEMAS DE ENSINO LTDA. -BR EDUCAÇÃO</v>
      </c>
      <c r="F740" t="str">
        <f>VLOOKUP($B740,'Obras e Acervos'!$B:$X,7,0)</f>
        <v>0649L23000030LE</v>
      </c>
      <c r="G740" t="str">
        <f>VLOOKUP($B740,'Obras e Acervos'!$B:$X,5,0)</f>
        <v>CUMARIM, A PIMENTA DO REINO</v>
      </c>
      <c r="H740">
        <f>VLOOKUP($B740,'Obras e Acervos'!$B:$X,18,0)</f>
        <v>1</v>
      </c>
      <c r="I740">
        <f>VLOOKUP($B740,'Obras e Acervos'!$B:$X,19,0)</f>
        <v>57897</v>
      </c>
      <c r="J740" s="42">
        <f>VLOOKUP($B740,'Obras e Acervos'!$B:$X,20,0)</f>
        <v>7295.0219999999999</v>
      </c>
      <c r="K740" s="31">
        <f>VLOOKUP($B740,'Obras e Acervos'!$B:$X,21,0)</f>
        <v>5.88</v>
      </c>
      <c r="L740" s="31">
        <f t="shared" si="104"/>
        <v>340434.36</v>
      </c>
      <c r="M740" s="1">
        <v>46065</v>
      </c>
      <c r="N740" s="1">
        <f t="shared" si="103"/>
        <v>46305</v>
      </c>
      <c r="O740">
        <f t="shared" si="105"/>
        <v>241</v>
      </c>
      <c r="P740" s="49">
        <f t="shared" si="111"/>
        <v>8.0333333333333332</v>
      </c>
      <c r="Q740" s="34">
        <f>VLOOKUP($G740,Agendamento!$B:$F,5,0)</f>
        <v>9</v>
      </c>
      <c r="R740" s="36">
        <f t="shared" si="106"/>
        <v>58</v>
      </c>
      <c r="S740" s="44">
        <v>2.5499999999999998</v>
      </c>
      <c r="T740" s="44">
        <f t="shared" si="107"/>
        <v>35643.899999999994</v>
      </c>
      <c r="U740" t="s">
        <v>5863</v>
      </c>
      <c r="V740" t="str">
        <f t="shared" si="108"/>
        <v>NF/20260212_nf_30.pdf</v>
      </c>
      <c r="W740" s="32" t="str">
        <f t="shared" si="112"/>
        <v>NF - CUMARIM, A PIMENTA DO REINO</v>
      </c>
      <c r="X740" t="s">
        <v>5591</v>
      </c>
    </row>
    <row r="741" spans="1:24" x14ac:dyDescent="0.25">
      <c r="A741" t="str">
        <f>CONCATENATE(D741,"_",TEXT(M741,"ddmmaaaa"),"_",COUNTIF($D$2:D741,D741))</f>
        <v>141602310001-77_11022026_1</v>
      </c>
      <c r="B741" t="str">
        <f>CONCATENATE(Analise!D741,"_",COUNTIF(Analise!$D$2:D741,Analise!D741))</f>
        <v>141602310001-77_1</v>
      </c>
      <c r="C741" s="34">
        <f>COUNTIF('Obras e Acervos'!$C:$C,CONCATENATE(LEFT(D741,12),RIGHT(D741,2)))</f>
        <v>1</v>
      </c>
      <c r="D741" t="s">
        <v>5801</v>
      </c>
      <c r="E741" t="str">
        <f>VLOOKUP($B741,'Obras e Acervos'!$B:$X,3,0)</f>
        <v>PATMOS EDITORA LTDA - ME-PATMOS EDITORA</v>
      </c>
      <c r="F741" t="str">
        <f>VLOOKUP($B741,'Obras e Acervos'!$B:$X,7,0)</f>
        <v>0478L23000030LE</v>
      </c>
      <c r="G741" t="str">
        <f>VLOOKUP($B741,'Obras e Acervos'!$B:$X,5,0)</f>
        <v>A RAPOSA E O CARNEIRO</v>
      </c>
      <c r="H741">
        <f>VLOOKUP($B741,'Obras e Acervos'!$B:$X,18,0)</f>
        <v>1</v>
      </c>
      <c r="I741">
        <f>VLOOKUP($B741,'Obras e Acervos'!$B:$X,19,0)</f>
        <v>66396</v>
      </c>
      <c r="J741" s="42">
        <f>VLOOKUP($B741,'Obras e Acervos'!$B:$X,20,0)</f>
        <v>9295.44</v>
      </c>
      <c r="K741" s="31">
        <f>VLOOKUP($B741,'Obras e Acervos'!$B:$X,21,0)</f>
        <v>4.58</v>
      </c>
      <c r="L741" s="31">
        <f t="shared" si="104"/>
        <v>304093.68</v>
      </c>
      <c r="M741" s="1">
        <v>46064</v>
      </c>
      <c r="N741" s="1">
        <f t="shared" si="103"/>
        <v>46305</v>
      </c>
      <c r="O741">
        <f t="shared" si="105"/>
        <v>242</v>
      </c>
      <c r="P741" s="49">
        <f t="shared" si="111"/>
        <v>8.0666666666666664</v>
      </c>
      <c r="Q741" s="34">
        <f>VLOOKUP($G741,Agendamento!$B:$F,5,0)</f>
        <v>8</v>
      </c>
      <c r="R741" s="36">
        <f t="shared" si="106"/>
        <v>67</v>
      </c>
      <c r="S741" s="44">
        <v>2.5499999999999998</v>
      </c>
      <c r="T741" s="44">
        <f t="shared" si="107"/>
        <v>41345.699999999997</v>
      </c>
      <c r="U741" t="s">
        <v>5848</v>
      </c>
      <c r="V741" t="str">
        <f t="shared" si="108"/>
        <v>NF/20260211_NF_12.pdf</v>
      </c>
      <c r="W741" s="32" t="str">
        <f t="shared" si="112"/>
        <v>NF - A RAPOSA E O CARNEIRO</v>
      </c>
      <c r="X741" t="s">
        <v>5591</v>
      </c>
    </row>
    <row r="742" spans="1:24" x14ac:dyDescent="0.25">
      <c r="A742" t="str">
        <f>CONCATENATE(D742,"_",TEXT(M742,"ddmmaaaa"),"_",COUNTIF($D$2:D742,D742))</f>
        <v>417706190001-62_11022026_1</v>
      </c>
      <c r="B742" t="str">
        <f>CONCATENATE(Analise!D742,"_",COUNTIF(Analise!$D$2:D742,Analise!D742))</f>
        <v>417706190001-62_1</v>
      </c>
      <c r="C742" s="34">
        <f>COUNTIF('Obras e Acervos'!$C:$C,CONCATENATE(LEFT(D742,12),RIGHT(D742,2)))</f>
        <v>2</v>
      </c>
      <c r="D742" t="s">
        <v>5802</v>
      </c>
      <c r="E742" t="str">
        <f>VLOOKUP($B742,'Obras e Acervos'!$B:$X,3,0)</f>
        <v>SERELEPE EDITORA LTDA-SERELEPE EDITORA</v>
      </c>
      <c r="F742" t="str">
        <f>VLOOKUP($B742,'Obras e Acervos'!$B:$X,7,0)</f>
        <v>1153L23000030LE</v>
      </c>
      <c r="G742" t="str">
        <f>VLOOKUP($B742,'Obras e Acervos'!$B:$X,5,0)</f>
        <v>E VOCÊ, O QUE SABE FAZER?</v>
      </c>
      <c r="H742">
        <f>VLOOKUP($B742,'Obras e Acervos'!$B:$X,18,0)</f>
        <v>1</v>
      </c>
      <c r="I742">
        <f>VLOOKUP($B742,'Obras e Acervos'!$B:$X,19,0)</f>
        <v>53640</v>
      </c>
      <c r="J742" s="42">
        <f>VLOOKUP($B742,'Obras e Acervos'!$B:$X,20,0)</f>
        <v>4988.5199999999995</v>
      </c>
      <c r="K742" s="31">
        <f>VLOOKUP($B742,'Obras e Acervos'!$B:$X,21,0)</f>
        <v>4.22</v>
      </c>
      <c r="L742" s="31">
        <f t="shared" si="104"/>
        <v>226360.8</v>
      </c>
      <c r="M742" s="1">
        <v>46064</v>
      </c>
      <c r="N742" s="1">
        <f t="shared" si="103"/>
        <v>46305</v>
      </c>
      <c r="O742">
        <f t="shared" si="105"/>
        <v>242</v>
      </c>
      <c r="P742" s="49">
        <f t="shared" si="111"/>
        <v>8.0666666666666664</v>
      </c>
      <c r="Q742" s="34">
        <f>VLOOKUP($G742,Agendamento!$B:$F,5,0)</f>
        <v>6</v>
      </c>
      <c r="R742" s="36">
        <f t="shared" si="106"/>
        <v>54</v>
      </c>
      <c r="S742" s="44">
        <v>2.5499999999999998</v>
      </c>
      <c r="T742" s="44">
        <f t="shared" si="107"/>
        <v>33323.399999999994</v>
      </c>
      <c r="U742" t="s">
        <v>5849</v>
      </c>
      <c r="V742" t="str">
        <f t="shared" si="108"/>
        <v>NF/20260211_nf_13.pdf</v>
      </c>
      <c r="W742" s="32" t="str">
        <f t="shared" si="112"/>
        <v>NF - E VOCÊ, O QUE SABE FAZER?</v>
      </c>
      <c r="X742" t="s">
        <v>5591</v>
      </c>
    </row>
    <row r="743" spans="1:24" x14ac:dyDescent="0.25">
      <c r="A743" t="str">
        <f>CONCATENATE(D743,"_",TEXT(M743,"ddmmaaaa"),"_",COUNTIF($D$2:D743,D743))</f>
        <v>165817820001-30_12022026_1</v>
      </c>
      <c r="B743" t="str">
        <f>CONCATENATE(Analise!D743,"_",COUNTIF(Analise!$D$2:D743,Analise!D743))</f>
        <v>165817820001-30_1</v>
      </c>
      <c r="C743" s="34">
        <f>COUNTIF('Obras e Acervos'!$C:$C,CONCATENATE(LEFT(D743,12),RIGHT(D743,2)))</f>
        <v>2</v>
      </c>
      <c r="D743" t="s">
        <v>5803</v>
      </c>
      <c r="E743" t="str">
        <f>VLOOKUP($B743,'Obras e Acervos'!$B:$X,3,0)</f>
        <v>VANGIVALDO S DOS SANTOS SERVICOS GRAFICOS-VANGI EDICAO GRAFICA</v>
      </c>
      <c r="F743" t="str">
        <f>VLOOKUP($B743,'Obras e Acervos'!$B:$X,7,0)</f>
        <v>0968L23000030LE</v>
      </c>
      <c r="G743" t="str">
        <f>VLOOKUP($B743,'Obras e Acervos'!$B:$X,5,0)</f>
        <v>SEREIA EM SEGREDO</v>
      </c>
      <c r="H743">
        <f>VLOOKUP($B743,'Obras e Acervos'!$B:$X,18,0)</f>
        <v>1</v>
      </c>
      <c r="I743">
        <f>VLOOKUP($B743,'Obras e Acervos'!$B:$X,19,0)</f>
        <v>48383</v>
      </c>
      <c r="J743" s="42">
        <f>VLOOKUP($B743,'Obras e Acervos'!$B:$X,20,0)</f>
        <v>5564.0450000000001</v>
      </c>
      <c r="K743" s="31">
        <f>VLOOKUP($B743,'Obras e Acervos'!$B:$X,21,0)</f>
        <v>5.1100000000000003</v>
      </c>
      <c r="L743" s="31">
        <f t="shared" si="104"/>
        <v>247237.13</v>
      </c>
      <c r="M743" s="1">
        <v>46065</v>
      </c>
      <c r="N743" s="1">
        <f t="shared" si="103"/>
        <v>46305</v>
      </c>
      <c r="O743">
        <f t="shared" si="105"/>
        <v>241</v>
      </c>
      <c r="P743" s="49">
        <f t="shared" si="111"/>
        <v>8.0333333333333332</v>
      </c>
      <c r="Q743" s="34">
        <f>VLOOKUP($G743,Agendamento!$B:$F,5,0)</f>
        <v>6</v>
      </c>
      <c r="R743" s="36">
        <f t="shared" si="106"/>
        <v>49</v>
      </c>
      <c r="S743" s="44">
        <v>2.5499999999999998</v>
      </c>
      <c r="T743" s="44">
        <f t="shared" si="107"/>
        <v>30112.949999999997</v>
      </c>
      <c r="U743" t="s">
        <v>5859</v>
      </c>
      <c r="V743" t="str">
        <f t="shared" si="108"/>
        <v>NF/20260212_nf_24.pdf</v>
      </c>
      <c r="W743" s="32" t="str">
        <f t="shared" si="112"/>
        <v>NF - SEREIA EM SEGREDO</v>
      </c>
      <c r="X743" t="s">
        <v>5591</v>
      </c>
    </row>
    <row r="744" spans="1:24" x14ac:dyDescent="0.25">
      <c r="A744" t="str">
        <f>CONCATENATE(D744,"_",TEXT(M744,"ddmmaaaa"),"_",COUNTIF($D$2:D744,D744))</f>
        <v>433991930001-08_04022026_1</v>
      </c>
      <c r="B744" t="str">
        <f>CONCATENATE(Analise!D744,"_",COUNTIF(Analise!$D$2:D744,Analise!D744))</f>
        <v>433991930001-08_1</v>
      </c>
      <c r="C744" s="34">
        <f>COUNTIF('Obras e Acervos'!$C:$C,CONCATENATE(LEFT(D744,12),RIGHT(D744,2)))</f>
        <v>2</v>
      </c>
      <c r="D744" t="s">
        <v>5804</v>
      </c>
      <c r="E744" t="str">
        <f>VLOOKUP($B744,'Obras e Acervos'!$B:$X,3,0)</f>
        <v>VIVI EDITORA LTDA -VIVI EDITORA</v>
      </c>
      <c r="F744" t="str">
        <f>VLOOKUP($B744,'Obras e Acervos'!$B:$X,7,0)</f>
        <v>0470L23000030LE</v>
      </c>
      <c r="G744" t="str">
        <f>VLOOKUP($B744,'Obras e Acervos'!$B:$X,5,0)</f>
        <v>NA BOCA DO MUNDO: BRINCANDO, CANTANDO E PARLENDANDO</v>
      </c>
      <c r="H744">
        <f>VLOOKUP($B744,'Obras e Acervos'!$B:$X,18,0)</f>
        <v>1</v>
      </c>
      <c r="I744">
        <f>VLOOKUP($B744,'Obras e Acervos'!$B:$X,19,0)</f>
        <v>73426</v>
      </c>
      <c r="J744" s="42">
        <f>VLOOKUP($B744,'Obras e Acervos'!$B:$X,20,0)</f>
        <v>7709.73</v>
      </c>
      <c r="K744" s="31">
        <f>VLOOKUP($B744,'Obras e Acervos'!$B:$X,21,0)</f>
        <v>4.2</v>
      </c>
      <c r="L744" s="31">
        <f t="shared" si="104"/>
        <v>308389.2</v>
      </c>
      <c r="M744" s="1">
        <v>46057</v>
      </c>
      <c r="N744" s="1">
        <f t="shared" si="103"/>
        <v>46305</v>
      </c>
      <c r="O744">
        <f t="shared" si="105"/>
        <v>249</v>
      </c>
      <c r="P744" s="49">
        <f t="shared" si="111"/>
        <v>8.3000000000000007</v>
      </c>
      <c r="Q744" s="34">
        <f>VLOOKUP($G744,Agendamento!$B:$F,5,0)</f>
        <v>9</v>
      </c>
      <c r="R744" s="36">
        <f t="shared" si="106"/>
        <v>74</v>
      </c>
      <c r="S744" s="44">
        <v>2.5499999999999998</v>
      </c>
      <c r="T744" s="44">
        <f t="shared" si="107"/>
        <v>46986.299999999996</v>
      </c>
      <c r="U744" t="s">
        <v>5843</v>
      </c>
      <c r="V744" t="str">
        <f t="shared" si="108"/>
        <v>NF/20260204_nf_08.pdf</v>
      </c>
      <c r="W744" s="32" t="str">
        <f t="shared" si="112"/>
        <v>NF - NA BOCA DO MUNDO: BRINCANDO, CANTANDO E PARLENDANDO</v>
      </c>
      <c r="X744" t="s">
        <v>5591</v>
      </c>
    </row>
    <row r="745" spans="1:24" x14ac:dyDescent="0.25">
      <c r="A745" t="str">
        <f>CONCATENATE(D745,"_",TEXT(M745,"ddmmaaaa"),"_",COUNTIF($D$2:D745,D745))</f>
        <v>766598200009-09_12022026_1</v>
      </c>
      <c r="B745" t="str">
        <f>CONCATENATE(Analise!D745,"_",COUNTIF(Analise!$D$2:D745,Analise!D745))</f>
        <v>766598200009-09_1</v>
      </c>
      <c r="C745" s="34">
        <f>COUNTIF('Obras e Acervos'!$C:$C,CONCATENATE(LEFT(D745,12),RIGHT(D745,2)))</f>
        <v>2</v>
      </c>
      <c r="D745" t="s">
        <v>5805</v>
      </c>
      <c r="E745" t="str">
        <f>VLOOKUP($B745,'Obras e Acervos'!$B:$X,3,0)</f>
        <v>ASSOCIAÇÃO PARANAENSE DE CULTURA – APC -EDITORA UNIVERSITÁRIA CHAMPAGNAT</v>
      </c>
      <c r="F745" t="str">
        <f>VLOOKUP($B745,'Obras e Acervos'!$B:$X,7,0)</f>
        <v>0784L23000030LE</v>
      </c>
      <c r="G745" t="str">
        <f>VLOOKUP($B745,'Obras e Acervos'!$B:$X,5,0)</f>
        <v>O SAPATO QUE MIAVA</v>
      </c>
      <c r="H745">
        <f>VLOOKUP($B745,'Obras e Acervos'!$B:$X,18,0)</f>
        <v>2</v>
      </c>
      <c r="I745">
        <f>VLOOKUP($B745,'Obras e Acervos'!$B:$X,19,0)</f>
        <v>49997</v>
      </c>
      <c r="J745" s="42">
        <f>VLOOKUP($B745,'Obras e Acervos'!$B:$X,20,0)</f>
        <v>3849.7689999999998</v>
      </c>
      <c r="K745" s="31">
        <f>VLOOKUP($B745,'Obras e Acervos'!$B:$X,21,0)</f>
        <v>5.39</v>
      </c>
      <c r="L745" s="31">
        <f t="shared" si="104"/>
        <v>269483.82999999996</v>
      </c>
      <c r="M745" s="1">
        <v>46065</v>
      </c>
      <c r="N745" s="1">
        <f t="shared" si="103"/>
        <v>46305</v>
      </c>
      <c r="O745">
        <f t="shared" si="105"/>
        <v>241</v>
      </c>
      <c r="P745" s="49">
        <f t="shared" si="111"/>
        <v>8.0333333333333332</v>
      </c>
      <c r="Q745" s="34">
        <f>VLOOKUP($G745,Agendamento!$B:$F,5,0)</f>
        <v>6</v>
      </c>
      <c r="R745" s="36">
        <f t="shared" si="106"/>
        <v>50</v>
      </c>
      <c r="S745" s="44">
        <v>2.5499999999999998</v>
      </c>
      <c r="T745" s="44">
        <f t="shared" si="107"/>
        <v>30727.499999999996</v>
      </c>
      <c r="U745" t="s">
        <v>5864</v>
      </c>
      <c r="V745" t="str">
        <f t="shared" si="108"/>
        <v>NF/20260212_nf_31.pdf</v>
      </c>
      <c r="W745" s="32" t="str">
        <f t="shared" si="112"/>
        <v>NF - O SAPATO QUE MIAVA</v>
      </c>
      <c r="X745" t="s">
        <v>5591</v>
      </c>
    </row>
    <row r="746" spans="1:24" x14ac:dyDescent="0.25">
      <c r="A746" t="str">
        <f>CONCATENATE(D746,"_",TEXT(M746,"ddmmaaaa"),"_",COUNTIF($D$2:D746,D746))</f>
        <v>333244840001-83_04022026_1</v>
      </c>
      <c r="B746" t="str">
        <f>CONCATENATE(Analise!D746,"_",COUNTIF(Analise!$D$2:D746,Analise!D746))</f>
        <v>333244840001-83_1</v>
      </c>
      <c r="C746" s="34">
        <f>COUNTIF('Obras e Acervos'!$C:$C,CONCATENATE(LEFT(D746,12),RIGHT(D746,2)))</f>
        <v>2</v>
      </c>
      <c r="D746" t="s">
        <v>5806</v>
      </c>
      <c r="E746" t="str">
        <f>VLOOKUP($B746,'Obras e Acervos'!$B:$X,3,0)</f>
        <v>EDITORA NOVA FRONTEIRA PARTICIPACOES S/A -NÃO HÁ</v>
      </c>
      <c r="F746" t="str">
        <f>VLOOKUP($B746,'Obras e Acervos'!$B:$X,7,0)</f>
        <v>0371L23000030LE</v>
      </c>
      <c r="G746" t="str">
        <f>VLOOKUP($B746,'Obras e Acervos'!$B:$X,5,0)</f>
        <v>O LIVRO DO TRAVA-LÍNGUA</v>
      </c>
      <c r="H746">
        <f>VLOOKUP($B746,'Obras e Acervos'!$B:$X,18,0)</f>
        <v>2</v>
      </c>
      <c r="I746">
        <f>VLOOKUP($B746,'Obras e Acervos'!$B:$X,19,0)</f>
        <v>56587</v>
      </c>
      <c r="J746" s="42">
        <f>VLOOKUP($B746,'Obras e Acervos'!$B:$X,20,0)</f>
        <v>2206.893</v>
      </c>
      <c r="K746" s="31">
        <f>VLOOKUP($B746,'Obras e Acervos'!$B:$X,21,0)</f>
        <v>3.12</v>
      </c>
      <c r="L746" s="31">
        <f t="shared" si="104"/>
        <v>176551.44</v>
      </c>
      <c r="M746" s="1">
        <v>46057</v>
      </c>
      <c r="N746" s="1">
        <f t="shared" si="103"/>
        <v>46305</v>
      </c>
      <c r="O746">
        <f t="shared" si="105"/>
        <v>249</v>
      </c>
      <c r="P746" s="49">
        <f t="shared" si="111"/>
        <v>8.3000000000000007</v>
      </c>
      <c r="Q746" s="34">
        <f>VLOOKUP($G746,Agendamento!$B:$F,5,0)</f>
        <v>3</v>
      </c>
      <c r="R746" s="36">
        <f t="shared" si="106"/>
        <v>57</v>
      </c>
      <c r="S746" s="44">
        <v>2.5499999999999998</v>
      </c>
      <c r="T746" s="44">
        <f t="shared" si="107"/>
        <v>36192.149999999994</v>
      </c>
      <c r="U746" t="s">
        <v>5840</v>
      </c>
      <c r="V746" t="str">
        <f t="shared" si="108"/>
        <v>NF/20260204_NF_04.pdf</v>
      </c>
      <c r="W746" s="32" t="str">
        <f t="shared" si="112"/>
        <v>NF - O LIVRO DO TRAVA-LÍNGUA</v>
      </c>
      <c r="X746" t="s">
        <v>5591</v>
      </c>
    </row>
    <row r="747" spans="1:24" x14ac:dyDescent="0.25">
      <c r="A747" t="str">
        <f>CONCATENATE(D747,"_",TEXT(M747,"ddmmaaaa"),"_",COUNTIF($D$2:D747,D747))</f>
        <v>349425870001-70_00011900_1</v>
      </c>
      <c r="B747" t="str">
        <f>CONCATENATE(Analise!D747,"_",COUNTIF(Analise!$D$2:D747,Analise!D747))</f>
        <v>349425870001-70_1</v>
      </c>
      <c r="C747" s="34">
        <f>COUNTIF('Obras e Acervos'!$C:$C,CONCATENATE(LEFT(D747,12),RIGHT(D747,2)))</f>
        <v>2</v>
      </c>
      <c r="D747" t="s">
        <v>5807</v>
      </c>
      <c r="E747" t="str">
        <f>VLOOKUP($B747,'Obras e Acervos'!$B:$X,3,0)</f>
        <v>PINGO DE OURO EDITORES LTDA-PINGO DE OURO</v>
      </c>
      <c r="F747" t="str">
        <f>VLOOKUP($B747,'Obras e Acervos'!$B:$X,7,0)</f>
        <v>0536L23000030LE</v>
      </c>
      <c r="G747" t="str">
        <f>VLOOKUP($B747,'Obras e Acervos'!$B:$X,5,0)</f>
        <v>A FELICIDADE DE LAILA</v>
      </c>
      <c r="H747">
        <f>VLOOKUP($B747,'Obras e Acervos'!$B:$X,18,0)</f>
        <v>2</v>
      </c>
      <c r="I747">
        <f>VLOOKUP($B747,'Obras e Acervos'!$B:$X,19,0)</f>
        <v>48512</v>
      </c>
      <c r="J747" s="42">
        <f>VLOOKUP($B747,'Obras e Acervos'!$B:$X,20,0)</f>
        <v>4414.5919999999996</v>
      </c>
      <c r="K747" s="31">
        <f>VLOOKUP($B747,'Obras e Acervos'!$B:$X,21,0)</f>
        <v>6.81</v>
      </c>
      <c r="L747" s="31">
        <f t="shared" si="104"/>
        <v>330366.71999999997</v>
      </c>
      <c r="M747" s="1"/>
      <c r="N747" s="1">
        <f t="shared" si="103"/>
        <v>46305</v>
      </c>
      <c r="O747">
        <f t="shared" si="105"/>
        <v>0</v>
      </c>
      <c r="P747" s="49">
        <f t="shared" si="111"/>
        <v>0</v>
      </c>
      <c r="Q747" s="34">
        <f>VLOOKUP($G747,Agendamento!$B:$F,5,0)</f>
        <v>0</v>
      </c>
      <c r="R747" s="36">
        <f t="shared" si="106"/>
        <v>0</v>
      </c>
      <c r="S747" s="44">
        <v>2.5499999999999998</v>
      </c>
      <c r="T747" s="44">
        <f t="shared" si="107"/>
        <v>0</v>
      </c>
      <c r="V747" t="str">
        <f t="shared" si="108"/>
        <v>NF/</v>
      </c>
      <c r="W747" s="32" t="str">
        <f t="shared" si="112"/>
        <v>NF - A FELICIDADE DE LAILA</v>
      </c>
    </row>
    <row r="748" spans="1:24" x14ac:dyDescent="0.25">
      <c r="A748" t="str">
        <f>CONCATENATE(D748,"_",TEXT(M748,"ddmmaaaa"),"_",COUNTIF($D$2:D748,D748))</f>
        <v>349426710001-93_00011900_1</v>
      </c>
      <c r="B748" t="str">
        <f>CONCATENATE(Analise!D748,"_",COUNTIF(Analise!$D$2:D748,Analise!D748))</f>
        <v>349426710001-93_1</v>
      </c>
      <c r="C748" s="34">
        <f>COUNTIF('Obras e Acervos'!$C:$C,CONCATENATE(LEFT(D748,12),RIGHT(D748,2)))</f>
        <v>1</v>
      </c>
      <c r="D748" t="s">
        <v>5808</v>
      </c>
      <c r="E748" t="str">
        <f>VLOOKUP($B748,'Obras e Acervos'!$B:$X,3,0)</f>
        <v>TEXTO EDITORES LTDA.-TEXTO EDITORES</v>
      </c>
      <c r="F748" t="str">
        <f>VLOOKUP($B748,'Obras e Acervos'!$B:$X,7,0)</f>
        <v>0540L23000030LE</v>
      </c>
      <c r="G748" t="str">
        <f>VLOOKUP($B748,'Obras e Acervos'!$B:$X,5,0)</f>
        <v>O PUM</v>
      </c>
      <c r="H748">
        <f>VLOOKUP($B748,'Obras e Acervos'!$B:$X,18,0)</f>
        <v>2</v>
      </c>
      <c r="I748">
        <f>VLOOKUP($B748,'Obras e Acervos'!$B:$X,19,0)</f>
        <v>46497</v>
      </c>
      <c r="J748" s="42">
        <f>VLOOKUP($B748,'Obras e Acervos'!$B:$X,20,0)</f>
        <v>3719.76</v>
      </c>
      <c r="K748" s="31">
        <f>VLOOKUP($B748,'Obras e Acervos'!$B:$X,21,0)</f>
        <v>6.47</v>
      </c>
      <c r="L748" s="31">
        <f t="shared" si="104"/>
        <v>300835.58999999997</v>
      </c>
      <c r="M748" s="1"/>
      <c r="N748" s="1">
        <f t="shared" si="103"/>
        <v>46305</v>
      </c>
      <c r="O748">
        <f t="shared" si="105"/>
        <v>0</v>
      </c>
      <c r="P748" s="49">
        <f t="shared" si="111"/>
        <v>0</v>
      </c>
      <c r="Q748" s="34">
        <f>VLOOKUP($G748,Agendamento!$B:$F,5,0)</f>
        <v>0</v>
      </c>
      <c r="R748" s="36">
        <f t="shared" si="106"/>
        <v>0</v>
      </c>
      <c r="S748" s="44">
        <v>2.5499999999999998</v>
      </c>
      <c r="T748" s="44">
        <f t="shared" si="107"/>
        <v>0</v>
      </c>
      <c r="V748" t="str">
        <f t="shared" si="108"/>
        <v>NF/</v>
      </c>
      <c r="W748" s="32" t="str">
        <f t="shared" si="112"/>
        <v>NF - O PUM</v>
      </c>
    </row>
    <row r="749" spans="1:24" x14ac:dyDescent="0.25">
      <c r="A749" t="str">
        <f>CONCATENATE(D749,"_",TEXT(M749,"ddmmaaaa"),"_",COUNTIF($D$2:D749,D749))</f>
        <v>401506500001-38_04022026_1</v>
      </c>
      <c r="B749" t="str">
        <f>CONCATENATE(Analise!D749,"_",COUNTIF(Analise!$D$2:D749,Analise!D749))</f>
        <v>401506500001-38_1</v>
      </c>
      <c r="C749" s="34">
        <f>COUNTIF('Obras e Acervos'!$C:$C,CONCATENATE(LEFT(D749,12),RIGHT(D749,2)))</f>
        <v>2</v>
      </c>
      <c r="D749" t="s">
        <v>5809</v>
      </c>
      <c r="E749" t="str">
        <f>VLOOKUP($B749,'Obras e Acervos'!$B:$X,3,0)</f>
        <v>EDITORA ASTROLABIO LTDA-NÃO HÁ</v>
      </c>
      <c r="F749" t="str">
        <f>VLOOKUP($B749,'Obras e Acervos'!$B:$X,7,0)</f>
        <v>0367L23000030LE</v>
      </c>
      <c r="G749" t="str">
        <f>VLOOKUP($B749,'Obras e Acervos'!$B:$X,5,0)</f>
        <v>O Á-BÊ-CÊ DA DICA NANICA</v>
      </c>
      <c r="H749">
        <f>VLOOKUP($B749,'Obras e Acervos'!$B:$X,18,0)</f>
        <v>3</v>
      </c>
      <c r="I749">
        <f>VLOOKUP($B749,'Obras e Acervos'!$B:$X,19,0)</f>
        <v>46836</v>
      </c>
      <c r="J749" s="42">
        <f>VLOOKUP($B749,'Obras e Acervos'!$B:$X,20,0)</f>
        <v>5292.4679999999998</v>
      </c>
      <c r="K749" s="31">
        <f>VLOOKUP($B749,'Obras e Acervos'!$B:$X,21,0)</f>
        <v>5.7</v>
      </c>
      <c r="L749" s="31">
        <f t="shared" si="104"/>
        <v>266965.2</v>
      </c>
      <c r="M749" s="1">
        <v>46057</v>
      </c>
      <c r="N749" s="1">
        <f t="shared" si="103"/>
        <v>46305</v>
      </c>
      <c r="O749">
        <f t="shared" si="105"/>
        <v>249</v>
      </c>
      <c r="P749" s="49">
        <f t="shared" si="111"/>
        <v>8.3000000000000007</v>
      </c>
      <c r="Q749" s="34">
        <f>VLOOKUP($G749,Agendamento!$B:$F,5,0)</f>
        <v>8</v>
      </c>
      <c r="R749" s="36">
        <f t="shared" si="106"/>
        <v>47</v>
      </c>
      <c r="S749" s="44">
        <v>2.5499999999999998</v>
      </c>
      <c r="T749" s="44">
        <f t="shared" si="107"/>
        <v>29842.649999999998</v>
      </c>
      <c r="U749" t="s">
        <v>5841</v>
      </c>
      <c r="V749" t="str">
        <f t="shared" si="108"/>
        <v>NF/20260204_NF_06.pdf</v>
      </c>
      <c r="W749" s="32" t="str">
        <f t="shared" si="112"/>
        <v>NF - O Á-BÊ-CÊ DA DICA NANICA</v>
      </c>
      <c r="X749" t="s">
        <v>5591</v>
      </c>
    </row>
    <row r="750" spans="1:24" x14ac:dyDescent="0.25">
      <c r="A750" t="str">
        <f>CONCATENATE(D750,"_",TEXT(M750,"ddmmaaaa"),"_",COUNTIF($D$2:D750,D750))</f>
        <v>410525080001-10_12022026_1</v>
      </c>
      <c r="B750" t="str">
        <f>CONCATENATE(Analise!D750,"_",COUNTIF(Analise!$D$2:D750,Analise!D750))</f>
        <v>410525080001-10_1</v>
      </c>
      <c r="C750" s="34">
        <f>COUNTIF('Obras e Acervos'!$C:$C,CONCATENATE(LEFT(D750,12),RIGHT(D750,2)))</f>
        <v>1</v>
      </c>
      <c r="D750" t="s">
        <v>5810</v>
      </c>
      <c r="E750" t="str">
        <f>VLOOKUP($B750,'Obras e Acervos'!$B:$X,3,0)</f>
        <v>MAR DAS CONCHAS EDITORA E COMERCIO LTDA-</v>
      </c>
      <c r="F750" t="str">
        <f>VLOOKUP($B750,'Obras e Acervos'!$B:$X,7,0)</f>
        <v>0966L23000030LE</v>
      </c>
      <c r="G750" t="str">
        <f>VLOOKUP($B750,'Obras e Acervos'!$B:$X,5,0)</f>
        <v>SEREIAZINHA</v>
      </c>
      <c r="H750">
        <f>VLOOKUP($B750,'Obras e Acervos'!$B:$X,18,0)</f>
        <v>3</v>
      </c>
      <c r="I750">
        <f>VLOOKUP($B750,'Obras e Acervos'!$B:$X,19,0)</f>
        <v>45639</v>
      </c>
      <c r="J750" s="42">
        <f>VLOOKUP($B750,'Obras e Acervos'!$B:$X,20,0)</f>
        <v>4792.0950000000003</v>
      </c>
      <c r="K750" s="31">
        <f>VLOOKUP($B750,'Obras e Acervos'!$B:$X,21,0)</f>
        <v>5.05</v>
      </c>
      <c r="L750" s="31">
        <f t="shared" si="104"/>
        <v>230476.94999999998</v>
      </c>
      <c r="M750" s="1">
        <v>46065</v>
      </c>
      <c r="N750" s="1">
        <f t="shared" si="103"/>
        <v>46305</v>
      </c>
      <c r="O750">
        <f t="shared" si="105"/>
        <v>241</v>
      </c>
      <c r="P750" s="49">
        <f t="shared" si="111"/>
        <v>8.0333333333333332</v>
      </c>
      <c r="Q750" s="34">
        <f>VLOOKUP($G750,Agendamento!$B:$F,5,0)</f>
        <v>5</v>
      </c>
      <c r="R750" s="36">
        <f t="shared" si="106"/>
        <v>46</v>
      </c>
      <c r="S750" s="44">
        <v>2.5499999999999998</v>
      </c>
      <c r="T750" s="44">
        <f t="shared" si="107"/>
        <v>28269.3</v>
      </c>
      <c r="U750" t="s">
        <v>5858</v>
      </c>
      <c r="V750" t="str">
        <f t="shared" si="108"/>
        <v>NF/20260212_nf_23.pdf</v>
      </c>
      <c r="W750" s="32" t="str">
        <f t="shared" si="112"/>
        <v>NF - SEREIAZINHA</v>
      </c>
      <c r="X750" t="s">
        <v>5591</v>
      </c>
    </row>
    <row r="751" spans="1:24" x14ac:dyDescent="0.25">
      <c r="A751" t="str">
        <f>CONCATENATE(D751,"_",TEXT(M751,"ddmmaaaa"),"_",COUNTIF($D$2:D751,D751))</f>
        <v>398929930001-99_04022026_1</v>
      </c>
      <c r="B751" t="str">
        <f>CONCATENATE(Analise!D751,"_",COUNTIF(Analise!$D$2:D751,Analise!D751))</f>
        <v>398929930001-99_1</v>
      </c>
      <c r="C751" s="34">
        <f>COUNTIF('Obras e Acervos'!$C:$C,CONCATENATE(LEFT(D751,12),RIGHT(D751,2)))</f>
        <v>1</v>
      </c>
      <c r="D751" t="s">
        <v>5811</v>
      </c>
      <c r="E751" t="str">
        <f>VLOOKUP($B751,'Obras e Acervos'!$B:$X,3,0)</f>
        <v>PLANETA NOTÍCIA EDITORA LTDA-PLANETA NOTÍCIA</v>
      </c>
      <c r="F751" t="str">
        <f>VLOOKUP($B751,'Obras e Acervos'!$B:$X,7,0)</f>
        <v>0754L23000030LE</v>
      </c>
      <c r="G751" t="str">
        <f>VLOOKUP($B751,'Obras e Acervos'!$B:$X,5,0)</f>
        <v>OS SAPATOS DE LILA</v>
      </c>
      <c r="H751">
        <f>VLOOKUP($B751,'Obras e Acervos'!$B:$X,18,0)</f>
        <v>3</v>
      </c>
      <c r="I751">
        <f>VLOOKUP($B751,'Obras e Acervos'!$B:$X,19,0)</f>
        <v>55032</v>
      </c>
      <c r="J751" s="42">
        <f>VLOOKUP($B751,'Obras e Acervos'!$B:$X,20,0)</f>
        <v>9905.76</v>
      </c>
      <c r="K751" s="31">
        <f>VLOOKUP($B751,'Obras e Acervos'!$B:$X,21,0)</f>
        <v>4.47</v>
      </c>
      <c r="L751" s="31">
        <f t="shared" si="104"/>
        <v>245993.03999999998</v>
      </c>
      <c r="M751" s="1">
        <v>46057</v>
      </c>
      <c r="N751" s="1">
        <f t="shared" si="103"/>
        <v>46305</v>
      </c>
      <c r="O751">
        <f t="shared" si="105"/>
        <v>249</v>
      </c>
      <c r="P751" s="49">
        <f t="shared" si="111"/>
        <v>8.3000000000000007</v>
      </c>
      <c r="Q751" s="34">
        <f>VLOOKUP($G751,Agendamento!$B:$F,5,0)</f>
        <v>6</v>
      </c>
      <c r="R751" s="36">
        <f t="shared" si="106"/>
        <v>56</v>
      </c>
      <c r="S751" s="44">
        <v>2.5499999999999998</v>
      </c>
      <c r="T751" s="44">
        <f t="shared" si="107"/>
        <v>35557.199999999997</v>
      </c>
      <c r="U751" t="s">
        <v>5846</v>
      </c>
      <c r="V751" t="str">
        <f t="shared" si="108"/>
        <v>NF/20260204_nf_01.pdf</v>
      </c>
      <c r="W751" s="32" t="str">
        <f t="shared" si="112"/>
        <v>NF - OS SAPATOS DE LILA</v>
      </c>
      <c r="X751" t="s">
        <v>5591</v>
      </c>
    </row>
    <row r="752" spans="1:24" x14ac:dyDescent="0.25">
      <c r="A752" t="str">
        <f>CONCATENATE(D752,"_",TEXT(M752,"ddmmaaaa"),"_",COUNTIF($D$2:D752,D752))</f>
        <v>127083580001-52_12022026_1</v>
      </c>
      <c r="B752" t="str">
        <f>CONCATENATE(Analise!D752,"_",COUNTIF(Analise!$D$2:D752,Analise!D752))</f>
        <v>127083580001-52_1</v>
      </c>
      <c r="C752" s="34">
        <f>COUNTIF('Obras e Acervos'!$C:$C,CONCATENATE(LEFT(D752,12),RIGHT(D752,2)))</f>
        <v>2</v>
      </c>
      <c r="D752" t="s">
        <v>5812</v>
      </c>
      <c r="E752" t="str">
        <f>VLOOKUP($B752,'Obras e Acervos'!$B:$X,3,0)</f>
        <v>SGE COMERCIO DE MATERIAL DIDATICO LTDA.-SGE</v>
      </c>
      <c r="F752" t="str">
        <f>VLOOKUP($B752,'Obras e Acervos'!$B:$X,7,0)</f>
        <v>0424L23000030LE</v>
      </c>
      <c r="G752" t="str">
        <f>VLOOKUP($B752,'Obras e Acervos'!$B:$X,5,0)</f>
        <v>DRAGUINHO - DIFERENTE DE TODOS, PARECIDO COM NINGUÉM</v>
      </c>
      <c r="H752">
        <f>VLOOKUP($B752,'Obras e Acervos'!$B:$X,18,0)</f>
        <v>3</v>
      </c>
      <c r="I752">
        <f>VLOOKUP($B752,'Obras e Acervos'!$B:$X,19,0)</f>
        <v>51441</v>
      </c>
      <c r="J752" s="42">
        <f>VLOOKUP($B752,'Obras e Acervos'!$B:$X,20,0)</f>
        <v>8024.7960000000003</v>
      </c>
      <c r="K752" s="31">
        <f>VLOOKUP($B752,'Obras e Acervos'!$B:$X,21,0)</f>
        <v>6.82</v>
      </c>
      <c r="L752" s="31">
        <f t="shared" si="104"/>
        <v>350827.62</v>
      </c>
      <c r="M752" s="1">
        <v>46065</v>
      </c>
      <c r="N752" s="1">
        <f t="shared" si="103"/>
        <v>46305</v>
      </c>
      <c r="O752">
        <f t="shared" si="105"/>
        <v>241</v>
      </c>
      <c r="P752" s="49">
        <f t="shared" si="111"/>
        <v>8.0333333333333332</v>
      </c>
      <c r="Q752" s="34">
        <f>VLOOKUP($G752,Agendamento!$B:$F,5,0)</f>
        <v>1</v>
      </c>
      <c r="R752" s="36">
        <f t="shared" si="106"/>
        <v>52</v>
      </c>
      <c r="S752" s="44">
        <v>2.5499999999999998</v>
      </c>
      <c r="T752" s="44">
        <f t="shared" si="107"/>
        <v>31956.6</v>
      </c>
      <c r="U752" t="s">
        <v>5860</v>
      </c>
      <c r="V752" t="str">
        <f t="shared" si="108"/>
        <v>NF/20260212_nf_26.pdf</v>
      </c>
      <c r="W752" s="32" t="str">
        <f t="shared" si="112"/>
        <v>NF - DRAGUINHO - DIFERENTE DE TODOS, PARECIDO COM NINGUÉM</v>
      </c>
      <c r="X752" t="s">
        <v>5591</v>
      </c>
    </row>
    <row r="753" spans="1:24" x14ac:dyDescent="0.25">
      <c r="A753" t="str">
        <f>CONCATENATE(D753,"_",TEXT(M753,"ddmmaaaa"),"_",COUNTIF($D$2:D753,D753))</f>
        <v>399101960001-97_12022026_1</v>
      </c>
      <c r="B753" t="str">
        <f>CONCATENATE(Analise!D753,"_",COUNTIF(Analise!$D$2:D753,Analise!D753))</f>
        <v>399101960001-97_1</v>
      </c>
      <c r="C753" s="34">
        <f>COUNTIF('Obras e Acervos'!$C:$C,CONCATENATE(LEFT(D753,12),RIGHT(D753,2)))</f>
        <v>2</v>
      </c>
      <c r="D753" t="s">
        <v>5813</v>
      </c>
      <c r="E753" t="str">
        <f>VLOOKUP($B753,'Obras e Acervos'!$B:$X,3,0)</f>
        <v>LEVE SOLUÇÕES EDITORIAIS LTDA-LEVE SOLUÇÕES EDITORIAIS</v>
      </c>
      <c r="F753" t="str">
        <f>VLOOKUP($B753,'Obras e Acervos'!$B:$X,7,0)</f>
        <v>1029L23000030LE</v>
      </c>
      <c r="G753" t="str">
        <f>VLOOKUP($B753,'Obras e Acervos'!$B:$X,5,0)</f>
        <v>CABEÇA, PRA QUE TE QUERO!</v>
      </c>
      <c r="H753">
        <f>VLOOKUP($B753,'Obras e Acervos'!$B:$X,18,0)</f>
        <v>4</v>
      </c>
      <c r="I753">
        <f>VLOOKUP($B753,'Obras e Acervos'!$B:$X,19,0)</f>
        <v>39187</v>
      </c>
      <c r="J753" s="42">
        <f>VLOOKUP($B753,'Obras e Acervos'!$B:$X,20,0)</f>
        <v>2978.212</v>
      </c>
      <c r="K753" s="31">
        <f>VLOOKUP($B753,'Obras e Acervos'!$B:$X,21,0)</f>
        <v>5.46</v>
      </c>
      <c r="L753" s="31">
        <f t="shared" si="104"/>
        <v>213961.02</v>
      </c>
      <c r="M753" s="1">
        <v>46065</v>
      </c>
      <c r="N753" s="1">
        <f t="shared" si="103"/>
        <v>46305</v>
      </c>
      <c r="O753">
        <f t="shared" si="105"/>
        <v>241</v>
      </c>
      <c r="P753" s="49">
        <f t="shared" si="111"/>
        <v>8.0333333333333332</v>
      </c>
      <c r="Q753" s="34">
        <f>VLOOKUP($G753,Agendamento!$B:$F,5,0)</f>
        <v>5</v>
      </c>
      <c r="R753" s="36">
        <f t="shared" si="106"/>
        <v>40</v>
      </c>
      <c r="S753" s="44">
        <v>2.5499999999999998</v>
      </c>
      <c r="T753" s="44">
        <f t="shared" si="107"/>
        <v>24582</v>
      </c>
      <c r="U753" t="s">
        <v>5867</v>
      </c>
      <c r="V753" t="str">
        <f t="shared" si="108"/>
        <v>NF/20260212_nf_38.pdf</v>
      </c>
      <c r="W753" s="32" t="str">
        <f t="shared" si="112"/>
        <v>NF - CABEÇA, PRA QUE TE QUERO!</v>
      </c>
      <c r="X753" t="s">
        <v>5591</v>
      </c>
    </row>
    <row r="754" spans="1:24" x14ac:dyDescent="0.25">
      <c r="A754" t="str">
        <f>CONCATENATE(D754,"_",TEXT(M754,"ddmmaaaa"),"_",COUNTIF($D$2:D754,D754))</f>
        <v>387292430001-38_12022026_1</v>
      </c>
      <c r="B754" t="str">
        <f>CONCATENATE(Analise!D754,"_",COUNTIF(Analise!$D$2:D754,Analise!D754))</f>
        <v>387292430001-38_1</v>
      </c>
      <c r="C754" s="34">
        <f>COUNTIF('Obras e Acervos'!$C:$C,CONCATENATE(LEFT(D754,12),RIGHT(D754,2)))</f>
        <v>1</v>
      </c>
      <c r="D754" t="s">
        <v>5814</v>
      </c>
      <c r="E754" t="str">
        <f>VLOOKUP($B754,'Obras e Acervos'!$B:$X,3,0)</f>
        <v>RIO 40O TRADE LTDA-</v>
      </c>
      <c r="F754" t="str">
        <f>VLOOKUP($B754,'Obras e Acervos'!$B:$X,7,0)</f>
        <v>0618L23000030LE</v>
      </c>
      <c r="G754" t="str">
        <f>VLOOKUP($B754,'Obras e Acervos'!$B:$X,5,0)</f>
        <v>HELENA QUER VOAR</v>
      </c>
      <c r="H754">
        <f>VLOOKUP($B754,'Obras e Acervos'!$B:$X,18,0)</f>
        <v>4</v>
      </c>
      <c r="I754">
        <f>VLOOKUP($B754,'Obras e Acervos'!$B:$X,19,0)</f>
        <v>38596</v>
      </c>
      <c r="J754" s="42">
        <f>VLOOKUP($B754,'Obras e Acervos'!$B:$X,20,0)</f>
        <v>4052.58</v>
      </c>
      <c r="K754" s="31">
        <f>VLOOKUP($B754,'Obras e Acervos'!$B:$X,21,0)</f>
        <v>5.48</v>
      </c>
      <c r="L754" s="31">
        <f t="shared" si="104"/>
        <v>211506.08000000002</v>
      </c>
      <c r="M754" s="1">
        <v>46065</v>
      </c>
      <c r="N754" s="1">
        <f t="shared" si="103"/>
        <v>46305</v>
      </c>
      <c r="O754">
        <f t="shared" si="105"/>
        <v>241</v>
      </c>
      <c r="P754" s="49">
        <f t="shared" si="111"/>
        <v>8.0333333333333332</v>
      </c>
      <c r="Q754" s="34">
        <f>VLOOKUP($G754,Agendamento!$B:$F,5,0)</f>
        <v>5</v>
      </c>
      <c r="R754" s="36">
        <f t="shared" si="106"/>
        <v>39</v>
      </c>
      <c r="S754" s="44">
        <v>2.5499999999999998</v>
      </c>
      <c r="T754" s="44">
        <f t="shared" si="107"/>
        <v>23967.449999999997</v>
      </c>
      <c r="U754" t="s">
        <v>5876</v>
      </c>
      <c r="V754" t="str">
        <f t="shared" si="108"/>
        <v>NF/20260212_nf_50.pdf</v>
      </c>
      <c r="W754" s="32" t="str">
        <f t="shared" si="112"/>
        <v>NF - HELENA QUER VOAR</v>
      </c>
      <c r="X754" t="s">
        <v>5591</v>
      </c>
    </row>
    <row r="755" spans="1:24" x14ac:dyDescent="0.25">
      <c r="A755" t="str">
        <f>CONCATENATE(D755,"_",TEXT(M755,"ddmmaaaa"),"_",COUNTIF($D$2:D755,D755))</f>
        <v>201134740001-57_04022026_1</v>
      </c>
      <c r="B755" t="str">
        <f>CONCATENATE(Analise!D755,"_",COUNTIF(Analise!$D$2:D755,Analise!D755))</f>
        <v>201134740001-57_1</v>
      </c>
      <c r="C755" s="34">
        <f>COUNTIF('Obras e Acervos'!$C:$C,CONCATENATE(LEFT(D755,12),RIGHT(D755,2)))</f>
        <v>1</v>
      </c>
      <c r="D755" t="s">
        <v>5815</v>
      </c>
      <c r="E755" t="str">
        <f>VLOOKUP($B755,'Obras e Acervos'!$B:$X,3,0)</f>
        <v>TRIOLET EDITORIAL &amp; PUBLICAÇÕES LTDA.-TRIOLET EDITORIAL &amp; PUBLICAÇÕES</v>
      </c>
      <c r="F755" t="str">
        <f>VLOOKUP($B755,'Obras e Acervos'!$B:$X,7,0)</f>
        <v>0753L23000030LE</v>
      </c>
      <c r="G755" t="str">
        <f>VLOOKUP($B755,'Obras e Acervos'!$B:$X,5,0)</f>
        <v>O GUARDA-CHUVA QUE DESENGUARDACHUVOU</v>
      </c>
      <c r="H755">
        <f>VLOOKUP($B755,'Obras e Acervos'!$B:$X,18,0)</f>
        <v>4</v>
      </c>
      <c r="I755">
        <f>VLOOKUP($B755,'Obras e Acervos'!$B:$X,19,0)</f>
        <v>39020</v>
      </c>
      <c r="J755" s="42">
        <f>VLOOKUP($B755,'Obras e Acervos'!$B:$X,20,0)</f>
        <v>7023.5999999999995</v>
      </c>
      <c r="K755" s="31">
        <f>VLOOKUP($B755,'Obras e Acervos'!$B:$X,21,0)</f>
        <v>5.42</v>
      </c>
      <c r="L755" s="31">
        <f t="shared" si="104"/>
        <v>211488.4</v>
      </c>
      <c r="M755" s="1">
        <v>46057</v>
      </c>
      <c r="N755" s="1">
        <f t="shared" si="103"/>
        <v>46305</v>
      </c>
      <c r="O755">
        <f t="shared" si="105"/>
        <v>249</v>
      </c>
      <c r="P755" s="49">
        <f t="shared" si="111"/>
        <v>8.3000000000000007</v>
      </c>
      <c r="Q755" s="34">
        <f>VLOOKUP($G755,Agendamento!$B:$F,5,0)</f>
        <v>5</v>
      </c>
      <c r="R755" s="36">
        <f t="shared" si="106"/>
        <v>40</v>
      </c>
      <c r="S755" s="44">
        <v>2.5499999999999998</v>
      </c>
      <c r="T755" s="44">
        <f t="shared" si="107"/>
        <v>25398</v>
      </c>
      <c r="U755" t="s">
        <v>5838</v>
      </c>
      <c r="V755" t="str">
        <f t="shared" si="108"/>
        <v>NF/20260204_NF_02.pdf</v>
      </c>
      <c r="W755" s="32" t="str">
        <f t="shared" si="112"/>
        <v>NF - O GUARDA-CHUVA QUE DESENGUARDACHUVOU</v>
      </c>
      <c r="X755" t="s">
        <v>5591</v>
      </c>
    </row>
    <row r="756" spans="1:24" x14ac:dyDescent="0.25">
      <c r="A756" t="str">
        <f>CONCATENATE(D756,"_",TEXT(M756,"ddmmaaaa"),"_",COUNTIF($D$2:D756,D756))</f>
        <v>076219050001-28_11022026_1</v>
      </c>
      <c r="B756" t="str">
        <f>CONCATENATE(Analise!D756,"_",COUNTIF(Analise!$D$2:D756,Analise!D756))</f>
        <v>076219050001-28_1</v>
      </c>
      <c r="C756" s="34">
        <f>COUNTIF('Obras e Acervos'!$C:$C,CONCATENATE(LEFT(D756,12),RIGHT(D756,2)))</f>
        <v>2</v>
      </c>
      <c r="D756" t="s">
        <v>5816</v>
      </c>
      <c r="E756" t="str">
        <f>VLOOKUP($B756,'Obras e Acervos'!$B:$X,3,0)</f>
        <v>AYASOFYA EDITORA E COMÉRCIO DE LIVROS LTDA-AYASOFYA EDITORA</v>
      </c>
      <c r="F756" t="str">
        <f>VLOOKUP($B756,'Obras e Acervos'!$B:$X,7,0)</f>
        <v>1089L23000030LE</v>
      </c>
      <c r="G756" t="str">
        <f>VLOOKUP($B756,'Obras e Acervos'!$B:$X,5,0)</f>
        <v>AMOROSA</v>
      </c>
      <c r="H756">
        <f>VLOOKUP($B756,'Obras e Acervos'!$B:$X,18,0)</f>
        <v>5</v>
      </c>
      <c r="I756">
        <f>VLOOKUP($B756,'Obras e Acervos'!$B:$X,19,0)</f>
        <v>38165</v>
      </c>
      <c r="J756" s="42">
        <f>VLOOKUP($B756,'Obras e Acervos'!$B:$X,20,0)</f>
        <v>5343.1</v>
      </c>
      <c r="K756" s="31">
        <f>VLOOKUP($B756,'Obras e Acervos'!$B:$X,21,0)</f>
        <v>5.07</v>
      </c>
      <c r="L756" s="31">
        <f t="shared" si="104"/>
        <v>193496.55000000002</v>
      </c>
      <c r="M756" s="1">
        <v>46064</v>
      </c>
      <c r="N756" s="1">
        <f t="shared" si="103"/>
        <v>46305</v>
      </c>
      <c r="O756">
        <f t="shared" si="105"/>
        <v>242</v>
      </c>
      <c r="P756" s="49">
        <f t="shared" si="111"/>
        <v>8.0666666666666664</v>
      </c>
      <c r="Q756" s="34">
        <f>VLOOKUP($G756,Agendamento!$B:$F,5,0)</f>
        <v>4</v>
      </c>
      <c r="R756" s="36">
        <f t="shared" si="106"/>
        <v>39</v>
      </c>
      <c r="S756" s="44">
        <v>2.5499999999999998</v>
      </c>
      <c r="T756" s="44">
        <f t="shared" si="107"/>
        <v>24066.899999999998</v>
      </c>
      <c r="U756" t="s">
        <v>5850</v>
      </c>
      <c r="V756" t="str">
        <f t="shared" si="108"/>
        <v>NF/20260211_nf_14.pdf</v>
      </c>
      <c r="W756" s="32" t="str">
        <f t="shared" si="112"/>
        <v>NF - AMOROSA</v>
      </c>
      <c r="X756" t="s">
        <v>5591</v>
      </c>
    </row>
    <row r="757" spans="1:24" x14ac:dyDescent="0.25">
      <c r="A757" t="str">
        <f>CONCATENATE(D757,"_",TEXT(M757,"ddmmaaaa"),"_",COUNTIF($D$2:D757,D757))</f>
        <v>298405610001-80_00011900_1</v>
      </c>
      <c r="B757" t="str">
        <f>CONCATENATE(Analise!D757,"_",COUNTIF(Analise!$D$2:D757,Analise!D757))</f>
        <v>298405610001-80_1</v>
      </c>
      <c r="C757" s="34">
        <f>COUNTIF('Obras e Acervos'!$C:$C,CONCATENATE(LEFT(D757,12),RIGHT(D757,2)))</f>
        <v>1</v>
      </c>
      <c r="D757" t="s">
        <v>5817</v>
      </c>
      <c r="E757" t="str">
        <f>VLOOKUP($B757,'Obras e Acervos'!$B:$X,3,0)</f>
        <v>CASA DOS MUNDOS PRODUCAO EDITORIAL E GAMES LTDA-CASA DOS MUNDOS</v>
      </c>
      <c r="F757" t="str">
        <f>VLOOKUP($B757,'Obras e Acervos'!$B:$X,7,0)</f>
        <v>0538L23000030LE</v>
      </c>
      <c r="G757" t="str">
        <f>VLOOKUP($B757,'Obras e Acervos'!$B:$X,5,0)</f>
        <v>O VÍRUS DO AMOR</v>
      </c>
      <c r="H757">
        <f>VLOOKUP($B757,'Obras e Acervos'!$B:$X,18,0)</f>
        <v>5</v>
      </c>
      <c r="I757">
        <f>VLOOKUP($B757,'Obras e Acervos'!$B:$X,19,0)</f>
        <v>38286</v>
      </c>
      <c r="J757" s="42">
        <f>VLOOKUP($B757,'Obras e Acervos'!$B:$X,20,0)</f>
        <v>3062.88</v>
      </c>
      <c r="K757" s="31">
        <f>VLOOKUP($B757,'Obras e Acervos'!$B:$X,21,0)</f>
        <v>7.02</v>
      </c>
      <c r="L757" s="31">
        <f t="shared" si="104"/>
        <v>268767.71999999997</v>
      </c>
      <c r="M757" s="1"/>
      <c r="N757" s="1">
        <f t="shared" si="103"/>
        <v>46305</v>
      </c>
      <c r="O757">
        <f t="shared" si="105"/>
        <v>0</v>
      </c>
      <c r="P757" s="49">
        <f t="shared" si="111"/>
        <v>0</v>
      </c>
      <c r="Q757" s="34">
        <f>VLOOKUP($G757,Agendamento!$B:$F,5,0)</f>
        <v>0</v>
      </c>
      <c r="R757" s="36">
        <f t="shared" si="106"/>
        <v>0</v>
      </c>
      <c r="S757" s="44">
        <v>2.5499999999999998</v>
      </c>
      <c r="T757" s="44">
        <f t="shared" si="107"/>
        <v>0</v>
      </c>
      <c r="V757" t="str">
        <f t="shared" si="108"/>
        <v>NF/</v>
      </c>
      <c r="W757" s="32" t="str">
        <f t="shared" si="112"/>
        <v>NF - O VÍRUS DO AMOR</v>
      </c>
    </row>
    <row r="758" spans="1:24" x14ac:dyDescent="0.25">
      <c r="A758" t="str">
        <f>CONCATENATE(D758,"_",TEXT(M758,"ddmmaaaa"),"_",COUNTIF($D$2:D758,D758))</f>
        <v>199621010001-71_11022026_1</v>
      </c>
      <c r="B758" t="str">
        <f>CONCATENATE(Analise!D758,"_",COUNTIF(Analise!$D$2:D758,Analise!D758))</f>
        <v>199621010001-71_1</v>
      </c>
      <c r="C758" s="34">
        <f>COUNTIF('Obras e Acervos'!$C:$C,CONCATENATE(LEFT(D758,12),RIGHT(D758,2)))</f>
        <v>2</v>
      </c>
      <c r="D758" t="s">
        <v>5818</v>
      </c>
      <c r="E758" t="str">
        <f>VLOOKUP($B758,'Obras e Acervos'!$B:$X,3,0)</f>
        <v>EDITORA PIGMENTO LTDA-PIGMENTO</v>
      </c>
      <c r="F758" t="str">
        <f>VLOOKUP($B758,'Obras e Acervos'!$B:$X,7,0)</f>
        <v>0447L23000030LE</v>
      </c>
      <c r="G758" t="str">
        <f>VLOOKUP($B758,'Obras e Acervos'!$B:$X,5,0)</f>
        <v>PROCURA-SE LOBO</v>
      </c>
      <c r="H758">
        <f>VLOOKUP($B758,'Obras e Acervos'!$B:$X,18,0)</f>
        <v>5</v>
      </c>
      <c r="I758">
        <f>VLOOKUP($B758,'Obras e Acervos'!$B:$X,19,0)</f>
        <v>42028</v>
      </c>
      <c r="J758" s="42">
        <f>VLOOKUP($B758,'Obras e Acervos'!$B:$X,20,0)</f>
        <v>5799.8640000000005</v>
      </c>
      <c r="K758" s="31">
        <f>VLOOKUP($B758,'Obras e Acervos'!$B:$X,21,0)</f>
        <v>7.07</v>
      </c>
      <c r="L758" s="31">
        <f t="shared" si="104"/>
        <v>297137.96000000002</v>
      </c>
      <c r="M758" s="1">
        <v>46064</v>
      </c>
      <c r="N758" s="1">
        <f t="shared" si="103"/>
        <v>46305</v>
      </c>
      <c r="O758">
        <f t="shared" si="105"/>
        <v>242</v>
      </c>
      <c r="P758" s="49">
        <f t="shared" si="111"/>
        <v>8.0666666666666664</v>
      </c>
      <c r="Q758" s="34">
        <f>VLOOKUP($G758,Agendamento!$B:$F,5,0)</f>
        <v>1</v>
      </c>
      <c r="R758" s="36">
        <f t="shared" si="106"/>
        <v>43</v>
      </c>
      <c r="S758" s="44">
        <v>2.5499999999999998</v>
      </c>
      <c r="T758" s="44">
        <f t="shared" si="107"/>
        <v>26535.3</v>
      </c>
      <c r="U758" t="s">
        <v>5879</v>
      </c>
      <c r="V758" t="str">
        <f t="shared" si="108"/>
        <v>NF/20260211_nf_54.pdf</v>
      </c>
      <c r="W758" s="32" t="str">
        <f t="shared" si="112"/>
        <v>NF - PROCURA-SE LOBO</v>
      </c>
      <c r="X758" t="s">
        <v>5591</v>
      </c>
    </row>
    <row r="759" spans="1:24" x14ac:dyDescent="0.25">
      <c r="A759" t="str">
        <f>CONCATENATE(D759,"_",TEXT(M759,"ddmmaaaa"),"_",COUNTIF($D$2:D759,D759))</f>
        <v>154067230001-62_11022026_1</v>
      </c>
      <c r="B759" t="str">
        <f>CONCATENATE(Analise!D759,"_",COUNTIF(Analise!$D$2:D759,Analise!D759))</f>
        <v>154067230001-62_1</v>
      </c>
      <c r="C759" s="34">
        <f>COUNTIF('Obras e Acervos'!$C:$C,CONCATENATE(LEFT(D759,12),RIGHT(D759,2)))</f>
        <v>1</v>
      </c>
      <c r="D759" t="s">
        <v>5819</v>
      </c>
      <c r="E759" t="str">
        <f>VLOOKUP($B759,'Obras e Acervos'!$B:$X,3,0)</f>
        <v>EDITORA REVIRAVOLTA LTDA-REVIRAVOLTA</v>
      </c>
      <c r="F759" t="str">
        <f>VLOOKUP($B759,'Obras e Acervos'!$B:$X,7,0)</f>
        <v>0780L23000030LE</v>
      </c>
      <c r="G759" t="str">
        <f>VLOOKUP($B759,'Obras e Acervos'!$B:$X,5,0)</f>
        <v>TAYÓ EM QUADRINHOS</v>
      </c>
      <c r="H759">
        <f>VLOOKUP($B759,'Obras e Acervos'!$B:$X,18,0)</f>
        <v>5</v>
      </c>
      <c r="I759">
        <f>VLOOKUP($B759,'Obras e Acervos'!$B:$X,19,0)</f>
        <v>42801</v>
      </c>
      <c r="J759" s="42">
        <f>VLOOKUP($B759,'Obras e Acervos'!$B:$X,20,0)</f>
        <v>4708.1099999999997</v>
      </c>
      <c r="K759" s="31">
        <f>VLOOKUP($B759,'Obras e Acervos'!$B:$X,21,0)</f>
        <v>5.49</v>
      </c>
      <c r="L759" s="31">
        <f t="shared" si="104"/>
        <v>234977.49000000002</v>
      </c>
      <c r="M759" s="1">
        <v>46064</v>
      </c>
      <c r="N759" s="1">
        <f t="shared" si="103"/>
        <v>46305</v>
      </c>
      <c r="O759">
        <f t="shared" si="105"/>
        <v>242</v>
      </c>
      <c r="P759" s="49">
        <f t="shared" si="111"/>
        <v>8.0666666666666664</v>
      </c>
      <c r="Q759" s="34">
        <f>VLOOKUP($G759,Agendamento!$B:$F,5,0)</f>
        <v>6</v>
      </c>
      <c r="R759" s="36">
        <f t="shared" si="106"/>
        <v>43</v>
      </c>
      <c r="S759" s="44">
        <v>2.5499999999999998</v>
      </c>
      <c r="T759" s="44">
        <f t="shared" si="107"/>
        <v>26535.3</v>
      </c>
      <c r="U759" t="s">
        <v>5844</v>
      </c>
      <c r="V759" t="str">
        <f t="shared" si="108"/>
        <v>NF/20260211_NF_09.pdf</v>
      </c>
      <c r="W759" s="32" t="str">
        <f t="shared" si="112"/>
        <v>NF - TAYÓ EM QUADRINHOS</v>
      </c>
      <c r="X759" t="s">
        <v>5591</v>
      </c>
    </row>
    <row r="760" spans="1:24" x14ac:dyDescent="0.25">
      <c r="A760" t="str">
        <f>CONCATENATE(D760,"_",TEXT(M760,"ddmmaaaa"),"_",COUNTIF($D$2:D760,D760))</f>
        <v>243638320001-30_13022026_2</v>
      </c>
      <c r="B760" t="str">
        <f>CONCATENATE(Analise!D760,"_",COUNTIF(Analise!$D$2:D760,Analise!D760))</f>
        <v>243638320001-30_2</v>
      </c>
      <c r="C760" s="34">
        <f>COUNTIF('Obras e Acervos'!$C:$C,CONCATENATE(LEFT(D760,12),RIGHT(D760,2)))</f>
        <v>2</v>
      </c>
      <c r="D760" t="s">
        <v>4562</v>
      </c>
      <c r="E760" t="str">
        <f>VLOOKUP($B760,'Obras e Acervos'!$B:$X,3,0)</f>
        <v>EDITORA PIU LTDA-ME-EDITORA PIU</v>
      </c>
      <c r="F760" t="str">
        <f>VLOOKUP($B760,'Obras e Acervos'!$B:$X,7,0)</f>
        <v>0917L23000020LE</v>
      </c>
      <c r="G760" t="str">
        <f>VLOOKUP($B760,'Obras e Acervos'!$B:$X,5,0)</f>
        <v>AS AVENTURAS DA FAMÍLIA RATON</v>
      </c>
      <c r="H760">
        <f>VLOOKUP($B760,'Obras e Acervos'!$B:$X,18,0)</f>
        <v>12</v>
      </c>
      <c r="I760">
        <f>VLOOKUP($B760,'Obras e Acervos'!$B:$X,19,0)</f>
        <v>30752</v>
      </c>
      <c r="J760" s="42">
        <f>VLOOKUP($B760,'Obras e Acervos'!$B:$X,20,0)</f>
        <v>2890.6880000000001</v>
      </c>
      <c r="K760" s="31">
        <f>VLOOKUP($B760,'Obras e Acervos'!$B:$X,21,0)</f>
        <v>7.73</v>
      </c>
      <c r="L760" s="31">
        <f t="shared" si="104"/>
        <v>237712.96000000002</v>
      </c>
      <c r="M760" s="1">
        <v>46066</v>
      </c>
      <c r="N760" s="1">
        <f t="shared" si="103"/>
        <v>46305</v>
      </c>
      <c r="O760">
        <f t="shared" si="105"/>
        <v>240</v>
      </c>
      <c r="P760" s="49">
        <f t="shared" si="111"/>
        <v>8</v>
      </c>
      <c r="Q760" s="34">
        <f>VLOOKUP($G760,Agendamento!$B:$F,5,0)</f>
        <v>4</v>
      </c>
      <c r="R760" s="36">
        <f t="shared" si="106"/>
        <v>31</v>
      </c>
      <c r="S760" s="44">
        <v>2.5499999999999998</v>
      </c>
      <c r="T760" s="44">
        <f t="shared" si="107"/>
        <v>18972</v>
      </c>
      <c r="U760" t="s">
        <v>5869</v>
      </c>
      <c r="V760" t="str">
        <f t="shared" si="108"/>
        <v>NF/20260213_nf_41.pdf</v>
      </c>
      <c r="W760" s="32" t="str">
        <f t="shared" si="112"/>
        <v>NF - AS AVENTURAS DA FAMÍLIA RATON</v>
      </c>
      <c r="X760" t="s">
        <v>5591</v>
      </c>
    </row>
    <row r="761" spans="1:24" x14ac:dyDescent="0.25">
      <c r="A761" t="str">
        <f>CONCATENATE(D761,"_",TEXT(M761,"ddmmaaaa"),"_",COUNTIF($D$2:D761,D761))</f>
        <v>199621040001-05_11022026_1</v>
      </c>
      <c r="B761" t="str">
        <f>CONCATENATE(Analise!D761,"_",COUNTIF(Analise!$D$2:D761,Analise!D761))</f>
        <v>199621040001-05_1</v>
      </c>
      <c r="C761" s="34">
        <f>COUNTIF('Obras e Acervos'!$C:$C,CONCATENATE(LEFT(D761,12),RIGHT(D761,2)))</f>
        <v>2</v>
      </c>
      <c r="D761" t="s">
        <v>5820</v>
      </c>
      <c r="E761" t="str">
        <f>VLOOKUP($B761,'Obras e Acervos'!$B:$X,3,0)</f>
        <v>EDITORA TODAS AS LETRAS LTDA.-TODAS AS LETRAS</v>
      </c>
      <c r="F761" t="str">
        <f>VLOOKUP($B761,'Obras e Acervos'!$B:$X,7,0)</f>
        <v>0415L23000030LE</v>
      </c>
      <c r="G761" t="str">
        <f>VLOOKUP($B761,'Obras e Acervos'!$B:$X,5,0)</f>
        <v>RIMA OU COMBINA?</v>
      </c>
      <c r="H761">
        <f>VLOOKUP($B761,'Obras e Acervos'!$B:$X,18,0)</f>
        <v>6</v>
      </c>
      <c r="I761">
        <f>VLOOKUP($B761,'Obras e Acervos'!$B:$X,19,0)</f>
        <v>48203</v>
      </c>
      <c r="J761" s="42">
        <f>VLOOKUP($B761,'Obras e Acervos'!$B:$X,20,0)</f>
        <v>5784.36</v>
      </c>
      <c r="K761" s="31">
        <f>VLOOKUP($B761,'Obras e Acervos'!$B:$X,21,0)</f>
        <v>5.49</v>
      </c>
      <c r="L761" s="31">
        <f t="shared" si="104"/>
        <v>264634.47000000003</v>
      </c>
      <c r="M761" s="1">
        <v>46064</v>
      </c>
      <c r="N761" s="1">
        <f t="shared" si="103"/>
        <v>46305</v>
      </c>
      <c r="O761">
        <f t="shared" si="105"/>
        <v>242</v>
      </c>
      <c r="P761" s="49">
        <f t="shared" si="111"/>
        <v>8.0666666666666664</v>
      </c>
      <c r="Q761" s="34">
        <f>VLOOKUP($G761,Agendamento!$B:$F,5,0)</f>
        <v>1</v>
      </c>
      <c r="R761" s="36">
        <f t="shared" si="106"/>
        <v>49</v>
      </c>
      <c r="S761" s="44">
        <v>2.5499999999999998</v>
      </c>
      <c r="T761" s="44">
        <f t="shared" si="107"/>
        <v>30237.899999999998</v>
      </c>
      <c r="U761" t="s">
        <v>5877</v>
      </c>
      <c r="V761" t="str">
        <f t="shared" si="108"/>
        <v>NF/20260211_nf_52.pdf</v>
      </c>
      <c r="W761" s="32" t="str">
        <f t="shared" si="112"/>
        <v>NF - RIMA OU COMBINA?</v>
      </c>
      <c r="X761" t="s">
        <v>5591</v>
      </c>
    </row>
    <row r="762" spans="1:24" x14ac:dyDescent="0.25">
      <c r="A762" t="str">
        <f>CONCATENATE(D762,"_",TEXT(M762,"ddmmaaaa"),"_",COUNTIF($D$2:D762,D762))</f>
        <v>271827250001-02_12022026_1</v>
      </c>
      <c r="B762" t="str">
        <f>CONCATENATE(Analise!D762,"_",COUNTIF(Analise!$D$2:D762,Analise!D762))</f>
        <v>271827250001-02_1</v>
      </c>
      <c r="C762" s="34">
        <f>COUNTIF('Obras e Acervos'!$C:$C,CONCATENATE(LEFT(D762,12),RIGHT(D762,2)))</f>
        <v>2</v>
      </c>
      <c r="D762" t="s">
        <v>5821</v>
      </c>
      <c r="E762" t="str">
        <f>VLOOKUP($B762,'Obras e Acervos'!$B:$X,3,0)</f>
        <v>SANDRA MENDONCA DE ALENCAR-MENDONÇA</v>
      </c>
      <c r="F762" t="str">
        <f>VLOOKUP($B762,'Obras e Acervos'!$B:$X,7,0)</f>
        <v>0728L23000030LE</v>
      </c>
      <c r="G762" t="str">
        <f>VLOOKUP($B762,'Obras e Acervos'!$B:$X,5,0)</f>
        <v>FOLCLORE EM VERSOS: DELÍCIAS DO BRASIL</v>
      </c>
      <c r="H762">
        <f>VLOOKUP($B762,'Obras e Acervos'!$B:$X,18,0)</f>
        <v>6</v>
      </c>
      <c r="I762">
        <f>VLOOKUP($B762,'Obras e Acervos'!$B:$X,19,0)</f>
        <v>48279</v>
      </c>
      <c r="J762" s="42">
        <f>VLOOKUP($B762,'Obras e Acervos'!$B:$X,20,0)</f>
        <v>5552.085</v>
      </c>
      <c r="K762" s="31">
        <f>VLOOKUP($B762,'Obras e Acervos'!$B:$X,21,0)</f>
        <v>5.1100000000000003</v>
      </c>
      <c r="L762" s="31">
        <f t="shared" si="104"/>
        <v>246705.69</v>
      </c>
      <c r="M762" s="1">
        <v>46065</v>
      </c>
      <c r="N762" s="1">
        <f t="shared" si="103"/>
        <v>46305</v>
      </c>
      <c r="O762">
        <f t="shared" si="105"/>
        <v>241</v>
      </c>
      <c r="P762" s="49">
        <f t="shared" si="111"/>
        <v>8.0333333333333332</v>
      </c>
      <c r="Q762" s="34">
        <f>VLOOKUP($G762,Agendamento!$B:$F,5,0)</f>
        <v>6</v>
      </c>
      <c r="R762" s="36">
        <f t="shared" si="106"/>
        <v>49</v>
      </c>
      <c r="S762" s="44">
        <v>2.5499999999999998</v>
      </c>
      <c r="T762" s="44">
        <f t="shared" si="107"/>
        <v>30112.949999999997</v>
      </c>
      <c r="U762" t="s">
        <v>5857</v>
      </c>
      <c r="V762" t="str">
        <f t="shared" si="108"/>
        <v>NF/20260212_nf_22.pdf</v>
      </c>
      <c r="W762" s="32" t="str">
        <f t="shared" si="112"/>
        <v>NF - FOLCLORE EM VERSOS: DELÍCIAS DO BRASIL</v>
      </c>
      <c r="X762" t="s">
        <v>5591</v>
      </c>
    </row>
    <row r="763" spans="1:24" x14ac:dyDescent="0.25">
      <c r="A763" t="str">
        <f>CONCATENATE(D763,"_",TEXT(M763,"ddmmaaaa"),"_",COUNTIF($D$2:D763,D763))</f>
        <v>200001830001-52_11022026_1</v>
      </c>
      <c r="B763" t="str">
        <f>CONCATENATE(Analise!D763,"_",COUNTIF(Analise!$D$2:D763,Analise!D763))</f>
        <v>200001830001-52_1</v>
      </c>
      <c r="C763" s="34">
        <f>COUNTIF('Obras e Acervos'!$C:$C,CONCATENATE(LEFT(D763,12),RIGHT(D763,2)))</f>
        <v>2</v>
      </c>
      <c r="D763" t="s">
        <v>5822</v>
      </c>
      <c r="E763" t="str">
        <f>VLOOKUP($B763,'Obras e Acervos'!$B:$X,3,0)</f>
        <v>EDITORA JOAQUIM LTDA. -JOAQUIM</v>
      </c>
      <c r="F763" t="str">
        <f>VLOOKUP($B763,'Obras e Acervos'!$B:$X,7,0)</f>
        <v>0426L23000030LE</v>
      </c>
      <c r="G763" t="str">
        <f>VLOOKUP($B763,'Obras e Acervos'!$B:$X,5,0)</f>
        <v>OLÍVIA E OS ÍNDÍGENAS</v>
      </c>
      <c r="H763">
        <f>VLOOKUP($B763,'Obras e Acervos'!$B:$X,18,0)</f>
        <v>7</v>
      </c>
      <c r="I763">
        <f>VLOOKUP($B763,'Obras e Acervos'!$B:$X,19,0)</f>
        <v>39964</v>
      </c>
      <c r="J763" s="42">
        <f>VLOOKUP($B763,'Obras e Acervos'!$B:$X,20,0)</f>
        <v>4795.6799999999994</v>
      </c>
      <c r="K763" s="31">
        <f>VLOOKUP($B763,'Obras e Acervos'!$B:$X,21,0)</f>
        <v>6.27</v>
      </c>
      <c r="L763" s="31">
        <f t="shared" si="104"/>
        <v>250574.27999999997</v>
      </c>
      <c r="M763" s="1">
        <v>46064</v>
      </c>
      <c r="N763" s="1">
        <f t="shared" si="103"/>
        <v>46305</v>
      </c>
      <c r="O763">
        <f t="shared" si="105"/>
        <v>242</v>
      </c>
      <c r="P763" s="49">
        <f t="shared" si="111"/>
        <v>8.0666666666666664</v>
      </c>
      <c r="Q763" s="34">
        <f>VLOOKUP($G763,Agendamento!$B:$F,5,0)</f>
        <v>1</v>
      </c>
      <c r="R763" s="36">
        <f t="shared" si="106"/>
        <v>40</v>
      </c>
      <c r="S763" s="44">
        <v>2.5499999999999998</v>
      </c>
      <c r="T763" s="44">
        <f t="shared" si="107"/>
        <v>24684</v>
      </c>
      <c r="U763" t="s">
        <v>5875</v>
      </c>
      <c r="V763" t="str">
        <f t="shared" si="108"/>
        <v>NF/20260211_nf_49.pdf</v>
      </c>
      <c r="W763" s="32" t="str">
        <f t="shared" si="112"/>
        <v>NF - OLÍVIA E OS ÍNDÍGENAS</v>
      </c>
      <c r="X763" t="s">
        <v>5591</v>
      </c>
    </row>
    <row r="764" spans="1:24" x14ac:dyDescent="0.25">
      <c r="A764" t="str">
        <f>CONCATENATE(D764,"_",TEXT(M764,"ddmmaaaa"),"_",COUNTIF($D$2:D764,D764))</f>
        <v>016021770001-20_12022026_1</v>
      </c>
      <c r="B764" t="str">
        <f>CONCATENATE(Analise!D764,"_",COUNTIF(Analise!$D$2:D764,Analise!D764))</f>
        <v>016021770001-20_1</v>
      </c>
      <c r="C764" s="34">
        <f>COUNTIF('Obras e Acervos'!$C:$C,CONCATENATE(LEFT(D764,12),RIGHT(D764,2)))</f>
        <v>2</v>
      </c>
      <c r="D764" t="s">
        <v>5823</v>
      </c>
      <c r="E764" t="str">
        <f>VLOOKUP($B764,'Obras e Acervos'!$B:$X,3,0)</f>
        <v>EDITORA MEDIAÇÃO - DISTRIBUIDORA E LIVRARIA LTDA.-EDITORA MEDIAÇÃO</v>
      </c>
      <c r="F764" t="str">
        <f>VLOOKUP($B764,'Obras e Acervos'!$B:$X,7,0)</f>
        <v>0665L23000030LE</v>
      </c>
      <c r="G764" t="str">
        <f>VLOOKUP($B764,'Obras e Acervos'!$B:$X,5,0)</f>
        <v>DIA BRINQUEDO</v>
      </c>
      <c r="H764">
        <f>VLOOKUP($B764,'Obras e Acervos'!$B:$X,18,0)</f>
        <v>7</v>
      </c>
      <c r="I764">
        <f>VLOOKUP($B764,'Obras e Acervos'!$B:$X,19,0)</f>
        <v>34358</v>
      </c>
      <c r="J764" s="42">
        <f>VLOOKUP($B764,'Obras e Acervos'!$B:$X,20,0)</f>
        <v>3229.652</v>
      </c>
      <c r="K764" s="31">
        <f>VLOOKUP($B764,'Obras e Acervos'!$B:$X,21,0)</f>
        <v>5.83</v>
      </c>
      <c r="L764" s="31">
        <f t="shared" si="104"/>
        <v>200307.14</v>
      </c>
      <c r="M764" s="1">
        <v>46065</v>
      </c>
      <c r="N764" s="1">
        <f t="shared" si="103"/>
        <v>46305</v>
      </c>
      <c r="O764">
        <f t="shared" si="105"/>
        <v>241</v>
      </c>
      <c r="P764" s="49">
        <f t="shared" si="111"/>
        <v>8.0333333333333332</v>
      </c>
      <c r="Q764" s="34">
        <f>VLOOKUP($G764,Agendamento!$B:$F,5,0)</f>
        <v>5</v>
      </c>
      <c r="R764" s="36">
        <f t="shared" si="106"/>
        <v>35</v>
      </c>
      <c r="S764" s="44">
        <v>2.5499999999999998</v>
      </c>
      <c r="T764" s="44">
        <f t="shared" si="107"/>
        <v>21509.25</v>
      </c>
      <c r="U764" t="s">
        <v>5856</v>
      </c>
      <c r="V764" t="str">
        <f t="shared" si="108"/>
        <v>NF/20260212_nf_20.pdf</v>
      </c>
      <c r="W764" s="32" t="str">
        <f t="shared" si="112"/>
        <v>NF - DIA BRINQUEDO</v>
      </c>
      <c r="X764" t="s">
        <v>5591</v>
      </c>
    </row>
    <row r="765" spans="1:24" x14ac:dyDescent="0.25">
      <c r="A765" t="str">
        <f>CONCATENATE(D765,"_",TEXT(M765,"ddmmaaaa"),"_",COUNTIF($D$2:D765,D765))</f>
        <v>444120450001-49_12022026_3</v>
      </c>
      <c r="B765" t="str">
        <f>CONCATENATE(Analise!D765,"_",COUNTIF(Analise!$D$2:D765,Analise!D765)-1)</f>
        <v>444120450001-49_2</v>
      </c>
      <c r="C765" s="34">
        <f>COUNTIF('Obras e Acervos'!$C:$C,CONCATENATE(LEFT(D765,12),RIGHT(D765,2)))</f>
        <v>2</v>
      </c>
      <c r="D765" t="s">
        <v>4546</v>
      </c>
      <c r="E765" t="str">
        <f>VLOOKUP($B765,'Obras e Acervos'!$B:$X,3,0)</f>
        <v>KAAS EDITORA-KAAS EDITORA</v>
      </c>
      <c r="F765" t="str">
        <f>VLOOKUP($B765,'Obras e Acervos'!$B:$X,7,0)</f>
        <v>0909L23000020LE</v>
      </c>
      <c r="G765" t="str">
        <f>VLOOKUP($B765,'Obras e Acervos'!$B:$X,5,0)</f>
        <v>SONHO DE UMA NOITE DE VERÃO</v>
      </c>
      <c r="H765">
        <f>VLOOKUP($B765,'Obras e Acervos'!$B:$X,18,0)</f>
        <v>14</v>
      </c>
      <c r="I765">
        <f>VLOOKUP($B765,'Obras e Acervos'!$B:$X,19,0)</f>
        <v>25955</v>
      </c>
      <c r="J765" s="42">
        <f>VLOOKUP($B765,'Obras e Acervos'!$B:$X,20,0)</f>
        <v>3062.69</v>
      </c>
      <c r="K765" s="31">
        <f>VLOOKUP($B765,'Obras e Acervos'!$B:$X,21,0)</f>
        <v>10.9</v>
      </c>
      <c r="L765" s="31">
        <f t="shared" si="104"/>
        <v>282909.5</v>
      </c>
      <c r="M765" s="1">
        <v>46065</v>
      </c>
      <c r="N765" s="1">
        <f t="shared" si="103"/>
        <v>46305</v>
      </c>
      <c r="O765">
        <f t="shared" si="105"/>
        <v>241</v>
      </c>
      <c r="P765" s="49">
        <f t="shared" si="111"/>
        <v>8.0333333333333332</v>
      </c>
      <c r="Q765" s="34">
        <f>VLOOKUP($G765,Agendamento!$B:$F,5,0)</f>
        <v>3</v>
      </c>
      <c r="R765" s="36">
        <f t="shared" si="106"/>
        <v>26</v>
      </c>
      <c r="S765" s="44">
        <v>2.5499999999999998</v>
      </c>
      <c r="T765" s="44">
        <f t="shared" si="107"/>
        <v>15978.3</v>
      </c>
      <c r="U765" t="s">
        <v>5886</v>
      </c>
      <c r="V765" t="str">
        <f t="shared" si="108"/>
        <v>NF/20260212_nf_21.pdf</v>
      </c>
      <c r="W765" s="32" t="str">
        <f t="shared" si="112"/>
        <v>NF - SONHO DE UMA NOITE DE VERÃO</v>
      </c>
      <c r="X765" t="s">
        <v>5591</v>
      </c>
    </row>
    <row r="766" spans="1:24" x14ac:dyDescent="0.25">
      <c r="A766" t="str">
        <f>CONCATENATE(D766,"_",TEXT(M766,"ddmmaaaa"),"_",COUNTIF($D$2:D766,D766))</f>
        <v>584071070001-39_11022026_1</v>
      </c>
      <c r="B766" t="str">
        <f>CONCATENATE(Analise!D766,"_",COUNTIF(Analise!$D$2:D766,Analise!D766))</f>
        <v>584071070001-39_1</v>
      </c>
      <c r="C766" s="34">
        <f>COUNTIF('Obras e Acervos'!$C:$C,CONCATENATE(LEFT(D766,12),RIGHT(D766,2)))</f>
        <v>2</v>
      </c>
      <c r="D766" t="s">
        <v>5824</v>
      </c>
      <c r="E766" t="str">
        <f>VLOOKUP($B766,'Obras e Acervos'!$B:$X,3,0)</f>
        <v>ALCY PRODUÇÕES ARTISTICAS LTDA.-BIGODE</v>
      </c>
      <c r="F766" t="str">
        <f>VLOOKUP($B766,'Obras e Acervos'!$B:$X,7,0)</f>
        <v>1258L23000030LE</v>
      </c>
      <c r="G766" t="str">
        <f>VLOOKUP($B766,'Obras e Acervos'!$B:$X,5,0)</f>
        <v>ABC QUER BRINCAR COM VOCÊ</v>
      </c>
      <c r="H766">
        <f>VLOOKUP($B766,'Obras e Acervos'!$B:$X,18,0)</f>
        <v>8</v>
      </c>
      <c r="I766">
        <f>VLOOKUP($B766,'Obras e Acervos'!$B:$X,19,0)</f>
        <v>202299</v>
      </c>
      <c r="J766" s="42">
        <f>VLOOKUP($B766,'Obras e Acervos'!$B:$X,20,0)</f>
        <v>20432.199000000001</v>
      </c>
      <c r="K766" s="31">
        <f>VLOOKUP($B766,'Obras e Acervos'!$B:$X,21,0)</f>
        <v>3.18</v>
      </c>
      <c r="L766" s="31">
        <f t="shared" si="104"/>
        <v>643310.82000000007</v>
      </c>
      <c r="M766" s="1">
        <v>46064</v>
      </c>
      <c r="N766" s="1">
        <f t="shared" si="103"/>
        <v>46305</v>
      </c>
      <c r="O766">
        <f t="shared" si="105"/>
        <v>242</v>
      </c>
      <c r="P766" s="49">
        <f t="shared" si="111"/>
        <v>8.0666666666666664</v>
      </c>
      <c r="Q766" s="34">
        <f>VLOOKUP($G766,Agendamento!$B:$F,5,0)</f>
        <v>6</v>
      </c>
      <c r="R766" s="36">
        <f t="shared" si="106"/>
        <v>203</v>
      </c>
      <c r="S766" s="44">
        <v>2.5499999999999998</v>
      </c>
      <c r="T766" s="44">
        <f t="shared" si="107"/>
        <v>125271.29999999999</v>
      </c>
      <c r="U766" t="s">
        <v>5854</v>
      </c>
      <c r="V766" t="str">
        <f t="shared" si="108"/>
        <v>NF/20260211_nf_18.pdf</v>
      </c>
      <c r="W766" s="32" t="str">
        <f t="shared" si="112"/>
        <v>NF - ABC QUER BRINCAR COM VOCÊ</v>
      </c>
      <c r="X766" t="s">
        <v>5591</v>
      </c>
    </row>
    <row r="767" spans="1:24" x14ac:dyDescent="0.25">
      <c r="A767" t="str">
        <f>CONCATENATE(D767,"_",TEXT(M767,"ddmmaaaa"),"_",COUNTIF($D$2:D767,D767))</f>
        <v>443071100001-76_12022026_2</v>
      </c>
      <c r="B767" t="str">
        <f>CONCATENATE(Analise!D767,"_",COUNTIF(Analise!$D$2:D767,Analise!D767)-1)</f>
        <v>443071100001-76_1</v>
      </c>
      <c r="C767" s="34">
        <f>COUNTIF('Obras e Acervos'!$C:$C,CONCATENATE(LEFT(D767,12),RIGHT(D767,2)))</f>
        <v>2</v>
      </c>
      <c r="D767" t="s">
        <v>4529</v>
      </c>
      <c r="E767" t="str">
        <f>VLOOKUP($B767,'Obras e Acervos'!$B:$X,3,0)</f>
        <v>VERNE EDITORA LTDA-EDITORA VERNE</v>
      </c>
      <c r="F767" t="str">
        <f>VLOOKUP($B767,'Obras e Acervos'!$B:$X,7,0)</f>
        <v>1320L23000030LE</v>
      </c>
      <c r="G767" t="str">
        <f>VLOOKUP($B767,'Obras e Acervos'!$B:$X,5,0)</f>
        <v>ALFABETO DE PLANTAS: DE ALECRIM A ZEDOÁRIA</v>
      </c>
      <c r="H767">
        <f>VLOOKUP($B767,'Obras e Acervos'!$B:$X,18,0)</f>
        <v>8</v>
      </c>
      <c r="I767">
        <f>VLOOKUP($B767,'Obras e Acervos'!$B:$X,19,0)</f>
        <v>35816</v>
      </c>
      <c r="J767" s="42">
        <f>VLOOKUP($B767,'Obras e Acervos'!$B:$X,20,0)</f>
        <v>3581.6000000000004</v>
      </c>
      <c r="K767" s="31">
        <f>VLOOKUP($B767,'Obras e Acervos'!$B:$X,21,0)</f>
        <v>5.87</v>
      </c>
      <c r="L767" s="31">
        <f t="shared" si="104"/>
        <v>210239.92</v>
      </c>
      <c r="M767" s="1">
        <v>46065</v>
      </c>
      <c r="N767" s="1">
        <f t="shared" si="103"/>
        <v>46305</v>
      </c>
      <c r="O767">
        <f t="shared" si="105"/>
        <v>241</v>
      </c>
      <c r="P767" s="49">
        <f t="shared" si="111"/>
        <v>8.0333333333333332</v>
      </c>
      <c r="Q767" s="34">
        <f>VLOOKUP($G767,Agendamento!$B:$F,5,0)</f>
        <v>4</v>
      </c>
      <c r="R767" s="36">
        <f t="shared" si="106"/>
        <v>36</v>
      </c>
      <c r="S767" s="44">
        <v>2.5499999999999998</v>
      </c>
      <c r="T767" s="44">
        <f t="shared" si="107"/>
        <v>22123.8</v>
      </c>
      <c r="U767" t="s">
        <v>5883</v>
      </c>
      <c r="V767" t="str">
        <f t="shared" si="108"/>
        <v>NF/20260212_nf_36.pdf</v>
      </c>
      <c r="W767" s="32" t="str">
        <f t="shared" si="112"/>
        <v>NF - ALFABETO DE PLANTAS: DE ALECRIM A ZEDOÁRIA</v>
      </c>
      <c r="X767" t="s">
        <v>5591</v>
      </c>
    </row>
    <row r="768" spans="1:24" x14ac:dyDescent="0.25">
      <c r="A768" t="str">
        <f>CONCATENATE(D768,"_",TEXT(M768,"ddmmaaaa"),"_",COUNTIF($D$2:D768,D768))</f>
        <v>093747510001-42_26032026_1</v>
      </c>
      <c r="B768" t="str">
        <f>CONCATENATE(Analise!D768,"_",COUNTIF(Analise!$D$2:D768,Analise!D768))</f>
        <v>093747510001-42_1</v>
      </c>
      <c r="C768" s="34">
        <f>COUNTIF('Obras e Acervos'!$C:$C,CONCATENATE(LEFT(D768,12),RIGHT(D768,2)))</f>
        <v>2</v>
      </c>
      <c r="D768" t="s">
        <v>5825</v>
      </c>
      <c r="E768" t="str">
        <f>VLOOKUP($B768,'Obras e Acervos'!$B:$X,3,0)</f>
        <v>GERAÇÃO EDITORIAL LTDA-GERAÇÃO EDITORIAL</v>
      </c>
      <c r="F768" t="str">
        <f>VLOOKUP($B768,'Obras e Acervos'!$B:$X,7,0)</f>
        <v>0715L23000030LE</v>
      </c>
      <c r="G768" t="str">
        <f>VLOOKUP($B768,'Obras e Acervos'!$B:$X,5,0)</f>
        <v>O MORCEGO SEM ASAS</v>
      </c>
      <c r="H768">
        <f>VLOOKUP($B768,'Obras e Acervos'!$B:$X,18,0)</f>
        <v>9</v>
      </c>
      <c r="I768">
        <f>VLOOKUP($B768,'Obras e Acervos'!$B:$X,19,0)</f>
        <v>33507</v>
      </c>
      <c r="J768" s="42">
        <f>VLOOKUP($B768,'Obras e Acervos'!$B:$X,20,0)</f>
        <v>3350.7000000000003</v>
      </c>
      <c r="K768" s="31">
        <f>VLOOKUP($B768,'Obras e Acervos'!$B:$X,21,0)</f>
        <v>7.28</v>
      </c>
      <c r="L768" s="31">
        <f t="shared" si="104"/>
        <v>243930.96000000002</v>
      </c>
      <c r="M768" s="1">
        <v>46107</v>
      </c>
      <c r="N768" s="1">
        <f t="shared" si="103"/>
        <v>46305</v>
      </c>
      <c r="O768">
        <f t="shared" si="105"/>
        <v>199</v>
      </c>
      <c r="P768" s="49">
        <f t="shared" si="111"/>
        <v>6.6333333333333337</v>
      </c>
      <c r="Q768" s="34">
        <f>VLOOKUP($G768,Agendamento!$B:$F,5,0)</f>
        <v>4</v>
      </c>
      <c r="R768" s="36">
        <f t="shared" si="106"/>
        <v>34</v>
      </c>
      <c r="S768" s="44">
        <v>2.5499999999999998</v>
      </c>
      <c r="T768" s="44">
        <f t="shared" si="107"/>
        <v>17253.3</v>
      </c>
      <c r="U768" t="s">
        <v>5872</v>
      </c>
      <c r="V768" t="str">
        <f t="shared" si="108"/>
        <v>NF/20260326_nf_46.pdf</v>
      </c>
      <c r="W768" s="32" t="str">
        <f t="shared" si="112"/>
        <v>NF - O MORCEGO SEM ASAS</v>
      </c>
      <c r="X768" t="s">
        <v>5591</v>
      </c>
    </row>
    <row r="769" spans="1:24" x14ac:dyDescent="0.25">
      <c r="A769" t="str">
        <f>CONCATENATE(D769,"_",TEXT(M769,"ddmmaaaa"),"_",COUNTIF($D$2:D769,D769))</f>
        <v>115740340001-06_11022026_1</v>
      </c>
      <c r="B769" t="str">
        <f>CONCATENATE(Analise!D769,"_",COUNTIF(Analise!$D$2:D769,Analise!D769))</f>
        <v>115740340001-06_1</v>
      </c>
      <c r="C769" s="34">
        <f>COUNTIF('Obras e Acervos'!$C:$C,CONCATENATE(LEFT(D769,12),RIGHT(D769,2)))</f>
        <v>2</v>
      </c>
      <c r="D769" t="s">
        <v>5826</v>
      </c>
      <c r="E769" t="str">
        <f>VLOOKUP($B769,'Obras e Acervos'!$B:$X,3,0)</f>
        <v>LIVRARIA LA FONTAINE LTDA-LA FONTAINE</v>
      </c>
      <c r="F769" t="str">
        <f>VLOOKUP($B769,'Obras e Acervos'!$B:$X,7,0)</f>
        <v>0960L23000030LE</v>
      </c>
      <c r="G769" t="str">
        <f>VLOOKUP($B769,'Obras e Acervos'!$B:$X,5,0)</f>
        <v>CURUMIMZICE</v>
      </c>
      <c r="H769">
        <f>VLOOKUP($B769,'Obras e Acervos'!$B:$X,18,0)</f>
        <v>9</v>
      </c>
      <c r="I769">
        <f>VLOOKUP($B769,'Obras e Acervos'!$B:$X,19,0)</f>
        <v>33704</v>
      </c>
      <c r="J769" s="42">
        <f>VLOOKUP($B769,'Obras e Acervos'!$B:$X,20,0)</f>
        <v>2864.84</v>
      </c>
      <c r="K769" s="31">
        <f>VLOOKUP($B769,'Obras e Acervos'!$B:$X,21,0)</f>
        <v>5.13</v>
      </c>
      <c r="L769" s="31">
        <f t="shared" si="104"/>
        <v>172901.52</v>
      </c>
      <c r="M769" s="1">
        <v>46064</v>
      </c>
      <c r="N769" s="1">
        <f t="shared" si="103"/>
        <v>46305</v>
      </c>
      <c r="O769">
        <f t="shared" si="105"/>
        <v>242</v>
      </c>
      <c r="P769" s="49">
        <f t="shared" si="111"/>
        <v>8.0666666666666664</v>
      </c>
      <c r="Q769" s="34">
        <f>VLOOKUP($G769,Agendamento!$B:$F,5,0)</f>
        <v>4</v>
      </c>
      <c r="R769" s="36">
        <f t="shared" si="106"/>
        <v>34</v>
      </c>
      <c r="S769" s="44">
        <v>2.5499999999999998</v>
      </c>
      <c r="T769" s="44">
        <f t="shared" si="107"/>
        <v>20981.399999999998</v>
      </c>
      <c r="U769" t="s">
        <v>5853</v>
      </c>
      <c r="V769" t="str">
        <f t="shared" si="108"/>
        <v>NF/20260211_nf_17.pdf</v>
      </c>
      <c r="W769" s="32" t="str">
        <f t="shared" si="112"/>
        <v>NF - CURUMIMZICE</v>
      </c>
      <c r="X769" t="s">
        <v>5591</v>
      </c>
    </row>
    <row r="770" spans="1:24" x14ac:dyDescent="0.25">
      <c r="A770" t="str">
        <f>CONCATENATE(D770,"_",TEXT(M770,"ddmmaaaa"),"_",COUNTIF($D$2:D770,D770))</f>
        <v>134985990001-87_12022026_1</v>
      </c>
      <c r="B770" t="str">
        <f>CONCATENATE(Analise!D770,"_",COUNTIF(Analise!$D$2:D770,Analise!D770))</f>
        <v>134985990001-87_1</v>
      </c>
      <c r="C770" s="34">
        <f>COUNTIF('Obras e Acervos'!$C:$C,CONCATENATE(LEFT(D770,12),RIGHT(D770,2)))</f>
        <v>2</v>
      </c>
      <c r="D770" t="s">
        <v>5827</v>
      </c>
      <c r="E770" t="str">
        <f>VLOOKUP($B770,'Obras e Acervos'!$B:$X,3,0)</f>
        <v>QUINTETO EDITORIAL LTDA.-QUINTETO</v>
      </c>
      <c r="F770" t="str">
        <f>VLOOKUP($B770,'Obras e Acervos'!$B:$X,7,0)</f>
        <v>0625L23000030LE</v>
      </c>
      <c r="G770" t="str">
        <f>VLOOKUP($B770,'Obras e Acervos'!$B:$X,5,0)</f>
        <v>FESTA NO CÉU</v>
      </c>
      <c r="H770">
        <f>VLOOKUP($B770,'Obras e Acervos'!$B:$X,18,0)</f>
        <v>9</v>
      </c>
      <c r="I770">
        <f>VLOOKUP($B770,'Obras e Acervos'!$B:$X,19,0)</f>
        <v>55853</v>
      </c>
      <c r="J770" s="42">
        <f>VLOOKUP($B770,'Obras e Acervos'!$B:$X,20,0)</f>
        <v>5250.1819999999998</v>
      </c>
      <c r="K770" s="31">
        <f>VLOOKUP($B770,'Obras e Acervos'!$B:$X,21,0)</f>
        <v>5.8</v>
      </c>
      <c r="L770" s="31">
        <f t="shared" si="104"/>
        <v>323947.39999999997</v>
      </c>
      <c r="M770" s="1">
        <v>46065</v>
      </c>
      <c r="N770" s="1">
        <f t="shared" ref="N770:N810" si="113">$AB$2</f>
        <v>46305</v>
      </c>
      <c r="O770">
        <f t="shared" si="105"/>
        <v>241</v>
      </c>
      <c r="P770" s="49">
        <f t="shared" si="111"/>
        <v>8.0333333333333332</v>
      </c>
      <c r="Q770" s="34">
        <f>VLOOKUP($G770,Agendamento!$B:$F,5,0)</f>
        <v>5</v>
      </c>
      <c r="R770" s="36">
        <f t="shared" si="106"/>
        <v>56</v>
      </c>
      <c r="S770" s="44">
        <v>2.5499999999999998</v>
      </c>
      <c r="T770" s="44">
        <f t="shared" si="107"/>
        <v>34414.799999999996</v>
      </c>
      <c r="U770" t="s">
        <v>5881</v>
      </c>
      <c r="V770" t="str">
        <f t="shared" si="108"/>
        <v>NF/20260212_nf_56.pdf</v>
      </c>
      <c r="W770" s="32" t="str">
        <f t="shared" si="112"/>
        <v>NF - FESTA NO CÉU</v>
      </c>
      <c r="X770" t="s">
        <v>5591</v>
      </c>
    </row>
    <row r="771" spans="1:24" x14ac:dyDescent="0.25">
      <c r="A771" t="str">
        <f>CONCATENATE(D771,"_",TEXT(M771,"ddmmaaaa"),"_",COUNTIF($D$2:D771,D771))</f>
        <v>240817340001-00_12022026_1</v>
      </c>
      <c r="B771" t="str">
        <f>CONCATENATE(Analise!D771,"_",COUNTIF(Analise!$D$2:D771,Analise!D771))</f>
        <v>240817340001-00_1</v>
      </c>
      <c r="C771" s="34">
        <f>COUNTIF('Obras e Acervos'!$C:$C,CONCATENATE(LEFT(D771,12),RIGHT(D771,2)))</f>
        <v>2</v>
      </c>
      <c r="D771" t="s">
        <v>5828</v>
      </c>
      <c r="E771" t="str">
        <f>VLOOKUP($B771,'Obras e Acervos'!$B:$X,3,0)</f>
        <v>SARAIVA SOLUÇÕES EDUCACIONAIS S.A.-SARAIVA SOLUÇÕES</v>
      </c>
      <c r="F771" t="str">
        <f>VLOOKUP($B771,'Obras e Acervos'!$B:$X,7,0)</f>
        <v>0410L23000030LE</v>
      </c>
      <c r="G771" t="str">
        <f>VLOOKUP($B771,'Obras e Acervos'!$B:$X,5,0)</f>
        <v>A NOITE DOS GATOS CHORÕES - UMA AVENTURA MUSICAL</v>
      </c>
      <c r="H771">
        <f>VLOOKUP($B771,'Obras e Acervos'!$B:$X,18,0)</f>
        <v>9</v>
      </c>
      <c r="I771">
        <f>VLOOKUP($B771,'Obras e Acervos'!$B:$X,19,0)</f>
        <v>36461</v>
      </c>
      <c r="J771" s="42">
        <f>VLOOKUP($B771,'Obras e Acervos'!$B:$X,20,0)</f>
        <v>5687.9160000000002</v>
      </c>
      <c r="K771" s="31">
        <f>VLOOKUP($B771,'Obras e Acervos'!$B:$X,21,0)</f>
        <v>8.5299999999999994</v>
      </c>
      <c r="L771" s="31">
        <f t="shared" ref="L771:L810" si="114">K771*I771</f>
        <v>311012.32999999996</v>
      </c>
      <c r="M771" s="1">
        <v>46065</v>
      </c>
      <c r="N771" s="1">
        <f t="shared" si="113"/>
        <v>46305</v>
      </c>
      <c r="O771">
        <f t="shared" ref="O771:O810" si="115">IF(M771="",0,(N771-M771)+1)</f>
        <v>241</v>
      </c>
      <c r="P771" s="49">
        <f t="shared" si="111"/>
        <v>8.0333333333333332</v>
      </c>
      <c r="Q771" s="34">
        <f>VLOOKUP($G771,Agendamento!$B:$F,5,0)</f>
        <v>1</v>
      </c>
      <c r="R771" s="36">
        <f t="shared" ref="R771:R810" si="116">IF(U771="",0,ROUNDUP($I771/1000,0))</f>
        <v>37</v>
      </c>
      <c r="S771" s="44">
        <v>2.5499999999999998</v>
      </c>
      <c r="T771" s="44">
        <f t="shared" ref="T771:T810" si="117">O771*R771*S771</f>
        <v>22738.35</v>
      </c>
      <c r="U771" t="s">
        <v>5861</v>
      </c>
      <c r="V771" t="str">
        <f t="shared" ref="V771:V810" si="118">CONCATENATE("NF/",U771)</f>
        <v>NF/20260212_nf_27.pdf</v>
      </c>
      <c r="W771" s="32" t="str">
        <f t="shared" si="112"/>
        <v>NF - A NOITE DOS GATOS CHORÕES - UMA AVENTURA MUSICAL</v>
      </c>
      <c r="X771" t="s">
        <v>5591</v>
      </c>
    </row>
    <row r="772" spans="1:24" x14ac:dyDescent="0.25">
      <c r="A772" t="str">
        <f>CONCATENATE(D772,"_",TEXT(M772,"ddmmaaaa"),"_",COUNTIF($D$2:D772,D772))</f>
        <v>077425500001-25_16062026_1</v>
      </c>
      <c r="B772" t="str">
        <f>CONCATENATE(Analise!D772,"_",COUNTIF(Analise!$D$2:D772,Analise!D772))</f>
        <v>077425500001-25_1</v>
      </c>
      <c r="C772" s="34">
        <f>COUNTIF('Obras e Acervos'!$C:$C,CONCATENATE(LEFT(D772,12),RIGHT(D772,2)))</f>
        <v>2</v>
      </c>
      <c r="D772" t="s">
        <v>5829</v>
      </c>
      <c r="E772" t="str">
        <f>VLOOKUP($B772,'Obras e Acervos'!$B:$X,3,0)</f>
        <v>PRIME EDITORIAL LTDA-PRIME</v>
      </c>
      <c r="F772" t="str">
        <f>VLOOKUP($B772,'Obras e Acervos'!$B:$X,7,0)</f>
        <v>0534L23000030LE</v>
      </c>
      <c r="G772" t="str">
        <f>VLOOKUP($B772,'Obras e Acervos'!$B:$X,5,0)</f>
        <v>MAU HUMOR</v>
      </c>
      <c r="H772">
        <f>VLOOKUP($B772,'Obras e Acervos'!$B:$X,18,0)</f>
        <v>10</v>
      </c>
      <c r="I772">
        <f>VLOOKUP($B772,'Obras e Acervos'!$B:$X,19,0)</f>
        <v>35419</v>
      </c>
      <c r="J772" s="42">
        <f>VLOOKUP($B772,'Obras e Acervos'!$B:$X,20,0)</f>
        <v>2479.3300000000004</v>
      </c>
      <c r="K772" s="31">
        <f>VLOOKUP($B772,'Obras e Acervos'!$B:$X,21,0)</f>
        <v>6.67</v>
      </c>
      <c r="L772" s="31">
        <f t="shared" si="114"/>
        <v>236244.73</v>
      </c>
      <c r="M772" s="1">
        <v>46189</v>
      </c>
      <c r="N772" s="1">
        <f t="shared" si="113"/>
        <v>46305</v>
      </c>
      <c r="O772">
        <f t="shared" si="115"/>
        <v>117</v>
      </c>
      <c r="P772" s="49">
        <f t="shared" si="111"/>
        <v>3.9</v>
      </c>
      <c r="Q772" s="34">
        <f>VLOOKUP($G772,Agendamento!$B:$F,5,0)</f>
        <v>5</v>
      </c>
      <c r="R772" s="36">
        <f t="shared" si="116"/>
        <v>36</v>
      </c>
      <c r="S772" s="44">
        <v>2.5499999999999998</v>
      </c>
      <c r="T772" s="44">
        <f t="shared" si="117"/>
        <v>10740.599999999999</v>
      </c>
      <c r="U772" t="s">
        <v>5874</v>
      </c>
      <c r="V772" t="str">
        <f t="shared" si="118"/>
        <v>NF/20260616_nf_48.pdf</v>
      </c>
      <c r="W772" s="32" t="str">
        <f t="shared" si="112"/>
        <v>NF - MAU HUMOR</v>
      </c>
      <c r="X772" t="s">
        <v>5591</v>
      </c>
    </row>
    <row r="773" spans="1:24" x14ac:dyDescent="0.25">
      <c r="A773" t="str">
        <f>CONCATENATE(D773,"_",TEXT(M773,"ddmmaaaa"),"_",COUNTIF($D$2:D773,D773))</f>
        <v>076219050001-28_11022026_2</v>
      </c>
      <c r="B773" t="str">
        <f>CONCATENATE(Analise!D773,"_",COUNTIF(Analise!$D$2:D773,Analise!D773))</f>
        <v>076219050001-28_2</v>
      </c>
      <c r="C773" s="34">
        <f>COUNTIF('Obras e Acervos'!$C:$C,CONCATENATE(LEFT(D773,12),RIGHT(D773,2)))</f>
        <v>2</v>
      </c>
      <c r="D773" t="s">
        <v>5816</v>
      </c>
      <c r="E773" t="str">
        <f>VLOOKUP($B773,'Obras e Acervos'!$B:$X,3,0)</f>
        <v>AYASOFYA EDITORA E COMÉRCIO DE LIVROS LTDA-AYASOFYA EDITORA</v>
      </c>
      <c r="F773" t="str">
        <f>VLOOKUP($B773,'Obras e Acervos'!$B:$X,7,0)</f>
        <v>1091L23000020LE</v>
      </c>
      <c r="G773" t="str">
        <f>VLOOKUP($B773,'Obras e Acervos'!$B:$X,5,0)</f>
        <v>SANTOS DUMONT EM QUADRINHOS</v>
      </c>
      <c r="H773">
        <f>VLOOKUP($B773,'Obras e Acervos'!$B:$X,18,0)</f>
        <v>11</v>
      </c>
      <c r="I773">
        <f>VLOOKUP($B773,'Obras e Acervos'!$B:$X,19,0)</f>
        <v>41664</v>
      </c>
      <c r="J773" s="42">
        <f>VLOOKUP($B773,'Obras e Acervos'!$B:$X,20,0)</f>
        <v>5832.9600000000009</v>
      </c>
      <c r="K773" s="31">
        <f>VLOOKUP($B773,'Obras e Acervos'!$B:$X,21,0)</f>
        <v>6.25</v>
      </c>
      <c r="L773" s="31">
        <f t="shared" si="114"/>
        <v>260400</v>
      </c>
      <c r="M773" s="1">
        <v>46064</v>
      </c>
      <c r="N773" s="1">
        <f t="shared" si="113"/>
        <v>46305</v>
      </c>
      <c r="O773">
        <f t="shared" si="115"/>
        <v>242</v>
      </c>
      <c r="P773" s="49">
        <f t="shared" si="111"/>
        <v>8.0666666666666664</v>
      </c>
      <c r="Q773" s="34">
        <f>VLOOKUP($G773,Agendamento!$B:$F,5,0)</f>
        <v>5</v>
      </c>
      <c r="R773" s="36">
        <f t="shared" si="116"/>
        <v>42</v>
      </c>
      <c r="S773" s="44">
        <v>2.5499999999999998</v>
      </c>
      <c r="T773" s="44">
        <f t="shared" si="117"/>
        <v>25918.199999999997</v>
      </c>
      <c r="U773" t="s">
        <v>5850</v>
      </c>
      <c r="V773" t="str">
        <f t="shared" si="118"/>
        <v>NF/20260211_nf_14.pdf</v>
      </c>
      <c r="W773" s="32" t="str">
        <f t="shared" si="112"/>
        <v>NF - SANTOS DUMONT EM QUADRINHOS</v>
      </c>
      <c r="X773" t="s">
        <v>5591</v>
      </c>
    </row>
    <row r="774" spans="1:24" x14ac:dyDescent="0.25">
      <c r="A774" t="str">
        <f>CONCATENATE(D774,"_",TEXT(M774,"ddmmaaaa"),"_",COUNTIF($D$2:D774,D774))</f>
        <v>442288440001-60_18032026_2</v>
      </c>
      <c r="B774" t="str">
        <f>CONCATENATE(Analise!D774,"_",COUNTIF(Analise!$D$2:D774,Analise!D774))</f>
        <v>442288440001-60_2</v>
      </c>
      <c r="C774" s="34">
        <f>COUNTIF('Obras e Acervos'!$C:$C,CONCATENATE(LEFT(D774,12),RIGHT(D774,2)))</f>
        <v>2</v>
      </c>
      <c r="D774" t="s">
        <v>4893</v>
      </c>
      <c r="E774" t="str">
        <f>VLOOKUP($B774,'Obras e Acervos'!$B:$X,3,0)</f>
        <v>BORALÁ EDITORA LTDA.-BORALÁ</v>
      </c>
      <c r="F774" t="str">
        <f>VLOOKUP($B774,'Obras e Acervos'!$B:$X,7,0)</f>
        <v>1247L23000020LE</v>
      </c>
      <c r="G774" t="str">
        <f>VLOOKUP($B774,'Obras e Acervos'!$B:$X,5,0)</f>
        <v>A CHEGADA DO SR. FLAT</v>
      </c>
      <c r="H774">
        <f>VLOOKUP($B774,'Obras e Acervos'!$B:$X,18,0)</f>
        <v>11</v>
      </c>
      <c r="I774">
        <f>VLOOKUP($B774,'Obras e Acervos'!$B:$X,19,0)</f>
        <v>33074</v>
      </c>
      <c r="J774" s="42">
        <f>VLOOKUP($B774,'Obras e Acervos'!$B:$X,20,0)</f>
        <v>5291.84</v>
      </c>
      <c r="K774" s="31">
        <f>VLOOKUP($B774,'Obras e Acervos'!$B:$X,21,0)</f>
        <v>14.25</v>
      </c>
      <c r="L774" s="31">
        <f t="shared" si="114"/>
        <v>471304.5</v>
      </c>
      <c r="M774" s="1">
        <v>46099</v>
      </c>
      <c r="N774" s="1">
        <f t="shared" si="113"/>
        <v>46305</v>
      </c>
      <c r="O774">
        <f t="shared" si="115"/>
        <v>207</v>
      </c>
      <c r="P774" s="49">
        <f t="shared" si="111"/>
        <v>6.9</v>
      </c>
      <c r="Q774" s="34">
        <f>VLOOKUP($G774,Agendamento!$B:$F,5,0)</f>
        <v>6</v>
      </c>
      <c r="R774" s="36">
        <f t="shared" si="116"/>
        <v>34</v>
      </c>
      <c r="S774" s="44">
        <v>2.5499999999999998</v>
      </c>
      <c r="T774" s="44">
        <f t="shared" si="117"/>
        <v>17946.899999999998</v>
      </c>
      <c r="U774" t="s">
        <v>5865</v>
      </c>
      <c r="V774" t="str">
        <f t="shared" si="118"/>
        <v>NF/20260318_nf_33.pdf</v>
      </c>
      <c r="W774" s="32" t="str">
        <f t="shared" si="112"/>
        <v>NF - A CHEGADA DO SR. FLAT</v>
      </c>
      <c r="X774" t="s">
        <v>5591</v>
      </c>
    </row>
    <row r="775" spans="1:24" x14ac:dyDescent="0.25">
      <c r="A775" t="str">
        <f>CONCATENATE(D775,"_",TEXT(M775,"ddmmaaaa"),"_",COUNTIF($D$2:D775,D775))</f>
        <v>436797040001-45_18032026_1</v>
      </c>
      <c r="B775" t="str">
        <f>CONCATENATE(Analise!D775,"_",COUNTIF(Analise!$D$2:D775,Analise!D775))</f>
        <v>436797040001-45_1</v>
      </c>
      <c r="C775" s="34">
        <f>COUNTIF('Obras e Acervos'!$C:$C,CONCATENATE(LEFT(D775,12),RIGHT(D775,2)))</f>
        <v>1</v>
      </c>
      <c r="D775" t="s">
        <v>5830</v>
      </c>
      <c r="E775" t="str">
        <f>VLOOKUP($B775,'Obras e Acervos'!$B:$X,3,0)</f>
        <v>EDITORA BRASIL EQUATORIAL LTDA-EDITORA BRASIL EQUATORIAL</v>
      </c>
      <c r="F775" t="str">
        <f>VLOOKUP($B775,'Obras e Acervos'!$B:$X,7,0)</f>
        <v>1327L23000020LE</v>
      </c>
      <c r="G775" t="str">
        <f>VLOOKUP($B775,'Obras e Acervos'!$B:$X,5,0)</f>
        <v>DORA, A RAÇA DO AMOR</v>
      </c>
      <c r="H775">
        <f>VLOOKUP($B775,'Obras e Acervos'!$B:$X,18,0)</f>
        <v>11</v>
      </c>
      <c r="I775">
        <f>VLOOKUP($B775,'Obras e Acervos'!$B:$X,19,0)</f>
        <v>35088</v>
      </c>
      <c r="J775" s="42">
        <f>VLOOKUP($B775,'Obras e Acervos'!$B:$X,20,0)</f>
        <v>9017.616</v>
      </c>
      <c r="K775" s="31">
        <f>VLOOKUP($B775,'Obras e Acervos'!$B:$X,21,0)</f>
        <v>13.02</v>
      </c>
      <c r="L775" s="31">
        <f t="shared" si="114"/>
        <v>456845.76</v>
      </c>
      <c r="M775" s="1">
        <v>46099</v>
      </c>
      <c r="N775" s="1">
        <f t="shared" si="113"/>
        <v>46305</v>
      </c>
      <c r="O775">
        <f t="shared" si="115"/>
        <v>207</v>
      </c>
      <c r="P775" s="49">
        <f t="shared" si="111"/>
        <v>6.9</v>
      </c>
      <c r="Q775" s="34">
        <f>VLOOKUP($G775,Agendamento!$B:$F,5,0)</f>
        <v>12</v>
      </c>
      <c r="R775" s="36">
        <f t="shared" si="116"/>
        <v>36</v>
      </c>
      <c r="S775" s="44">
        <v>2.5499999999999998</v>
      </c>
      <c r="T775" s="44">
        <f t="shared" si="117"/>
        <v>19002.599999999999</v>
      </c>
      <c r="U775" t="s">
        <v>5870</v>
      </c>
      <c r="V775" t="str">
        <f t="shared" si="118"/>
        <v>NF/20260318_nf_44.pdf</v>
      </c>
      <c r="W775" s="32" t="str">
        <f t="shared" si="112"/>
        <v>NF - DORA, A RAÇA DO AMOR</v>
      </c>
      <c r="X775" t="s">
        <v>5591</v>
      </c>
    </row>
    <row r="776" spans="1:24" x14ac:dyDescent="0.25">
      <c r="A776" t="str">
        <f>CONCATENATE(D776,"_",TEXT(M776,"ddmmaaaa"),"_",COUNTIF($D$2:D776,D776))</f>
        <v>199621040001-05_11022026_2</v>
      </c>
      <c r="B776" t="str">
        <f>CONCATENATE(Analise!D776,"_",COUNTIF(Analise!$D$2:D776,Analise!D776))</f>
        <v>199621040001-05_2</v>
      </c>
      <c r="C776" s="34">
        <f>COUNTIF('Obras e Acervos'!$C:$C,CONCATENATE(LEFT(D776,12),RIGHT(D776,2)))</f>
        <v>2</v>
      </c>
      <c r="D776" t="s">
        <v>5820</v>
      </c>
      <c r="E776" t="str">
        <f>VLOOKUP($B776,'Obras e Acervos'!$B:$X,3,0)</f>
        <v>EDITORA TODAS AS LETRAS LTDA.-TODAS AS LETRAS</v>
      </c>
      <c r="F776" t="str">
        <f>VLOOKUP($B776,'Obras e Acervos'!$B:$X,7,0)</f>
        <v>0416L23000020LE</v>
      </c>
      <c r="G776" t="str">
        <f>VLOOKUP($B776,'Obras e Acervos'!$B:$X,5,0)</f>
        <v>NO REINO DO VAI NÃO VEM - UMA VIAGEM AO MUNDO DO CORDEL</v>
      </c>
      <c r="H776">
        <f>VLOOKUP($B776,'Obras e Acervos'!$B:$X,18,0)</f>
        <v>11</v>
      </c>
      <c r="I776">
        <f>VLOOKUP($B776,'Obras e Acervos'!$B:$X,19,0)</f>
        <v>38952</v>
      </c>
      <c r="J776" s="42">
        <f>VLOOKUP($B776,'Obras e Acervos'!$B:$X,20,0)</f>
        <v>6076.5119999999997</v>
      </c>
      <c r="K776" s="31">
        <f>VLOOKUP($B776,'Obras e Acervos'!$B:$X,21,0)</f>
        <v>7.97</v>
      </c>
      <c r="L776" s="31">
        <f t="shared" si="114"/>
        <v>310447.44</v>
      </c>
      <c r="M776" s="1">
        <v>46064</v>
      </c>
      <c r="N776" s="1">
        <f t="shared" si="113"/>
        <v>46305</v>
      </c>
      <c r="O776">
        <f t="shared" si="115"/>
        <v>242</v>
      </c>
      <c r="P776" s="49">
        <f t="shared" si="111"/>
        <v>8.0666666666666664</v>
      </c>
      <c r="Q776" s="34">
        <f>VLOOKUP($G776,Agendamento!$B:$F,5,0)</f>
        <v>1</v>
      </c>
      <c r="R776" s="36">
        <f t="shared" si="116"/>
        <v>39</v>
      </c>
      <c r="S776" s="44">
        <v>2.5499999999999998</v>
      </c>
      <c r="T776" s="44">
        <f t="shared" si="117"/>
        <v>24066.899999999998</v>
      </c>
      <c r="U776" t="s">
        <v>5877</v>
      </c>
      <c r="V776" t="str">
        <f t="shared" si="118"/>
        <v>NF/20260211_nf_52.pdf</v>
      </c>
      <c r="W776" s="32" t="str">
        <f t="shared" si="112"/>
        <v>NF - NO REINO DO VAI NÃO VEM - UMA VIAGEM AO MUNDO DO CORDEL</v>
      </c>
      <c r="X776" t="s">
        <v>5591</v>
      </c>
    </row>
    <row r="777" spans="1:24" x14ac:dyDescent="0.25">
      <c r="A777" t="str">
        <f>CONCATENATE(D777,"_",TEXT(M777,"ddmmaaaa"),"_",COUNTIF($D$2:D777,D777))</f>
        <v>174639630001-24_12022026_2</v>
      </c>
      <c r="B777" t="str">
        <f>CONCATENATE(Analise!D777,"_",COUNTIF(Analise!$D$2:D777,Analise!D777))</f>
        <v>174639630001-24_2</v>
      </c>
      <c r="C777" s="34">
        <f>COUNTIF('Obras e Acervos'!$C:$C,CONCATENATE(LEFT(D777,12),RIGHT(D777,2)))</f>
        <v>2</v>
      </c>
      <c r="D777" t="s">
        <v>5800</v>
      </c>
      <c r="E777" t="str">
        <f>VLOOKUP($B777,'Obras e Acervos'!$B:$X,3,0)</f>
        <v>EMPRESA BRASILEIRA DE SISTEMAS DE ENSINO LTDA. -BR EDUCAÇÃO</v>
      </c>
      <c r="F777" t="str">
        <f>VLOOKUP($B777,'Obras e Acervos'!$B:$X,7,0)</f>
        <v>0650L23000020LE</v>
      </c>
      <c r="G777" t="str">
        <f>VLOOKUP($B777,'Obras e Acervos'!$B:$X,5,0)</f>
        <v>ALÉM DA CHUVA</v>
      </c>
      <c r="H777">
        <f>VLOOKUP($B777,'Obras e Acervos'!$B:$X,18,0)</f>
        <v>11</v>
      </c>
      <c r="I777">
        <f>VLOOKUP($B777,'Obras e Acervos'!$B:$X,19,0)</f>
        <v>39573</v>
      </c>
      <c r="J777" s="42">
        <f>VLOOKUP($B777,'Obras e Acervos'!$B:$X,20,0)</f>
        <v>4986.1980000000003</v>
      </c>
      <c r="K777" s="31">
        <f>VLOOKUP($B777,'Obras e Acervos'!$B:$X,21,0)</f>
        <v>6.99</v>
      </c>
      <c r="L777" s="31">
        <f t="shared" si="114"/>
        <v>276615.27</v>
      </c>
      <c r="M777" s="1">
        <v>46065</v>
      </c>
      <c r="N777" s="1">
        <f t="shared" si="113"/>
        <v>46305</v>
      </c>
      <c r="O777">
        <f t="shared" si="115"/>
        <v>241</v>
      </c>
      <c r="P777" s="49">
        <f t="shared" si="111"/>
        <v>8.0333333333333332</v>
      </c>
      <c r="Q777" s="34">
        <f>VLOOKUP($G777,Agendamento!$B:$F,5,0)</f>
        <v>7</v>
      </c>
      <c r="R777" s="36">
        <f t="shared" si="116"/>
        <v>40</v>
      </c>
      <c r="S777" s="44">
        <v>2.5499999999999998</v>
      </c>
      <c r="T777" s="44">
        <f t="shared" si="117"/>
        <v>24582</v>
      </c>
      <c r="U777" t="s">
        <v>5863</v>
      </c>
      <c r="V777" t="str">
        <f t="shared" si="118"/>
        <v>NF/20260212_nf_30.pdf</v>
      </c>
      <c r="W777" s="32" t="str">
        <f t="shared" si="112"/>
        <v>NF - ALÉM DA CHUVA</v>
      </c>
      <c r="X777" t="s">
        <v>5591</v>
      </c>
    </row>
    <row r="778" spans="1:24" x14ac:dyDescent="0.25">
      <c r="A778" t="str">
        <f>CONCATENATE(D778,"_",TEXT(M778,"ddmmaaaa"),"_",COUNTIF($D$2:D778,D778))</f>
        <v>349425870001-70_00011900_2</v>
      </c>
      <c r="B778" t="str">
        <f>CONCATENATE(Analise!D778,"_",COUNTIF(Analise!$D$2:D778,Analise!D778))</f>
        <v>349425870001-70_2</v>
      </c>
      <c r="C778" s="34">
        <f>COUNTIF('Obras e Acervos'!$C:$C,CONCATENATE(LEFT(D778,12),RIGHT(D778,2)))</f>
        <v>2</v>
      </c>
      <c r="D778" t="s">
        <v>5807</v>
      </c>
      <c r="E778" t="str">
        <f>VLOOKUP($B778,'Obras e Acervos'!$B:$X,3,0)</f>
        <v>PINGO DE OURO EDITORES LTDA-PINGO DE OURO</v>
      </c>
      <c r="F778" t="str">
        <f>VLOOKUP($B778,'Obras e Acervos'!$B:$X,7,0)</f>
        <v>0537L23000020LE</v>
      </c>
      <c r="G778" t="str">
        <f>VLOOKUP($B778,'Obras e Acervos'!$B:$X,5,0)</f>
        <v>PRINCESINHAS E PRINCIPEZINHOS DO BRASIL</v>
      </c>
      <c r="H778">
        <f>VLOOKUP($B778,'Obras e Acervos'!$B:$X,18,0)</f>
        <v>11</v>
      </c>
      <c r="I778">
        <f>VLOOKUP($B778,'Obras e Acervos'!$B:$X,19,0)</f>
        <v>35891</v>
      </c>
      <c r="J778" s="42">
        <f>VLOOKUP($B778,'Obras e Acervos'!$B:$X,20,0)</f>
        <v>10013.589000000002</v>
      </c>
      <c r="K778" s="31">
        <f>VLOOKUP($B778,'Obras e Acervos'!$B:$X,21,0)</f>
        <v>20.100000000000001</v>
      </c>
      <c r="L778" s="31">
        <f t="shared" si="114"/>
        <v>721409.10000000009</v>
      </c>
      <c r="M778" s="1"/>
      <c r="N778" s="1">
        <f t="shared" si="113"/>
        <v>46305</v>
      </c>
      <c r="O778">
        <f t="shared" si="115"/>
        <v>0</v>
      </c>
      <c r="P778" s="49">
        <f t="shared" si="111"/>
        <v>0</v>
      </c>
      <c r="Q778" s="34">
        <f>VLOOKUP($G778,Agendamento!$B:$F,5,0)</f>
        <v>0</v>
      </c>
      <c r="R778" s="36">
        <f t="shared" si="116"/>
        <v>0</v>
      </c>
      <c r="S778" s="44">
        <v>2.5499999999999998</v>
      </c>
      <c r="T778" s="44">
        <f t="shared" si="117"/>
        <v>0</v>
      </c>
      <c r="V778" t="str">
        <f t="shared" si="118"/>
        <v>NF/</v>
      </c>
      <c r="W778" s="32" t="str">
        <f t="shared" si="112"/>
        <v>NF - PRINCESINHAS E PRINCIPEZINHOS DO BRASIL</v>
      </c>
    </row>
    <row r="779" spans="1:24" x14ac:dyDescent="0.25">
      <c r="A779" t="str">
        <f>CONCATENATE(D779,"_",TEXT(M779,"ddmmaaaa"),"_",COUNTIF($D$2:D779,D779))</f>
        <v>434032510001-20_04022026_1</v>
      </c>
      <c r="B779" t="str">
        <f>CONCATENATE(Analise!D779,"_",COUNTIF(Analise!$D$2:D779,Analise!D779))</f>
        <v>434032510001-20_1</v>
      </c>
      <c r="C779" s="34">
        <f>COUNTIF('Obras e Acervos'!$C:$C,CONCATENATE(LEFT(D779,12),RIGHT(D779,2)))</f>
        <v>1</v>
      </c>
      <c r="D779" t="s">
        <v>5831</v>
      </c>
      <c r="E779" t="str">
        <f>VLOOKUP($B779,'Obras e Acervos'!$B:$X,3,0)</f>
        <v>VERONICA EDITORA LTDA-VERONICA EDITORA</v>
      </c>
      <c r="F779" t="str">
        <f>VLOOKUP($B779,'Obras e Acervos'!$B:$X,7,0)</f>
        <v>0524L23000020LE</v>
      </c>
      <c r="G779" t="str">
        <f>VLOOKUP($B779,'Obras e Acervos'!$B:$X,5,0)</f>
        <v>ABRAÇO DE PELÚCIA: E MAIS POEMAS</v>
      </c>
      <c r="H779">
        <f>VLOOKUP($B779,'Obras e Acervos'!$B:$X,18,0)</f>
        <v>11</v>
      </c>
      <c r="I779">
        <f>VLOOKUP($B779,'Obras e Acervos'!$B:$X,19,0)</f>
        <v>32422</v>
      </c>
      <c r="J779" s="42">
        <f>VLOOKUP($B779,'Obras e Acervos'!$B:$X,20,0)</f>
        <v>3404.31</v>
      </c>
      <c r="K779" s="31">
        <f>VLOOKUP($B779,'Obras e Acervos'!$B:$X,21,0)</f>
        <v>6.34</v>
      </c>
      <c r="L779" s="31">
        <f t="shared" si="114"/>
        <v>205555.47999999998</v>
      </c>
      <c r="M779" s="1">
        <v>46057</v>
      </c>
      <c r="N779" s="1">
        <f t="shared" si="113"/>
        <v>46305</v>
      </c>
      <c r="O779">
        <f t="shared" si="115"/>
        <v>249</v>
      </c>
      <c r="P779" s="49">
        <f t="shared" si="111"/>
        <v>8.3000000000000007</v>
      </c>
      <c r="Q779" s="34">
        <f>VLOOKUP($G779,Agendamento!$B:$F,5,0)</f>
        <v>4</v>
      </c>
      <c r="R779" s="36">
        <f t="shared" si="116"/>
        <v>33</v>
      </c>
      <c r="S779" s="44">
        <v>2.5499999999999998</v>
      </c>
      <c r="T779" s="44">
        <f t="shared" si="117"/>
        <v>20953.349999999999</v>
      </c>
      <c r="U779" t="s">
        <v>5839</v>
      </c>
      <c r="V779" t="str">
        <f t="shared" si="118"/>
        <v>NF/20260204_NF_03.pdf</v>
      </c>
      <c r="W779" s="32" t="str">
        <f t="shared" si="112"/>
        <v>NF - ABRAÇO DE PELÚCIA: E MAIS POEMAS</v>
      </c>
      <c r="X779" t="s">
        <v>5591</v>
      </c>
    </row>
    <row r="780" spans="1:24" x14ac:dyDescent="0.25">
      <c r="A780" t="str">
        <f>CONCATENATE(D780,"_",TEXT(M780,"ddmmaaaa"),"_",COUNTIF($D$2:D780,D780))</f>
        <v>612599580001-96_11022026_2</v>
      </c>
      <c r="B780" t="str">
        <f>CONCATENATE(Analise!D780,"_",COUNTIF(Analise!$D$2:D780,Analise!D780))</f>
        <v>612599580001-96_2</v>
      </c>
      <c r="C780" s="34">
        <f>COUNTIF('Obras e Acervos'!$C:$C,CONCATENATE(LEFT(D780,12),RIGHT(D780,2)))</f>
        <v>2</v>
      </c>
      <c r="D780" t="s">
        <v>5799</v>
      </c>
      <c r="E780" t="str">
        <f>VLOOKUP($B780,'Obras e Acervos'!$B:$X,3,0)</f>
        <v>EDITORA ATICA S/A-ÁTICA</v>
      </c>
      <c r="F780" t="str">
        <f>VLOOKUP($B780,'Obras e Acervos'!$B:$X,7,0)</f>
        <v>0400L23000020LE</v>
      </c>
      <c r="G780" t="str">
        <f>VLOOKUP($B780,'Obras e Acervos'!$B:$X,5,0)</f>
        <v>O MENINO DE OLHO-D’ÁGUA</v>
      </c>
      <c r="H780">
        <f>VLOOKUP($B780,'Obras e Acervos'!$B:$X,18,0)</f>
        <v>12</v>
      </c>
      <c r="I780">
        <f>VLOOKUP($B780,'Obras e Acervos'!$B:$X,19,0)</f>
        <v>31994</v>
      </c>
      <c r="J780" s="42">
        <f>VLOOKUP($B780,'Obras e Acervos'!$B:$X,20,0)</f>
        <v>4415.1720000000005</v>
      </c>
      <c r="K780" s="31">
        <f>VLOOKUP($B780,'Obras e Acervos'!$B:$X,21,0)</f>
        <v>8.26</v>
      </c>
      <c r="L780" s="31">
        <f t="shared" si="114"/>
        <v>264270.44</v>
      </c>
      <c r="M780" s="1">
        <v>46064</v>
      </c>
      <c r="N780" s="1">
        <f t="shared" si="113"/>
        <v>46305</v>
      </c>
      <c r="O780">
        <f t="shared" si="115"/>
        <v>242</v>
      </c>
      <c r="P780" s="49">
        <f t="shared" si="111"/>
        <v>8.0666666666666664</v>
      </c>
      <c r="Q780" s="34">
        <f>VLOOKUP($G780,Agendamento!$B:$F,5,0)</f>
        <v>1</v>
      </c>
      <c r="R780" s="36">
        <f t="shared" si="116"/>
        <v>32</v>
      </c>
      <c r="S780" s="44">
        <v>2.5499999999999998</v>
      </c>
      <c r="T780" s="44">
        <f t="shared" si="117"/>
        <v>19747.199999999997</v>
      </c>
      <c r="U780" t="s">
        <v>5880</v>
      </c>
      <c r="V780" t="str">
        <f t="shared" si="118"/>
        <v>NF/20260211_nf_55.pdf</v>
      </c>
      <c r="W780" s="32" t="str">
        <f t="shared" si="112"/>
        <v>NF - O MENINO DE OLHO-D’ÁGUA</v>
      </c>
      <c r="X780" t="s">
        <v>5591</v>
      </c>
    </row>
    <row r="781" spans="1:24" x14ac:dyDescent="0.25">
      <c r="A781" t="str">
        <f>CONCATENATE(D781,"_",TEXT(M781,"ddmmaaaa"),"_",COUNTIF($D$2:D781,D781))</f>
        <v>014181570001-02_12022026_1</v>
      </c>
      <c r="B781" t="str">
        <f>CONCATENATE(Analise!D781,"_",COUNTIF(Analise!$D$2:D781,Analise!D781))</f>
        <v>014181570001-02_1</v>
      </c>
      <c r="C781" s="34">
        <f>COUNTIF('Obras e Acervos'!$C:$C,CONCATENATE(LEFT(D781,12),RIGHT(D781,2)))</f>
        <v>1</v>
      </c>
      <c r="D781" t="s">
        <v>5832</v>
      </c>
      <c r="E781" t="str">
        <f>VLOOKUP($B781,'Obras e Acervos'!$B:$X,3,0)</f>
        <v>FORMATA - EDITORA EDUCACIONAL-FORMATA - EDUCAÇÃO E TECNOLOGIA</v>
      </c>
      <c r="F781" t="str">
        <f>VLOOKUP($B781,'Obras e Acervos'!$B:$X,7,0)</f>
        <v>1035L23000020LE</v>
      </c>
      <c r="G781" t="str">
        <f>VLOOKUP($B781,'Obras e Acervos'!$B:$X,5,0)</f>
        <v>A ROUPA NOVA DO REI</v>
      </c>
      <c r="H781">
        <f>VLOOKUP($B781,'Obras e Acervos'!$B:$X,18,0)</f>
        <v>12</v>
      </c>
      <c r="I781">
        <f>VLOOKUP($B781,'Obras e Acervos'!$B:$X,19,0)</f>
        <v>38099</v>
      </c>
      <c r="J781" s="42">
        <f>VLOOKUP($B781,'Obras e Acervos'!$B:$X,20,0)</f>
        <v>2895.5239999999999</v>
      </c>
      <c r="K781" s="31">
        <f>VLOOKUP($B781,'Obras e Acervos'!$B:$X,21,0)</f>
        <v>5.49</v>
      </c>
      <c r="L781" s="31">
        <f t="shared" si="114"/>
        <v>209163.51</v>
      </c>
      <c r="M781" s="1">
        <v>46065</v>
      </c>
      <c r="N781" s="1">
        <f t="shared" si="113"/>
        <v>46305</v>
      </c>
      <c r="O781">
        <f t="shared" si="115"/>
        <v>241</v>
      </c>
      <c r="P781" s="49">
        <f t="shared" si="111"/>
        <v>8.0333333333333332</v>
      </c>
      <c r="Q781" s="34">
        <f>VLOOKUP($G781,Agendamento!$B:$F,5,0)</f>
        <v>5</v>
      </c>
      <c r="R781" s="36">
        <f t="shared" si="116"/>
        <v>39</v>
      </c>
      <c r="S781" s="44">
        <v>2.5499999999999998</v>
      </c>
      <c r="T781" s="44">
        <f t="shared" si="117"/>
        <v>23967.449999999997</v>
      </c>
      <c r="U781" t="s">
        <v>5868</v>
      </c>
      <c r="V781" t="str">
        <f t="shared" si="118"/>
        <v>NF/20260212_nf_40.pdf</v>
      </c>
      <c r="W781" s="32" t="str">
        <f t="shared" si="112"/>
        <v>NF - A ROUPA NOVA DO REI</v>
      </c>
      <c r="X781" t="s">
        <v>5591</v>
      </c>
    </row>
    <row r="782" spans="1:24" x14ac:dyDescent="0.25">
      <c r="A782" t="str">
        <f>CONCATENATE(D782,"_",TEXT(M782,"ddmmaaaa"),"_",COUNTIF($D$2:D782,D782))</f>
        <v>127083580001-52_12022026_2</v>
      </c>
      <c r="B782" t="str">
        <f>CONCATENATE(Analise!D782,"_",COUNTIF(Analise!$D$2:D782,Analise!D782))</f>
        <v>127083580001-52_2</v>
      </c>
      <c r="C782" s="34">
        <f>COUNTIF('Obras e Acervos'!$C:$C,CONCATENATE(LEFT(D782,12),RIGHT(D782,2)))</f>
        <v>2</v>
      </c>
      <c r="D782" t="s">
        <v>5812</v>
      </c>
      <c r="E782" t="str">
        <f>VLOOKUP($B782,'Obras e Acervos'!$B:$X,3,0)</f>
        <v>SGE COMERCIO DE MATERIAL DIDATICO LTDA.-SGE</v>
      </c>
      <c r="F782" t="str">
        <f>VLOOKUP($B782,'Obras e Acervos'!$B:$X,7,0)</f>
        <v>0425L23000020LE</v>
      </c>
      <c r="G782" t="str">
        <f>VLOOKUP($B782,'Obras e Acervos'!$B:$X,5,0)</f>
        <v>ANA PIJAMA NO PAÍS DO PENSAMENTO</v>
      </c>
      <c r="H782">
        <f>VLOOKUP($B782,'Obras e Acervos'!$B:$X,18,0)</f>
        <v>12</v>
      </c>
      <c r="I782">
        <f>VLOOKUP($B782,'Obras e Acervos'!$B:$X,19,0)</f>
        <v>36993</v>
      </c>
      <c r="J782" s="42">
        <f>VLOOKUP($B782,'Obras e Acervos'!$B:$X,20,0)</f>
        <v>10543.004999999999</v>
      </c>
      <c r="K782" s="31">
        <f>VLOOKUP($B782,'Obras e Acervos'!$B:$X,21,0)</f>
        <v>12.73</v>
      </c>
      <c r="L782" s="31">
        <f t="shared" si="114"/>
        <v>470920.89</v>
      </c>
      <c r="M782" s="1">
        <v>46065</v>
      </c>
      <c r="N782" s="1">
        <f t="shared" si="113"/>
        <v>46305</v>
      </c>
      <c r="O782">
        <f t="shared" si="115"/>
        <v>241</v>
      </c>
      <c r="P782" s="49">
        <f t="shared" si="111"/>
        <v>8.0333333333333332</v>
      </c>
      <c r="Q782" s="34">
        <f>VLOOKUP($G782,Agendamento!$B:$F,5,0)</f>
        <v>1</v>
      </c>
      <c r="R782" s="36">
        <f t="shared" si="116"/>
        <v>37</v>
      </c>
      <c r="S782" s="44">
        <v>2.5499999999999998</v>
      </c>
      <c r="T782" s="44">
        <f t="shared" si="117"/>
        <v>22738.35</v>
      </c>
      <c r="U782" t="s">
        <v>5860</v>
      </c>
      <c r="V782" t="str">
        <f t="shared" si="118"/>
        <v>NF/20260212_nf_26.pdf</v>
      </c>
      <c r="W782" s="32" t="str">
        <f t="shared" si="112"/>
        <v>NF - ANA PIJAMA NO PAÍS DO PENSAMENTO</v>
      </c>
      <c r="X782" t="s">
        <v>5591</v>
      </c>
    </row>
    <row r="783" spans="1:24" x14ac:dyDescent="0.25">
      <c r="A783" t="str">
        <f>CONCATENATE(D783,"_",TEXT(M783,"ddmmaaaa"),"_",COUNTIF($D$2:D783,D783))</f>
        <v>399101960001-97_12022026_2</v>
      </c>
      <c r="B783" t="str">
        <f>CONCATENATE(Analise!D783,"_",COUNTIF(Analise!$D$2:D783,Analise!D783))</f>
        <v>399101960001-97_2</v>
      </c>
      <c r="C783" s="34">
        <f>COUNTIF('Obras e Acervos'!$C:$C,CONCATENATE(LEFT(D783,12),RIGHT(D783,2)))</f>
        <v>2</v>
      </c>
      <c r="D783" t="s">
        <v>5813</v>
      </c>
      <c r="E783" t="str">
        <f>VLOOKUP($B783,'Obras e Acervos'!$B:$X,3,0)</f>
        <v>LEVE SOLUÇÕES EDITORIAIS LTDA-LEVE SOLUÇÕES EDITORIAIS</v>
      </c>
      <c r="F783" t="str">
        <f>VLOOKUP($B783,'Obras e Acervos'!$B:$X,7,0)</f>
        <v>1030L23000020LE</v>
      </c>
      <c r="G783" t="str">
        <f>VLOOKUP($B783,'Obras e Acervos'!$B:$X,5,0)</f>
        <v>UMA HISTÓRIA DE ANTES DE NÓS</v>
      </c>
      <c r="H783">
        <f>VLOOKUP($B783,'Obras e Acervos'!$B:$X,18,0)</f>
        <v>13</v>
      </c>
      <c r="I783">
        <f>VLOOKUP($B783,'Obras e Acervos'!$B:$X,19,0)</f>
        <v>32787</v>
      </c>
      <c r="J783" s="42">
        <f>VLOOKUP($B783,'Obras e Acervos'!$B:$X,20,0)</f>
        <v>2491.8119999999999</v>
      </c>
      <c r="K783" s="31">
        <f>VLOOKUP($B783,'Obras e Acervos'!$B:$X,21,0)</f>
        <v>5.96</v>
      </c>
      <c r="L783" s="31">
        <f t="shared" si="114"/>
        <v>195410.52</v>
      </c>
      <c r="M783" s="1">
        <v>46065</v>
      </c>
      <c r="N783" s="1">
        <f t="shared" si="113"/>
        <v>46305</v>
      </c>
      <c r="O783">
        <f t="shared" si="115"/>
        <v>241</v>
      </c>
      <c r="P783" s="49">
        <f t="shared" si="111"/>
        <v>8.0333333333333332</v>
      </c>
      <c r="Q783" s="34">
        <f>VLOOKUP($G783,Agendamento!$B:$F,5,0)</f>
        <v>4</v>
      </c>
      <c r="R783" s="36">
        <f t="shared" si="116"/>
        <v>33</v>
      </c>
      <c r="S783" s="44">
        <v>2.5499999999999998</v>
      </c>
      <c r="T783" s="44">
        <f t="shared" si="117"/>
        <v>20280.149999999998</v>
      </c>
      <c r="U783" t="s">
        <v>5866</v>
      </c>
      <c r="V783" t="str">
        <f t="shared" si="118"/>
        <v>NF/20260212_nf_34.pdf</v>
      </c>
      <c r="W783" s="32" t="str">
        <f t="shared" si="112"/>
        <v>NF - UMA HISTÓRIA DE ANTES DE NÓS</v>
      </c>
      <c r="X783" t="s">
        <v>5591</v>
      </c>
    </row>
    <row r="784" spans="1:24" x14ac:dyDescent="0.25">
      <c r="A784" t="str">
        <f>CONCATENATE(D784,"_",TEXT(M784,"ddmmaaaa"),"_",COUNTIF($D$2:D784,D784))</f>
        <v>115740340001-06_11022026_2</v>
      </c>
      <c r="B784" t="str">
        <f>CONCATENATE(Analise!D784,"_",COUNTIF(Analise!$D$2:D784,Analise!D784))</f>
        <v>115740340001-06_2</v>
      </c>
      <c r="C784" s="34">
        <f>COUNTIF('Obras e Acervos'!$C:$C,CONCATENATE(LEFT(D784,12),RIGHT(D784,2)))</f>
        <v>2</v>
      </c>
      <c r="D784" t="s">
        <v>5826</v>
      </c>
      <c r="E784" t="str">
        <f>VLOOKUP($B784,'Obras e Acervos'!$B:$X,3,0)</f>
        <v>LIVRARIA LA FONTAINE LTDA-LA FONTAINE</v>
      </c>
      <c r="F784" t="str">
        <f>VLOOKUP($B784,'Obras e Acervos'!$B:$X,7,0)</f>
        <v>0961L23000020LE</v>
      </c>
      <c r="G784" t="str">
        <f>VLOOKUP($B784,'Obras e Acervos'!$B:$X,5,0)</f>
        <v>NARIZINHO ARREBITADO</v>
      </c>
      <c r="H784">
        <f>VLOOKUP($B784,'Obras e Acervos'!$B:$X,18,0)</f>
        <v>13</v>
      </c>
      <c r="I784">
        <f>VLOOKUP($B784,'Obras e Acervos'!$B:$X,19,0)</f>
        <v>38832</v>
      </c>
      <c r="J784" s="42">
        <f>VLOOKUP($B784,'Obras e Acervos'!$B:$X,20,0)</f>
        <v>7300.4160000000002</v>
      </c>
      <c r="K784" s="31">
        <f>VLOOKUP($B784,'Obras e Acervos'!$B:$X,21,0)</f>
        <v>7.97</v>
      </c>
      <c r="L784" s="31">
        <f t="shared" si="114"/>
        <v>309491.03999999998</v>
      </c>
      <c r="M784" s="1">
        <v>46064</v>
      </c>
      <c r="N784" s="1">
        <f t="shared" si="113"/>
        <v>46305</v>
      </c>
      <c r="O784">
        <f t="shared" si="115"/>
        <v>242</v>
      </c>
      <c r="P784" s="49">
        <f t="shared" si="111"/>
        <v>8.0666666666666664</v>
      </c>
      <c r="Q784" s="34">
        <f>VLOOKUP($G784,Agendamento!$B:$F,5,0)</f>
        <v>7</v>
      </c>
      <c r="R784" s="36">
        <f t="shared" si="116"/>
        <v>39</v>
      </c>
      <c r="S784" s="44">
        <v>2.5499999999999998</v>
      </c>
      <c r="T784" s="44">
        <f t="shared" si="117"/>
        <v>24066.899999999998</v>
      </c>
      <c r="U784" t="s">
        <v>5853</v>
      </c>
      <c r="V784" t="str">
        <f t="shared" si="118"/>
        <v>NF/20260211_nf_17.pdf</v>
      </c>
      <c r="W784" s="32" t="str">
        <f t="shared" si="112"/>
        <v>NF - NARIZINHO ARREBITADO</v>
      </c>
      <c r="X784" t="s">
        <v>5591</v>
      </c>
    </row>
    <row r="785" spans="1:24" x14ac:dyDescent="0.25">
      <c r="A785" t="str">
        <f>CONCATENATE(D785,"_",TEXT(M785,"ddmmaaaa"),"_",COUNTIF($D$2:D785,D785))</f>
        <v>401506500001-38_04022026_2</v>
      </c>
      <c r="B785" t="str">
        <f>CONCATENATE(Analise!D785,"_",COUNTIF(Analise!$D$2:D785,Analise!D785))</f>
        <v>401506500001-38_2</v>
      </c>
      <c r="C785" s="34">
        <f>COUNTIF('Obras e Acervos'!$C:$C,CONCATENATE(LEFT(D785,12),RIGHT(D785,2)))</f>
        <v>2</v>
      </c>
      <c r="D785" t="s">
        <v>5809</v>
      </c>
      <c r="E785" t="str">
        <f>VLOOKUP($B785,'Obras e Acervos'!$B:$X,3,0)</f>
        <v>EDITORA ASTROLABIO LTDA-NÃO HÁ</v>
      </c>
      <c r="F785" t="str">
        <f>VLOOKUP($B785,'Obras e Acervos'!$B:$X,7,0)</f>
        <v>0368L23000020LE</v>
      </c>
      <c r="G785" t="str">
        <f>VLOOKUP($B785,'Obras e Acervos'!$B:$X,5,0)</f>
        <v>ELES QUE NÃO SE AMAVAM</v>
      </c>
      <c r="H785">
        <f>VLOOKUP($B785,'Obras e Acervos'!$B:$X,18,0)</f>
        <v>14</v>
      </c>
      <c r="I785">
        <f>VLOOKUP($B785,'Obras e Acervos'!$B:$X,19,0)</f>
        <v>25349</v>
      </c>
      <c r="J785" s="42">
        <f>VLOOKUP($B785,'Obras e Acervos'!$B:$X,20,0)</f>
        <v>2433.5039999999999</v>
      </c>
      <c r="K785" s="31">
        <f>VLOOKUP($B785,'Obras e Acervos'!$B:$X,21,0)</f>
        <v>6.4</v>
      </c>
      <c r="L785" s="31">
        <f t="shared" si="114"/>
        <v>162233.60000000001</v>
      </c>
      <c r="M785" s="1">
        <v>46057</v>
      </c>
      <c r="N785" s="1">
        <f t="shared" si="113"/>
        <v>46305</v>
      </c>
      <c r="O785">
        <f t="shared" si="115"/>
        <v>249</v>
      </c>
      <c r="P785" s="49">
        <f t="shared" si="111"/>
        <v>8.3000000000000007</v>
      </c>
      <c r="Q785" s="34">
        <f>VLOOKUP($G785,Agendamento!$B:$F,5,0)</f>
        <v>2</v>
      </c>
      <c r="R785" s="36">
        <f t="shared" si="116"/>
        <v>26</v>
      </c>
      <c r="S785" s="44">
        <v>2.5499999999999998</v>
      </c>
      <c r="T785" s="44">
        <f t="shared" si="117"/>
        <v>16508.699999999997</v>
      </c>
      <c r="U785" t="s">
        <v>5841</v>
      </c>
      <c r="V785" t="str">
        <f t="shared" si="118"/>
        <v>NF/20260204_NF_06.pdf</v>
      </c>
      <c r="W785" s="32" t="str">
        <f t="shared" si="112"/>
        <v>NF - ELES QUE NÃO SE AMAVAM</v>
      </c>
      <c r="X785" t="s">
        <v>5591</v>
      </c>
    </row>
    <row r="786" spans="1:24" x14ac:dyDescent="0.25">
      <c r="A786" t="str">
        <f>CONCATENATE(D786,"_",TEXT(M786,"ddmmaaaa"),"_",COUNTIF($D$2:D786,D786))</f>
        <v>444120450001-49_26022026_4</v>
      </c>
      <c r="B786" t="str">
        <f>CONCATENATE(Analise!D786,"_",COUNTIF(Analise!$D$2:D786,Analise!D786)-3)</f>
        <v>444120450001-49_1</v>
      </c>
      <c r="C786" s="34">
        <f>COUNTIF('Obras e Acervos'!$C:$C,CONCATENATE(LEFT(D786,12),RIGHT(D786,2)))</f>
        <v>2</v>
      </c>
      <c r="D786" t="s">
        <v>4546</v>
      </c>
      <c r="E786" t="str">
        <f>VLOOKUP($B786,'Obras e Acervos'!$B:$X,3,0)</f>
        <v>KAAS EDITORA-KAAS EDITORA</v>
      </c>
      <c r="F786" t="str">
        <f>VLOOKUP($B786,'Obras e Acervos'!$B:$X,7,0)</f>
        <v>0908L23000030LE</v>
      </c>
      <c r="G786" t="str">
        <f>VLOOKUP($B786,'Obras e Acervos'!$B:$X,5,0)</f>
        <v>PRÍNCIPE NÃO</v>
      </c>
      <c r="H786">
        <f>VLOOKUP($B786,'Obras e Acervos'!$B:$X,18,0)</f>
        <v>7</v>
      </c>
      <c r="I786">
        <f>VLOOKUP($B786,'Obras e Acervos'!$B:$X,19,0)</f>
        <v>33222</v>
      </c>
      <c r="J786" s="42">
        <f>VLOOKUP($B786,'Obras e Acervos'!$B:$X,20,0)</f>
        <v>3089.6460000000002</v>
      </c>
      <c r="K786" s="31">
        <f>VLOOKUP($B786,'Obras e Acervos'!$B:$X,21,0)</f>
        <v>5.94</v>
      </c>
      <c r="L786" s="31">
        <f t="shared" si="114"/>
        <v>197338.68000000002</v>
      </c>
      <c r="M786" s="1">
        <v>46079</v>
      </c>
      <c r="N786" s="1">
        <f t="shared" si="113"/>
        <v>46305</v>
      </c>
      <c r="O786">
        <f t="shared" si="115"/>
        <v>227</v>
      </c>
      <c r="P786" s="49">
        <f t="shared" si="111"/>
        <v>7.5666666666666664</v>
      </c>
      <c r="Q786" s="34">
        <f>VLOOKUP($G786,Agendamento!$B:$F,5,0)</f>
        <v>4</v>
      </c>
      <c r="R786" s="36">
        <f t="shared" si="116"/>
        <v>34</v>
      </c>
      <c r="S786" s="44">
        <v>2.5499999999999998</v>
      </c>
      <c r="T786" s="44">
        <f t="shared" si="117"/>
        <v>19680.899999999998</v>
      </c>
      <c r="U786" t="s">
        <v>5885</v>
      </c>
      <c r="V786" t="str">
        <f t="shared" si="118"/>
        <v>NF/20260226_nf_43.pdf</v>
      </c>
      <c r="W786" s="32" t="str">
        <f t="shared" si="112"/>
        <v>NF - PRÍNCIPE NÃO</v>
      </c>
      <c r="X786" t="s">
        <v>5591</v>
      </c>
    </row>
    <row r="787" spans="1:24" x14ac:dyDescent="0.25">
      <c r="A787" t="str">
        <f>CONCATENATE(D787,"_",TEXT(M787,"ddmmaaaa"),"_",COUNTIF($D$2:D787,D787))</f>
        <v>145327870001-47_16062026_1</v>
      </c>
      <c r="B787" t="str">
        <f>CONCATENATE(Analise!D787,"_",COUNTIF(Analise!$D$2:D787,Analise!D787))</f>
        <v>145327870001-47_1</v>
      </c>
      <c r="C787" s="34">
        <f>COUNTIF('Obras e Acervos'!$C:$C,CONCATENATE(LEFT(D787,12),RIGHT(D787,2)))</f>
        <v>1</v>
      </c>
      <c r="D787" t="s">
        <v>5833</v>
      </c>
      <c r="E787" t="str">
        <f>VLOOKUP($B787,'Obras e Acervos'!$B:$X,3,0)</f>
        <v>S&amp;N LIVRARIA E PAPELARIA LTDA-S&amp;N</v>
      </c>
      <c r="F787" t="str">
        <f>VLOOKUP($B787,'Obras e Acervos'!$B:$X,7,0)</f>
        <v>0533L23000020LE</v>
      </c>
      <c r="G787" t="str">
        <f>VLOOKUP($B787,'Obras e Acervos'!$B:$X,5,0)</f>
        <v>OLÍVIA EM A HISTÓRIA</v>
      </c>
      <c r="H787">
        <f>VLOOKUP($B787,'Obras e Acervos'!$B:$X,18,0)</f>
        <v>14</v>
      </c>
      <c r="I787">
        <f>VLOOKUP($B787,'Obras e Acervos'!$B:$X,19,0)</f>
        <v>25455</v>
      </c>
      <c r="J787" s="42">
        <f>VLOOKUP($B787,'Obras e Acervos'!$B:$X,20,0)</f>
        <v>2850.96</v>
      </c>
      <c r="K787" s="31">
        <f>VLOOKUP($B787,'Obras e Acervos'!$B:$X,21,0)</f>
        <v>11</v>
      </c>
      <c r="L787" s="31">
        <f t="shared" si="114"/>
        <v>280005</v>
      </c>
      <c r="M787" s="1">
        <v>46189</v>
      </c>
      <c r="N787" s="1">
        <f t="shared" si="113"/>
        <v>46305</v>
      </c>
      <c r="O787">
        <f t="shared" si="115"/>
        <v>117</v>
      </c>
      <c r="P787" s="49">
        <f t="shared" si="111"/>
        <v>3.9</v>
      </c>
      <c r="Q787" s="34">
        <f>VLOOKUP($G787,Agendamento!$B:$F,5,0)</f>
        <v>6</v>
      </c>
      <c r="R787" s="36">
        <f t="shared" si="116"/>
        <v>26</v>
      </c>
      <c r="S787" s="44">
        <v>2.5499999999999998</v>
      </c>
      <c r="T787" s="44">
        <f t="shared" si="117"/>
        <v>7757.0999999999995</v>
      </c>
      <c r="U787" t="s">
        <v>5873</v>
      </c>
      <c r="V787" t="str">
        <f t="shared" si="118"/>
        <v>NF/20260616_nf_47.pdf</v>
      </c>
      <c r="W787" s="32" t="str">
        <f t="shared" si="112"/>
        <v>NF - OLÍVIA EM A HISTÓRIA</v>
      </c>
      <c r="X787" t="s">
        <v>5591</v>
      </c>
    </row>
    <row r="788" spans="1:24" x14ac:dyDescent="0.25">
      <c r="A788" t="str">
        <f>CONCATENATE(D788,"_",TEXT(M788,"ddmmaaaa"),"_",COUNTIF($D$2:D788,D788))</f>
        <v>086868630001-76_11022026_2</v>
      </c>
      <c r="B788" t="str">
        <f>CONCATENATE(Analise!D788,"_",COUNTIF(Analise!$D$2:D788,Analise!D788))</f>
        <v>086868630001-76_2</v>
      </c>
      <c r="C788" s="34">
        <f>COUNTIF('Obras e Acervos'!$C:$C,CONCATENATE(LEFT(D788,12),RIGHT(D788,2)))</f>
        <v>2</v>
      </c>
      <c r="D788" t="s">
        <v>4548</v>
      </c>
      <c r="E788" t="str">
        <f>VLOOKUP($B788,'Obras e Acervos'!$B:$X,3,0)</f>
        <v>EDITORA FONTANAR LTDA-</v>
      </c>
      <c r="F788" t="str">
        <f>VLOOKUP($B788,'Obras e Acervos'!$B:$X,7,0)</f>
        <v>0852L23000020LE</v>
      </c>
      <c r="G788" t="str">
        <f>VLOOKUP($B788,'Obras e Acervos'!$B:$X,5,0)</f>
        <v>O LAGARTO</v>
      </c>
      <c r="H788">
        <f>VLOOKUP($B788,'Obras e Acervos'!$B:$X,18,0)</f>
        <v>15</v>
      </c>
      <c r="I788">
        <f>VLOOKUP($B788,'Obras e Acervos'!$B:$X,19,0)</f>
        <v>33398</v>
      </c>
      <c r="J788" s="42">
        <f>VLOOKUP($B788,'Obras e Acervos'!$B:$X,20,0)</f>
        <v>3339.8</v>
      </c>
      <c r="K788" s="31">
        <f>VLOOKUP($B788,'Obras e Acervos'!$B:$X,21,0)</f>
        <v>5.94</v>
      </c>
      <c r="L788" s="31">
        <f t="shared" si="114"/>
        <v>198384.12000000002</v>
      </c>
      <c r="M788" s="1">
        <v>46064</v>
      </c>
      <c r="N788" s="1">
        <f t="shared" si="113"/>
        <v>46305</v>
      </c>
      <c r="O788">
        <f t="shared" si="115"/>
        <v>242</v>
      </c>
      <c r="P788" s="49">
        <f t="shared" si="111"/>
        <v>8.0666666666666664</v>
      </c>
      <c r="Q788" s="34">
        <f>VLOOKUP($G788,Agendamento!$B:$F,5,0)</f>
        <v>4</v>
      </c>
      <c r="R788" s="36">
        <f t="shared" si="116"/>
        <v>34</v>
      </c>
      <c r="S788" s="44">
        <v>2.5499999999999998</v>
      </c>
      <c r="T788" s="44">
        <f t="shared" si="117"/>
        <v>20981.399999999998</v>
      </c>
      <c r="U788" t="s">
        <v>5878</v>
      </c>
      <c r="V788" t="str">
        <f t="shared" si="118"/>
        <v>NF/20260211_nf_53.pdf</v>
      </c>
      <c r="W788" s="32" t="str">
        <f t="shared" si="112"/>
        <v>NF - O LAGARTO</v>
      </c>
      <c r="X788" t="s">
        <v>5591</v>
      </c>
    </row>
    <row r="789" spans="1:24" x14ac:dyDescent="0.25">
      <c r="A789" t="str">
        <f>CONCATENATE(D789,"_",TEXT(M789,"ddmmaaaa"),"_",COUNTIF($D$2:D789,D789))</f>
        <v>333244840001-83_04022026_2</v>
      </c>
      <c r="B789" t="str">
        <f>CONCATENATE(Analise!D789,"_",COUNTIF(Analise!$D$2:D789,Analise!D789))</f>
        <v>333244840001-83_2</v>
      </c>
      <c r="C789" s="34">
        <f>COUNTIF('Obras e Acervos'!$C:$C,CONCATENATE(LEFT(D789,12),RIGHT(D789,2)))</f>
        <v>2</v>
      </c>
      <c r="D789" t="s">
        <v>5806</v>
      </c>
      <c r="E789" t="str">
        <f>VLOOKUP($B789,'Obras e Acervos'!$B:$X,3,0)</f>
        <v>EDITORA NOVA FRONTEIRA PARTICIPACOES S/A -NÃO HÁ</v>
      </c>
      <c r="F789" t="str">
        <f>VLOOKUP($B789,'Obras e Acervos'!$B:$X,7,0)</f>
        <v>0372L23000020LE</v>
      </c>
      <c r="G789" t="str">
        <f>VLOOKUP($B789,'Obras e Acervos'!$B:$X,5,0)</f>
        <v>O LIVRO DAS VIRTUDES PARA CRIANÇAS</v>
      </c>
      <c r="H789">
        <f>VLOOKUP($B789,'Obras e Acervos'!$B:$X,18,0)</f>
        <v>15</v>
      </c>
      <c r="I789">
        <f>VLOOKUP($B789,'Obras e Acervos'!$B:$X,19,0)</f>
        <v>41458</v>
      </c>
      <c r="J789" s="42">
        <f>VLOOKUP($B789,'Obras e Acervos'!$B:$X,20,0)</f>
        <v>10986.37</v>
      </c>
      <c r="K789" s="31">
        <f>VLOOKUP($B789,'Obras e Acervos'!$B:$X,21,0)</f>
        <v>13.45</v>
      </c>
      <c r="L789" s="31">
        <f t="shared" si="114"/>
        <v>557610.1</v>
      </c>
      <c r="M789" s="1">
        <v>46057</v>
      </c>
      <c r="N789" s="1">
        <f t="shared" si="113"/>
        <v>46305</v>
      </c>
      <c r="O789">
        <f t="shared" si="115"/>
        <v>249</v>
      </c>
      <c r="P789" s="49">
        <f t="shared" si="111"/>
        <v>8.3000000000000007</v>
      </c>
      <c r="Q789" s="34">
        <f>VLOOKUP($G789,Agendamento!$B:$F,5,0)</f>
        <v>14</v>
      </c>
      <c r="R789" s="36">
        <f t="shared" si="116"/>
        <v>42</v>
      </c>
      <c r="S789" s="44">
        <v>2.5499999999999998</v>
      </c>
      <c r="T789" s="44">
        <f t="shared" si="117"/>
        <v>26667.899999999998</v>
      </c>
      <c r="U789" t="s">
        <v>5840</v>
      </c>
      <c r="V789" t="str">
        <f t="shared" si="118"/>
        <v>NF/20260204_NF_04.pdf</v>
      </c>
      <c r="W789" s="32" t="str">
        <f t="shared" si="112"/>
        <v>NF - O LIVRO DAS VIRTUDES PARA CRIANÇAS</v>
      </c>
      <c r="X789" t="s">
        <v>5591</v>
      </c>
    </row>
    <row r="790" spans="1:24" x14ac:dyDescent="0.25">
      <c r="A790" t="str">
        <f>CONCATENATE(D790,"_",TEXT(M790,"ddmmaaaa"),"_",COUNTIF($D$2:D790,D790))</f>
        <v>077425500001-25_16062026_2</v>
      </c>
      <c r="B790" t="str">
        <f>CONCATENATE(Analise!D790,"_",COUNTIF(Analise!$D$2:D790,Analise!D790))</f>
        <v>077425500001-25_2</v>
      </c>
      <c r="C790" s="34">
        <f>COUNTIF('Obras e Acervos'!$C:$C,CONCATENATE(LEFT(D790,12),RIGHT(D790,2)))</f>
        <v>2</v>
      </c>
      <c r="D790" t="s">
        <v>5829</v>
      </c>
      <c r="E790" t="str">
        <f>VLOOKUP($B790,'Obras e Acervos'!$B:$X,3,0)</f>
        <v>PRIME EDITORIAL LTDA-PRIME</v>
      </c>
      <c r="F790" t="str">
        <f>VLOOKUP($B790,'Obras e Acervos'!$B:$X,7,0)</f>
        <v>0535L23000020LE</v>
      </c>
      <c r="G790" t="str">
        <f>VLOOKUP($B790,'Obras e Acervos'!$B:$X,5,0)</f>
        <v>ADÈLE, A TERRÍVEL: ISSO NÃO VAI ACABAR BEM</v>
      </c>
      <c r="H790">
        <f>VLOOKUP($B790,'Obras e Acervos'!$B:$X,18,0)</f>
        <v>15</v>
      </c>
      <c r="I790">
        <f>VLOOKUP($B790,'Obras e Acervos'!$B:$X,19,0)</f>
        <v>33443</v>
      </c>
      <c r="J790" s="42">
        <f>VLOOKUP($B790,'Obras e Acervos'!$B:$X,20,0)</f>
        <v>5116.7789999999995</v>
      </c>
      <c r="K790" s="31">
        <f>VLOOKUP($B790,'Obras e Acervos'!$B:$X,21,0)</f>
        <v>13.66</v>
      </c>
      <c r="L790" s="31">
        <f t="shared" si="114"/>
        <v>456831.38</v>
      </c>
      <c r="M790" s="1">
        <v>46189</v>
      </c>
      <c r="N790" s="1">
        <f t="shared" si="113"/>
        <v>46305</v>
      </c>
      <c r="O790">
        <f t="shared" si="115"/>
        <v>117</v>
      </c>
      <c r="P790" s="49">
        <f t="shared" si="111"/>
        <v>3.9</v>
      </c>
      <c r="Q790" s="34">
        <f>VLOOKUP($G790,Agendamento!$B:$F,5,0)</f>
        <v>10</v>
      </c>
      <c r="R790" s="36">
        <f t="shared" si="116"/>
        <v>34</v>
      </c>
      <c r="S790" s="44">
        <v>2.5499999999999998</v>
      </c>
      <c r="T790" s="44">
        <f t="shared" si="117"/>
        <v>10143.9</v>
      </c>
      <c r="U790" t="s">
        <v>5874</v>
      </c>
      <c r="V790" t="str">
        <f t="shared" si="118"/>
        <v>NF/20260616_nf_48.pdf</v>
      </c>
      <c r="W790" s="32" t="str">
        <f t="shared" si="112"/>
        <v>NF - ADÈLE, A TERRÍVEL: ISSO NÃO VAI ACABAR BEM</v>
      </c>
      <c r="X790" t="s">
        <v>5591</v>
      </c>
    </row>
    <row r="791" spans="1:24" x14ac:dyDescent="0.25">
      <c r="A791" t="str">
        <f>CONCATENATE(D791,"_",TEXT(M791,"ddmmaaaa"),"_",COUNTIF($D$2:D791,D791))</f>
        <v>050044170001-46_11022026_2</v>
      </c>
      <c r="B791" t="str">
        <f>CONCATENATE(Analise!D791,"_",COUNTIF(Analise!$D$2:D791,Analise!D791))</f>
        <v>050044170001-46_2</v>
      </c>
      <c r="C791" s="34">
        <f>COUNTIF('Obras e Acervos'!$C:$C,CONCATENATE(LEFT(D791,12),RIGHT(D791,2)))</f>
        <v>2</v>
      </c>
      <c r="D791" t="s">
        <v>4600</v>
      </c>
      <c r="E791" t="str">
        <f>VLOOKUP($B791,'Obras e Acervos'!$B:$X,3,0)</f>
        <v>SALAMANDRA EDITORIAL LTDA. -SALAMANDRA</v>
      </c>
      <c r="F791" t="str">
        <f>VLOOKUP($B791,'Obras e Acervos'!$B:$X,7,0)</f>
        <v>0680L23000020LE</v>
      </c>
      <c r="G791" t="str">
        <f>VLOOKUP($B791,'Obras e Acervos'!$B:$X,5,0)</f>
        <v>BISA BIA, BISA BEL</v>
      </c>
      <c r="H791">
        <f>VLOOKUP($B791,'Obras e Acervos'!$B:$X,18,0)</f>
        <v>15</v>
      </c>
      <c r="I791">
        <f>VLOOKUP($B791,'Obras e Acervos'!$B:$X,19,0)</f>
        <v>44442</v>
      </c>
      <c r="J791" s="42">
        <f>VLOOKUP($B791,'Obras e Acervos'!$B:$X,20,0)</f>
        <v>4444.2</v>
      </c>
      <c r="K791" s="31">
        <f>VLOOKUP($B791,'Obras e Acervos'!$B:$X,21,0)</f>
        <v>5.99</v>
      </c>
      <c r="L791" s="31">
        <f t="shared" si="114"/>
        <v>266207.58</v>
      </c>
      <c r="M791" s="1">
        <v>46064</v>
      </c>
      <c r="N791" s="1">
        <f t="shared" si="113"/>
        <v>46305</v>
      </c>
      <c r="O791">
        <f t="shared" si="115"/>
        <v>242</v>
      </c>
      <c r="P791" s="49">
        <f t="shared" si="111"/>
        <v>8.0666666666666664</v>
      </c>
      <c r="Q791" s="34">
        <f>VLOOKUP($G791,Agendamento!$B:$F,5,0)</f>
        <v>5</v>
      </c>
      <c r="R791" s="36">
        <f t="shared" si="116"/>
        <v>45</v>
      </c>
      <c r="S791" s="44">
        <v>2.5499999999999998</v>
      </c>
      <c r="T791" s="44">
        <f t="shared" si="117"/>
        <v>27769.499999999996</v>
      </c>
      <c r="U791" t="s">
        <v>5845</v>
      </c>
      <c r="V791" t="str">
        <f t="shared" si="118"/>
        <v>NF/20260211_NF_10.pdf</v>
      </c>
      <c r="W791" s="32" t="str">
        <f t="shared" si="112"/>
        <v>NF - BISA BIA, BISA BEL</v>
      </c>
      <c r="X791" t="s">
        <v>5591</v>
      </c>
    </row>
    <row r="792" spans="1:24" x14ac:dyDescent="0.25">
      <c r="A792" t="str">
        <f>CONCATENATE(D792,"_",TEXT(M792,"ddmmaaaa"),"_",COUNTIF($D$2:D792,D792))</f>
        <v>433991930001-08_04022026_2</v>
      </c>
      <c r="B792" t="str">
        <f>CONCATENATE(Analise!D792,"_",COUNTIF(Analise!$D$2:D792,Analise!D792))</f>
        <v>433991930001-08_2</v>
      </c>
      <c r="C792" s="34">
        <f>COUNTIF('Obras e Acervos'!$C:$C,CONCATENATE(LEFT(D792,12),RIGHT(D792,2)))</f>
        <v>2</v>
      </c>
      <c r="D792" t="s">
        <v>5804</v>
      </c>
      <c r="E792" t="str">
        <f>VLOOKUP($B792,'Obras e Acervos'!$B:$X,3,0)</f>
        <v>VIVI EDITORA LTDA -VIVI EDITORA</v>
      </c>
      <c r="F792" t="str">
        <f>VLOOKUP($B792,'Obras e Acervos'!$B:$X,7,0)</f>
        <v>0471L23000020LE</v>
      </c>
      <c r="G792" t="str">
        <f>VLOOKUP($B792,'Obras e Acervos'!$B:$X,5,0)</f>
        <v>CONTOS DE REIS</v>
      </c>
      <c r="H792">
        <f>VLOOKUP($B792,'Obras e Acervos'!$B:$X,18,0)</f>
        <v>15</v>
      </c>
      <c r="I792">
        <f>VLOOKUP($B792,'Obras e Acervos'!$B:$X,19,0)</f>
        <v>33019</v>
      </c>
      <c r="J792" s="42">
        <f>VLOOKUP($B792,'Obras e Acervos'!$B:$X,20,0)</f>
        <v>3466.9949999999999</v>
      </c>
      <c r="K792" s="31">
        <f>VLOOKUP($B792,'Obras e Acervos'!$B:$X,21,0)</f>
        <v>5.96</v>
      </c>
      <c r="L792" s="31">
        <f t="shared" si="114"/>
        <v>196793.24</v>
      </c>
      <c r="M792" s="1">
        <v>46057</v>
      </c>
      <c r="N792" s="1">
        <f t="shared" si="113"/>
        <v>46305</v>
      </c>
      <c r="O792">
        <f t="shared" si="115"/>
        <v>249</v>
      </c>
      <c r="P792" s="49">
        <f t="shared" si="111"/>
        <v>8.3000000000000007</v>
      </c>
      <c r="Q792" s="34">
        <f>VLOOKUP($G792,Agendamento!$B:$F,5,0)</f>
        <v>4</v>
      </c>
      <c r="R792" s="36">
        <f t="shared" si="116"/>
        <v>34</v>
      </c>
      <c r="S792" s="44">
        <v>2.5499999999999998</v>
      </c>
      <c r="T792" s="44">
        <f t="shared" si="117"/>
        <v>21588.3</v>
      </c>
      <c r="U792" t="s">
        <v>5842</v>
      </c>
      <c r="V792" t="str">
        <f t="shared" si="118"/>
        <v>NF/20260204_NF_07.pdf</v>
      </c>
      <c r="W792" s="32" t="str">
        <f t="shared" si="112"/>
        <v>NF - CONTOS DE REIS</v>
      </c>
      <c r="X792" t="s">
        <v>5591</v>
      </c>
    </row>
    <row r="793" spans="1:24" x14ac:dyDescent="0.25">
      <c r="A793" t="str">
        <f>CONCATENATE(D793,"_",TEXT(M793,"ddmmaaaa"),"_",COUNTIF($D$2:D793,D793))</f>
        <v>093747510001-42_26032026_2</v>
      </c>
      <c r="B793" t="str">
        <f>CONCATENATE(Analise!D793,"_",COUNTIF(Analise!$D$2:D793,Analise!D793))</f>
        <v>093747510001-42_2</v>
      </c>
      <c r="C793" s="34">
        <f>COUNTIF('Obras e Acervos'!$C:$C,CONCATENATE(LEFT(D793,12),RIGHT(D793,2)))</f>
        <v>2</v>
      </c>
      <c r="D793" t="s">
        <v>5825</v>
      </c>
      <c r="E793" t="str">
        <f>VLOOKUP($B793,'Obras e Acervos'!$B:$X,3,0)</f>
        <v>GERAÇÃO EDITORIAL LTDA-GERAÇÃO EDITORIAL</v>
      </c>
      <c r="F793" t="str">
        <f>VLOOKUP($B793,'Obras e Acervos'!$B:$X,7,0)</f>
        <v>0716L23000020LE</v>
      </c>
      <c r="G793" t="str">
        <f>VLOOKUP($B793,'Obras e Acervos'!$B:$X,5,0)</f>
        <v>CRISE FINANCEIRA NA FLORESTA</v>
      </c>
      <c r="H793">
        <f>VLOOKUP($B793,'Obras e Acervos'!$B:$X,18,0)</f>
        <v>16</v>
      </c>
      <c r="I793">
        <f>VLOOKUP($B793,'Obras e Acervos'!$B:$X,19,0)</f>
        <v>37863</v>
      </c>
      <c r="J793" s="42">
        <f>VLOOKUP($B793,'Obras e Acervos'!$B:$X,20,0)</f>
        <v>2158.1910000000003</v>
      </c>
      <c r="K793" s="31">
        <f>VLOOKUP($B793,'Obras e Acervos'!$B:$X,21,0)</f>
        <v>4.66</v>
      </c>
      <c r="L793" s="31">
        <f t="shared" si="114"/>
        <v>176441.58000000002</v>
      </c>
      <c r="M793" s="1">
        <v>46107</v>
      </c>
      <c r="N793" s="1">
        <f t="shared" si="113"/>
        <v>46305</v>
      </c>
      <c r="O793">
        <f t="shared" si="115"/>
        <v>199</v>
      </c>
      <c r="P793" s="49">
        <f t="shared" si="111"/>
        <v>6.6333333333333337</v>
      </c>
      <c r="Q793" s="34">
        <f>VLOOKUP($G793,Agendamento!$B:$F,5,0)</f>
        <v>5</v>
      </c>
      <c r="R793" s="36">
        <f t="shared" si="116"/>
        <v>38</v>
      </c>
      <c r="S793" s="44">
        <v>2.5499999999999998</v>
      </c>
      <c r="T793" s="44">
        <f t="shared" si="117"/>
        <v>19283.099999999999</v>
      </c>
      <c r="U793" t="s">
        <v>5871</v>
      </c>
      <c r="V793" t="str">
        <f t="shared" si="118"/>
        <v>NF/20260326_nf_45.pdf</v>
      </c>
      <c r="W793" s="32" t="str">
        <f t="shared" si="112"/>
        <v>NF - CRISE FINANCEIRA NA FLORESTA</v>
      </c>
      <c r="X793" t="s">
        <v>5591</v>
      </c>
    </row>
    <row r="794" spans="1:24" x14ac:dyDescent="0.25">
      <c r="A794" t="str">
        <f>CONCATENATE(D794,"_",TEXT(M794,"ddmmaaaa"),"_",COUNTIF($D$2:D794,D794))</f>
        <v>271827250001-02_12022026_2</v>
      </c>
      <c r="B794" t="str">
        <f>CONCATENATE(Analise!D794,"_",COUNTIF(Analise!$D$2:D794,Analise!D794))</f>
        <v>271827250001-02_2</v>
      </c>
      <c r="C794" s="34">
        <f>COUNTIF('Obras e Acervos'!$C:$C,CONCATENATE(LEFT(D794,12),RIGHT(D794,2)))</f>
        <v>2</v>
      </c>
      <c r="D794" t="s">
        <v>5821</v>
      </c>
      <c r="E794" t="str">
        <f>VLOOKUP($B794,'Obras e Acervos'!$B:$X,3,0)</f>
        <v>SANDRA MENDONCA DE ALENCAR-MENDONÇA</v>
      </c>
      <c r="F794" t="str">
        <f>VLOOKUP($B794,'Obras e Acervos'!$B:$X,7,0)</f>
        <v>0729L23000020LE</v>
      </c>
      <c r="G794" t="str">
        <f>VLOOKUP($B794,'Obras e Acervos'!$B:$X,5,0)</f>
        <v>O LADRÃO DE VERRUGAS</v>
      </c>
      <c r="H794">
        <f>VLOOKUP($B794,'Obras e Acervos'!$B:$X,18,0)</f>
        <v>16</v>
      </c>
      <c r="I794">
        <f>VLOOKUP($B794,'Obras e Acervos'!$B:$X,19,0)</f>
        <v>29515</v>
      </c>
      <c r="J794" s="42">
        <f>VLOOKUP($B794,'Obras e Acervos'!$B:$X,20,0)</f>
        <v>3099.0749999999998</v>
      </c>
      <c r="K794" s="31">
        <f>VLOOKUP($B794,'Obras e Acervos'!$B:$X,21,0)</f>
        <v>5.93</v>
      </c>
      <c r="L794" s="31">
        <f t="shared" si="114"/>
        <v>175023.94999999998</v>
      </c>
      <c r="M794" s="1">
        <v>46065</v>
      </c>
      <c r="N794" s="1">
        <f t="shared" si="113"/>
        <v>46305</v>
      </c>
      <c r="O794">
        <f t="shared" si="115"/>
        <v>241</v>
      </c>
      <c r="P794" s="49">
        <f t="shared" si="111"/>
        <v>8.0333333333333332</v>
      </c>
      <c r="Q794" s="34">
        <f>VLOOKUP($G794,Agendamento!$B:$F,5,0)</f>
        <v>4</v>
      </c>
      <c r="R794" s="36">
        <f t="shared" si="116"/>
        <v>30</v>
      </c>
      <c r="S794" s="44">
        <v>2.5499999999999998</v>
      </c>
      <c r="T794" s="44">
        <f t="shared" si="117"/>
        <v>18436.5</v>
      </c>
      <c r="U794" t="s">
        <v>5857</v>
      </c>
      <c r="V794" t="str">
        <f t="shared" si="118"/>
        <v>NF/20260212_nf_22.pdf</v>
      </c>
      <c r="W794" s="32" t="str">
        <f t="shared" si="112"/>
        <v>NF - O LADRÃO DE VERRUGAS</v>
      </c>
      <c r="X794" t="s">
        <v>5591</v>
      </c>
    </row>
    <row r="795" spans="1:24" x14ac:dyDescent="0.25">
      <c r="A795" t="str">
        <f>CONCATENATE(D795,"_",TEXT(M795,"ddmmaaaa"),"_",COUNTIF($D$2:D795,D795))</f>
        <v>430481660001-90_11022026_2</v>
      </c>
      <c r="B795" t="str">
        <f>CONCATENATE(Analise!D795,"_",COUNTIF(Analise!$D$2:D795,Analise!D795))</f>
        <v>430481660001-90_2</v>
      </c>
      <c r="C795" s="34">
        <f>COUNTIF('Obras e Acervos'!$C:$C,CONCATENATE(LEFT(D795,12),RIGHT(D795,2)))</f>
        <v>2</v>
      </c>
      <c r="D795" t="s">
        <v>4596</v>
      </c>
      <c r="E795" t="str">
        <f>VLOOKUP($B795,'Obras e Acervos'!$B:$X,3,0)</f>
        <v>EDITORA ALTEA LTDA-ALTEA</v>
      </c>
      <c r="F795" t="str">
        <f>VLOOKUP($B795,'Obras e Acervos'!$B:$X,7,0)</f>
        <v>0856L23000020LE</v>
      </c>
      <c r="G795" t="str">
        <f>VLOOKUP($B795,'Obras e Acervos'!$B:$X,5,0)</f>
        <v>MINHAS RIMAS DE CORDEL</v>
      </c>
      <c r="H795">
        <f>VLOOKUP($B795,'Obras e Acervos'!$B:$X,18,0)</f>
        <v>17</v>
      </c>
      <c r="I795">
        <f>VLOOKUP($B795,'Obras e Acervos'!$B:$X,19,0)</f>
        <v>42836</v>
      </c>
      <c r="J795" s="42">
        <f>VLOOKUP($B795,'Obras e Acervos'!$B:$X,20,0)</f>
        <v>4283.6000000000004</v>
      </c>
      <c r="K795" s="31">
        <f>VLOOKUP($B795,'Obras e Acervos'!$B:$X,21,0)</f>
        <v>5.58</v>
      </c>
      <c r="L795" s="31">
        <f t="shared" si="114"/>
        <v>239024.88</v>
      </c>
      <c r="M795" s="1">
        <v>46064</v>
      </c>
      <c r="N795" s="1">
        <f t="shared" si="113"/>
        <v>46305</v>
      </c>
      <c r="O795">
        <f t="shared" si="115"/>
        <v>242</v>
      </c>
      <c r="P795" s="49">
        <f t="shared" si="111"/>
        <v>8.0666666666666664</v>
      </c>
      <c r="Q795" s="34">
        <f>VLOOKUP($G795,Agendamento!$B:$F,5,0)</f>
        <v>5</v>
      </c>
      <c r="R795" s="36">
        <f t="shared" si="116"/>
        <v>43</v>
      </c>
      <c r="S795" s="44">
        <v>2.5499999999999998</v>
      </c>
      <c r="T795" s="44">
        <f t="shared" si="117"/>
        <v>26535.3</v>
      </c>
      <c r="U795" t="s">
        <v>5847</v>
      </c>
      <c r="V795" t="str">
        <f t="shared" si="118"/>
        <v>NF/20260211_NF_11.pdf</v>
      </c>
      <c r="W795" s="32" t="str">
        <f t="shared" si="112"/>
        <v>NF - MINHAS RIMAS DE CORDEL</v>
      </c>
      <c r="X795" t="s">
        <v>5591</v>
      </c>
    </row>
    <row r="796" spans="1:24" x14ac:dyDescent="0.25">
      <c r="A796" t="str">
        <f>CONCATENATE(D796,"_",TEXT(M796,"ddmmaaaa"),"_",COUNTIF($D$2:D796,D796))</f>
        <v>382265060001-96_11022026_1</v>
      </c>
      <c r="B796" t="str">
        <f>CONCATENATE(Analise!D796,"_",COUNTIF(Analise!$D$2:D796,Analise!D796))</f>
        <v>382265060001-96_1</v>
      </c>
      <c r="C796" s="34">
        <f>COUNTIF('Obras e Acervos'!$C:$C,CONCATENATE(LEFT(D796,12),RIGHT(D796,2)))</f>
        <v>1</v>
      </c>
      <c r="D796" t="s">
        <v>5834</v>
      </c>
      <c r="E796" t="str">
        <f>VLOOKUP($B796,'Obras e Acervos'!$B:$X,3,0)</f>
        <v>EDITORA ZAHAR LTDA-EDITORA ZAHAR</v>
      </c>
      <c r="F796" t="str">
        <f>VLOOKUP($B796,'Obras e Acervos'!$B:$X,7,0)</f>
        <v>0499L23000020LE</v>
      </c>
      <c r="G796" t="str">
        <f>VLOOKUP($B796,'Obras e Acervos'!$B:$X,5,0)</f>
        <v>DIÁRIO DE PILAR NA GRÉCIA</v>
      </c>
      <c r="H796">
        <f>VLOOKUP($B796,'Obras e Acervos'!$B:$X,18,0)</f>
        <v>17</v>
      </c>
      <c r="I796">
        <f>VLOOKUP($B796,'Obras e Acervos'!$B:$X,19,0)</f>
        <v>33049</v>
      </c>
      <c r="J796" s="42">
        <f>VLOOKUP($B796,'Obras e Acervos'!$B:$X,20,0)</f>
        <v>6312.3590000000004</v>
      </c>
      <c r="K796" s="31">
        <f>VLOOKUP($B796,'Obras e Acervos'!$B:$X,21,0)</f>
        <v>16.38</v>
      </c>
      <c r="L796" s="31">
        <f t="shared" si="114"/>
        <v>541342.62</v>
      </c>
      <c r="M796" s="1">
        <v>46064</v>
      </c>
      <c r="N796" s="1">
        <f t="shared" si="113"/>
        <v>46305</v>
      </c>
      <c r="O796">
        <f t="shared" si="115"/>
        <v>242</v>
      </c>
      <c r="P796" s="49">
        <f t="shared" si="111"/>
        <v>8.0666666666666664</v>
      </c>
      <c r="Q796" s="34">
        <f>VLOOKUP($G796,Agendamento!$B:$F,5,0)</f>
        <v>8</v>
      </c>
      <c r="R796" s="36">
        <f t="shared" si="116"/>
        <v>34</v>
      </c>
      <c r="S796" s="44">
        <v>2.5499999999999998</v>
      </c>
      <c r="T796" s="44">
        <f t="shared" si="117"/>
        <v>20981.399999999998</v>
      </c>
      <c r="U796" t="s">
        <v>5855</v>
      </c>
      <c r="V796" t="str">
        <f t="shared" si="118"/>
        <v>NF/20260211_nf_19.pdf</v>
      </c>
      <c r="W796" s="32" t="str">
        <f t="shared" si="112"/>
        <v>NF - DIÁRIO DE PILAR NA GRÉCIA</v>
      </c>
      <c r="X796" t="s">
        <v>5591</v>
      </c>
    </row>
    <row r="797" spans="1:24" x14ac:dyDescent="0.25">
      <c r="A797" t="str">
        <f>CONCATENATE(D797,"_",TEXT(M797,"ddmmaaaa"),"_",COUNTIF($D$2:D797,D797))</f>
        <v>240817340001-00_12022026_2</v>
      </c>
      <c r="B797" t="str">
        <f>CONCATENATE(Analise!D797,"_",COUNTIF(Analise!$D$2:D797,Analise!D797))</f>
        <v>240817340001-00_2</v>
      </c>
      <c r="C797" s="34">
        <f>COUNTIF('Obras e Acervos'!$C:$C,CONCATENATE(LEFT(D797,12),RIGHT(D797,2)))</f>
        <v>2</v>
      </c>
      <c r="D797" t="s">
        <v>5828</v>
      </c>
      <c r="E797" t="str">
        <f>VLOOKUP($B797,'Obras e Acervos'!$B:$X,3,0)</f>
        <v>SARAIVA SOLUÇÕES EDUCACIONAIS S.A.-SARAIVA SOLUÇÕES</v>
      </c>
      <c r="F797" t="str">
        <f>VLOOKUP($B797,'Obras e Acervos'!$B:$X,7,0)</f>
        <v>0411L23000020LE</v>
      </c>
      <c r="G797" t="str">
        <f>VLOOKUP($B797,'Obras e Acervos'!$B:$X,5,0)</f>
        <v>O SEGREDO DA CHUVA</v>
      </c>
      <c r="H797">
        <f>VLOOKUP($B797,'Obras e Acervos'!$B:$X,18,0)</f>
        <v>17</v>
      </c>
      <c r="I797">
        <f>VLOOKUP($B797,'Obras e Acervos'!$B:$X,19,0)</f>
        <v>29610</v>
      </c>
      <c r="J797" s="42">
        <f>VLOOKUP($B797,'Obras e Acervos'!$B:$X,20,0)</f>
        <v>5507.46</v>
      </c>
      <c r="K797" s="31">
        <f>VLOOKUP($B797,'Obras e Acervos'!$B:$X,21,0)</f>
        <v>10.3</v>
      </c>
      <c r="L797" s="31">
        <f t="shared" si="114"/>
        <v>304983</v>
      </c>
      <c r="M797" s="1">
        <v>46065</v>
      </c>
      <c r="N797" s="1">
        <f t="shared" si="113"/>
        <v>46305</v>
      </c>
      <c r="O797">
        <f t="shared" si="115"/>
        <v>241</v>
      </c>
      <c r="P797" s="49">
        <f t="shared" si="111"/>
        <v>8.0333333333333332</v>
      </c>
      <c r="Q797" s="34">
        <f>VLOOKUP($G797,Agendamento!$B:$F,5,0)</f>
        <v>1</v>
      </c>
      <c r="R797" s="36">
        <f t="shared" si="116"/>
        <v>30</v>
      </c>
      <c r="S797" s="44">
        <v>2.5499999999999998</v>
      </c>
      <c r="T797" s="44">
        <f t="shared" si="117"/>
        <v>18436.5</v>
      </c>
      <c r="U797" t="s">
        <v>5861</v>
      </c>
      <c r="V797" t="str">
        <f t="shared" si="118"/>
        <v>NF/20260212_nf_27.pdf</v>
      </c>
      <c r="W797" s="32" t="str">
        <f t="shared" si="112"/>
        <v>NF - O SEGREDO DA CHUVA</v>
      </c>
      <c r="X797" t="s">
        <v>5591</v>
      </c>
    </row>
    <row r="798" spans="1:24" x14ac:dyDescent="0.25">
      <c r="A798" t="str">
        <f>CONCATENATE(D798,"_",TEXT(M798,"ddmmaaaa"),"_",COUNTIF($D$2:D798,D798))</f>
        <v>165817820001-30_12022026_2</v>
      </c>
      <c r="B798" t="str">
        <f>CONCATENATE(Analise!D798,"_",COUNTIF(Analise!$D$2:D798,Analise!D798))</f>
        <v>165817820001-30_2</v>
      </c>
      <c r="C798" s="34">
        <f>COUNTIF('Obras e Acervos'!$C:$C,CONCATENATE(LEFT(D798,12),RIGHT(D798,2)))</f>
        <v>2</v>
      </c>
      <c r="D798" t="s">
        <v>5803</v>
      </c>
      <c r="E798" t="str">
        <f>VLOOKUP($B798,'Obras e Acervos'!$B:$X,3,0)</f>
        <v>VANGIVALDO S DOS SANTOS SERVICOS GRAFICOS-VANGI EDICAO GRAFICA</v>
      </c>
      <c r="F798" t="str">
        <f>VLOOKUP($B798,'Obras e Acervos'!$B:$X,7,0)</f>
        <v>0969L23000020LE</v>
      </c>
      <c r="G798" t="str">
        <f>VLOOKUP($B798,'Obras e Acervos'!$B:$X,5,0)</f>
        <v>LILA, A CINDERELA DE BALI</v>
      </c>
      <c r="H798">
        <f>VLOOKUP($B798,'Obras e Acervos'!$B:$X,18,0)</f>
        <v>17</v>
      </c>
      <c r="I798">
        <f>VLOOKUP($B798,'Obras e Acervos'!$B:$X,19,0)</f>
        <v>28247</v>
      </c>
      <c r="J798" s="42">
        <f>VLOOKUP($B798,'Obras e Acervos'!$B:$X,20,0)</f>
        <v>4576.0140000000001</v>
      </c>
      <c r="K798" s="31">
        <f>VLOOKUP($B798,'Obras e Acervos'!$B:$X,21,0)</f>
        <v>8.61</v>
      </c>
      <c r="L798" s="31">
        <f t="shared" si="114"/>
        <v>243206.66999999998</v>
      </c>
      <c r="M798" s="1">
        <v>46065</v>
      </c>
      <c r="N798" s="1">
        <f t="shared" si="113"/>
        <v>46305</v>
      </c>
      <c r="O798">
        <f t="shared" si="115"/>
        <v>241</v>
      </c>
      <c r="P798" s="49">
        <f t="shared" si="111"/>
        <v>8.0333333333333332</v>
      </c>
      <c r="Q798" s="34">
        <f>VLOOKUP($G798,Agendamento!$B:$F,5,0)</f>
        <v>5</v>
      </c>
      <c r="R798" s="36">
        <f t="shared" si="116"/>
        <v>29</v>
      </c>
      <c r="S798" s="44">
        <v>2.5499999999999998</v>
      </c>
      <c r="T798" s="44">
        <f t="shared" si="117"/>
        <v>17821.949999999997</v>
      </c>
      <c r="U798" t="s">
        <v>5859</v>
      </c>
      <c r="V798" t="str">
        <f t="shared" si="118"/>
        <v>NF/20260212_nf_24.pdf</v>
      </c>
      <c r="W798" s="32" t="str">
        <f t="shared" si="112"/>
        <v>NF - LILA, A CINDERELA DE BALI</v>
      </c>
      <c r="X798" t="s">
        <v>5591</v>
      </c>
    </row>
    <row r="799" spans="1:24" x14ac:dyDescent="0.25">
      <c r="A799" t="str">
        <f>CONCATENATE(D799,"_",TEXT(M799,"ddmmaaaa"),"_",COUNTIF($D$2:D799,D799))</f>
        <v>025887170001-21_11022026_1</v>
      </c>
      <c r="B799" t="str">
        <f>CONCATENATE(Analise!D799,"_",COUNTIF(Analise!$D$2:D799,Analise!D799))</f>
        <v>025887170001-21_1</v>
      </c>
      <c r="C799" s="34">
        <f>COUNTIF('Obras e Acervos'!$C:$C,CONCATENATE(LEFT(D799,12),RIGHT(D799,2)))</f>
        <v>1</v>
      </c>
      <c r="D799" t="s">
        <v>5835</v>
      </c>
      <c r="E799" t="str">
        <f>VLOOKUP($B799,'Obras e Acervos'!$B:$X,3,0)</f>
        <v>CONRAD EDITORA DO BRASIL-CONRAD</v>
      </c>
      <c r="F799" t="str">
        <f>VLOOKUP($B799,'Obras e Acervos'!$B:$X,7,0)</f>
        <v>0806L23000020LE</v>
      </c>
      <c r="G799" t="str">
        <f>VLOOKUP($B799,'Obras e Acervos'!$B:$X,5,0)</f>
        <v>HISTÓRIAS DE MENINOS E MENINAS</v>
      </c>
      <c r="H799">
        <f>VLOOKUP($B799,'Obras e Acervos'!$B:$X,18,0)</f>
        <v>18</v>
      </c>
      <c r="I799">
        <f>VLOOKUP($B799,'Obras e Acervos'!$B:$X,19,0)</f>
        <v>36108</v>
      </c>
      <c r="J799" s="42">
        <f>VLOOKUP($B799,'Obras e Acervos'!$B:$X,20,0)</f>
        <v>3502.4760000000001</v>
      </c>
      <c r="K799" s="31">
        <f>VLOOKUP($B799,'Obras e Acervos'!$B:$X,21,0)</f>
        <v>7.73</v>
      </c>
      <c r="L799" s="31">
        <f t="shared" si="114"/>
        <v>279114.84000000003</v>
      </c>
      <c r="M799" s="1">
        <v>46064</v>
      </c>
      <c r="N799" s="1">
        <f t="shared" si="113"/>
        <v>46305</v>
      </c>
      <c r="O799">
        <f t="shared" si="115"/>
        <v>242</v>
      </c>
      <c r="P799" s="49">
        <f t="shared" si="111"/>
        <v>8.0666666666666664</v>
      </c>
      <c r="Q799" s="34">
        <f>VLOOKUP($G799,Agendamento!$B:$F,5,0)</f>
        <v>6</v>
      </c>
      <c r="R799" s="36">
        <f t="shared" si="116"/>
        <v>37</v>
      </c>
      <c r="S799" s="44">
        <v>2.5499999999999998</v>
      </c>
      <c r="T799" s="44">
        <f t="shared" si="117"/>
        <v>22832.699999999997</v>
      </c>
      <c r="U799" t="s">
        <v>5852</v>
      </c>
      <c r="V799" t="str">
        <f t="shared" si="118"/>
        <v>NF/20260211_nf_16.pdf</v>
      </c>
      <c r="W799" s="32" t="str">
        <f t="shared" si="112"/>
        <v>NF - HISTÓRIAS DE MENINOS E MENINAS</v>
      </c>
      <c r="X799" t="s">
        <v>5591</v>
      </c>
    </row>
    <row r="800" spans="1:24" x14ac:dyDescent="0.25">
      <c r="A800" t="str">
        <f>CONCATENATE(D800,"_",TEXT(M800,"ddmmaaaa"),"_",COUNTIF($D$2:D800,D800))</f>
        <v>334512790001-89_24022026_4</v>
      </c>
      <c r="B800" t="str">
        <f>CONCATENATE(Analise!D800,"_",COUNTIF(Analise!$D$2:D800,Analise!D800)-3)</f>
        <v>334512790001-89_1</v>
      </c>
      <c r="C800" s="34">
        <f>COUNTIF('Obras e Acervos'!$C:$C,CONCATENATE(LEFT(D800,12),RIGHT(D800,2)))</f>
        <v>2</v>
      </c>
      <c r="D800" t="s">
        <v>4857</v>
      </c>
      <c r="E800" t="str">
        <f>VLOOKUP($B800,'Obras e Acervos'!$B:$X,3,0)</f>
        <v>EDITORA PAZ E TERRA LTDA -EDITORA PAZ E TERRA</v>
      </c>
      <c r="F800" t="str">
        <f>VLOOKUP($B800,'Obras e Acervos'!$B:$X,7,0)</f>
        <v>0600L23000030LE</v>
      </c>
      <c r="G800" t="str">
        <f>VLOOKUP($B800,'Obras e Acervos'!$B:$X,5,0)</f>
        <v>O MÉDICO DAS ESTRELAS</v>
      </c>
      <c r="H800">
        <f>VLOOKUP($B800,'Obras e Acervos'!$B:$X,18,0)</f>
        <v>1</v>
      </c>
      <c r="I800">
        <f>VLOOKUP($B800,'Obras e Acervos'!$B:$X,19,0)</f>
        <v>54655</v>
      </c>
      <c r="J800" s="42">
        <f>VLOOKUP($B800,'Obras e Acervos'!$B:$X,20,0)</f>
        <v>5465.5</v>
      </c>
      <c r="K800" s="31">
        <f>VLOOKUP($B800,'Obras e Acervos'!$B:$X,21,0)</f>
        <v>4.58</v>
      </c>
      <c r="L800" s="31">
        <f t="shared" si="114"/>
        <v>250319.9</v>
      </c>
      <c r="M800" s="1">
        <v>46077</v>
      </c>
      <c r="N800" s="1">
        <f t="shared" si="113"/>
        <v>46305</v>
      </c>
      <c r="O800">
        <f t="shared" si="115"/>
        <v>229</v>
      </c>
      <c r="P800" s="49">
        <f t="shared" si="111"/>
        <v>7.6333333333333337</v>
      </c>
      <c r="Q800" s="34">
        <f>VLOOKUP($G800,Agendamento!$B:$F,5,0)</f>
        <v>6</v>
      </c>
      <c r="R800" s="36">
        <f t="shared" si="116"/>
        <v>55</v>
      </c>
      <c r="S800" s="44">
        <v>2.5499999999999998</v>
      </c>
      <c r="T800" s="44">
        <f t="shared" si="117"/>
        <v>32117.249999999996</v>
      </c>
      <c r="U800" t="s">
        <v>5884</v>
      </c>
      <c r="V800" t="str">
        <f t="shared" si="118"/>
        <v>NF/20260224_nf_42.pdf</v>
      </c>
      <c r="W800" s="32" t="str">
        <f t="shared" si="112"/>
        <v>NF - O MÉDICO DAS ESTRELAS</v>
      </c>
      <c r="X800" t="s">
        <v>5591</v>
      </c>
    </row>
    <row r="801" spans="1:24" x14ac:dyDescent="0.25">
      <c r="A801" t="str">
        <f>CONCATENATE(D801,"_",TEXT(M801,"ddmmaaaa"),"_",COUNTIF($D$2:D801,D801))</f>
        <v>134985990001-87_12022026_2</v>
      </c>
      <c r="B801" t="str">
        <f>CONCATENATE(Analise!D801,"_",COUNTIF(Analise!$D$2:D801,Analise!D801))</f>
        <v>134985990001-87_2</v>
      </c>
      <c r="C801" s="34">
        <f>COUNTIF('Obras e Acervos'!$C:$C,CONCATENATE(LEFT(D801,12),RIGHT(D801,2)))</f>
        <v>2</v>
      </c>
      <c r="D801" t="s">
        <v>5827</v>
      </c>
      <c r="E801" t="str">
        <f>VLOOKUP($B801,'Obras e Acervos'!$B:$X,3,0)</f>
        <v>QUINTETO EDITORIAL LTDA.-QUINTETO</v>
      </c>
      <c r="F801" t="str">
        <f>VLOOKUP($B801,'Obras e Acervos'!$B:$X,7,0)</f>
        <v>0626L23000020LE</v>
      </c>
      <c r="G801" t="str">
        <f>VLOOKUP($B801,'Obras e Acervos'!$B:$X,5,0)</f>
        <v>O MENINO E O MAESTRO</v>
      </c>
      <c r="H801">
        <f>VLOOKUP($B801,'Obras e Acervos'!$B:$X,18,0)</f>
        <v>18</v>
      </c>
      <c r="I801">
        <f>VLOOKUP($B801,'Obras e Acervos'!$B:$X,19,0)</f>
        <v>26215</v>
      </c>
      <c r="J801" s="42">
        <f>VLOOKUP($B801,'Obras e Acervos'!$B:$X,20,0)</f>
        <v>3801.1749999999997</v>
      </c>
      <c r="K801" s="31">
        <f>VLOOKUP($B801,'Obras e Acervos'!$B:$X,21,0)</f>
        <v>9.1300000000000008</v>
      </c>
      <c r="L801" s="31">
        <f t="shared" si="114"/>
        <v>239342.95</v>
      </c>
      <c r="M801" s="1">
        <v>46065</v>
      </c>
      <c r="N801" s="1">
        <f t="shared" si="113"/>
        <v>46305</v>
      </c>
      <c r="O801">
        <f t="shared" si="115"/>
        <v>241</v>
      </c>
      <c r="P801" s="49">
        <f t="shared" si="111"/>
        <v>8.0333333333333332</v>
      </c>
      <c r="Q801" s="34">
        <f>VLOOKUP($G801,Agendamento!$B:$F,5,0)</f>
        <v>5</v>
      </c>
      <c r="R801" s="36">
        <f t="shared" si="116"/>
        <v>27</v>
      </c>
      <c r="S801" s="44">
        <v>2.5499999999999998</v>
      </c>
      <c r="T801" s="44">
        <f t="shared" si="117"/>
        <v>16592.849999999999</v>
      </c>
      <c r="U801" t="s">
        <v>5881</v>
      </c>
      <c r="V801" t="str">
        <f t="shared" si="118"/>
        <v>NF/20260212_nf_56.pdf</v>
      </c>
      <c r="W801" s="32" t="str">
        <f t="shared" si="112"/>
        <v>NF - O MENINO E O MAESTRO</v>
      </c>
      <c r="X801" t="s">
        <v>5591</v>
      </c>
    </row>
    <row r="802" spans="1:24" x14ac:dyDescent="0.25">
      <c r="A802" t="str">
        <f>CONCATENATE(D802,"_",TEXT(M802,"ddmmaaaa"),"_",COUNTIF($D$2:D802,D802))</f>
        <v>611864900001-57_12022026_1</v>
      </c>
      <c r="B802" t="str">
        <f>CONCATENATE(Analise!D802,"_",COUNTIF(Analise!$D$2:D802,Analise!D802))</f>
        <v>611864900001-57_1</v>
      </c>
      <c r="C802" s="34">
        <f>COUNTIF('Obras e Acervos'!$C:$C,CONCATENATE(LEFT(D802,12),RIGHT(D802,2)))</f>
        <v>2</v>
      </c>
      <c r="D802" t="s">
        <v>5836</v>
      </c>
      <c r="E802" t="str">
        <f>VLOOKUP($B802,'Obras e Acervos'!$B:$X,3,0)</f>
        <v>EDITORA FTD S.A.-FTD EDUCAÇÃO</v>
      </c>
      <c r="F802" t="str">
        <f>VLOOKUP($B802,'Obras e Acervos'!$B:$X,7,0)</f>
        <v>0298L23000030LE</v>
      </c>
      <c r="G802" t="str">
        <f>VLOOKUP($B802,'Obras e Acervos'!$B:$X,5,0)</f>
        <v>FRIDA KAHLO E SEUS ANIMALITOS</v>
      </c>
      <c r="H802">
        <f>VLOOKUP($B802,'Obras e Acervos'!$B:$X,18,0)</f>
        <v>4</v>
      </c>
      <c r="I802">
        <f>VLOOKUP($B802,'Obras e Acervos'!$B:$X,19,0)</f>
        <v>43702</v>
      </c>
      <c r="J802" s="42">
        <f>VLOOKUP($B802,'Obras e Acervos'!$B:$X,20,0)</f>
        <v>4850.9220000000005</v>
      </c>
      <c r="K802" s="31">
        <f>VLOOKUP($B802,'Obras e Acervos'!$B:$X,21,0)</f>
        <v>5.75</v>
      </c>
      <c r="L802" s="31">
        <f t="shared" si="114"/>
        <v>251286.5</v>
      </c>
      <c r="M802" s="1">
        <v>46065</v>
      </c>
      <c r="N802" s="1">
        <f t="shared" si="113"/>
        <v>46305</v>
      </c>
      <c r="O802">
        <f t="shared" si="115"/>
        <v>241</v>
      </c>
      <c r="P802" s="49">
        <f t="shared" ref="P802:P810" si="119">O802/30</f>
        <v>8.0333333333333332</v>
      </c>
      <c r="Q802" s="34">
        <f>VLOOKUP($G802,Agendamento!$B:$F,5,0)</f>
        <v>7</v>
      </c>
      <c r="R802" s="36">
        <f t="shared" si="116"/>
        <v>44</v>
      </c>
      <c r="S802" s="44">
        <v>2.5499999999999998</v>
      </c>
      <c r="T802" s="44">
        <f t="shared" si="117"/>
        <v>27040.199999999997</v>
      </c>
      <c r="U802" t="s">
        <v>5862</v>
      </c>
      <c r="V802" t="str">
        <f t="shared" si="118"/>
        <v>NF/20260212_nf_28.pdf</v>
      </c>
      <c r="W802" s="32" t="str">
        <f t="shared" ref="W802:W810" si="120">HYPERLINK(CONCATENATE("saida/",U802),CONCATENATE("NF - ",G802))</f>
        <v>NF - FRIDA KAHLO E SEUS ANIMALITOS</v>
      </c>
      <c r="X802" t="s">
        <v>5591</v>
      </c>
    </row>
    <row r="803" spans="1:24" x14ac:dyDescent="0.25">
      <c r="A803" t="str">
        <f>CONCATENATE(D803,"_",TEXT(M803,"ddmmaaaa"),"_",COUNTIF($D$2:D803,D803))</f>
        <v>766598200009-09_12022026_2</v>
      </c>
      <c r="B803" t="str">
        <f>CONCATENATE(Analise!D803,"_",COUNTIF(Analise!$D$2:D803,Analise!D803))</f>
        <v>766598200009-09_2</v>
      </c>
      <c r="C803" s="34">
        <f>COUNTIF('Obras e Acervos'!$C:$C,CONCATENATE(LEFT(D803,12),RIGHT(D803,2)))</f>
        <v>2</v>
      </c>
      <c r="D803" t="s">
        <v>5805</v>
      </c>
      <c r="E803" t="str">
        <f>VLOOKUP($B803,'Obras e Acervos'!$B:$X,3,0)</f>
        <v>ASSOCIAÇÃO PARANAENSE DE CULTURA – APC -EDITORA UNIVERSITÁRIA CHAMPAGNAT</v>
      </c>
      <c r="F803" t="str">
        <f>VLOOKUP($B803,'Obras e Acervos'!$B:$X,7,0)</f>
        <v>0785L23000020LE</v>
      </c>
      <c r="G803" t="str">
        <f>VLOOKUP($B803,'Obras e Acervos'!$B:$X,5,0)</f>
        <v>O MÁGICO DE OZ</v>
      </c>
      <c r="H803">
        <f>VLOOKUP($B803,'Obras e Acervos'!$B:$X,18,0)</f>
        <v>20</v>
      </c>
      <c r="I803">
        <f>VLOOKUP($B803,'Obras e Acervos'!$B:$X,19,0)</f>
        <v>44500</v>
      </c>
      <c r="J803" s="42">
        <f>VLOOKUP($B803,'Obras e Acervos'!$B:$X,20,0)</f>
        <v>10146</v>
      </c>
      <c r="K803" s="31">
        <f>VLOOKUP($B803,'Obras e Acervos'!$B:$X,21,0)</f>
        <v>10.73</v>
      </c>
      <c r="L803" s="31">
        <f t="shared" si="114"/>
        <v>477485</v>
      </c>
      <c r="M803" s="1">
        <v>46065</v>
      </c>
      <c r="N803" s="1">
        <f t="shared" si="113"/>
        <v>46305</v>
      </c>
      <c r="O803">
        <f t="shared" si="115"/>
        <v>241</v>
      </c>
      <c r="P803" s="49">
        <f t="shared" si="119"/>
        <v>8.0333333333333332</v>
      </c>
      <c r="Q803" s="34">
        <f>VLOOKUP($G803,Agendamento!$B:$F,5,0)</f>
        <v>12</v>
      </c>
      <c r="R803" s="36">
        <f t="shared" si="116"/>
        <v>45</v>
      </c>
      <c r="S803" s="44">
        <v>2.5499999999999998</v>
      </c>
      <c r="T803" s="44">
        <f t="shared" si="117"/>
        <v>27654.749999999996</v>
      </c>
      <c r="U803" t="s">
        <v>5864</v>
      </c>
      <c r="V803" t="str">
        <f t="shared" si="118"/>
        <v>NF/20260212_nf_31.pdf</v>
      </c>
      <c r="W803" s="32" t="str">
        <f t="shared" si="120"/>
        <v>NF - O MÁGICO DE OZ</v>
      </c>
      <c r="X803" t="s">
        <v>5591</v>
      </c>
    </row>
    <row r="804" spans="1:24" x14ac:dyDescent="0.25">
      <c r="A804" t="str">
        <f>CONCATENATE(D804,"_",TEXT(M804,"ddmmaaaa"),"_",COUNTIF($D$2:D804,D804))</f>
        <v>584071070001-39_11022026_2</v>
      </c>
      <c r="B804" t="str">
        <f>CONCATENATE(Analise!D804,"_",COUNTIF(Analise!$D$2:D804,Analise!D804))</f>
        <v>584071070001-39_2</v>
      </c>
      <c r="C804" s="34">
        <f>COUNTIF('Obras e Acervos'!$C:$C,CONCATENATE(LEFT(D804,12),RIGHT(D804,2)))</f>
        <v>2</v>
      </c>
      <c r="D804" t="s">
        <v>5824</v>
      </c>
      <c r="E804" t="str">
        <f>VLOOKUP($B804,'Obras e Acervos'!$B:$X,3,0)</f>
        <v>ALCY PRODUÇÕES ARTISTICAS LTDA.-BIGODE</v>
      </c>
      <c r="F804" t="str">
        <f>VLOOKUP($B804,'Obras e Acervos'!$B:$X,7,0)</f>
        <v>1259L23000020LE</v>
      </c>
      <c r="G804" t="str">
        <f>VLOOKUP($B804,'Obras e Acervos'!$B:$X,5,0)</f>
        <v>BADU VAI À FEIRA</v>
      </c>
      <c r="H804">
        <f>VLOOKUP($B804,'Obras e Acervos'!$B:$X,18,0)</f>
        <v>21</v>
      </c>
      <c r="I804">
        <f>VLOOKUP($B804,'Obras e Acervos'!$B:$X,19,0)</f>
        <v>23874</v>
      </c>
      <c r="J804" s="42">
        <f>VLOOKUP($B804,'Obras e Acervos'!$B:$X,20,0)</f>
        <v>2411.2740000000003</v>
      </c>
      <c r="K804" s="31">
        <f>VLOOKUP($B804,'Obras e Acervos'!$B:$X,21,0)</f>
        <v>6.57</v>
      </c>
      <c r="L804" s="31">
        <f t="shared" si="114"/>
        <v>156852.18</v>
      </c>
      <c r="M804" s="1">
        <v>46064</v>
      </c>
      <c r="N804" s="1">
        <f t="shared" si="113"/>
        <v>46305</v>
      </c>
      <c r="O804">
        <f t="shared" si="115"/>
        <v>242</v>
      </c>
      <c r="P804" s="49">
        <f t="shared" si="119"/>
        <v>8.0666666666666664</v>
      </c>
      <c r="Q804" s="34">
        <f>VLOOKUP($G804,Agendamento!$B:$F,5,0)</f>
        <v>6</v>
      </c>
      <c r="R804" s="36">
        <f t="shared" si="116"/>
        <v>24</v>
      </c>
      <c r="S804" s="44">
        <v>2.5499999999999998</v>
      </c>
      <c r="T804" s="44">
        <f t="shared" si="117"/>
        <v>14810.4</v>
      </c>
      <c r="U804" t="s">
        <v>5854</v>
      </c>
      <c r="V804" t="str">
        <f t="shared" si="118"/>
        <v>NF/20260211_nf_18.pdf</v>
      </c>
      <c r="W804" s="32" t="str">
        <f t="shared" si="120"/>
        <v>NF - BADU VAI À FEIRA</v>
      </c>
      <c r="X804" t="s">
        <v>5591</v>
      </c>
    </row>
    <row r="805" spans="1:24" x14ac:dyDescent="0.25">
      <c r="A805" t="str">
        <f>CONCATENATE(D805,"_",TEXT(M805,"ddmmaaaa"),"_",COUNTIF($D$2:D805,D805))</f>
        <v>611864900001-57_12022026_2</v>
      </c>
      <c r="B805" t="str">
        <f>CONCATENATE(Analise!D805,"_",COUNTIF(Analise!$D$2:D805,Analise!D805))</f>
        <v>611864900001-57_2</v>
      </c>
      <c r="C805" s="34">
        <f>COUNTIF('Obras e Acervos'!$C:$C,CONCATENATE(LEFT(D805,12),RIGHT(D805,2)))</f>
        <v>2</v>
      </c>
      <c r="D805" t="s">
        <v>5836</v>
      </c>
      <c r="E805" t="str">
        <f>VLOOKUP($B805,'Obras e Acervos'!$B:$X,3,0)</f>
        <v>EDITORA FTD S.A.-FTD EDUCAÇÃO</v>
      </c>
      <c r="F805" t="str">
        <f>VLOOKUP($B805,'Obras e Acervos'!$B:$X,7,0)</f>
        <v>0299L23000020LE</v>
      </c>
      <c r="G805" t="str">
        <f>VLOOKUP($B805,'Obras e Acervos'!$B:$X,5,0)</f>
        <v>VAMOS AO TEATRO!</v>
      </c>
      <c r="H805">
        <f>VLOOKUP($B805,'Obras e Acervos'!$B:$X,18,0)</f>
        <v>21</v>
      </c>
      <c r="I805">
        <f>VLOOKUP($B805,'Obras e Acervos'!$B:$X,19,0)</f>
        <v>23844</v>
      </c>
      <c r="J805" s="42">
        <f>VLOOKUP($B805,'Obras e Acervos'!$B:$X,20,0)</f>
        <v>4673.424</v>
      </c>
      <c r="K805" s="31">
        <f>VLOOKUP($B805,'Obras e Acervos'!$B:$X,21,0)</f>
        <v>12.02</v>
      </c>
      <c r="L805" s="31">
        <f t="shared" si="114"/>
        <v>286604.88</v>
      </c>
      <c r="M805" s="1">
        <v>46065</v>
      </c>
      <c r="N805" s="1">
        <f t="shared" si="113"/>
        <v>46305</v>
      </c>
      <c r="O805">
        <f t="shared" si="115"/>
        <v>241</v>
      </c>
      <c r="P805" s="49">
        <f t="shared" si="119"/>
        <v>8.0333333333333332</v>
      </c>
      <c r="Q805" s="34">
        <f>VLOOKUP($G805,Agendamento!$B:$F,5,0)</f>
        <v>7</v>
      </c>
      <c r="R805" s="36">
        <f t="shared" si="116"/>
        <v>24</v>
      </c>
      <c r="S805" s="44">
        <v>2.5499999999999998</v>
      </c>
      <c r="T805" s="44">
        <f t="shared" si="117"/>
        <v>14749.199999999999</v>
      </c>
      <c r="U805" t="s">
        <v>5862</v>
      </c>
      <c r="V805" t="str">
        <f t="shared" si="118"/>
        <v>NF/20260212_nf_28.pdf</v>
      </c>
      <c r="W805" s="32" t="str">
        <f t="shared" si="120"/>
        <v>NF - VAMOS AO TEATRO!</v>
      </c>
      <c r="X805" t="s">
        <v>5591</v>
      </c>
    </row>
    <row r="806" spans="1:24" x14ac:dyDescent="0.25">
      <c r="A806" t="str">
        <f>CONCATENATE(D806,"_",TEXT(M806,"ddmmaaaa"),"_",COUNTIF($D$2:D806,D806))</f>
        <v>016021770001-20_12022026_2</v>
      </c>
      <c r="B806" t="str">
        <f>CONCATENATE(Analise!D806,"_",COUNTIF(Analise!$D$2:D806,Analise!D806))</f>
        <v>016021770001-20_2</v>
      </c>
      <c r="C806" s="34">
        <f>COUNTIF('Obras e Acervos'!$C:$C,CONCATENATE(LEFT(D806,12),RIGHT(D806,2)))</f>
        <v>2</v>
      </c>
      <c r="D806" t="s">
        <v>5823</v>
      </c>
      <c r="E806" t="str">
        <f>VLOOKUP($B806,'Obras e Acervos'!$B:$X,3,0)</f>
        <v>EDITORA MEDIAÇÃO - DISTRIBUIDORA E LIVRARIA LTDA.-EDITORA MEDIAÇÃO</v>
      </c>
      <c r="F806" t="str">
        <f>VLOOKUP($B806,'Obras e Acervos'!$B:$X,7,0)</f>
        <v>0666L23000020LE</v>
      </c>
      <c r="G806" t="str">
        <f>VLOOKUP($B806,'Obras e Acervos'!$B:$X,5,0)</f>
        <v>MINHA FAMÍLIA ENAUENÊ</v>
      </c>
      <c r="H806">
        <f>VLOOKUP($B806,'Obras e Acervos'!$B:$X,18,0)</f>
        <v>21</v>
      </c>
      <c r="I806">
        <f>VLOOKUP($B806,'Obras e Acervos'!$B:$X,19,0)</f>
        <v>23632</v>
      </c>
      <c r="J806" s="42">
        <f>VLOOKUP($B806,'Obras e Acervos'!$B:$X,20,0)</f>
        <v>2977.6320000000001</v>
      </c>
      <c r="K806" s="31">
        <f>VLOOKUP($B806,'Obras e Acervos'!$B:$X,21,0)</f>
        <v>8.34</v>
      </c>
      <c r="L806" s="31">
        <f t="shared" si="114"/>
        <v>197090.88</v>
      </c>
      <c r="M806" s="1">
        <v>46065</v>
      </c>
      <c r="N806" s="1">
        <f t="shared" si="113"/>
        <v>46305</v>
      </c>
      <c r="O806">
        <f t="shared" si="115"/>
        <v>241</v>
      </c>
      <c r="P806" s="49">
        <f t="shared" si="119"/>
        <v>8.0333333333333332</v>
      </c>
      <c r="Q806" s="34">
        <f>VLOOKUP($G806,Agendamento!$B:$F,5,0)</f>
        <v>6</v>
      </c>
      <c r="R806" s="36">
        <f t="shared" si="116"/>
        <v>24</v>
      </c>
      <c r="S806" s="44">
        <v>2.5499999999999998</v>
      </c>
      <c r="T806" s="44">
        <f t="shared" si="117"/>
        <v>14749.199999999999</v>
      </c>
      <c r="U806" t="s">
        <v>5856</v>
      </c>
      <c r="V806" t="str">
        <f t="shared" si="118"/>
        <v>NF/20260212_nf_20.pdf</v>
      </c>
      <c r="W806" s="32" t="str">
        <f t="shared" si="120"/>
        <v>NF - MINHA FAMÍLIA ENAUENÊ</v>
      </c>
      <c r="X806" t="s">
        <v>5591</v>
      </c>
    </row>
    <row r="807" spans="1:24" x14ac:dyDescent="0.25">
      <c r="A807" t="str">
        <f>CONCATENATE(D807,"_",TEXT(M807,"ddmmaaaa"),"_",COUNTIF($D$2:D807,D807))</f>
        <v>199621010001-71_11022026_2</v>
      </c>
      <c r="B807" t="str">
        <f>CONCATENATE(Analise!D807,"_",COUNTIF(Analise!$D$2:D807,Analise!D807))</f>
        <v>199621010001-71_2</v>
      </c>
      <c r="C807" s="34">
        <f>COUNTIF('Obras e Acervos'!$C:$C,CONCATENATE(LEFT(D807,12),RIGHT(D807,2)))</f>
        <v>2</v>
      </c>
      <c r="D807" t="s">
        <v>5818</v>
      </c>
      <c r="E807" t="str">
        <f>VLOOKUP($B807,'Obras e Acervos'!$B:$X,3,0)</f>
        <v>EDITORA PIGMENTO LTDA-PIGMENTO</v>
      </c>
      <c r="F807" t="str">
        <f>VLOOKUP($B807,'Obras e Acervos'!$B:$X,7,0)</f>
        <v>0448L23000020LE</v>
      </c>
      <c r="G807" t="str">
        <f>VLOOKUP($B807,'Obras e Acervos'!$B:$X,5,0)</f>
        <v>A BATALHA DA CACHOEIRA DO CIPÓ</v>
      </c>
      <c r="H807">
        <f>VLOOKUP($B807,'Obras e Acervos'!$B:$X,18,0)</f>
        <v>21</v>
      </c>
      <c r="I807">
        <f>VLOOKUP($B807,'Obras e Acervos'!$B:$X,19,0)</f>
        <v>33434</v>
      </c>
      <c r="J807" s="42">
        <f>VLOOKUP($B807,'Obras e Acervos'!$B:$X,20,0)</f>
        <v>8860.01</v>
      </c>
      <c r="K807" s="31">
        <f>VLOOKUP($B807,'Obras e Acervos'!$B:$X,21,0)</f>
        <v>12.13</v>
      </c>
      <c r="L807" s="31">
        <f t="shared" si="114"/>
        <v>405554.42000000004</v>
      </c>
      <c r="M807" s="1">
        <v>46064</v>
      </c>
      <c r="N807" s="1">
        <f t="shared" si="113"/>
        <v>46305</v>
      </c>
      <c r="O807">
        <f t="shared" si="115"/>
        <v>242</v>
      </c>
      <c r="P807" s="49">
        <f t="shared" si="119"/>
        <v>8.0666666666666664</v>
      </c>
      <c r="Q807" s="34">
        <f>VLOOKUP($G807,Agendamento!$B:$F,5,0)</f>
        <v>1</v>
      </c>
      <c r="R807" s="36">
        <f t="shared" si="116"/>
        <v>34</v>
      </c>
      <c r="S807" s="44">
        <v>2.5499999999999998</v>
      </c>
      <c r="T807" s="44">
        <f t="shared" si="117"/>
        <v>20981.399999999998</v>
      </c>
      <c r="U807" t="s">
        <v>5879</v>
      </c>
      <c r="V807" t="str">
        <f t="shared" si="118"/>
        <v>NF/20260211_nf_54.pdf</v>
      </c>
      <c r="W807" s="32" t="str">
        <f t="shared" si="120"/>
        <v>NF - A BATALHA DA CACHOEIRA DO CIPÓ</v>
      </c>
      <c r="X807" t="s">
        <v>5591</v>
      </c>
    </row>
    <row r="808" spans="1:24" x14ac:dyDescent="0.25">
      <c r="A808" t="str">
        <f>CONCATENATE(D808,"_",TEXT(M808,"ddmmaaaa"),"_",COUNTIF($D$2:D808,D808))</f>
        <v>441273550001-11_11022026_1</v>
      </c>
      <c r="B808" t="str">
        <f>CONCATENATE(Analise!D808,"_",COUNTIF(Analise!$D$2:D808,Analise!D808))</f>
        <v>441273550001-11_1</v>
      </c>
      <c r="C808" s="34">
        <f>COUNTIF('Obras e Acervos'!$C:$C,CONCATENATE(LEFT(D808,12),RIGHT(D808,2)))</f>
        <v>1</v>
      </c>
      <c r="D808" t="s">
        <v>5837</v>
      </c>
      <c r="E808" t="str">
        <f>VLOOKUP($B808,'Obras e Acervos'!$B:$X,3,0)</f>
        <v>EDITORA SCIPIONE S.A.-SCIPIONE</v>
      </c>
      <c r="F808" t="str">
        <f>VLOOKUP($B808,'Obras e Acervos'!$B:$X,7,0)</f>
        <v>0441L23000020LE</v>
      </c>
      <c r="G808" t="str">
        <f>VLOOKUP($B808,'Obras e Acervos'!$B:$X,5,0)</f>
        <v>CAPULANA – UM PANO ESTAMPADO DE HISTÓRIAS</v>
      </c>
      <c r="H808">
        <f>VLOOKUP($B808,'Obras e Acervos'!$B:$X,18,0)</f>
        <v>21</v>
      </c>
      <c r="I808">
        <f>VLOOKUP($B808,'Obras e Acervos'!$B:$X,19,0)</f>
        <v>25314</v>
      </c>
      <c r="J808" s="42">
        <f>VLOOKUP($B808,'Obras e Acervos'!$B:$X,20,0)</f>
        <v>3493.3320000000003</v>
      </c>
      <c r="K808" s="31">
        <f>VLOOKUP($B808,'Obras e Acervos'!$B:$X,21,0)</f>
        <v>8.3800000000000008</v>
      </c>
      <c r="L808" s="31">
        <f t="shared" si="114"/>
        <v>212131.32</v>
      </c>
      <c r="M808" s="1">
        <v>46064</v>
      </c>
      <c r="N808" s="1">
        <f t="shared" si="113"/>
        <v>46305</v>
      </c>
      <c r="O808">
        <f t="shared" si="115"/>
        <v>242</v>
      </c>
      <c r="P808" s="49">
        <f t="shared" si="119"/>
        <v>8.0666666666666664</v>
      </c>
      <c r="Q808" s="34">
        <f>VLOOKUP($G808,Agendamento!$B:$F,5,0)</f>
        <v>1</v>
      </c>
      <c r="R808" s="36">
        <f t="shared" si="116"/>
        <v>26</v>
      </c>
      <c r="S808" s="44">
        <v>2.5499999999999998</v>
      </c>
      <c r="T808" s="44">
        <f t="shared" si="117"/>
        <v>16044.599999999999</v>
      </c>
      <c r="U808" t="s">
        <v>5851</v>
      </c>
      <c r="V808" t="str">
        <f t="shared" si="118"/>
        <v>NF/20260211_nf_15.pdf</v>
      </c>
      <c r="W808" s="32" t="str">
        <f t="shared" si="120"/>
        <v>NF - CAPULANA – UM PANO ESTAMPADO DE HISTÓRIAS</v>
      </c>
      <c r="X808" t="s">
        <v>5591</v>
      </c>
    </row>
    <row r="809" spans="1:24" x14ac:dyDescent="0.25">
      <c r="A809" t="str">
        <f>CONCATENATE(D809,"_",TEXT(M809,"ddmmaaaa"),"_",COUNTIF($D$2:D809,D809))</f>
        <v>417706190001-62_11022026_2</v>
      </c>
      <c r="B809" t="str">
        <f>CONCATENATE(Analise!D809,"_",COUNTIF(Analise!$D$2:D809,Analise!D809))</f>
        <v>417706190001-62_2</v>
      </c>
      <c r="C809" s="34">
        <f>COUNTIF('Obras e Acervos'!$C:$C,CONCATENATE(LEFT(D809,12),RIGHT(D809,2)))</f>
        <v>2</v>
      </c>
      <c r="D809" t="s">
        <v>5802</v>
      </c>
      <c r="E809" t="str">
        <f>VLOOKUP($B809,'Obras e Acervos'!$B:$X,3,0)</f>
        <v>SERELEPE EDITORA LTDA-SERELEPE EDITORA</v>
      </c>
      <c r="F809" t="str">
        <f>VLOOKUP($B809,'Obras e Acervos'!$B:$X,7,0)</f>
        <v>1154L23000020LE</v>
      </c>
      <c r="G809" t="str">
        <f>VLOOKUP($B809,'Obras e Acervos'!$B:$X,5,0)</f>
        <v>O RATO DO CAMPO E O RATO DA CIDADE</v>
      </c>
      <c r="H809">
        <f>VLOOKUP($B809,'Obras e Acervos'!$B:$X,18,0)</f>
        <v>21</v>
      </c>
      <c r="I809">
        <f>VLOOKUP($B809,'Obras e Acervos'!$B:$X,19,0)</f>
        <v>25753</v>
      </c>
      <c r="J809" s="42">
        <f>VLOOKUP($B809,'Obras e Acervos'!$B:$X,20,0)</f>
        <v>2189.0050000000001</v>
      </c>
      <c r="K809" s="31">
        <f>VLOOKUP($B809,'Obras e Acervos'!$B:$X,21,0)</f>
        <v>5.52</v>
      </c>
      <c r="L809" s="31">
        <f t="shared" si="114"/>
        <v>142156.56</v>
      </c>
      <c r="M809" s="1">
        <v>46064</v>
      </c>
      <c r="N809" s="1">
        <f t="shared" si="113"/>
        <v>46305</v>
      </c>
      <c r="O809">
        <f t="shared" si="115"/>
        <v>242</v>
      </c>
      <c r="P809" s="49">
        <f t="shared" si="119"/>
        <v>8.0666666666666664</v>
      </c>
      <c r="Q809" s="34">
        <f>VLOOKUP($G809,Agendamento!$B:$F,5,0)</f>
        <v>2</v>
      </c>
      <c r="R809" s="36">
        <f t="shared" si="116"/>
        <v>26</v>
      </c>
      <c r="S809" s="44">
        <v>2.5499999999999998</v>
      </c>
      <c r="T809" s="44">
        <f t="shared" si="117"/>
        <v>16044.599999999999</v>
      </c>
      <c r="U809" t="s">
        <v>5849</v>
      </c>
      <c r="V809" t="str">
        <f t="shared" si="118"/>
        <v>NF/20260211_nf_13.pdf</v>
      </c>
      <c r="W809" s="32" t="str">
        <f t="shared" si="120"/>
        <v>NF - O RATO DO CAMPO E O RATO DA CIDADE</v>
      </c>
      <c r="X809" t="s">
        <v>5591</v>
      </c>
    </row>
    <row r="810" spans="1:24" x14ac:dyDescent="0.25">
      <c r="A810" t="str">
        <f>CONCATENATE(D810,"_",TEXT(M810,"ddmmaaaa"),"_",COUNTIF($D$2:D810,D810))</f>
        <v>200001830001-52_11022026_2</v>
      </c>
      <c r="B810" t="str">
        <f>CONCATENATE(Analise!D810,"_",COUNTIF(Analise!$D$2:D810,Analise!D810))</f>
        <v>200001830001-52_2</v>
      </c>
      <c r="C810" s="34">
        <f>COUNTIF('Obras e Acervos'!$C:$C,CONCATENATE(LEFT(D810,12),RIGHT(D810,2)))</f>
        <v>2</v>
      </c>
      <c r="D810" t="s">
        <v>5822</v>
      </c>
      <c r="E810" t="str">
        <f>VLOOKUP($B810,'Obras e Acervos'!$B:$X,3,0)</f>
        <v>EDITORA JOAQUIM LTDA. -JOAQUIM</v>
      </c>
      <c r="F810" t="str">
        <f>VLOOKUP($B810,'Obras e Acervos'!$B:$X,7,0)</f>
        <v>0427L23000020LE</v>
      </c>
      <c r="G810" t="str">
        <f>VLOOKUP($B810,'Obras e Acervos'!$B:$X,5,0)</f>
        <v>SOPRINHO - O SEGREDO DO BOSQUE ENCANTADO</v>
      </c>
      <c r="H810">
        <f>VLOOKUP($B810,'Obras e Acervos'!$B:$X,18,0)</f>
        <v>22</v>
      </c>
      <c r="I810">
        <f>VLOOKUP($B810,'Obras e Acervos'!$B:$X,19,0)</f>
        <v>23676</v>
      </c>
      <c r="J810" s="42">
        <f>VLOOKUP($B810,'Obras e Acervos'!$B:$X,20,0)</f>
        <v>7173.8279999999995</v>
      </c>
      <c r="K810" s="31">
        <f>VLOOKUP($B810,'Obras e Acervos'!$B:$X,21,0)</f>
        <v>17.88</v>
      </c>
      <c r="L810" s="31">
        <f t="shared" si="114"/>
        <v>423326.88</v>
      </c>
      <c r="M810" s="1">
        <v>46064</v>
      </c>
      <c r="N810" s="1">
        <f t="shared" si="113"/>
        <v>46305</v>
      </c>
      <c r="O810">
        <f t="shared" si="115"/>
        <v>242</v>
      </c>
      <c r="P810" s="49">
        <f t="shared" si="119"/>
        <v>8.0666666666666664</v>
      </c>
      <c r="Q810" s="34">
        <f>VLOOKUP($G810,Agendamento!$B:$F,5,0)</f>
        <v>1</v>
      </c>
      <c r="R810" s="36">
        <f t="shared" si="116"/>
        <v>24</v>
      </c>
      <c r="S810" s="44">
        <v>2.5499999999999998</v>
      </c>
      <c r="T810" s="44">
        <f t="shared" si="117"/>
        <v>14810.4</v>
      </c>
      <c r="U810" t="s">
        <v>5875</v>
      </c>
      <c r="V810" t="str">
        <f t="shared" si="118"/>
        <v>NF/20260211_nf_49.pdf</v>
      </c>
      <c r="W810" s="32" t="str">
        <f t="shared" si="120"/>
        <v>NF - SOPRINHO - O SEGREDO DO BOSQUE ENCANTADO</v>
      </c>
      <c r="X810" t="s">
        <v>5591</v>
      </c>
    </row>
    <row r="814" spans="1:24" x14ac:dyDescent="0.25">
      <c r="M814" s="47"/>
      <c r="N814" s="47"/>
    </row>
  </sheetData>
  <autoFilter ref="A1:Z810"/>
  <sortState ref="A2:AA863">
    <sortCondition ref="U2:U863"/>
    <sortCondition ref="E2:E86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814"/>
  <sheetViews>
    <sheetView topLeftCell="A733" zoomScale="160" zoomScaleNormal="160" workbookViewId="0">
      <selection activeCell="B824" sqref="B824"/>
    </sheetView>
  </sheetViews>
  <sheetFormatPr defaultRowHeight="15" x14ac:dyDescent="0.25"/>
  <cols>
    <col min="1" max="1" width="24.42578125" bestFit="1" customWidth="1"/>
    <col min="2" max="2" width="20.28515625" bestFit="1" customWidth="1"/>
    <col min="3" max="3" width="30.140625" bestFit="1" customWidth="1"/>
    <col min="4" max="4" width="30.140625" customWidth="1"/>
    <col min="5" max="5" width="10.42578125" bestFit="1" customWidth="1"/>
    <col min="6" max="6" width="23.85546875" style="35" customWidth="1"/>
    <col min="7" max="7" width="38.5703125" customWidth="1"/>
    <col min="9" max="9" width="10.140625" bestFit="1" customWidth="1"/>
  </cols>
  <sheetData>
    <row r="1" spans="1:11" x14ac:dyDescent="0.25">
      <c r="A1" t="s">
        <v>5592</v>
      </c>
      <c r="B1" t="s">
        <v>5593</v>
      </c>
      <c r="C1" t="s">
        <v>5594</v>
      </c>
      <c r="D1" t="s">
        <v>5744</v>
      </c>
      <c r="E1" t="s">
        <v>5743</v>
      </c>
      <c r="F1" s="35" t="s">
        <v>1534</v>
      </c>
      <c r="G1" t="s">
        <v>5745</v>
      </c>
    </row>
    <row r="2" spans="1:11" hidden="1" x14ac:dyDescent="0.25">
      <c r="A2" t="s">
        <v>5605</v>
      </c>
      <c r="B2" s="1">
        <v>46056</v>
      </c>
      <c r="C2" t="s">
        <v>4464</v>
      </c>
      <c r="D2" s="36" t="str">
        <f>IF(E2=0,HYPERLINK(CONCATENATE("saida/",C2),"VERIFICAR"),HYPERLINK(CONCATENATE("saida/",C2),C2))</f>
        <v>64237227_20260203_nf_01.pdf</v>
      </c>
      <c r="E2">
        <f>COUNTIF(Analise!U:U,Notas_sem_indexar!C2)</f>
        <v>2</v>
      </c>
      <c r="G2" t="str">
        <f>IF(F2&lt;&gt;"",VLOOKUP(F2,'Obras e Acervos'!$C:$D,2,0),"OK")</f>
        <v>OK</v>
      </c>
      <c r="I2" t="s">
        <v>5750</v>
      </c>
      <c r="J2">
        <f>COUNTIF($D:$D,I2)</f>
        <v>165</v>
      </c>
      <c r="K2">
        <f>805-J2</f>
        <v>640</v>
      </c>
    </row>
    <row r="3" spans="1:11" hidden="1" x14ac:dyDescent="0.25">
      <c r="A3" t="s">
        <v>5605</v>
      </c>
      <c r="B3" s="1">
        <v>46056</v>
      </c>
      <c r="C3" t="s">
        <v>4465</v>
      </c>
      <c r="D3" s="36" t="str">
        <f t="shared" ref="D3:D66" si="0">IF(E3=0,HYPERLINK(CONCATENATE("saida/",C3),"VERIFICAR"),HYPERLINK(CONCATENATE("saida/",C3),C3))</f>
        <v>64237227_20260203_nf_02.pdf</v>
      </c>
      <c r="E3">
        <f>COUNTIF(Analise!U:U,Notas_sem_indexar!C3)</f>
        <v>1</v>
      </c>
      <c r="G3" t="str">
        <f>IF(F3&lt;&gt;"",VLOOKUP(F3,'Obras e Acervos'!$C:$D,2,0),"OK")</f>
        <v>OK</v>
      </c>
    </row>
    <row r="4" spans="1:11" hidden="1" x14ac:dyDescent="0.25">
      <c r="A4" t="s">
        <v>5605</v>
      </c>
      <c r="B4" s="1">
        <v>46056</v>
      </c>
      <c r="C4" t="s">
        <v>4466</v>
      </c>
      <c r="D4" s="36" t="str">
        <f t="shared" si="0"/>
        <v>64237227_20260203_nf_03.pdf</v>
      </c>
      <c r="E4">
        <f>COUNTIF(Analise!U:U,Notas_sem_indexar!C4)</f>
        <v>1</v>
      </c>
      <c r="G4" t="str">
        <f>IF(F4&lt;&gt;"",VLOOKUP(F4,'Obras e Acervos'!$C:$D,2,0),"OK")</f>
        <v>OK</v>
      </c>
    </row>
    <row r="5" spans="1:11" hidden="1" x14ac:dyDescent="0.25">
      <c r="A5" t="s">
        <v>5605</v>
      </c>
      <c r="B5" s="1">
        <v>46056</v>
      </c>
      <c r="C5" t="s">
        <v>4467</v>
      </c>
      <c r="D5" s="36" t="str">
        <f t="shared" si="0"/>
        <v>64237227_20260203_nf_04.pdf</v>
      </c>
      <c r="E5">
        <f>COUNTIF(Analise!U:U,Notas_sem_indexar!C5)</f>
        <v>2</v>
      </c>
      <c r="G5" t="str">
        <f>IF(F5&lt;&gt;"",VLOOKUP(F5,'Obras e Acervos'!$C:$D,2,0),"OK")</f>
        <v>OK</v>
      </c>
    </row>
    <row r="6" spans="1:11" x14ac:dyDescent="0.25">
      <c r="A6" t="s">
        <v>5605</v>
      </c>
      <c r="B6" s="1">
        <v>46056</v>
      </c>
      <c r="C6" t="s">
        <v>5606</v>
      </c>
      <c r="D6" s="36" t="str">
        <f t="shared" si="0"/>
        <v>VERIFICAR</v>
      </c>
      <c r="E6">
        <f>COUNTIF(Analise!U:U,Notas_sem_indexar!C6)</f>
        <v>0</v>
      </c>
      <c r="F6" s="35" t="s">
        <v>2697</v>
      </c>
      <c r="G6" t="str">
        <f>IF(F6&lt;&gt;"",VLOOKUP(F6,'Obras e Acervos'!$C:$D,2,0),"OK")</f>
        <v>CHUVINHA EDITORA LTDA.-CHUVINHA</v>
      </c>
    </row>
    <row r="7" spans="1:11" hidden="1" x14ac:dyDescent="0.25">
      <c r="A7" t="s">
        <v>5605</v>
      </c>
      <c r="B7" s="1">
        <v>46056</v>
      </c>
      <c r="C7" t="s">
        <v>4468</v>
      </c>
      <c r="D7" s="36" t="str">
        <f t="shared" si="0"/>
        <v>64237227_20260203_nf_06.pdf</v>
      </c>
      <c r="E7">
        <f>COUNTIF(Analise!U:U,Notas_sem_indexar!C7)</f>
        <v>1</v>
      </c>
      <c r="G7" t="str">
        <f>IF(F7&lt;&gt;"",VLOOKUP(F7,'Obras e Acervos'!$C:$D,2,0),"OK")</f>
        <v>OK</v>
      </c>
    </row>
    <row r="8" spans="1:11" x14ac:dyDescent="0.25">
      <c r="A8" t="s">
        <v>5605</v>
      </c>
      <c r="B8" s="1">
        <v>46056</v>
      </c>
      <c r="C8" t="s">
        <v>5607</v>
      </c>
      <c r="D8" s="36" t="str">
        <f t="shared" si="0"/>
        <v>VERIFICAR</v>
      </c>
      <c r="E8">
        <f>COUNTIF(Analise!U:U,Notas_sem_indexar!C8)</f>
        <v>0</v>
      </c>
      <c r="F8" s="35" t="s">
        <v>2693</v>
      </c>
      <c r="G8" t="str">
        <f>IF(F8&lt;&gt;"",VLOOKUP(F8,'Obras e Acervos'!$C:$D,2,0),"OK")</f>
        <v>BOTO ROSA EDITORA LTDA.-BOTO ROSA</v>
      </c>
    </row>
    <row r="9" spans="1:11" hidden="1" x14ac:dyDescent="0.25">
      <c r="A9" t="s">
        <v>5605</v>
      </c>
      <c r="B9" s="1">
        <v>46056</v>
      </c>
      <c r="C9" t="s">
        <v>4469</v>
      </c>
      <c r="D9" s="36" t="str">
        <f t="shared" si="0"/>
        <v>64237227_20260203_nf_08.pdf</v>
      </c>
      <c r="E9">
        <f>COUNTIF(Analise!U:U,Notas_sem_indexar!C9)</f>
        <v>1</v>
      </c>
      <c r="G9" t="str">
        <f>IF(F9&lt;&gt;"",VLOOKUP(F9,'Obras e Acervos'!$C:$D,2,0),"OK")</f>
        <v>OK</v>
      </c>
    </row>
    <row r="10" spans="1:11" hidden="1" x14ac:dyDescent="0.25">
      <c r="A10" t="s">
        <v>5605</v>
      </c>
      <c r="B10" s="1">
        <v>46056</v>
      </c>
      <c r="C10" t="s">
        <v>4470</v>
      </c>
      <c r="D10" s="36" t="str">
        <f t="shared" si="0"/>
        <v>64237227_20260203_nf_09.pdf</v>
      </c>
      <c r="E10">
        <f>COUNTIF(Analise!U:U,Notas_sem_indexar!C10)</f>
        <v>2</v>
      </c>
      <c r="G10" t="str">
        <f>IF(F10&lt;&gt;"",VLOOKUP(F10,'Obras e Acervos'!$C:$D,2,0),"OK")</f>
        <v>OK</v>
      </c>
    </row>
    <row r="11" spans="1:11" hidden="1" x14ac:dyDescent="0.25">
      <c r="A11" t="s">
        <v>5605</v>
      </c>
      <c r="B11" s="1">
        <v>46056</v>
      </c>
      <c r="C11" t="s">
        <v>4471</v>
      </c>
      <c r="D11" s="36" t="str">
        <f t="shared" si="0"/>
        <v>64237227_20260203_nf_10.pdf</v>
      </c>
      <c r="E11">
        <f>COUNTIF(Analise!U:U,Notas_sem_indexar!C11)</f>
        <v>2</v>
      </c>
      <c r="G11" t="str">
        <f>IF(F11&lt;&gt;"",VLOOKUP(F11,'Obras e Acervos'!$C:$D,2,0),"OK")</f>
        <v>OK</v>
      </c>
    </row>
    <row r="12" spans="1:11" hidden="1" x14ac:dyDescent="0.25">
      <c r="A12" t="s">
        <v>5605</v>
      </c>
      <c r="B12" s="1">
        <v>46056</v>
      </c>
      <c r="C12" t="s">
        <v>4472</v>
      </c>
      <c r="D12" s="36" t="str">
        <f t="shared" si="0"/>
        <v>64237227_20260203_nf_11.pdf</v>
      </c>
      <c r="E12">
        <f>COUNTIF(Analise!U:U,Notas_sem_indexar!C12)</f>
        <v>2</v>
      </c>
      <c r="G12" t="str">
        <f>IF(F12&lt;&gt;"",VLOOKUP(F12,'Obras e Acervos'!$C:$D,2,0),"OK")</f>
        <v>OK</v>
      </c>
    </row>
    <row r="13" spans="1:11" hidden="1" x14ac:dyDescent="0.25">
      <c r="A13" t="s">
        <v>5605</v>
      </c>
      <c r="B13" s="1">
        <v>46056</v>
      </c>
      <c r="C13" t="s">
        <v>4473</v>
      </c>
      <c r="D13" s="36" t="str">
        <f t="shared" si="0"/>
        <v>64237227_20260203_nf_12.pdf</v>
      </c>
      <c r="E13">
        <f>COUNTIF(Analise!U:U,Notas_sem_indexar!C13)</f>
        <v>1</v>
      </c>
      <c r="G13" t="str">
        <f>IF(F13&lt;&gt;"",VLOOKUP(F13,'Obras e Acervos'!$C:$D,2,0),"OK")</f>
        <v>OK</v>
      </c>
    </row>
    <row r="14" spans="1:11" hidden="1" x14ac:dyDescent="0.25">
      <c r="A14" t="s">
        <v>5605</v>
      </c>
      <c r="B14" s="1">
        <v>46058</v>
      </c>
      <c r="C14" t="s">
        <v>4918</v>
      </c>
      <c r="D14" s="36" t="str">
        <f t="shared" si="0"/>
        <v>64237227_20260205_nf_01.pdf</v>
      </c>
      <c r="E14">
        <f>COUNTIF(Analise!U:U,Notas_sem_indexar!C14)</f>
        <v>1</v>
      </c>
      <c r="G14" t="str">
        <f>IF(F14&lt;&gt;"",VLOOKUP(F14,'Obras e Acervos'!$C:$D,2,0),"OK")</f>
        <v>OK</v>
      </c>
    </row>
    <row r="15" spans="1:11" hidden="1" x14ac:dyDescent="0.25">
      <c r="A15" t="s">
        <v>5605</v>
      </c>
      <c r="B15" s="1">
        <v>46058</v>
      </c>
      <c r="C15" t="s">
        <v>4919</v>
      </c>
      <c r="D15" s="36" t="str">
        <f t="shared" si="0"/>
        <v>64237227_20260205_nf_02.pdf</v>
      </c>
      <c r="E15">
        <f>COUNTIF(Analise!U:U,Notas_sem_indexar!C15)</f>
        <v>1</v>
      </c>
      <c r="G15" t="str">
        <f>IF(F15&lt;&gt;"",VLOOKUP(F15,'Obras e Acervos'!$C:$D,2,0),"OK")</f>
        <v>OK</v>
      </c>
    </row>
    <row r="16" spans="1:11" hidden="1" x14ac:dyDescent="0.25">
      <c r="A16" t="s">
        <v>5605</v>
      </c>
      <c r="B16" s="1">
        <v>46058</v>
      </c>
      <c r="C16" t="s">
        <v>4916</v>
      </c>
      <c r="D16" s="36" t="str">
        <f t="shared" si="0"/>
        <v>64237227_20260205_nf_03.pdf</v>
      </c>
      <c r="E16">
        <f>COUNTIF(Analise!U:U,Notas_sem_indexar!C16)</f>
        <v>1</v>
      </c>
      <c r="G16" t="str">
        <f>IF(F16&lt;&gt;"",VLOOKUP(F16,'Obras e Acervos'!$C:$D,2,0),"OK")</f>
        <v>OK</v>
      </c>
    </row>
    <row r="17" spans="1:7" hidden="1" x14ac:dyDescent="0.25">
      <c r="A17" t="s">
        <v>5605</v>
      </c>
      <c r="B17" s="1">
        <v>46058</v>
      </c>
      <c r="C17" t="s">
        <v>4913</v>
      </c>
      <c r="D17" s="36" t="str">
        <f t="shared" si="0"/>
        <v>64237227_20260205_nf_04.pdf</v>
      </c>
      <c r="E17">
        <f>COUNTIF(Analise!U:U,Notas_sem_indexar!C17)</f>
        <v>1</v>
      </c>
      <c r="G17" t="str">
        <f>IF(F17&lt;&gt;"",VLOOKUP(F17,'Obras e Acervos'!$C:$D,2,0),"OK")</f>
        <v>OK</v>
      </c>
    </row>
    <row r="18" spans="1:7" hidden="1" x14ac:dyDescent="0.25">
      <c r="A18" t="s">
        <v>5605</v>
      </c>
      <c r="B18" s="1">
        <v>46058</v>
      </c>
      <c r="C18" t="s">
        <v>4914</v>
      </c>
      <c r="D18" s="36" t="str">
        <f t="shared" si="0"/>
        <v>64237227_20260205_nf_05.pdf</v>
      </c>
      <c r="E18">
        <f>COUNTIF(Analise!U:U,Notas_sem_indexar!C18)</f>
        <v>1</v>
      </c>
      <c r="G18" t="str">
        <f>IF(F18&lt;&gt;"",VLOOKUP(F18,'Obras e Acervos'!$C:$D,2,0),"OK")</f>
        <v>OK</v>
      </c>
    </row>
    <row r="19" spans="1:7" hidden="1" x14ac:dyDescent="0.25">
      <c r="A19" t="s">
        <v>5605</v>
      </c>
      <c r="B19" s="1">
        <v>46058</v>
      </c>
      <c r="C19" t="s">
        <v>4915</v>
      </c>
      <c r="D19" s="36" t="str">
        <f t="shared" si="0"/>
        <v>64237227_20260205_nf_06.pdf</v>
      </c>
      <c r="E19">
        <f>COUNTIF(Analise!U:U,Notas_sem_indexar!C19)</f>
        <v>1</v>
      </c>
      <c r="G19" t="str">
        <f>IF(F19&lt;&gt;"",VLOOKUP(F19,'Obras e Acervos'!$C:$D,2,0),"OK")</f>
        <v>OK</v>
      </c>
    </row>
    <row r="20" spans="1:7" hidden="1" x14ac:dyDescent="0.25">
      <c r="A20" t="s">
        <v>5605</v>
      </c>
      <c r="B20" s="1">
        <v>46058</v>
      </c>
      <c r="C20" t="s">
        <v>4917</v>
      </c>
      <c r="D20" s="36" t="str">
        <f t="shared" si="0"/>
        <v>64237227_20260205_nf_07.pdf</v>
      </c>
      <c r="E20">
        <f>COUNTIF(Analise!U:U,Notas_sem_indexar!C20)</f>
        <v>1</v>
      </c>
      <c r="G20" t="str">
        <f>IF(F20&lt;&gt;"",VLOOKUP(F20,'Obras e Acervos'!$C:$D,2,0),"OK")</f>
        <v>OK</v>
      </c>
    </row>
    <row r="21" spans="1:7" hidden="1" x14ac:dyDescent="0.25">
      <c r="A21" t="s">
        <v>5608</v>
      </c>
      <c r="B21" s="1">
        <v>46059</v>
      </c>
      <c r="C21" t="s">
        <v>4925</v>
      </c>
      <c r="D21" s="36" t="str">
        <f t="shared" si="0"/>
        <v>64237413_20260206_nf_01.pdf</v>
      </c>
      <c r="E21">
        <f>COUNTIF(Analise!U:U,Notas_sem_indexar!C21)</f>
        <v>1</v>
      </c>
      <c r="G21" t="str">
        <f>IF(F21&lt;&gt;"",VLOOKUP(F21,'Obras e Acervos'!$C:$D,2,0),"OK")</f>
        <v>OK</v>
      </c>
    </row>
    <row r="22" spans="1:7" hidden="1" x14ac:dyDescent="0.25">
      <c r="A22" t="s">
        <v>5608</v>
      </c>
      <c r="B22" s="1">
        <v>46059</v>
      </c>
      <c r="C22" t="s">
        <v>4927</v>
      </c>
      <c r="D22" s="36" t="str">
        <f t="shared" si="0"/>
        <v>64237413_20260206_nf_02.pdf</v>
      </c>
      <c r="E22">
        <f>COUNTIF(Analise!U:U,Notas_sem_indexar!C22)</f>
        <v>2</v>
      </c>
      <c r="G22" t="str">
        <f>IF(F22&lt;&gt;"",VLOOKUP(F22,'Obras e Acervos'!$C:$D,2,0),"OK")</f>
        <v>OK</v>
      </c>
    </row>
    <row r="23" spans="1:7" hidden="1" x14ac:dyDescent="0.25">
      <c r="A23" t="s">
        <v>5608</v>
      </c>
      <c r="B23" s="1">
        <v>46059</v>
      </c>
      <c r="C23" t="s">
        <v>4928</v>
      </c>
      <c r="D23" s="36" t="str">
        <f t="shared" si="0"/>
        <v>64237413_20260206_nf_03.pdf</v>
      </c>
      <c r="E23">
        <f>COUNTIF(Analise!U:U,Notas_sem_indexar!C23)</f>
        <v>1</v>
      </c>
      <c r="G23" t="str">
        <f>IF(F23&lt;&gt;"",VLOOKUP(F23,'Obras e Acervos'!$C:$D,2,0),"OK")</f>
        <v>OK</v>
      </c>
    </row>
    <row r="24" spans="1:7" hidden="1" x14ac:dyDescent="0.25">
      <c r="A24" t="s">
        <v>5608</v>
      </c>
      <c r="B24" s="1">
        <v>46059</v>
      </c>
      <c r="C24" t="s">
        <v>4931</v>
      </c>
      <c r="D24" s="36" t="str">
        <f t="shared" si="0"/>
        <v>64237413_20260206_nf_04.pdf</v>
      </c>
      <c r="E24">
        <f>COUNTIF(Analise!U:U,Notas_sem_indexar!C24)</f>
        <v>1</v>
      </c>
      <c r="G24" t="str">
        <f>IF(F24&lt;&gt;"",VLOOKUP(F24,'Obras e Acervos'!$C:$D,2,0),"OK")</f>
        <v>OK</v>
      </c>
    </row>
    <row r="25" spans="1:7" hidden="1" x14ac:dyDescent="0.25">
      <c r="A25" t="s">
        <v>5608</v>
      </c>
      <c r="B25" s="1">
        <v>46059</v>
      </c>
      <c r="C25" t="s">
        <v>4923</v>
      </c>
      <c r="D25" s="36" t="str">
        <f t="shared" si="0"/>
        <v>64237413_20260206_nf_05.pdf</v>
      </c>
      <c r="E25">
        <f>COUNTIF(Analise!U:U,Notas_sem_indexar!C25)</f>
        <v>1</v>
      </c>
      <c r="G25" t="str">
        <f>IF(F25&lt;&gt;"",VLOOKUP(F25,'Obras e Acervos'!$C:$D,2,0),"OK")</f>
        <v>OK</v>
      </c>
    </row>
    <row r="26" spans="1:7" hidden="1" x14ac:dyDescent="0.25">
      <c r="A26" t="s">
        <v>5608</v>
      </c>
      <c r="B26" s="1">
        <v>46059</v>
      </c>
      <c r="C26" t="s">
        <v>4920</v>
      </c>
      <c r="D26" s="36" t="str">
        <f t="shared" si="0"/>
        <v>64237413_20260206_nf_06.pdf</v>
      </c>
      <c r="E26">
        <f>COUNTIF(Analise!U:U,Notas_sem_indexar!C26)</f>
        <v>1</v>
      </c>
      <c r="G26" t="str">
        <f>IF(F26&lt;&gt;"",VLOOKUP(F26,'Obras e Acervos'!$C:$D,2,0),"OK")</f>
        <v>OK</v>
      </c>
    </row>
    <row r="27" spans="1:7" hidden="1" x14ac:dyDescent="0.25">
      <c r="A27" t="s">
        <v>5608</v>
      </c>
      <c r="B27" s="1">
        <v>46059</v>
      </c>
      <c r="C27" t="s">
        <v>4929</v>
      </c>
      <c r="D27" s="36" t="str">
        <f t="shared" si="0"/>
        <v>64237413_20260206_nf_07.pdf</v>
      </c>
      <c r="E27">
        <f>COUNTIF(Analise!U:U,Notas_sem_indexar!C27)</f>
        <v>1</v>
      </c>
      <c r="G27" t="str">
        <f>IF(F27&lt;&gt;"",VLOOKUP(F27,'Obras e Acervos'!$C:$D,2,0),"OK")</f>
        <v>OK</v>
      </c>
    </row>
    <row r="28" spans="1:7" hidden="1" x14ac:dyDescent="0.25">
      <c r="A28" t="s">
        <v>5608</v>
      </c>
      <c r="B28" s="1">
        <v>46059</v>
      </c>
      <c r="C28" t="s">
        <v>4924</v>
      </c>
      <c r="D28" s="36" t="str">
        <f t="shared" si="0"/>
        <v>64237413_20260206_nf_08.pdf</v>
      </c>
      <c r="E28">
        <f>COUNTIF(Analise!U:U,Notas_sem_indexar!C28)</f>
        <v>1</v>
      </c>
      <c r="G28" t="str">
        <f>IF(F28&lt;&gt;"",VLOOKUP(F28,'Obras e Acervos'!$C:$D,2,0),"OK")</f>
        <v>OK</v>
      </c>
    </row>
    <row r="29" spans="1:7" hidden="1" x14ac:dyDescent="0.25">
      <c r="A29" t="s">
        <v>5608</v>
      </c>
      <c r="B29" s="1">
        <v>46059</v>
      </c>
      <c r="C29" t="s">
        <v>4921</v>
      </c>
      <c r="D29" s="36" t="str">
        <f t="shared" si="0"/>
        <v>64237413_20260206_nf_09.pdf</v>
      </c>
      <c r="E29">
        <f>COUNTIF(Analise!U:U,Notas_sem_indexar!C29)</f>
        <v>1</v>
      </c>
      <c r="G29" t="str">
        <f>IF(F29&lt;&gt;"",VLOOKUP(F29,'Obras e Acervos'!$C:$D,2,0),"OK")</f>
        <v>OK</v>
      </c>
    </row>
    <row r="30" spans="1:7" hidden="1" x14ac:dyDescent="0.25">
      <c r="A30" t="s">
        <v>5608</v>
      </c>
      <c r="B30" s="1">
        <v>46059</v>
      </c>
      <c r="C30" t="s">
        <v>4932</v>
      </c>
      <c r="D30" s="36" t="str">
        <f t="shared" si="0"/>
        <v>64237413_20260206_nf_10.pdf</v>
      </c>
      <c r="E30">
        <f>COUNTIF(Analise!U:U,Notas_sem_indexar!C30)</f>
        <v>1</v>
      </c>
      <c r="G30" t="str">
        <f>IF(F30&lt;&gt;"",VLOOKUP(F30,'Obras e Acervos'!$C:$D,2,0),"OK")</f>
        <v>OK</v>
      </c>
    </row>
    <row r="31" spans="1:7" hidden="1" x14ac:dyDescent="0.25">
      <c r="A31" t="s">
        <v>5608</v>
      </c>
      <c r="B31" s="1">
        <v>46059</v>
      </c>
      <c r="C31" t="s">
        <v>4922</v>
      </c>
      <c r="D31" s="36" t="str">
        <f t="shared" si="0"/>
        <v>64237413_20260206_nf_11.pdf</v>
      </c>
      <c r="E31">
        <f>COUNTIF(Analise!U:U,Notas_sem_indexar!C31)</f>
        <v>1</v>
      </c>
      <c r="G31" t="str">
        <f>IF(F31&lt;&gt;"",VLOOKUP(F31,'Obras e Acervos'!$C:$D,2,0),"OK")</f>
        <v>OK</v>
      </c>
    </row>
    <row r="32" spans="1:7" x14ac:dyDescent="0.25">
      <c r="A32" t="s">
        <v>5608</v>
      </c>
      <c r="B32" s="1">
        <v>46059</v>
      </c>
      <c r="C32" t="s">
        <v>5609</v>
      </c>
      <c r="D32" s="36" t="str">
        <f t="shared" si="0"/>
        <v>VERIFICAR</v>
      </c>
      <c r="E32">
        <f>COUNTIF(Analise!U:U,Notas_sem_indexar!C32)</f>
        <v>0</v>
      </c>
      <c r="F32" s="35" t="s">
        <v>2498</v>
      </c>
      <c r="G32" t="str">
        <f>IF(F32&lt;&gt;"",VLOOKUP(F32,'Obras e Acervos'!$C:$D,2,0),"OK")</f>
        <v>ROVELLE EDIÇÃO E COMERCIO DE LIVOS LTDA-EDITORA ROVELLE</v>
      </c>
    </row>
    <row r="33" spans="1:7" hidden="1" x14ac:dyDescent="0.25">
      <c r="A33" t="s">
        <v>5608</v>
      </c>
      <c r="B33" s="1">
        <v>46059</v>
      </c>
      <c r="C33" t="s">
        <v>4926</v>
      </c>
      <c r="D33" s="36" t="str">
        <f t="shared" si="0"/>
        <v>64237413_20260206_nf_13.pdf</v>
      </c>
      <c r="E33">
        <f>COUNTIF(Analise!U:U,Notas_sem_indexar!C33)</f>
        <v>2</v>
      </c>
      <c r="G33" t="str">
        <f>IF(F33&lt;&gt;"",VLOOKUP(F33,'Obras e Acervos'!$C:$D,2,0),"OK")</f>
        <v>OK</v>
      </c>
    </row>
    <row r="34" spans="1:7" hidden="1" x14ac:dyDescent="0.25">
      <c r="A34" t="s">
        <v>5608</v>
      </c>
      <c r="B34" s="1">
        <v>46059</v>
      </c>
      <c r="C34" t="s">
        <v>4930</v>
      </c>
      <c r="D34" s="36" t="str">
        <f t="shared" si="0"/>
        <v>64237413_20260206_nf_14.pdf</v>
      </c>
      <c r="E34">
        <f>COUNTIF(Analise!U:U,Notas_sem_indexar!C34)</f>
        <v>1</v>
      </c>
      <c r="G34" t="str">
        <f>IF(F34&lt;&gt;"",VLOOKUP(F34,'Obras e Acervos'!$C:$D,2,0),"OK")</f>
        <v>OK</v>
      </c>
    </row>
    <row r="35" spans="1:7" hidden="1" x14ac:dyDescent="0.25">
      <c r="A35" t="s">
        <v>5608</v>
      </c>
      <c r="B35" s="1">
        <v>46062</v>
      </c>
      <c r="C35" t="s">
        <v>4941</v>
      </c>
      <c r="D35" s="36" t="str">
        <f t="shared" si="0"/>
        <v>64237413_20260209_nf_01.pdf</v>
      </c>
      <c r="E35">
        <f>COUNTIF(Analise!U:U,Notas_sem_indexar!C35)</f>
        <v>2</v>
      </c>
      <c r="G35" t="str">
        <f>IF(F35&lt;&gt;"",VLOOKUP(F35,'Obras e Acervos'!$C:$D,2,0),"OK")</f>
        <v>OK</v>
      </c>
    </row>
    <row r="36" spans="1:7" x14ac:dyDescent="0.25">
      <c r="A36" t="s">
        <v>5608</v>
      </c>
      <c r="B36" s="1">
        <v>46062</v>
      </c>
      <c r="C36" t="s">
        <v>5610</v>
      </c>
      <c r="D36" s="36" t="str">
        <f t="shared" si="0"/>
        <v>VERIFICAR</v>
      </c>
      <c r="E36">
        <f>COUNTIF(Analise!U:U,Notas_sem_indexar!C36)</f>
        <v>0</v>
      </c>
      <c r="F36" s="35" t="s">
        <v>2070</v>
      </c>
      <c r="G36" t="str">
        <f>IF(F36&lt;&gt;"",VLOOKUP(F36,'Obras e Acervos'!$C:$D,2,0),"OK")</f>
        <v>EDELBRA GRÁFICA LTDA-EDELBRA</v>
      </c>
    </row>
    <row r="37" spans="1:7" hidden="1" x14ac:dyDescent="0.25">
      <c r="A37" t="s">
        <v>5608</v>
      </c>
      <c r="B37" s="1">
        <v>46062</v>
      </c>
      <c r="C37" t="s">
        <v>4933</v>
      </c>
      <c r="D37" s="36" t="str">
        <f t="shared" si="0"/>
        <v>64237413_20260209_nf_03.pdf</v>
      </c>
      <c r="E37">
        <f>COUNTIF(Analise!U:U,Notas_sem_indexar!C37)</f>
        <v>2</v>
      </c>
      <c r="G37" t="str">
        <f>IF(F37&lt;&gt;"",VLOOKUP(F37,'Obras e Acervos'!$C:$D,2,0),"OK")</f>
        <v>OK</v>
      </c>
    </row>
    <row r="38" spans="1:7" x14ac:dyDescent="0.25">
      <c r="A38" t="s">
        <v>5608</v>
      </c>
      <c r="B38" s="1">
        <v>46062</v>
      </c>
      <c r="C38" t="s">
        <v>5611</v>
      </c>
      <c r="D38" s="36" t="str">
        <f t="shared" si="0"/>
        <v>VERIFICAR</v>
      </c>
      <c r="E38">
        <f>COUNTIF(Analise!U:U,Notas_sem_indexar!C38)</f>
        <v>0</v>
      </c>
      <c r="F38" s="35" t="s">
        <v>2070</v>
      </c>
      <c r="G38" t="str">
        <f>IF(F38&lt;&gt;"",VLOOKUP(F38,'Obras e Acervos'!$C:$D,2,0),"OK")</f>
        <v>EDELBRA GRÁFICA LTDA-EDELBRA</v>
      </c>
    </row>
    <row r="39" spans="1:7" hidden="1" x14ac:dyDescent="0.25">
      <c r="A39" t="s">
        <v>5608</v>
      </c>
      <c r="B39" s="1">
        <v>46062</v>
      </c>
      <c r="C39" t="s">
        <v>4934</v>
      </c>
      <c r="D39" s="36" t="str">
        <f t="shared" si="0"/>
        <v>64237413_20260209_nf_05.pdf</v>
      </c>
      <c r="E39">
        <f>COUNTIF(Analise!U:U,Notas_sem_indexar!C39)</f>
        <v>1</v>
      </c>
      <c r="G39" t="str">
        <f>IF(F39&lt;&gt;"",VLOOKUP(F39,'Obras e Acervos'!$C:$D,2,0),"OK")</f>
        <v>OK</v>
      </c>
    </row>
    <row r="40" spans="1:7" hidden="1" x14ac:dyDescent="0.25">
      <c r="A40" t="s">
        <v>5608</v>
      </c>
      <c r="B40" s="1">
        <v>46062</v>
      </c>
      <c r="C40" t="s">
        <v>4935</v>
      </c>
      <c r="D40" s="36" t="str">
        <f t="shared" si="0"/>
        <v>64237413_20260209_nf_06.pdf</v>
      </c>
      <c r="E40">
        <f>COUNTIF(Analise!U:U,Notas_sem_indexar!C40)</f>
        <v>1</v>
      </c>
      <c r="G40" t="str">
        <f>IF(F40&lt;&gt;"",VLOOKUP(F40,'Obras e Acervos'!$C:$D,2,0),"OK")</f>
        <v>OK</v>
      </c>
    </row>
    <row r="41" spans="1:7" hidden="1" x14ac:dyDescent="0.25">
      <c r="A41" t="s">
        <v>5608</v>
      </c>
      <c r="B41" s="1">
        <v>46062</v>
      </c>
      <c r="C41" t="s">
        <v>4940</v>
      </c>
      <c r="D41" s="36" t="str">
        <f t="shared" si="0"/>
        <v>64237413_20260209_nf_07.pdf</v>
      </c>
      <c r="E41">
        <f>COUNTIF(Analise!U:U,Notas_sem_indexar!C41)</f>
        <v>1</v>
      </c>
      <c r="G41" t="str">
        <f>IF(F41&lt;&gt;"",VLOOKUP(F41,'Obras e Acervos'!$C:$D,2,0),"OK")</f>
        <v>OK</v>
      </c>
    </row>
    <row r="42" spans="1:7" hidden="1" x14ac:dyDescent="0.25">
      <c r="A42" t="s">
        <v>5608</v>
      </c>
      <c r="B42" s="1">
        <v>46062</v>
      </c>
      <c r="C42" t="s">
        <v>4936</v>
      </c>
      <c r="D42" s="36" t="str">
        <f t="shared" si="0"/>
        <v>64237413_20260209_nf_08.pdf</v>
      </c>
      <c r="E42">
        <f>COUNTIF(Analise!U:U,Notas_sem_indexar!C42)</f>
        <v>1</v>
      </c>
      <c r="G42" t="str">
        <f>IF(F42&lt;&gt;"",VLOOKUP(F42,'Obras e Acervos'!$C:$D,2,0),"OK")</f>
        <v>OK</v>
      </c>
    </row>
    <row r="43" spans="1:7" hidden="1" x14ac:dyDescent="0.25">
      <c r="A43" t="s">
        <v>5608</v>
      </c>
      <c r="B43" s="1">
        <v>46062</v>
      </c>
      <c r="C43" t="s">
        <v>4937</v>
      </c>
      <c r="D43" s="36" t="str">
        <f t="shared" si="0"/>
        <v>64237413_20260209_nf_09.pdf</v>
      </c>
      <c r="E43">
        <f>COUNTIF(Analise!U:U,Notas_sem_indexar!C43)</f>
        <v>1</v>
      </c>
      <c r="G43" t="str">
        <f>IF(F43&lt;&gt;"",VLOOKUP(F43,'Obras e Acervos'!$C:$D,2,0),"OK")</f>
        <v>OK</v>
      </c>
    </row>
    <row r="44" spans="1:7" hidden="1" x14ac:dyDescent="0.25">
      <c r="A44" t="s">
        <v>5608</v>
      </c>
      <c r="B44" s="1">
        <v>46062</v>
      </c>
      <c r="C44" t="s">
        <v>4938</v>
      </c>
      <c r="D44" s="36" t="str">
        <f t="shared" si="0"/>
        <v>64237413_20260209_nf_10.pdf</v>
      </c>
      <c r="E44">
        <f>COUNTIF(Analise!U:U,Notas_sem_indexar!C44)</f>
        <v>1</v>
      </c>
      <c r="G44" t="str">
        <f>IF(F44&lt;&gt;"",VLOOKUP(F44,'Obras e Acervos'!$C:$D,2,0),"OK")</f>
        <v>OK</v>
      </c>
    </row>
    <row r="45" spans="1:7" hidden="1" x14ac:dyDescent="0.25">
      <c r="A45" t="s">
        <v>5608</v>
      </c>
      <c r="B45" s="1">
        <v>46062</v>
      </c>
      <c r="C45" t="s">
        <v>4939</v>
      </c>
      <c r="D45" s="36" t="str">
        <f t="shared" si="0"/>
        <v>64237413_20260209_nf_11.pdf</v>
      </c>
      <c r="E45">
        <f>COUNTIF(Analise!U:U,Notas_sem_indexar!C45)</f>
        <v>1</v>
      </c>
      <c r="G45" t="str">
        <f>IF(F45&lt;&gt;"",VLOOKUP(F45,'Obras e Acervos'!$C:$D,2,0),"OK")</f>
        <v>OK</v>
      </c>
    </row>
    <row r="46" spans="1:7" hidden="1" x14ac:dyDescent="0.25">
      <c r="A46" t="s">
        <v>5608</v>
      </c>
      <c r="B46" s="1">
        <v>46062</v>
      </c>
      <c r="C46" t="s">
        <v>4942</v>
      </c>
      <c r="D46" s="36" t="str">
        <f t="shared" si="0"/>
        <v>64237413_20260209_nf_12.pdf</v>
      </c>
      <c r="E46">
        <f>COUNTIF(Analise!U:U,Notas_sem_indexar!C46)</f>
        <v>2</v>
      </c>
      <c r="G46" t="str">
        <f>IF(F46&lt;&gt;"",VLOOKUP(F46,'Obras e Acervos'!$C:$D,2,0),"OK")</f>
        <v>OK</v>
      </c>
    </row>
    <row r="47" spans="1:7" x14ac:dyDescent="0.25">
      <c r="A47" t="s">
        <v>5608</v>
      </c>
      <c r="B47" s="1">
        <v>46062</v>
      </c>
      <c r="C47" t="s">
        <v>5612</v>
      </c>
      <c r="D47" s="36" t="str">
        <f t="shared" si="0"/>
        <v>VERIFICAR</v>
      </c>
      <c r="E47">
        <f>COUNTIF(Analise!U:U,Notas_sem_indexar!C47)</f>
        <v>0</v>
      </c>
      <c r="F47" s="35" t="s">
        <v>2487</v>
      </c>
      <c r="G47" t="str">
        <f>IF(F47&lt;&gt;"",VLOOKUP(F47,'Obras e Acervos'!$C:$D,2,0),"OK")</f>
        <v>OCEANO EDIÇÕES E IMPRESSÃO GRÁFICA LTDA -GRÁFICA OCEANO</v>
      </c>
    </row>
    <row r="48" spans="1:7" hidden="1" x14ac:dyDescent="0.25">
      <c r="A48" t="s">
        <v>5613</v>
      </c>
      <c r="B48" s="1">
        <v>46063</v>
      </c>
      <c r="C48" t="s">
        <v>4951</v>
      </c>
      <c r="D48" s="36" t="str">
        <f t="shared" si="0"/>
        <v>64237557_20260210_nf_01.pdf</v>
      </c>
      <c r="E48">
        <f>COUNTIF(Analise!U:U,Notas_sem_indexar!C48)</f>
        <v>1</v>
      </c>
      <c r="G48" t="str">
        <f>IF(F48&lt;&gt;"",VLOOKUP(F48,'Obras e Acervos'!$C:$D,2,0),"OK")</f>
        <v>OK</v>
      </c>
    </row>
    <row r="49" spans="1:7" hidden="1" x14ac:dyDescent="0.25">
      <c r="A49" t="s">
        <v>5613</v>
      </c>
      <c r="B49" s="1">
        <v>46063</v>
      </c>
      <c r="C49" t="s">
        <v>4948</v>
      </c>
      <c r="D49" s="36" t="str">
        <f t="shared" si="0"/>
        <v>64237557_20260210_nf_02.pdf</v>
      </c>
      <c r="E49">
        <f>COUNTIF(Analise!U:U,Notas_sem_indexar!C49)</f>
        <v>1</v>
      </c>
      <c r="G49" t="str">
        <f>IF(F49&lt;&gt;"",VLOOKUP(F49,'Obras e Acervos'!$C:$D,2,0),"OK")</f>
        <v>OK</v>
      </c>
    </row>
    <row r="50" spans="1:7" hidden="1" x14ac:dyDescent="0.25">
      <c r="A50" t="s">
        <v>5613</v>
      </c>
      <c r="B50" s="1">
        <v>46063</v>
      </c>
      <c r="C50" t="s">
        <v>4952</v>
      </c>
      <c r="D50" s="36" t="str">
        <f t="shared" si="0"/>
        <v>64237557_20260210_nf_03.pdf</v>
      </c>
      <c r="E50">
        <f>COUNTIF(Analise!U:U,Notas_sem_indexar!C50)</f>
        <v>2</v>
      </c>
      <c r="G50" t="str">
        <f>IF(F50&lt;&gt;"",VLOOKUP(F50,'Obras e Acervos'!$C:$D,2,0),"OK")</f>
        <v>OK</v>
      </c>
    </row>
    <row r="51" spans="1:7" hidden="1" x14ac:dyDescent="0.25">
      <c r="A51" t="s">
        <v>5613</v>
      </c>
      <c r="B51" s="1">
        <v>46063</v>
      </c>
      <c r="C51" t="s">
        <v>4955</v>
      </c>
      <c r="D51" s="36" t="str">
        <f t="shared" si="0"/>
        <v>64237557_20260210_nf_04.pdf</v>
      </c>
      <c r="E51">
        <f>COUNTIF(Analise!U:U,Notas_sem_indexar!C51)</f>
        <v>2</v>
      </c>
      <c r="G51" t="str">
        <f>IF(F51&lt;&gt;"",VLOOKUP(F51,'Obras e Acervos'!$C:$D,2,0),"OK")</f>
        <v>OK</v>
      </c>
    </row>
    <row r="52" spans="1:7" hidden="1" x14ac:dyDescent="0.25">
      <c r="A52" t="s">
        <v>5613</v>
      </c>
      <c r="B52" s="1">
        <v>46063</v>
      </c>
      <c r="C52" t="s">
        <v>4956</v>
      </c>
      <c r="D52" s="36" t="str">
        <f t="shared" si="0"/>
        <v>64237557_20260210_nf_05.pdf</v>
      </c>
      <c r="E52">
        <f>COUNTIF(Analise!U:U,Notas_sem_indexar!C52)</f>
        <v>2</v>
      </c>
      <c r="G52" t="str">
        <f>IF(F52&lt;&gt;"",VLOOKUP(F52,'Obras e Acervos'!$C:$D,2,0),"OK")</f>
        <v>OK</v>
      </c>
    </row>
    <row r="53" spans="1:7" hidden="1" x14ac:dyDescent="0.25">
      <c r="A53" t="s">
        <v>5613</v>
      </c>
      <c r="B53" s="1">
        <v>46063</v>
      </c>
      <c r="C53" t="s">
        <v>4963</v>
      </c>
      <c r="D53" s="36" t="str">
        <f t="shared" si="0"/>
        <v>64237557_20260210_nf_06.pdf</v>
      </c>
      <c r="E53">
        <f>COUNTIF(Analise!U:U,Notas_sem_indexar!C53)</f>
        <v>1</v>
      </c>
      <c r="G53" t="str">
        <f>IF(F53&lt;&gt;"",VLOOKUP(F53,'Obras e Acervos'!$C:$D,2,0),"OK")</f>
        <v>OK</v>
      </c>
    </row>
    <row r="54" spans="1:7" hidden="1" x14ac:dyDescent="0.25">
      <c r="A54" t="s">
        <v>5613</v>
      </c>
      <c r="B54" s="1">
        <v>46063</v>
      </c>
      <c r="C54" t="s">
        <v>4960</v>
      </c>
      <c r="D54" s="36" t="str">
        <f t="shared" si="0"/>
        <v>64237557_20260210_nf_07.pdf</v>
      </c>
      <c r="E54">
        <f>COUNTIF(Analise!U:U,Notas_sem_indexar!C54)</f>
        <v>1</v>
      </c>
      <c r="G54" t="str">
        <f>IF(F54&lt;&gt;"",VLOOKUP(F54,'Obras e Acervos'!$C:$D,2,0),"OK")</f>
        <v>OK</v>
      </c>
    </row>
    <row r="55" spans="1:7" hidden="1" x14ac:dyDescent="0.25">
      <c r="A55" t="s">
        <v>5613</v>
      </c>
      <c r="B55" s="1">
        <v>46063</v>
      </c>
      <c r="C55" t="s">
        <v>4969</v>
      </c>
      <c r="D55" s="36" t="str">
        <f t="shared" si="0"/>
        <v>64237557_20260210_nf_08.pdf</v>
      </c>
      <c r="E55">
        <f>COUNTIF(Analise!U:U,Notas_sem_indexar!C55)</f>
        <v>1</v>
      </c>
      <c r="G55" t="str">
        <f>IF(F55&lt;&gt;"",VLOOKUP(F55,'Obras e Acervos'!$C:$D,2,0),"OK")</f>
        <v>OK</v>
      </c>
    </row>
    <row r="56" spans="1:7" hidden="1" x14ac:dyDescent="0.25">
      <c r="A56" t="s">
        <v>5613</v>
      </c>
      <c r="B56" s="1">
        <v>46063</v>
      </c>
      <c r="C56" t="s">
        <v>4967</v>
      </c>
      <c r="D56" s="36" t="str">
        <f t="shared" si="0"/>
        <v>64237557_20260210_nf_09.pdf</v>
      </c>
      <c r="E56">
        <f>COUNTIF(Analise!U:U,Notas_sem_indexar!C56)</f>
        <v>1</v>
      </c>
      <c r="G56" t="str">
        <f>IF(F56&lt;&gt;"",VLOOKUP(F56,'Obras e Acervos'!$C:$D,2,0),"OK")</f>
        <v>OK</v>
      </c>
    </row>
    <row r="57" spans="1:7" hidden="1" x14ac:dyDescent="0.25">
      <c r="A57" t="s">
        <v>5613</v>
      </c>
      <c r="B57" s="1">
        <v>46063</v>
      </c>
      <c r="C57" t="s">
        <v>4966</v>
      </c>
      <c r="D57" s="36" t="str">
        <f t="shared" si="0"/>
        <v>64237557_20260210_nf_10.pdf</v>
      </c>
      <c r="E57">
        <f>COUNTIF(Analise!U:U,Notas_sem_indexar!C57)</f>
        <v>1</v>
      </c>
      <c r="G57" t="str">
        <f>IF(F57&lt;&gt;"",VLOOKUP(F57,'Obras e Acervos'!$C:$D,2,0),"OK")</f>
        <v>OK</v>
      </c>
    </row>
    <row r="58" spans="1:7" hidden="1" x14ac:dyDescent="0.25">
      <c r="A58" t="s">
        <v>5613</v>
      </c>
      <c r="B58" s="1">
        <v>46063</v>
      </c>
      <c r="C58" t="s">
        <v>4954</v>
      </c>
      <c r="D58" s="36" t="str">
        <f t="shared" si="0"/>
        <v>64237557_20260210_nf_11.pdf</v>
      </c>
      <c r="E58">
        <f>COUNTIF(Analise!U:U,Notas_sem_indexar!C58)</f>
        <v>1</v>
      </c>
      <c r="G58" t="str">
        <f>IF(F58&lt;&gt;"",VLOOKUP(F58,'Obras e Acervos'!$C:$D,2,0),"OK")</f>
        <v>OK</v>
      </c>
    </row>
    <row r="59" spans="1:7" hidden="1" x14ac:dyDescent="0.25">
      <c r="A59" t="s">
        <v>5613</v>
      </c>
      <c r="B59" s="1">
        <v>46063</v>
      </c>
      <c r="C59" t="s">
        <v>4958</v>
      </c>
      <c r="D59" s="36" t="str">
        <f t="shared" si="0"/>
        <v>64237557_20260210_nf_12.pdf</v>
      </c>
      <c r="E59">
        <f>COUNTIF(Analise!U:U,Notas_sem_indexar!C59)</f>
        <v>1</v>
      </c>
      <c r="G59" t="str">
        <f>IF(F59&lt;&gt;"",VLOOKUP(F59,'Obras e Acervos'!$C:$D,2,0),"OK")</f>
        <v>OK</v>
      </c>
    </row>
    <row r="60" spans="1:7" hidden="1" x14ac:dyDescent="0.25">
      <c r="A60" t="s">
        <v>5613</v>
      </c>
      <c r="B60" s="1">
        <v>46063</v>
      </c>
      <c r="C60" t="s">
        <v>4962</v>
      </c>
      <c r="D60" s="36" t="str">
        <f t="shared" si="0"/>
        <v>64237557_20260210_nf_13.pdf</v>
      </c>
      <c r="E60">
        <f>COUNTIF(Analise!U:U,Notas_sem_indexar!C60)</f>
        <v>1</v>
      </c>
      <c r="G60" t="str">
        <f>IF(F60&lt;&gt;"",VLOOKUP(F60,'Obras e Acervos'!$C:$D,2,0),"OK")</f>
        <v>OK</v>
      </c>
    </row>
    <row r="61" spans="1:7" hidden="1" x14ac:dyDescent="0.25">
      <c r="A61" t="s">
        <v>5613</v>
      </c>
      <c r="B61" s="1">
        <v>46063</v>
      </c>
      <c r="C61" t="s">
        <v>4968</v>
      </c>
      <c r="D61" s="36" t="str">
        <f t="shared" si="0"/>
        <v>64237557_20260210_nf_14.pdf</v>
      </c>
      <c r="E61">
        <f>COUNTIF(Analise!U:U,Notas_sem_indexar!C61)</f>
        <v>1</v>
      </c>
      <c r="G61" t="str">
        <f>IF(F61&lt;&gt;"",VLOOKUP(F61,'Obras e Acervos'!$C:$D,2,0),"OK")</f>
        <v>OK</v>
      </c>
    </row>
    <row r="62" spans="1:7" hidden="1" x14ac:dyDescent="0.25">
      <c r="A62" t="s">
        <v>5613</v>
      </c>
      <c r="B62" s="1">
        <v>46063</v>
      </c>
      <c r="C62" t="s">
        <v>4970</v>
      </c>
      <c r="D62" s="36" t="str">
        <f t="shared" si="0"/>
        <v>64237557_20260210_nf_15.pdf</v>
      </c>
      <c r="E62">
        <f>COUNTIF(Analise!U:U,Notas_sem_indexar!C62)</f>
        <v>2</v>
      </c>
      <c r="G62" t="str">
        <f>IF(F62&lt;&gt;"",VLOOKUP(F62,'Obras e Acervos'!$C:$D,2,0),"OK")</f>
        <v>OK</v>
      </c>
    </row>
    <row r="63" spans="1:7" hidden="1" x14ac:dyDescent="0.25">
      <c r="A63" t="s">
        <v>5613</v>
      </c>
      <c r="B63" s="1">
        <v>46063</v>
      </c>
      <c r="C63" t="s">
        <v>4964</v>
      </c>
      <c r="D63" s="36" t="str">
        <f t="shared" si="0"/>
        <v>64237557_20260210_nf_16.pdf</v>
      </c>
      <c r="E63">
        <f>COUNTIF(Analise!U:U,Notas_sem_indexar!C63)</f>
        <v>2</v>
      </c>
      <c r="G63" t="str">
        <f>IF(F63&lt;&gt;"",VLOOKUP(F63,'Obras e Acervos'!$C:$D,2,0),"OK")</f>
        <v>OK</v>
      </c>
    </row>
    <row r="64" spans="1:7" hidden="1" x14ac:dyDescent="0.25">
      <c r="A64" t="s">
        <v>5613</v>
      </c>
      <c r="B64" s="1">
        <v>46063</v>
      </c>
      <c r="C64" t="s">
        <v>4953</v>
      </c>
      <c r="D64" s="36" t="str">
        <f t="shared" si="0"/>
        <v>64237557_20260210_nf_17.pdf</v>
      </c>
      <c r="E64">
        <f>COUNTIF(Analise!U:U,Notas_sem_indexar!C64)</f>
        <v>1</v>
      </c>
      <c r="G64" t="str">
        <f>IF(F64&lt;&gt;"",VLOOKUP(F64,'Obras e Acervos'!$C:$D,2,0),"OK")</f>
        <v>OK</v>
      </c>
    </row>
    <row r="65" spans="1:8" hidden="1" x14ac:dyDescent="0.25">
      <c r="A65" t="s">
        <v>5613</v>
      </c>
      <c r="B65" s="1">
        <v>46063</v>
      </c>
      <c r="C65" t="s">
        <v>4965</v>
      </c>
      <c r="D65" s="36" t="str">
        <f t="shared" si="0"/>
        <v>64237557_20260210_nf_18.pdf</v>
      </c>
      <c r="E65">
        <f>COUNTIF(Analise!U:U,Notas_sem_indexar!C65)</f>
        <v>1</v>
      </c>
      <c r="G65" t="str">
        <f>IF(F65&lt;&gt;"",VLOOKUP(F65,'Obras e Acervos'!$C:$D,2,0),"OK")</f>
        <v>OK</v>
      </c>
    </row>
    <row r="66" spans="1:8" hidden="1" x14ac:dyDescent="0.25">
      <c r="A66" t="s">
        <v>5613</v>
      </c>
      <c r="B66" s="1">
        <v>46063</v>
      </c>
      <c r="C66" t="s">
        <v>4957</v>
      </c>
      <c r="D66" s="36" t="str">
        <f t="shared" si="0"/>
        <v>64237557_20260210_nf_19.pdf</v>
      </c>
      <c r="E66">
        <f>COUNTIF(Analise!U:U,Notas_sem_indexar!C66)</f>
        <v>1</v>
      </c>
      <c r="G66" t="str">
        <f>IF(F66&lt;&gt;"",VLOOKUP(F66,'Obras e Acervos'!$C:$D,2,0),"OK")</f>
        <v>OK</v>
      </c>
    </row>
    <row r="67" spans="1:8" hidden="1" x14ac:dyDescent="0.25">
      <c r="A67" t="s">
        <v>5613</v>
      </c>
      <c r="B67" s="1">
        <v>46063</v>
      </c>
      <c r="C67" t="s">
        <v>4959</v>
      </c>
      <c r="D67" s="36" t="str">
        <f t="shared" ref="D67:D130" si="1">IF(E67=0,HYPERLINK(CONCATENATE("saida/",C67),"VERIFICAR"),HYPERLINK(CONCATENATE("saida/",C67),C67))</f>
        <v>64237557_20260210_nf_20.pdf</v>
      </c>
      <c r="E67">
        <f>COUNTIF(Analise!U:U,Notas_sem_indexar!C67)</f>
        <v>1</v>
      </c>
      <c r="G67" t="str">
        <f>IF(F67&lt;&gt;"",VLOOKUP(F67,'Obras e Acervos'!$C:$D,2,0),"OK")</f>
        <v>OK</v>
      </c>
    </row>
    <row r="68" spans="1:8" hidden="1" x14ac:dyDescent="0.25">
      <c r="A68" t="s">
        <v>5613</v>
      </c>
      <c r="B68" s="1">
        <v>46063</v>
      </c>
      <c r="C68" t="s">
        <v>4949</v>
      </c>
      <c r="D68" s="36" t="str">
        <f t="shared" si="1"/>
        <v>64237557_20260210_nf_21.pdf</v>
      </c>
      <c r="E68">
        <f>COUNTIF(Analise!U:U,Notas_sem_indexar!C68)</f>
        <v>2</v>
      </c>
      <c r="G68" t="str">
        <f>IF(F68&lt;&gt;"",VLOOKUP(F68,'Obras e Acervos'!$C:$D,2,0),"OK")</f>
        <v>OK</v>
      </c>
    </row>
    <row r="69" spans="1:8" hidden="1" x14ac:dyDescent="0.25">
      <c r="A69" t="s">
        <v>5613</v>
      </c>
      <c r="B69" s="1">
        <v>46063</v>
      </c>
      <c r="C69" t="s">
        <v>4961</v>
      </c>
      <c r="D69" s="36" t="str">
        <f t="shared" si="1"/>
        <v>64237557_20260210_nf_22.pdf</v>
      </c>
      <c r="E69">
        <f>COUNTIF(Analise!U:U,Notas_sem_indexar!C69)</f>
        <v>1</v>
      </c>
      <c r="G69" t="str">
        <f>IF(F69&lt;&gt;"",VLOOKUP(F69,'Obras e Acervos'!$C:$D,2,0),"OK")</f>
        <v>OK</v>
      </c>
    </row>
    <row r="70" spans="1:8" x14ac:dyDescent="0.25">
      <c r="A70" t="s">
        <v>5613</v>
      </c>
      <c r="B70" s="1">
        <v>46063</v>
      </c>
      <c r="C70" t="s">
        <v>4950</v>
      </c>
      <c r="D70" s="36" t="str">
        <f t="shared" si="1"/>
        <v>VERIFICAR</v>
      </c>
      <c r="E70">
        <f>COUNTIF(Analise!U:U,Notas_sem_indexar!C70)</f>
        <v>0</v>
      </c>
      <c r="F70" s="40" t="s">
        <v>2741</v>
      </c>
      <c r="G70" t="str">
        <f>IF(F70&lt;&gt;"",VLOOKUP(F70,'Obras e Acervos'!$C:$D,2,0),"OK")</f>
        <v>EDITORA PLANETA DO BRASIL LTDA-EDITORA PLANETA</v>
      </c>
      <c r="H70" t="s">
        <v>5766</v>
      </c>
    </row>
    <row r="71" spans="1:8" x14ac:dyDescent="0.25">
      <c r="A71" t="s">
        <v>5613</v>
      </c>
      <c r="B71" s="1">
        <v>46063</v>
      </c>
      <c r="C71" t="s">
        <v>4943</v>
      </c>
      <c r="D71" s="36" t="str">
        <f t="shared" si="1"/>
        <v>VERIFICAR</v>
      </c>
      <c r="E71">
        <f>COUNTIF(Analise!U:U,Notas_sem_indexar!C71)</f>
        <v>0</v>
      </c>
      <c r="F71" s="40" t="s">
        <v>2888</v>
      </c>
      <c r="G71" t="str">
        <f>IF(F71&lt;&gt;"",VLOOKUP(F71,'Obras e Acervos'!$C:$D,2,0),"OK")</f>
        <v>EDITORA JPA LTDA.-</v>
      </c>
    </row>
    <row r="72" spans="1:8" x14ac:dyDescent="0.25">
      <c r="A72" t="s">
        <v>5613</v>
      </c>
      <c r="B72" s="1">
        <v>46063</v>
      </c>
      <c r="C72" t="s">
        <v>4944</v>
      </c>
      <c r="D72" s="36" t="str">
        <f t="shared" si="1"/>
        <v>VERIFICAR</v>
      </c>
      <c r="E72">
        <f>COUNTIF(Analise!U:U,Notas_sem_indexar!C72)</f>
        <v>0</v>
      </c>
      <c r="F72" s="35" t="s">
        <v>3134</v>
      </c>
      <c r="G72" t="str">
        <f>IF(F72&lt;&gt;"",VLOOKUP(F72,'Obras e Acervos'!$C:$D,2,0),"OK")</f>
        <v>SOCIEDADE LITERÁRIA EDIÇÕES E EMPRENDIMENTOS LTDA.-</v>
      </c>
    </row>
    <row r="73" spans="1:8" x14ac:dyDescent="0.25">
      <c r="A73" t="s">
        <v>5613</v>
      </c>
      <c r="B73" s="1">
        <v>46063</v>
      </c>
      <c r="C73" t="s">
        <v>4945</v>
      </c>
      <c r="D73" s="36" t="str">
        <f t="shared" si="1"/>
        <v>VERIFICAR</v>
      </c>
      <c r="E73">
        <f>COUNTIF(Analise!U:U,Notas_sem_indexar!C73)</f>
        <v>0</v>
      </c>
      <c r="F73" s="40" t="s">
        <v>2605</v>
      </c>
      <c r="G73" t="str">
        <f>IF(F73&lt;&gt;"",VLOOKUP(F73,'Obras e Acervos'!$C:$D,2,0),"OK")</f>
        <v>EDITORA PRUMO LTDA.-</v>
      </c>
    </row>
    <row r="74" spans="1:8" x14ac:dyDescent="0.25">
      <c r="A74" t="s">
        <v>5613</v>
      </c>
      <c r="B74" s="1">
        <v>46063</v>
      </c>
      <c r="C74" t="s">
        <v>4946</v>
      </c>
      <c r="D74" s="36" t="str">
        <f t="shared" si="1"/>
        <v>VERIFICAR</v>
      </c>
      <c r="E74">
        <f>COUNTIF(Analise!U:U,Notas_sem_indexar!C74)</f>
        <v>0</v>
      </c>
      <c r="F74" s="35" t="s">
        <v>1617</v>
      </c>
      <c r="G74" t="str">
        <f>IF(F74&lt;&gt;"",VLOOKUP(F74,'Obras e Acervos'!$C:$D,2,0),"OK")</f>
        <v>EDITORA LENDO E APRENDENDO LTDA.-</v>
      </c>
    </row>
    <row r="75" spans="1:8" x14ac:dyDescent="0.25">
      <c r="A75" t="s">
        <v>5613</v>
      </c>
      <c r="B75" s="1">
        <v>46063</v>
      </c>
      <c r="C75" t="s">
        <v>4947</v>
      </c>
      <c r="D75" s="36" t="str">
        <f t="shared" si="1"/>
        <v>VERIFICAR</v>
      </c>
      <c r="E75">
        <f>COUNTIF(Analise!U:U,Notas_sem_indexar!C75)</f>
        <v>0</v>
      </c>
      <c r="F75" s="40" t="s">
        <v>1945</v>
      </c>
      <c r="G75" t="str">
        <f>IF(F75&lt;&gt;"",VLOOKUP(F75,'Obras e Acervos'!$C:$D,2,0),"OK")</f>
        <v>EDITORA ROCCO LTDA.-</v>
      </c>
    </row>
    <row r="76" spans="1:8" x14ac:dyDescent="0.25">
      <c r="A76" t="s">
        <v>5616</v>
      </c>
      <c r="B76" s="1">
        <v>46065</v>
      </c>
      <c r="C76" t="s">
        <v>5767</v>
      </c>
      <c r="D76" s="36" t="str">
        <f t="shared" si="1"/>
        <v>VERIFICAR</v>
      </c>
      <c r="E76">
        <f>COUNTIF(Analise!U:U,Notas_sem_indexar!C76)</f>
        <v>0</v>
      </c>
      <c r="F76" s="35" t="s">
        <v>2820</v>
      </c>
      <c r="G76" t="str">
        <f>IF(F76&lt;&gt;"",VLOOKUP(F76,'Obras e Acervos'!$C:$D,2,0),"OK")</f>
        <v>UNIÃO BRASILEIRA DE EDUCAÇÃO E ASSISTÊNCIA-EDIPUCRS</v>
      </c>
    </row>
    <row r="77" spans="1:8" hidden="1" x14ac:dyDescent="0.25">
      <c r="A77" t="s">
        <v>5616</v>
      </c>
      <c r="B77" s="1">
        <v>46065</v>
      </c>
      <c r="C77" t="s">
        <v>4988</v>
      </c>
      <c r="D77" s="36" t="str">
        <f t="shared" si="1"/>
        <v>64237775_20260212_nf_21.pdf</v>
      </c>
      <c r="E77">
        <f>COUNTIF(Analise!U:U,Notas_sem_indexar!C77)</f>
        <v>2</v>
      </c>
      <c r="G77" t="str">
        <f>IF(F77&lt;&gt;"",VLOOKUP(F77,'Obras e Acervos'!$C:$D,2,0),"OK")</f>
        <v>OK</v>
      </c>
    </row>
    <row r="78" spans="1:8" hidden="1" x14ac:dyDescent="0.25">
      <c r="A78" t="s">
        <v>5614</v>
      </c>
      <c r="B78" s="1">
        <v>46065</v>
      </c>
      <c r="C78" t="s">
        <v>4975</v>
      </c>
      <c r="D78" s="36" t="str">
        <f t="shared" si="1"/>
        <v>64237775_20260212_nf_01.pdf</v>
      </c>
      <c r="E78">
        <f>COUNTIF(Analise!U:U,Notas_sem_indexar!C78)</f>
        <v>1</v>
      </c>
      <c r="G78" t="str">
        <f>IF(F78&lt;&gt;"",VLOOKUP(F78,'Obras e Acervos'!$C:$D,2,0),"OK")</f>
        <v>OK</v>
      </c>
    </row>
    <row r="79" spans="1:8" x14ac:dyDescent="0.25">
      <c r="A79" t="s">
        <v>5614</v>
      </c>
      <c r="B79" s="1">
        <v>46065</v>
      </c>
      <c r="C79" t="s">
        <v>4976</v>
      </c>
      <c r="D79" s="36" t="str">
        <f t="shared" si="1"/>
        <v>VERIFICAR</v>
      </c>
      <c r="E79">
        <f>COUNTIF(Analise!U:U,Notas_sem_indexar!C79)</f>
        <v>0</v>
      </c>
      <c r="F79" s="35" t="s">
        <v>2609</v>
      </c>
      <c r="G79" t="str">
        <f>IF(F79&lt;&gt;"",VLOOKUP(F79,'Obras e Acervos'!$C:$D,2,0),"OK")</f>
        <v>EDITORIAL VINTE E CINCO LTDA-EDITORIAL25</v>
      </c>
    </row>
    <row r="80" spans="1:8" hidden="1" x14ac:dyDescent="0.25">
      <c r="A80" t="s">
        <v>5614</v>
      </c>
      <c r="B80" s="1">
        <v>46065</v>
      </c>
      <c r="C80" t="s">
        <v>4971</v>
      </c>
      <c r="D80" s="36" t="str">
        <f t="shared" si="1"/>
        <v>64237775_20260212_nf_03.pdf</v>
      </c>
      <c r="E80">
        <f>COUNTIF(Analise!U:U,Notas_sem_indexar!C80)</f>
        <v>1</v>
      </c>
      <c r="G80" t="str">
        <f>IF(F80&lt;&gt;"",VLOOKUP(F80,'Obras e Acervos'!$C:$D,2,0),"OK")</f>
        <v>OK</v>
      </c>
    </row>
    <row r="81" spans="1:7" hidden="1" x14ac:dyDescent="0.25">
      <c r="A81" t="s">
        <v>5614</v>
      </c>
      <c r="B81" s="1">
        <v>46065</v>
      </c>
      <c r="C81" t="s">
        <v>4983</v>
      </c>
      <c r="D81" s="36" t="str">
        <f t="shared" si="1"/>
        <v>64237775_20260212_nf_04.pdf</v>
      </c>
      <c r="E81">
        <f>COUNTIF(Analise!U:U,Notas_sem_indexar!C81)</f>
        <v>1</v>
      </c>
      <c r="G81" t="str">
        <f>IF(F81&lt;&gt;"",VLOOKUP(F81,'Obras e Acervos'!$C:$D,2,0),"OK")</f>
        <v>OK</v>
      </c>
    </row>
    <row r="82" spans="1:7" x14ac:dyDescent="0.25">
      <c r="A82" t="s">
        <v>5614</v>
      </c>
      <c r="B82" s="1">
        <v>46065</v>
      </c>
      <c r="C82" t="s">
        <v>5615</v>
      </c>
      <c r="D82" s="36" t="str">
        <f t="shared" si="1"/>
        <v>VERIFICAR</v>
      </c>
      <c r="E82">
        <f>COUNTIF(Analise!U:U,Notas_sem_indexar!C82)</f>
        <v>0</v>
      </c>
      <c r="F82" s="35" t="s">
        <v>2884</v>
      </c>
      <c r="G82" t="str">
        <f>IF(F82&lt;&gt;"",VLOOKUP(F82,'Obras e Acervos'!$C:$D,2,0),"OK")</f>
        <v>EDITORA FONTANAR LTDA-</v>
      </c>
    </row>
    <row r="83" spans="1:7" hidden="1" x14ac:dyDescent="0.25">
      <c r="A83" t="s">
        <v>5614</v>
      </c>
      <c r="B83" s="1">
        <v>46065</v>
      </c>
      <c r="C83" t="s">
        <v>4972</v>
      </c>
      <c r="D83" s="36" t="str">
        <f t="shared" si="1"/>
        <v>64237775_20260212_nf_06.pdf</v>
      </c>
      <c r="E83">
        <f>COUNTIF(Analise!U:U,Notas_sem_indexar!C83)</f>
        <v>2</v>
      </c>
      <c r="G83" t="str">
        <f>IF(F83&lt;&gt;"",VLOOKUP(F83,'Obras e Acervos'!$C:$D,2,0),"OK")</f>
        <v>OK</v>
      </c>
    </row>
    <row r="84" spans="1:7" hidden="1" x14ac:dyDescent="0.25">
      <c r="A84" t="s">
        <v>5614</v>
      </c>
      <c r="B84" s="1">
        <v>46065</v>
      </c>
      <c r="C84" t="s">
        <v>4980</v>
      </c>
      <c r="D84" s="36" t="str">
        <f t="shared" si="1"/>
        <v>64237775_20260212_nf_07.pdf</v>
      </c>
      <c r="E84">
        <f>COUNTIF(Analise!U:U,Notas_sem_indexar!C84)</f>
        <v>1</v>
      </c>
      <c r="G84" t="str">
        <f>IF(F84&lt;&gt;"",VLOOKUP(F84,'Obras e Acervos'!$C:$D,2,0),"OK")</f>
        <v>OK</v>
      </c>
    </row>
    <row r="85" spans="1:7" hidden="1" x14ac:dyDescent="0.25">
      <c r="A85" t="s">
        <v>5614</v>
      </c>
      <c r="B85" s="1">
        <v>46065</v>
      </c>
      <c r="C85" t="s">
        <v>4973</v>
      </c>
      <c r="D85" s="36" t="str">
        <f t="shared" si="1"/>
        <v>64237775_20260212_nf_08.pdf</v>
      </c>
      <c r="E85">
        <f>COUNTIF(Analise!U:U,Notas_sem_indexar!C85)</f>
        <v>1</v>
      </c>
      <c r="G85" t="str">
        <f>IF(F85&lt;&gt;"",VLOOKUP(F85,'Obras e Acervos'!$C:$D,2,0),"OK")</f>
        <v>OK</v>
      </c>
    </row>
    <row r="86" spans="1:7" hidden="1" x14ac:dyDescent="0.25">
      <c r="A86" t="s">
        <v>5614</v>
      </c>
      <c r="B86" s="1">
        <v>46065</v>
      </c>
      <c r="C86" t="s">
        <v>4977</v>
      </c>
      <c r="D86" s="36" t="str">
        <f t="shared" si="1"/>
        <v>64237775_20260212_nf_09.pdf</v>
      </c>
      <c r="E86">
        <f>COUNTIF(Analise!U:U,Notas_sem_indexar!C86)</f>
        <v>1</v>
      </c>
      <c r="G86" t="str">
        <f>IF(F86&lt;&gt;"",VLOOKUP(F86,'Obras e Acervos'!$C:$D,2,0),"OK")</f>
        <v>OK</v>
      </c>
    </row>
    <row r="87" spans="1:7" hidden="1" x14ac:dyDescent="0.25">
      <c r="A87" t="s">
        <v>5614</v>
      </c>
      <c r="B87" s="1">
        <v>46065</v>
      </c>
      <c r="C87" t="s">
        <v>4987</v>
      </c>
      <c r="D87" s="36" t="str">
        <f t="shared" si="1"/>
        <v>64237775_20260212_nf_10.pdf</v>
      </c>
      <c r="E87">
        <f>COUNTIF(Analise!U:U,Notas_sem_indexar!C87)</f>
        <v>1</v>
      </c>
      <c r="G87" t="str">
        <f>IF(F87&lt;&gt;"",VLOOKUP(F87,'Obras e Acervos'!$C:$D,2,0),"OK")</f>
        <v>OK</v>
      </c>
    </row>
    <row r="88" spans="1:7" x14ac:dyDescent="0.25">
      <c r="A88" t="s">
        <v>5614</v>
      </c>
      <c r="B88" s="1">
        <v>46065</v>
      </c>
      <c r="C88" t="s">
        <v>4974</v>
      </c>
      <c r="D88" s="36" t="str">
        <f t="shared" si="1"/>
        <v>VERIFICAR</v>
      </c>
      <c r="E88">
        <f>COUNTIF(Analise!U:U,Notas_sem_indexar!C88)</f>
        <v>0</v>
      </c>
      <c r="F88" s="35" t="s">
        <v>4236</v>
      </c>
      <c r="G88" t="str">
        <f>IF(F88&lt;&gt;"",VLOOKUP(F88,'Obras e Acervos'!$C:$D,2,0),"OK")</f>
        <v>SARAIVA EDUCAÇÃO S.A.-SARAIVA</v>
      </c>
    </row>
    <row r="89" spans="1:7" hidden="1" x14ac:dyDescent="0.25">
      <c r="A89" t="s">
        <v>5614</v>
      </c>
      <c r="B89" s="1">
        <v>46065</v>
      </c>
      <c r="C89" t="s">
        <v>4978</v>
      </c>
      <c r="D89" s="36" t="str">
        <f t="shared" si="1"/>
        <v>64237775_20260212_nf_12.pdf</v>
      </c>
      <c r="E89">
        <f>COUNTIF(Analise!U:U,Notas_sem_indexar!C89)</f>
        <v>2</v>
      </c>
      <c r="G89" t="str">
        <f>IF(F89&lt;&gt;"",VLOOKUP(F89,'Obras e Acervos'!$C:$D,2,0),"OK")</f>
        <v>OK</v>
      </c>
    </row>
    <row r="90" spans="1:7" x14ac:dyDescent="0.25">
      <c r="A90" t="s">
        <v>5614</v>
      </c>
      <c r="B90" s="1">
        <v>46065</v>
      </c>
      <c r="C90" t="s">
        <v>4979</v>
      </c>
      <c r="D90" s="36" t="str">
        <f t="shared" si="1"/>
        <v>VERIFICAR</v>
      </c>
      <c r="E90">
        <f>COUNTIF(Analise!U:U,Notas_sem_indexar!C90)</f>
        <v>0</v>
      </c>
      <c r="F90" s="35" t="s">
        <v>2952</v>
      </c>
      <c r="G90" t="str">
        <f>IF(F90&lt;&gt;"",VLOOKUP(F90,'Obras e Acervos'!$C:$D,2,0),"OK")</f>
        <v>MAXIPRINT EDITORA LTDA.-MAXIPRINT</v>
      </c>
    </row>
    <row r="91" spans="1:7" hidden="1" x14ac:dyDescent="0.25">
      <c r="A91" t="s">
        <v>5614</v>
      </c>
      <c r="B91" s="1">
        <v>46065</v>
      </c>
      <c r="C91" t="s">
        <v>4981</v>
      </c>
      <c r="D91" s="36" t="str">
        <f t="shared" si="1"/>
        <v>64237775_20260212_nf_14.pdf</v>
      </c>
      <c r="E91">
        <f>COUNTIF(Analise!U:U,Notas_sem_indexar!C91)</f>
        <v>1</v>
      </c>
      <c r="G91" t="str">
        <f>IF(F91&lt;&gt;"",VLOOKUP(F91,'Obras e Acervos'!$C:$D,2,0),"OK")</f>
        <v>OK</v>
      </c>
    </row>
    <row r="92" spans="1:7" hidden="1" x14ac:dyDescent="0.25">
      <c r="A92" t="s">
        <v>5614</v>
      </c>
      <c r="B92" s="1">
        <v>46065</v>
      </c>
      <c r="C92" t="s">
        <v>4989</v>
      </c>
      <c r="D92" s="36" t="str">
        <f t="shared" si="1"/>
        <v>64237775_20260212_nf_15.pdf</v>
      </c>
      <c r="E92">
        <f>COUNTIF(Analise!U:U,Notas_sem_indexar!C92)</f>
        <v>1</v>
      </c>
      <c r="G92" t="str">
        <f>IF(F92&lt;&gt;"",VLOOKUP(F92,'Obras e Acervos'!$C:$D,2,0),"OK")</f>
        <v>OK</v>
      </c>
    </row>
    <row r="93" spans="1:7" hidden="1" x14ac:dyDescent="0.25">
      <c r="A93" t="s">
        <v>5614</v>
      </c>
      <c r="B93" s="1">
        <v>46065</v>
      </c>
      <c r="C93" t="s">
        <v>4982</v>
      </c>
      <c r="D93" s="36" t="str">
        <f t="shared" si="1"/>
        <v>64237775_20260212_nf_16.pdf</v>
      </c>
      <c r="E93">
        <f>COUNTIF(Analise!U:U,Notas_sem_indexar!C93)</f>
        <v>2</v>
      </c>
      <c r="G93" t="str">
        <f>IF(F93&lt;&gt;"",VLOOKUP(F93,'Obras e Acervos'!$C:$D,2,0),"OK")</f>
        <v>OK</v>
      </c>
    </row>
    <row r="94" spans="1:7" hidden="1" x14ac:dyDescent="0.25">
      <c r="A94" t="s">
        <v>5614</v>
      </c>
      <c r="B94" s="1">
        <v>46065</v>
      </c>
      <c r="C94" t="s">
        <v>4984</v>
      </c>
      <c r="D94" s="36" t="str">
        <f t="shared" si="1"/>
        <v>64237775_20260212_nf_17.pdf</v>
      </c>
      <c r="E94">
        <f>COUNTIF(Analise!U:U,Notas_sem_indexar!C94)</f>
        <v>2</v>
      </c>
      <c r="G94" t="str">
        <f>IF(F94&lt;&gt;"",VLOOKUP(F94,'Obras e Acervos'!$C:$D,2,0),"OK")</f>
        <v>OK</v>
      </c>
    </row>
    <row r="95" spans="1:7" hidden="1" x14ac:dyDescent="0.25">
      <c r="A95" t="s">
        <v>5614</v>
      </c>
      <c r="B95" s="1">
        <v>46065</v>
      </c>
      <c r="C95" t="s">
        <v>4985</v>
      </c>
      <c r="D95" s="36" t="str">
        <f t="shared" si="1"/>
        <v>64237775_20260212_nf_18.pdf</v>
      </c>
      <c r="E95">
        <f>COUNTIF(Analise!U:U,Notas_sem_indexar!C95)</f>
        <v>2</v>
      </c>
      <c r="G95" t="str">
        <f>IF(F95&lt;&gt;"",VLOOKUP(F95,'Obras e Acervos'!$C:$D,2,0),"OK")</f>
        <v>OK</v>
      </c>
    </row>
    <row r="96" spans="1:7" hidden="1" x14ac:dyDescent="0.25">
      <c r="A96" t="s">
        <v>5614</v>
      </c>
      <c r="B96" s="1">
        <v>46065</v>
      </c>
      <c r="C96" t="s">
        <v>4986</v>
      </c>
      <c r="D96" s="36" t="str">
        <f t="shared" si="1"/>
        <v>64237775_20260212_nf_19.pdf</v>
      </c>
      <c r="E96">
        <f>COUNTIF(Analise!U:U,Notas_sem_indexar!C96)</f>
        <v>2</v>
      </c>
      <c r="G96" t="str">
        <f>IF(F96&lt;&gt;"",VLOOKUP(F96,'Obras e Acervos'!$C:$D,2,0),"OK")</f>
        <v>OK</v>
      </c>
    </row>
    <row r="97" spans="1:7" hidden="1" x14ac:dyDescent="0.25">
      <c r="A97" t="s">
        <v>5617</v>
      </c>
      <c r="B97" s="1">
        <v>46066</v>
      </c>
      <c r="C97" t="s">
        <v>4990</v>
      </c>
      <c r="D97" s="36" t="str">
        <f t="shared" si="1"/>
        <v>64237863_20260213_nf_01.pdf</v>
      </c>
      <c r="E97">
        <f>COUNTIF(Analise!U:U,Notas_sem_indexar!C97)</f>
        <v>1</v>
      </c>
      <c r="G97" t="str">
        <f>IF(F97&lt;&gt;"",VLOOKUP(F97,'Obras e Acervos'!$C:$D,2,0),"OK")</f>
        <v>OK</v>
      </c>
    </row>
    <row r="98" spans="1:7" hidden="1" x14ac:dyDescent="0.25">
      <c r="A98" t="s">
        <v>5617</v>
      </c>
      <c r="B98" s="1">
        <v>46066</v>
      </c>
      <c r="C98" t="s">
        <v>4992</v>
      </c>
      <c r="D98" s="36" t="str">
        <f t="shared" si="1"/>
        <v>64237863_20260213_nf_02.pdf</v>
      </c>
      <c r="E98">
        <f>COUNTIF(Analise!U:U,Notas_sem_indexar!C98)</f>
        <v>1</v>
      </c>
      <c r="G98" t="str">
        <f>IF(F98&lt;&gt;"",VLOOKUP(F98,'Obras e Acervos'!$C:$D,2,0),"OK")</f>
        <v>OK</v>
      </c>
    </row>
    <row r="99" spans="1:7" hidden="1" x14ac:dyDescent="0.25">
      <c r="A99" t="s">
        <v>5617</v>
      </c>
      <c r="B99" s="1">
        <v>46066</v>
      </c>
      <c r="C99" t="s">
        <v>4991</v>
      </c>
      <c r="D99" s="36" t="str">
        <f t="shared" si="1"/>
        <v>64237863_20260213_nf_03.pdf</v>
      </c>
      <c r="E99">
        <f>COUNTIF(Analise!U:U,Notas_sem_indexar!C99)</f>
        <v>1</v>
      </c>
      <c r="G99" t="str">
        <f>IF(F99&lt;&gt;"",VLOOKUP(F99,'Obras e Acervos'!$C:$D,2,0),"OK")</f>
        <v>OK</v>
      </c>
    </row>
    <row r="100" spans="1:7" hidden="1" x14ac:dyDescent="0.25">
      <c r="A100" t="s">
        <v>5617</v>
      </c>
      <c r="B100" s="1">
        <v>46066</v>
      </c>
      <c r="C100" t="s">
        <v>4999</v>
      </c>
      <c r="D100" s="36" t="str">
        <f t="shared" si="1"/>
        <v>64237863_20260213_nf_04.pdf</v>
      </c>
      <c r="E100">
        <f>COUNTIF(Analise!U:U,Notas_sem_indexar!C100)</f>
        <v>1</v>
      </c>
      <c r="G100" t="str">
        <f>IF(F100&lt;&gt;"",VLOOKUP(F100,'Obras e Acervos'!$C:$D,2,0),"OK")</f>
        <v>OK</v>
      </c>
    </row>
    <row r="101" spans="1:7" hidden="1" x14ac:dyDescent="0.25">
      <c r="A101" t="s">
        <v>5617</v>
      </c>
      <c r="B101" s="1">
        <v>46066</v>
      </c>
      <c r="C101" t="s">
        <v>4994</v>
      </c>
      <c r="D101" s="36" t="str">
        <f t="shared" si="1"/>
        <v>64237863_20260213_nf_05.pdf</v>
      </c>
      <c r="E101">
        <f>COUNTIF(Analise!U:U,Notas_sem_indexar!C101)</f>
        <v>1</v>
      </c>
      <c r="G101" t="str">
        <f>IF(F101&lt;&gt;"",VLOOKUP(F101,'Obras e Acervos'!$C:$D,2,0),"OK")</f>
        <v>OK</v>
      </c>
    </row>
    <row r="102" spans="1:7" hidden="1" x14ac:dyDescent="0.25">
      <c r="A102" t="s">
        <v>5617</v>
      </c>
      <c r="B102" s="1">
        <v>46066</v>
      </c>
      <c r="C102" t="s">
        <v>4993</v>
      </c>
      <c r="D102" s="36" t="str">
        <f t="shared" si="1"/>
        <v>64237863_20260213_nf_06.pdf</v>
      </c>
      <c r="E102">
        <f>COUNTIF(Analise!U:U,Notas_sem_indexar!C102)</f>
        <v>1</v>
      </c>
      <c r="G102" t="str">
        <f>IF(F102&lt;&gt;"",VLOOKUP(F102,'Obras e Acervos'!$C:$D,2,0),"OK")</f>
        <v>OK</v>
      </c>
    </row>
    <row r="103" spans="1:7" hidden="1" x14ac:dyDescent="0.25">
      <c r="A103" t="s">
        <v>5617</v>
      </c>
      <c r="B103" s="1">
        <v>46066</v>
      </c>
      <c r="C103" t="s">
        <v>4996</v>
      </c>
      <c r="D103" s="36" t="str">
        <f t="shared" si="1"/>
        <v>64237863_20260213_nf_07.pdf</v>
      </c>
      <c r="E103">
        <f>COUNTIF(Analise!U:U,Notas_sem_indexar!C103)</f>
        <v>1</v>
      </c>
      <c r="G103" t="str">
        <f>IF(F103&lt;&gt;"",VLOOKUP(F103,'Obras e Acervos'!$C:$D,2,0),"OK")</f>
        <v>OK</v>
      </c>
    </row>
    <row r="104" spans="1:7" hidden="1" x14ac:dyDescent="0.25">
      <c r="A104" t="s">
        <v>5617</v>
      </c>
      <c r="B104" s="1">
        <v>46066</v>
      </c>
      <c r="C104" t="s">
        <v>4997</v>
      </c>
      <c r="D104" s="36" t="str">
        <f t="shared" si="1"/>
        <v>64237863_20260213_nf_08.pdf</v>
      </c>
      <c r="E104">
        <f>COUNTIF(Analise!U:U,Notas_sem_indexar!C104)</f>
        <v>1</v>
      </c>
      <c r="G104" t="str">
        <f>IF(F104&lt;&gt;"",VLOOKUP(F104,'Obras e Acervos'!$C:$D,2,0),"OK")</f>
        <v>OK</v>
      </c>
    </row>
    <row r="105" spans="1:7" hidden="1" x14ac:dyDescent="0.25">
      <c r="A105" t="s">
        <v>5617</v>
      </c>
      <c r="B105" s="1">
        <v>46066</v>
      </c>
      <c r="C105" t="s">
        <v>4998</v>
      </c>
      <c r="D105" s="36" t="str">
        <f t="shared" si="1"/>
        <v>64237863_20260213_nf_09.pdf</v>
      </c>
      <c r="E105">
        <f>COUNTIF(Analise!U:U,Notas_sem_indexar!C105)</f>
        <v>1</v>
      </c>
      <c r="G105" t="str">
        <f>IF(F105&lt;&gt;"",VLOOKUP(F105,'Obras e Acervos'!$C:$D,2,0),"OK")</f>
        <v>OK</v>
      </c>
    </row>
    <row r="106" spans="1:7" hidden="1" x14ac:dyDescent="0.25">
      <c r="A106" t="s">
        <v>5617</v>
      </c>
      <c r="B106" s="1">
        <v>46066</v>
      </c>
      <c r="C106" t="s">
        <v>4995</v>
      </c>
      <c r="D106" s="36" t="str">
        <f t="shared" si="1"/>
        <v>64237863_20260213_nf_10.pdf</v>
      </c>
      <c r="E106">
        <f>COUNTIF(Analise!U:U,Notas_sem_indexar!C106)</f>
        <v>1</v>
      </c>
      <c r="G106" t="str">
        <f>IF(F106&lt;&gt;"",VLOOKUP(F106,'Obras e Acervos'!$C:$D,2,0),"OK")</f>
        <v>OK</v>
      </c>
    </row>
    <row r="107" spans="1:7" hidden="1" x14ac:dyDescent="0.25">
      <c r="A107" t="s">
        <v>5617</v>
      </c>
      <c r="B107" s="1">
        <v>46066</v>
      </c>
      <c r="C107" t="s">
        <v>5007</v>
      </c>
      <c r="D107" s="36" t="str">
        <f t="shared" si="1"/>
        <v>64237863_20260213_nf_11.pdf</v>
      </c>
      <c r="E107">
        <f>COUNTIF(Analise!U:U,Notas_sem_indexar!C107)</f>
        <v>2</v>
      </c>
      <c r="G107" t="str">
        <f>IF(F107&lt;&gt;"",VLOOKUP(F107,'Obras e Acervos'!$C:$D,2,0),"OK")</f>
        <v>OK</v>
      </c>
    </row>
    <row r="108" spans="1:7" hidden="1" x14ac:dyDescent="0.25">
      <c r="A108" t="s">
        <v>5617</v>
      </c>
      <c r="B108" s="1">
        <v>46066</v>
      </c>
      <c r="C108" t="s">
        <v>5000</v>
      </c>
      <c r="D108" s="36" t="str">
        <f t="shared" si="1"/>
        <v>64237863_20260213_nf_12.pdf</v>
      </c>
      <c r="E108">
        <f>COUNTIF(Analise!U:U,Notas_sem_indexar!C108)</f>
        <v>1</v>
      </c>
      <c r="G108" t="str">
        <f>IF(F108&lt;&gt;"",VLOOKUP(F108,'Obras e Acervos'!$C:$D,2,0),"OK")</f>
        <v>OK</v>
      </c>
    </row>
    <row r="109" spans="1:7" hidden="1" x14ac:dyDescent="0.25">
      <c r="A109" t="s">
        <v>5617</v>
      </c>
      <c r="B109" s="1">
        <v>46066</v>
      </c>
      <c r="C109" t="s">
        <v>5005</v>
      </c>
      <c r="D109" s="36" t="str">
        <f t="shared" si="1"/>
        <v>64237863_20260213_nf_13.pdf</v>
      </c>
      <c r="E109">
        <f>COUNTIF(Analise!U:U,Notas_sem_indexar!C109)</f>
        <v>1</v>
      </c>
      <c r="G109" t="str">
        <f>IF(F109&lt;&gt;"",VLOOKUP(F109,'Obras e Acervos'!$C:$D,2,0),"OK")</f>
        <v>OK</v>
      </c>
    </row>
    <row r="110" spans="1:7" hidden="1" x14ac:dyDescent="0.25">
      <c r="A110" t="s">
        <v>5617</v>
      </c>
      <c r="B110" s="1">
        <v>46066</v>
      </c>
      <c r="C110" t="s">
        <v>5006</v>
      </c>
      <c r="D110" s="36" t="str">
        <f t="shared" si="1"/>
        <v>64237863_20260213_nf_14.pdf</v>
      </c>
      <c r="E110">
        <f>COUNTIF(Analise!U:U,Notas_sem_indexar!C110)</f>
        <v>1</v>
      </c>
      <c r="G110" t="str">
        <f>IF(F110&lt;&gt;"",VLOOKUP(F110,'Obras e Acervos'!$C:$D,2,0),"OK")</f>
        <v>OK</v>
      </c>
    </row>
    <row r="111" spans="1:7" x14ac:dyDescent="0.25">
      <c r="A111" t="s">
        <v>5617</v>
      </c>
      <c r="B111" s="1">
        <v>46066</v>
      </c>
      <c r="C111" t="s">
        <v>5618</v>
      </c>
      <c r="D111" s="36" t="str">
        <f t="shared" si="1"/>
        <v>VERIFICAR</v>
      </c>
      <c r="E111">
        <f>COUNTIF(Analise!U:U,Notas_sem_indexar!C111)</f>
        <v>0</v>
      </c>
      <c r="F111" s="40" t="s">
        <v>4173</v>
      </c>
      <c r="G111" t="str">
        <f>IF(F111&lt;&gt;"",VLOOKUP(F111,'Obras e Acervos'!$C:$D,2,0),"OK")</f>
        <v>EDITORA EDEBÊ BRASIL LTDA-EDITORA EDEBÊ BRASIL LTDA</v>
      </c>
    </row>
    <row r="112" spans="1:7" hidden="1" x14ac:dyDescent="0.25">
      <c r="A112" t="s">
        <v>5617</v>
      </c>
      <c r="B112" s="1">
        <v>46066</v>
      </c>
      <c r="C112" t="s">
        <v>5001</v>
      </c>
      <c r="D112" s="36" t="str">
        <f t="shared" si="1"/>
        <v>64237863_20260213_nf_16.pdf</v>
      </c>
      <c r="E112">
        <f>COUNTIF(Analise!U:U,Notas_sem_indexar!C112)</f>
        <v>1</v>
      </c>
      <c r="G112" t="str">
        <f>IF(F112&lt;&gt;"",VLOOKUP(F112,'Obras e Acervos'!$C:$D,2,0),"OK")</f>
        <v>OK</v>
      </c>
    </row>
    <row r="113" spans="1:7" x14ac:dyDescent="0.25">
      <c r="A113" t="s">
        <v>5617</v>
      </c>
      <c r="B113" s="1">
        <v>46066</v>
      </c>
      <c r="C113" t="s">
        <v>5002</v>
      </c>
      <c r="D113" s="36" t="str">
        <f t="shared" si="1"/>
        <v>VERIFICAR</v>
      </c>
      <c r="E113">
        <f>COUNTIF(Analise!U:U,Notas_sem_indexar!C113)</f>
        <v>0</v>
      </c>
      <c r="F113" s="40" t="s">
        <v>2609</v>
      </c>
      <c r="G113" t="str">
        <f>IF(F113&lt;&gt;"",VLOOKUP(F113,'Obras e Acervos'!$C:$D,2,0),"OK")</f>
        <v>EDITORIAL VINTE E CINCO LTDA-EDITORIAL25</v>
      </c>
    </row>
    <row r="114" spans="1:7" hidden="1" x14ac:dyDescent="0.25">
      <c r="A114" t="s">
        <v>5617</v>
      </c>
      <c r="B114" s="1">
        <v>46066</v>
      </c>
      <c r="C114" t="s">
        <v>5008</v>
      </c>
      <c r="D114" s="36" t="str">
        <f t="shared" si="1"/>
        <v>64237863_20260213_nf_18.pdf</v>
      </c>
      <c r="E114">
        <f>COUNTIF(Analise!U:U,Notas_sem_indexar!C114)</f>
        <v>1</v>
      </c>
      <c r="G114" t="str">
        <f>IF(F114&lt;&gt;"",VLOOKUP(F114,'Obras e Acervos'!$C:$D,2,0),"OK")</f>
        <v>OK</v>
      </c>
    </row>
    <row r="115" spans="1:7" hidden="1" x14ac:dyDescent="0.25">
      <c r="A115" t="s">
        <v>5617</v>
      </c>
      <c r="B115" s="1">
        <v>46066</v>
      </c>
      <c r="C115" t="s">
        <v>5009</v>
      </c>
      <c r="D115" s="36" t="str">
        <f t="shared" si="1"/>
        <v>64237863_20260213_nf_19.pdf</v>
      </c>
      <c r="E115">
        <f>COUNTIF(Analise!U:U,Notas_sem_indexar!C115)</f>
        <v>1</v>
      </c>
      <c r="G115" t="str">
        <f>IF(F115&lt;&gt;"",VLOOKUP(F115,'Obras e Acervos'!$C:$D,2,0),"OK")</f>
        <v>OK</v>
      </c>
    </row>
    <row r="116" spans="1:7" x14ac:dyDescent="0.25">
      <c r="A116" t="s">
        <v>5617</v>
      </c>
      <c r="B116" s="1">
        <v>46066</v>
      </c>
      <c r="C116" t="s">
        <v>5003</v>
      </c>
      <c r="D116" s="36" t="str">
        <f t="shared" si="1"/>
        <v>VERIFICAR</v>
      </c>
      <c r="E116">
        <f>COUNTIF(Analise!U:U,Notas_sem_indexar!C116)</f>
        <v>0</v>
      </c>
      <c r="F116" s="40" t="s">
        <v>5769</v>
      </c>
      <c r="G116" t="s">
        <v>5768</v>
      </c>
    </row>
    <row r="117" spans="1:7" x14ac:dyDescent="0.25">
      <c r="A117" t="s">
        <v>5617</v>
      </c>
      <c r="B117" s="1">
        <v>46066</v>
      </c>
      <c r="C117" t="s">
        <v>5014</v>
      </c>
      <c r="D117" s="36" t="str">
        <f t="shared" si="1"/>
        <v>VERIFICAR</v>
      </c>
      <c r="E117">
        <f>COUNTIF(Analise!U:U,Notas_sem_indexar!C117)</f>
        <v>0</v>
      </c>
      <c r="F117" s="35" t="s">
        <v>2741</v>
      </c>
      <c r="G117" t="str">
        <f>IF(F117&lt;&gt;"",VLOOKUP(F117,'Obras e Acervos'!$C:$D,2,0),"OK")</f>
        <v>EDITORA PLANETA DO BRASIL LTDA-EDITORA PLANETA</v>
      </c>
    </row>
    <row r="118" spans="1:7" hidden="1" x14ac:dyDescent="0.25">
      <c r="A118" t="s">
        <v>5617</v>
      </c>
      <c r="B118" s="1">
        <v>46066</v>
      </c>
      <c r="C118" t="s">
        <v>5016</v>
      </c>
      <c r="D118" s="36" t="str">
        <f t="shared" si="1"/>
        <v>64237863_20260213_nf_22.pdf</v>
      </c>
      <c r="E118">
        <f>COUNTIF(Analise!U:U,Notas_sem_indexar!C118)</f>
        <v>1</v>
      </c>
      <c r="G118" t="str">
        <f>IF(F118&lt;&gt;"",VLOOKUP(F118,'Obras e Acervos'!$C:$D,2,0),"OK")</f>
        <v>OK</v>
      </c>
    </row>
    <row r="119" spans="1:7" x14ac:dyDescent="0.25">
      <c r="A119" t="s">
        <v>5617</v>
      </c>
      <c r="B119" s="1">
        <v>46066</v>
      </c>
      <c r="C119" t="s">
        <v>5010</v>
      </c>
      <c r="D119" s="36" t="str">
        <f t="shared" si="1"/>
        <v>VERIFICAR</v>
      </c>
      <c r="E119">
        <f>COUNTIF(Analise!U:U,Notas_sem_indexar!C119)</f>
        <v>0</v>
      </c>
      <c r="F119" s="35" t="s">
        <v>5769</v>
      </c>
      <c r="G119" t="s">
        <v>5770</v>
      </c>
    </row>
    <row r="120" spans="1:7" x14ac:dyDescent="0.25">
      <c r="A120" t="s">
        <v>5617</v>
      </c>
      <c r="B120" s="1">
        <v>46066</v>
      </c>
      <c r="C120" t="s">
        <v>5004</v>
      </c>
      <c r="D120" s="36" t="str">
        <f t="shared" si="1"/>
        <v>VERIFICAR</v>
      </c>
      <c r="E120">
        <f>COUNTIF(Analise!U:U,Notas_sem_indexar!C120)</f>
        <v>0</v>
      </c>
      <c r="F120" s="35" t="s">
        <v>5769</v>
      </c>
      <c r="G120" t="s">
        <v>5770</v>
      </c>
    </row>
    <row r="121" spans="1:7" hidden="1" x14ac:dyDescent="0.25">
      <c r="A121" t="s">
        <v>5617</v>
      </c>
      <c r="B121" s="1">
        <v>46066</v>
      </c>
      <c r="C121" t="s">
        <v>5018</v>
      </c>
      <c r="D121" s="36" t="str">
        <f t="shared" si="1"/>
        <v>64237863_20260213_nf_25.pdf</v>
      </c>
      <c r="E121">
        <f>COUNTIF(Analise!U:U,Notas_sem_indexar!C121)</f>
        <v>1</v>
      </c>
      <c r="G121" t="str">
        <f>IF(F121&lt;&gt;"",VLOOKUP(F121,'Obras e Acervos'!$C:$D,2,0),"OK")</f>
        <v>OK</v>
      </c>
    </row>
    <row r="122" spans="1:7" hidden="1" x14ac:dyDescent="0.25">
      <c r="A122" t="s">
        <v>5617</v>
      </c>
      <c r="B122" s="1">
        <v>46066</v>
      </c>
      <c r="C122" t="s">
        <v>5024</v>
      </c>
      <c r="D122" s="36" t="str">
        <f t="shared" si="1"/>
        <v>64237863_20260213_nf_26.pdf</v>
      </c>
      <c r="E122">
        <f>COUNTIF(Analise!U:U,Notas_sem_indexar!C122)</f>
        <v>1</v>
      </c>
      <c r="G122" t="str">
        <f>IF(F122&lt;&gt;"",VLOOKUP(F122,'Obras e Acervos'!$C:$D,2,0),"OK")</f>
        <v>OK</v>
      </c>
    </row>
    <row r="123" spans="1:7" hidden="1" x14ac:dyDescent="0.25">
      <c r="A123" t="s">
        <v>5617</v>
      </c>
      <c r="B123" s="1">
        <v>46066</v>
      </c>
      <c r="C123" t="s">
        <v>5019</v>
      </c>
      <c r="D123" s="36" t="str">
        <f t="shared" si="1"/>
        <v>64237863_20260213_nf_27.pdf</v>
      </c>
      <c r="E123">
        <f>COUNTIF(Analise!U:U,Notas_sem_indexar!C123)</f>
        <v>1</v>
      </c>
      <c r="G123" t="str">
        <f>IF(F123&lt;&gt;"",VLOOKUP(F123,'Obras e Acervos'!$C:$D,2,0),"OK")</f>
        <v>OK</v>
      </c>
    </row>
    <row r="124" spans="1:7" hidden="1" x14ac:dyDescent="0.25">
      <c r="A124" t="s">
        <v>5617</v>
      </c>
      <c r="B124" s="1">
        <v>46066</v>
      </c>
      <c r="C124" t="s">
        <v>5020</v>
      </c>
      <c r="D124" s="36" t="str">
        <f t="shared" si="1"/>
        <v>64237863_20260213_nf_28.pdf</v>
      </c>
      <c r="E124">
        <f>COUNTIF(Analise!U:U,Notas_sem_indexar!C124)</f>
        <v>2</v>
      </c>
      <c r="G124" t="str">
        <f>IF(F124&lt;&gt;"",VLOOKUP(F124,'Obras e Acervos'!$C:$D,2,0),"OK")</f>
        <v>OK</v>
      </c>
    </row>
    <row r="125" spans="1:7" hidden="1" x14ac:dyDescent="0.25">
      <c r="A125" t="s">
        <v>5617</v>
      </c>
      <c r="B125" s="1">
        <v>46066</v>
      </c>
      <c r="C125" t="s">
        <v>5025</v>
      </c>
      <c r="D125" s="36" t="str">
        <f t="shared" si="1"/>
        <v>64237863_20260213_nf_29.pdf</v>
      </c>
      <c r="E125">
        <f>COUNTIF(Analise!U:U,Notas_sem_indexar!C125)</f>
        <v>2</v>
      </c>
      <c r="G125" t="str">
        <f>IF(F125&lt;&gt;"",VLOOKUP(F125,'Obras e Acervos'!$C:$D,2,0),"OK")</f>
        <v>OK</v>
      </c>
    </row>
    <row r="126" spans="1:7" hidden="1" x14ac:dyDescent="0.25">
      <c r="A126" t="s">
        <v>5617</v>
      </c>
      <c r="B126" s="1">
        <v>46066</v>
      </c>
      <c r="C126" t="s">
        <v>5011</v>
      </c>
      <c r="D126" s="36" t="str">
        <f t="shared" si="1"/>
        <v>64237863_20260213_nf_30.pdf</v>
      </c>
      <c r="E126">
        <f>COUNTIF(Analise!U:U,Notas_sem_indexar!C126)</f>
        <v>2</v>
      </c>
      <c r="G126" t="str">
        <f>IF(F126&lt;&gt;"",VLOOKUP(F126,'Obras e Acervos'!$C:$D,2,0),"OK")</f>
        <v>OK</v>
      </c>
    </row>
    <row r="127" spans="1:7" hidden="1" x14ac:dyDescent="0.25">
      <c r="A127" t="s">
        <v>5617</v>
      </c>
      <c r="B127" s="1">
        <v>46066</v>
      </c>
      <c r="C127" t="s">
        <v>5013</v>
      </c>
      <c r="D127" s="36" t="str">
        <f t="shared" si="1"/>
        <v>64237863_20260213_nf_31.pdf</v>
      </c>
      <c r="E127">
        <f>COUNTIF(Analise!U:U,Notas_sem_indexar!C127)</f>
        <v>1</v>
      </c>
      <c r="G127" t="str">
        <f>IF(F127&lt;&gt;"",VLOOKUP(F127,'Obras e Acervos'!$C:$D,2,0),"OK")</f>
        <v>OK</v>
      </c>
    </row>
    <row r="128" spans="1:7" hidden="1" x14ac:dyDescent="0.25">
      <c r="A128" t="s">
        <v>5617</v>
      </c>
      <c r="B128" s="1">
        <v>46066</v>
      </c>
      <c r="C128" t="s">
        <v>5021</v>
      </c>
      <c r="D128" s="36" t="str">
        <f t="shared" si="1"/>
        <v>64237863_20260213_nf_32.pdf</v>
      </c>
      <c r="E128">
        <f>COUNTIF(Analise!U:U,Notas_sem_indexar!C128)</f>
        <v>1</v>
      </c>
      <c r="G128" t="str">
        <f>IF(F128&lt;&gt;"",VLOOKUP(F128,'Obras e Acervos'!$C:$D,2,0),"OK")</f>
        <v>OK</v>
      </c>
    </row>
    <row r="129" spans="1:7" hidden="1" x14ac:dyDescent="0.25">
      <c r="A129" t="s">
        <v>5617</v>
      </c>
      <c r="B129" s="1">
        <v>46066</v>
      </c>
      <c r="C129" t="s">
        <v>5022</v>
      </c>
      <c r="D129" s="36" t="str">
        <f t="shared" si="1"/>
        <v>64237863_20260213_nf_33.pdf</v>
      </c>
      <c r="E129">
        <f>COUNTIF(Analise!U:U,Notas_sem_indexar!C129)</f>
        <v>2</v>
      </c>
      <c r="G129" t="str">
        <f>IF(F129&lt;&gt;"",VLOOKUP(F129,'Obras e Acervos'!$C:$D,2,0),"OK")</f>
        <v>OK</v>
      </c>
    </row>
    <row r="130" spans="1:7" hidden="1" x14ac:dyDescent="0.25">
      <c r="A130" t="s">
        <v>5617</v>
      </c>
      <c r="B130" s="1">
        <v>46066</v>
      </c>
      <c r="C130" t="s">
        <v>5023</v>
      </c>
      <c r="D130" s="36" t="str">
        <f t="shared" si="1"/>
        <v>64237863_20260213_nf_34.pdf</v>
      </c>
      <c r="E130">
        <f>COUNTIF(Analise!U:U,Notas_sem_indexar!C130)</f>
        <v>1</v>
      </c>
      <c r="G130" t="str">
        <f>IF(F130&lt;&gt;"",VLOOKUP(F130,'Obras e Acervos'!$C:$D,2,0),"OK")</f>
        <v>OK</v>
      </c>
    </row>
    <row r="131" spans="1:7" hidden="1" x14ac:dyDescent="0.25">
      <c r="A131" t="s">
        <v>5617</v>
      </c>
      <c r="B131" s="1">
        <v>46066</v>
      </c>
      <c r="C131" t="s">
        <v>5015</v>
      </c>
      <c r="D131" s="36" t="str">
        <f t="shared" ref="D131:D194" si="2">IF(E131=0,HYPERLINK(CONCATENATE("saida/",C131),"VERIFICAR"),HYPERLINK(CONCATENATE("saida/",C131),C131))</f>
        <v>64237863_20260213_nf_35.pdf</v>
      </c>
      <c r="E131">
        <f>COUNTIF(Analise!U:U,Notas_sem_indexar!C131)</f>
        <v>1</v>
      </c>
      <c r="G131" t="str">
        <f>IF(F131&lt;&gt;"",VLOOKUP(F131,'Obras e Acervos'!$C:$D,2,0),"OK")</f>
        <v>OK</v>
      </c>
    </row>
    <row r="132" spans="1:7" x14ac:dyDescent="0.25">
      <c r="A132" t="s">
        <v>5617</v>
      </c>
      <c r="B132" s="1">
        <v>46066</v>
      </c>
      <c r="C132" t="s">
        <v>5012</v>
      </c>
      <c r="D132" s="36" t="str">
        <f t="shared" si="2"/>
        <v>VERIFICAR</v>
      </c>
      <c r="E132">
        <f>COUNTIF(Analise!U:U,Notas_sem_indexar!C132)</f>
        <v>0</v>
      </c>
      <c r="F132" s="35" t="s">
        <v>5769</v>
      </c>
      <c r="G132" t="s">
        <v>5770</v>
      </c>
    </row>
    <row r="133" spans="1:7" x14ac:dyDescent="0.25">
      <c r="A133" t="s">
        <v>5617</v>
      </c>
      <c r="B133" s="1">
        <v>46066</v>
      </c>
      <c r="C133" t="s">
        <v>5619</v>
      </c>
      <c r="D133" s="36" t="str">
        <f t="shared" si="2"/>
        <v>VERIFICAR</v>
      </c>
      <c r="E133">
        <f>COUNTIF(Analise!U:U,Notas_sem_indexar!C133)</f>
        <v>0</v>
      </c>
      <c r="F133" s="35" t="s">
        <v>4130</v>
      </c>
      <c r="G133" t="str">
        <f>IF(F133&lt;&gt;"",VLOOKUP(F133,'Obras e Acervos'!$C:$D,2,0),"OK")</f>
        <v>TODAVIA EDITORA S.A.-TODAVIA</v>
      </c>
    </row>
    <row r="134" spans="1:7" x14ac:dyDescent="0.25">
      <c r="A134" t="s">
        <v>5617</v>
      </c>
      <c r="B134" s="1">
        <v>46066</v>
      </c>
      <c r="C134" t="s">
        <v>5017</v>
      </c>
      <c r="D134" s="36" t="str">
        <f t="shared" si="2"/>
        <v>64237863_20260213_nf_38.pdf</v>
      </c>
      <c r="E134">
        <f>COUNTIF(Analise!U:U,Notas_sem_indexar!C134)</f>
        <v>1</v>
      </c>
      <c r="F134" s="35" t="s">
        <v>4130</v>
      </c>
      <c r="G134" t="str">
        <f>IF(F134&lt;&gt;"",VLOOKUP(F134,'Obras e Acervos'!$C:$D,2,0),"OK")</f>
        <v>TODAVIA EDITORA S.A.-TODAVIA</v>
      </c>
    </row>
    <row r="135" spans="1:7" x14ac:dyDescent="0.25">
      <c r="A135" t="s">
        <v>5617</v>
      </c>
      <c r="B135" s="1">
        <v>46066</v>
      </c>
      <c r="C135" t="s">
        <v>5620</v>
      </c>
      <c r="D135" s="36" t="str">
        <f t="shared" si="2"/>
        <v>VERIFICAR</v>
      </c>
      <c r="E135">
        <f>COUNTIF(Analise!U:U,Notas_sem_indexar!C135)</f>
        <v>0</v>
      </c>
      <c r="F135" s="35" t="s">
        <v>4130</v>
      </c>
      <c r="G135" t="str">
        <f>IF(F135&lt;&gt;"",VLOOKUP(F135,'Obras e Acervos'!$C:$D,2,0),"OK")</f>
        <v>TODAVIA EDITORA S.A.-TODAVIA</v>
      </c>
    </row>
    <row r="136" spans="1:7" hidden="1" x14ac:dyDescent="0.25">
      <c r="A136" t="s">
        <v>5621</v>
      </c>
      <c r="B136" s="1">
        <v>46069</v>
      </c>
      <c r="C136" t="s">
        <v>5030</v>
      </c>
      <c r="D136" s="36" t="str">
        <f t="shared" si="2"/>
        <v>64238035_20260216_nf_01.pdf</v>
      </c>
      <c r="E136">
        <f>COUNTIF(Analise!U:U,Notas_sem_indexar!C136)</f>
        <v>1</v>
      </c>
      <c r="G136" t="str">
        <f>IF(F136&lt;&gt;"",VLOOKUP(F136,'Obras e Acervos'!$C:$D,2,0),"OK")</f>
        <v>OK</v>
      </c>
    </row>
    <row r="137" spans="1:7" hidden="1" x14ac:dyDescent="0.25">
      <c r="A137" t="s">
        <v>5621</v>
      </c>
      <c r="B137" s="1">
        <v>46069</v>
      </c>
      <c r="C137" t="s">
        <v>5031</v>
      </c>
      <c r="D137" s="36" t="str">
        <f t="shared" si="2"/>
        <v>64238035_20260216_nf_02.pdf</v>
      </c>
      <c r="E137">
        <f>COUNTIF(Analise!U:U,Notas_sem_indexar!C137)</f>
        <v>1</v>
      </c>
      <c r="G137" t="str">
        <f>IF(F137&lt;&gt;"",VLOOKUP(F137,'Obras e Acervos'!$C:$D,2,0),"OK")</f>
        <v>OK</v>
      </c>
    </row>
    <row r="138" spans="1:7" hidden="1" x14ac:dyDescent="0.25">
      <c r="A138" t="s">
        <v>5621</v>
      </c>
      <c r="B138" s="1">
        <v>46069</v>
      </c>
      <c r="C138" t="s">
        <v>5033</v>
      </c>
      <c r="D138" s="36" t="str">
        <f t="shared" si="2"/>
        <v>64238035_20260216_nf_03.pdf</v>
      </c>
      <c r="E138">
        <f>COUNTIF(Analise!U:U,Notas_sem_indexar!C138)</f>
        <v>1</v>
      </c>
      <c r="G138" t="str">
        <f>IF(F138&lt;&gt;"",VLOOKUP(F138,'Obras e Acervos'!$C:$D,2,0),"OK")</f>
        <v>OK</v>
      </c>
    </row>
    <row r="139" spans="1:7" hidden="1" x14ac:dyDescent="0.25">
      <c r="A139" t="s">
        <v>5621</v>
      </c>
      <c r="B139" s="1">
        <v>46069</v>
      </c>
      <c r="C139" t="s">
        <v>5040</v>
      </c>
      <c r="D139" s="36" t="str">
        <f t="shared" si="2"/>
        <v>64238035_20260216_nf_04.pdf</v>
      </c>
      <c r="E139">
        <f>COUNTIF(Analise!U:U,Notas_sem_indexar!C139)</f>
        <v>1</v>
      </c>
      <c r="G139" t="str">
        <f>IF(F139&lt;&gt;"",VLOOKUP(F139,'Obras e Acervos'!$C:$D,2,0),"OK")</f>
        <v>OK</v>
      </c>
    </row>
    <row r="140" spans="1:7" hidden="1" x14ac:dyDescent="0.25">
      <c r="A140" t="s">
        <v>5621</v>
      </c>
      <c r="B140" s="1">
        <v>46069</v>
      </c>
      <c r="C140" t="s">
        <v>5035</v>
      </c>
      <c r="D140" s="36" t="str">
        <f t="shared" si="2"/>
        <v>64238035_20260216_nf_05.pdf</v>
      </c>
      <c r="E140">
        <f>COUNTIF(Analise!U:U,Notas_sem_indexar!C140)</f>
        <v>1</v>
      </c>
      <c r="G140" t="str">
        <f>IF(F140&lt;&gt;"",VLOOKUP(F140,'Obras e Acervos'!$C:$D,2,0),"OK")</f>
        <v>OK</v>
      </c>
    </row>
    <row r="141" spans="1:7" hidden="1" x14ac:dyDescent="0.25">
      <c r="A141" t="s">
        <v>5621</v>
      </c>
      <c r="B141" s="1">
        <v>46069</v>
      </c>
      <c r="C141" t="s">
        <v>5043</v>
      </c>
      <c r="D141" s="36" t="str">
        <f t="shared" si="2"/>
        <v>64238035_20260216_nf_06.pdf</v>
      </c>
      <c r="E141">
        <f>COUNTIF(Analise!U:U,Notas_sem_indexar!C141)</f>
        <v>1</v>
      </c>
      <c r="G141" t="str">
        <f>IF(F141&lt;&gt;"",VLOOKUP(F141,'Obras e Acervos'!$C:$D,2,0),"OK")</f>
        <v>OK</v>
      </c>
    </row>
    <row r="142" spans="1:7" hidden="1" x14ac:dyDescent="0.25">
      <c r="A142" t="s">
        <v>5621</v>
      </c>
      <c r="B142" s="1">
        <v>46069</v>
      </c>
      <c r="C142" t="s">
        <v>5042</v>
      </c>
      <c r="D142" s="36" t="str">
        <f t="shared" si="2"/>
        <v>64238035_20260216_nf_07.pdf</v>
      </c>
      <c r="E142">
        <f>COUNTIF(Analise!U:U,Notas_sem_indexar!C142)</f>
        <v>2</v>
      </c>
      <c r="G142" t="str">
        <f>IF(F142&lt;&gt;"",VLOOKUP(F142,'Obras e Acervos'!$C:$D,2,0),"OK")</f>
        <v>OK</v>
      </c>
    </row>
    <row r="143" spans="1:7" hidden="1" x14ac:dyDescent="0.25">
      <c r="A143" t="s">
        <v>5621</v>
      </c>
      <c r="B143" s="1">
        <v>46069</v>
      </c>
      <c r="C143" t="s">
        <v>5037</v>
      </c>
      <c r="D143" s="36" t="str">
        <f t="shared" si="2"/>
        <v>64238035_20260216_nf_08.pdf</v>
      </c>
      <c r="E143">
        <f>COUNTIF(Analise!U:U,Notas_sem_indexar!C143)</f>
        <v>1</v>
      </c>
      <c r="G143" t="str">
        <f>IF(F143&lt;&gt;"",VLOOKUP(F143,'Obras e Acervos'!$C:$D,2,0),"OK")</f>
        <v>OK</v>
      </c>
    </row>
    <row r="144" spans="1:7" hidden="1" x14ac:dyDescent="0.25">
      <c r="A144" t="s">
        <v>5621</v>
      </c>
      <c r="B144" s="1">
        <v>46069</v>
      </c>
      <c r="C144" t="s">
        <v>5044</v>
      </c>
      <c r="D144" s="36" t="str">
        <f t="shared" si="2"/>
        <v>64238035_20260216_nf_09.pdf</v>
      </c>
      <c r="E144">
        <f>COUNTIF(Analise!U:U,Notas_sem_indexar!C144)</f>
        <v>2</v>
      </c>
      <c r="G144" t="str">
        <f>IF(F144&lt;&gt;"",VLOOKUP(F144,'Obras e Acervos'!$C:$D,2,0),"OK")</f>
        <v>OK</v>
      </c>
    </row>
    <row r="145" spans="1:7" hidden="1" x14ac:dyDescent="0.25">
      <c r="A145" t="s">
        <v>5621</v>
      </c>
      <c r="B145" s="1">
        <v>46069</v>
      </c>
      <c r="C145" t="s">
        <v>5032</v>
      </c>
      <c r="D145" s="36" t="str">
        <f t="shared" si="2"/>
        <v>64238035_20260216_nf_10.pdf</v>
      </c>
      <c r="E145">
        <f>COUNTIF(Analise!U:U,Notas_sem_indexar!C145)</f>
        <v>2</v>
      </c>
      <c r="G145" t="str">
        <f>IF(F145&lt;&gt;"",VLOOKUP(F145,'Obras e Acervos'!$C:$D,2,0),"OK")</f>
        <v>OK</v>
      </c>
    </row>
    <row r="146" spans="1:7" hidden="1" x14ac:dyDescent="0.25">
      <c r="A146" t="s">
        <v>5621</v>
      </c>
      <c r="B146" s="1">
        <v>46069</v>
      </c>
      <c r="C146" t="s">
        <v>5045</v>
      </c>
      <c r="D146" s="36" t="str">
        <f t="shared" si="2"/>
        <v>64238035_20260216_nf_11.pdf</v>
      </c>
      <c r="E146">
        <f>COUNTIF(Analise!U:U,Notas_sem_indexar!C146)</f>
        <v>2</v>
      </c>
      <c r="G146" t="str">
        <f>IF(F146&lt;&gt;"",VLOOKUP(F146,'Obras e Acervos'!$C:$D,2,0),"OK")</f>
        <v>OK</v>
      </c>
    </row>
    <row r="147" spans="1:7" hidden="1" x14ac:dyDescent="0.25">
      <c r="A147" t="s">
        <v>5621</v>
      </c>
      <c r="B147" s="1">
        <v>46069</v>
      </c>
      <c r="C147" t="s">
        <v>5038</v>
      </c>
      <c r="D147" s="36" t="str">
        <f t="shared" si="2"/>
        <v>64238035_20260216_nf_12.pdf</v>
      </c>
      <c r="E147">
        <f>COUNTIF(Analise!U:U,Notas_sem_indexar!C147)</f>
        <v>2</v>
      </c>
      <c r="G147" t="str">
        <f>IF(F147&lt;&gt;"",VLOOKUP(F147,'Obras e Acervos'!$C:$D,2,0),"OK")</f>
        <v>OK</v>
      </c>
    </row>
    <row r="148" spans="1:7" hidden="1" x14ac:dyDescent="0.25">
      <c r="A148" t="s">
        <v>5621</v>
      </c>
      <c r="B148" s="1">
        <v>46069</v>
      </c>
      <c r="C148" t="s">
        <v>5039</v>
      </c>
      <c r="D148" s="36" t="str">
        <f t="shared" si="2"/>
        <v>64238035_20260216_nf_13.pdf</v>
      </c>
      <c r="E148">
        <f>COUNTIF(Analise!U:U,Notas_sem_indexar!C148)</f>
        <v>2</v>
      </c>
      <c r="G148" t="str">
        <f>IF(F148&lt;&gt;"",VLOOKUP(F148,'Obras e Acervos'!$C:$D,2,0),"OK")</f>
        <v>OK</v>
      </c>
    </row>
    <row r="149" spans="1:7" hidden="1" x14ac:dyDescent="0.25">
      <c r="A149" t="s">
        <v>5621</v>
      </c>
      <c r="B149" s="1">
        <v>46069</v>
      </c>
      <c r="C149" t="s">
        <v>5034</v>
      </c>
      <c r="D149" s="36" t="str">
        <f t="shared" si="2"/>
        <v>64238035_20260216_nf_14.pdf</v>
      </c>
      <c r="E149">
        <f>COUNTIF(Analise!U:U,Notas_sem_indexar!C149)</f>
        <v>1</v>
      </c>
      <c r="G149" t="str">
        <f>IF(F149&lt;&gt;"",VLOOKUP(F149,'Obras e Acervos'!$C:$D,2,0),"OK")</f>
        <v>OK</v>
      </c>
    </row>
    <row r="150" spans="1:7" hidden="1" x14ac:dyDescent="0.25">
      <c r="A150" t="s">
        <v>5621</v>
      </c>
      <c r="B150" s="1">
        <v>46069</v>
      </c>
      <c r="C150" t="s">
        <v>5036</v>
      </c>
      <c r="D150" s="36" t="str">
        <f t="shared" si="2"/>
        <v>64238035_20260216_nf_15.pdf</v>
      </c>
      <c r="E150">
        <f>COUNTIF(Analise!U:U,Notas_sem_indexar!C150)</f>
        <v>1</v>
      </c>
      <c r="G150" t="str">
        <f>IF(F150&lt;&gt;"",VLOOKUP(F150,'Obras e Acervos'!$C:$D,2,0),"OK")</f>
        <v>OK</v>
      </c>
    </row>
    <row r="151" spans="1:7" hidden="1" x14ac:dyDescent="0.25">
      <c r="A151" t="s">
        <v>5621</v>
      </c>
      <c r="B151" s="1">
        <v>46069</v>
      </c>
      <c r="C151" t="s">
        <v>5026</v>
      </c>
      <c r="D151" s="36" t="str">
        <f t="shared" si="2"/>
        <v>64238035_20260216_nf_16.pdf</v>
      </c>
      <c r="E151">
        <f>COUNTIF(Analise!U:U,Notas_sem_indexar!C151)</f>
        <v>1</v>
      </c>
      <c r="G151" t="str">
        <f>IF(F151&lt;&gt;"",VLOOKUP(F151,'Obras e Acervos'!$C:$D,2,0),"OK")</f>
        <v>OK</v>
      </c>
    </row>
    <row r="152" spans="1:7" hidden="1" x14ac:dyDescent="0.25">
      <c r="A152" t="s">
        <v>5621</v>
      </c>
      <c r="B152" s="1">
        <v>46069</v>
      </c>
      <c r="C152" t="s">
        <v>5041</v>
      </c>
      <c r="D152" s="36" t="str">
        <f t="shared" si="2"/>
        <v>64238035_20260216_nf_17.pdf</v>
      </c>
      <c r="E152">
        <f>COUNTIF(Analise!U:U,Notas_sem_indexar!C152)</f>
        <v>2</v>
      </c>
      <c r="G152" t="str">
        <f>IF(F152&lt;&gt;"",VLOOKUP(F152,'Obras e Acervos'!$C:$D,2,0),"OK")</f>
        <v>OK</v>
      </c>
    </row>
    <row r="153" spans="1:7" hidden="1" x14ac:dyDescent="0.25">
      <c r="A153" t="s">
        <v>5621</v>
      </c>
      <c r="B153" s="1">
        <v>46069</v>
      </c>
      <c r="C153" t="s">
        <v>5029</v>
      </c>
      <c r="D153" s="36" t="str">
        <f t="shared" si="2"/>
        <v>64238035_20260216_nf_18.pdf</v>
      </c>
      <c r="E153">
        <f>COUNTIF(Analise!U:U,Notas_sem_indexar!C153)</f>
        <v>1</v>
      </c>
      <c r="G153" t="str">
        <f>IF(F153&lt;&gt;"",VLOOKUP(F153,'Obras e Acervos'!$C:$D,2,0),"OK")</f>
        <v>OK</v>
      </c>
    </row>
    <row r="154" spans="1:7" hidden="1" x14ac:dyDescent="0.25">
      <c r="A154" t="s">
        <v>5621</v>
      </c>
      <c r="B154" s="1">
        <v>46069</v>
      </c>
      <c r="C154" t="s">
        <v>5027</v>
      </c>
      <c r="D154" s="36" t="str">
        <f t="shared" si="2"/>
        <v>64238035_20260216_nf_19.pdf</v>
      </c>
      <c r="E154">
        <f>COUNTIF(Analise!U:U,Notas_sem_indexar!C154)</f>
        <v>1</v>
      </c>
      <c r="G154" t="str">
        <f>IF(F154&lt;&gt;"",VLOOKUP(F154,'Obras e Acervos'!$C:$D,2,0),"OK")</f>
        <v>OK</v>
      </c>
    </row>
    <row r="155" spans="1:7" hidden="1" x14ac:dyDescent="0.25">
      <c r="A155" t="s">
        <v>5621</v>
      </c>
      <c r="B155" s="1">
        <v>46069</v>
      </c>
      <c r="C155" t="s">
        <v>5028</v>
      </c>
      <c r="D155" s="36" t="str">
        <f t="shared" si="2"/>
        <v>64238035_20260216_nf_20.pdf</v>
      </c>
      <c r="E155">
        <f>COUNTIF(Analise!U:U,Notas_sem_indexar!C155)</f>
        <v>2</v>
      </c>
      <c r="G155" t="str">
        <f>IF(F155&lt;&gt;"",VLOOKUP(F155,'Obras e Acervos'!$C:$D,2,0),"OK")</f>
        <v>OK</v>
      </c>
    </row>
    <row r="156" spans="1:7" x14ac:dyDescent="0.25">
      <c r="A156" t="s">
        <v>5621</v>
      </c>
      <c r="B156" s="1">
        <v>46069</v>
      </c>
      <c r="C156" t="s">
        <v>5622</v>
      </c>
      <c r="D156" s="36" t="str">
        <f t="shared" si="2"/>
        <v>VERIFICAR</v>
      </c>
      <c r="E156">
        <f>COUNTIF(Analise!U:U,Notas_sem_indexar!C156)</f>
        <v>0</v>
      </c>
      <c r="G156" t="s">
        <v>5772</v>
      </c>
    </row>
    <row r="157" spans="1:7" hidden="1" x14ac:dyDescent="0.25">
      <c r="A157" t="s">
        <v>5621</v>
      </c>
      <c r="B157" s="1">
        <v>46072</v>
      </c>
      <c r="C157" t="s">
        <v>5058</v>
      </c>
      <c r="D157" s="36" t="str">
        <f t="shared" si="2"/>
        <v>64238035_20260219_nf_01.pdf</v>
      </c>
      <c r="E157">
        <f>COUNTIF(Analise!U:U,Notas_sem_indexar!C157)</f>
        <v>2</v>
      </c>
      <c r="G157" t="str">
        <f>IF(F157&lt;&gt;"",VLOOKUP(F157,'Obras e Acervos'!$C:$D,2,0),"OK")</f>
        <v>OK</v>
      </c>
    </row>
    <row r="158" spans="1:7" x14ac:dyDescent="0.25">
      <c r="A158" t="s">
        <v>5621</v>
      </c>
      <c r="B158" s="1">
        <v>46072</v>
      </c>
      <c r="C158" t="s">
        <v>5059</v>
      </c>
      <c r="D158" s="36" t="str">
        <f t="shared" si="2"/>
        <v>VERIFICAR</v>
      </c>
      <c r="E158">
        <f>COUNTIF(Analise!U:U,Notas_sem_indexar!C158)</f>
        <v>0</v>
      </c>
      <c r="F158" s="35" t="s">
        <v>2793</v>
      </c>
      <c r="G158" t="str">
        <f>IF(F158&lt;&gt;"",VLOOKUP(F158,'Obras e Acervos'!$C:$D,2,0),"OK")</f>
        <v>ÔZÉ EDITORA E LIVRARIA LTDA-ÔZÉ EDITORA</v>
      </c>
    </row>
    <row r="159" spans="1:7" hidden="1" x14ac:dyDescent="0.25">
      <c r="A159" t="s">
        <v>5621</v>
      </c>
      <c r="B159" s="1">
        <v>46072</v>
      </c>
      <c r="C159" t="s">
        <v>5056</v>
      </c>
      <c r="D159" s="36" t="str">
        <f t="shared" si="2"/>
        <v>64238035_20260219_nf_03.pdf</v>
      </c>
      <c r="E159">
        <f>COUNTIF(Analise!U:U,Notas_sem_indexar!C159)</f>
        <v>1</v>
      </c>
      <c r="G159" t="str">
        <f>IF(F159&lt;&gt;"",VLOOKUP(F159,'Obras e Acervos'!$C:$D,2,0),"OK")</f>
        <v>OK</v>
      </c>
    </row>
    <row r="160" spans="1:7" x14ac:dyDescent="0.25">
      <c r="A160" t="s">
        <v>5621</v>
      </c>
      <c r="B160" s="1">
        <v>46072</v>
      </c>
      <c r="C160" t="s">
        <v>5625</v>
      </c>
      <c r="D160" s="36" t="str">
        <f t="shared" si="2"/>
        <v>VERIFICAR</v>
      </c>
      <c r="E160">
        <f>COUNTIF(Analise!U:U,Notas_sem_indexar!C160)</f>
        <v>0</v>
      </c>
      <c r="G160" t="s">
        <v>5773</v>
      </c>
    </row>
    <row r="161" spans="1:7" hidden="1" x14ac:dyDescent="0.25">
      <c r="A161" t="s">
        <v>5621</v>
      </c>
      <c r="B161" s="1">
        <v>46072</v>
      </c>
      <c r="C161" t="s">
        <v>5050</v>
      </c>
      <c r="D161" s="36" t="str">
        <f t="shared" si="2"/>
        <v>64238035_20260219_nf_05.pdf</v>
      </c>
      <c r="E161">
        <f>COUNTIF(Analise!U:U,Notas_sem_indexar!C161)</f>
        <v>2</v>
      </c>
      <c r="G161" t="str">
        <f>IF(F161&lt;&gt;"",VLOOKUP(F161,'Obras e Acervos'!$C:$D,2,0),"OK")</f>
        <v>OK</v>
      </c>
    </row>
    <row r="162" spans="1:7" x14ac:dyDescent="0.25">
      <c r="A162" t="s">
        <v>5621</v>
      </c>
      <c r="B162" s="1">
        <v>46072</v>
      </c>
      <c r="C162" t="s">
        <v>5626</v>
      </c>
      <c r="D162" s="36" t="str">
        <f t="shared" si="2"/>
        <v>VERIFICAR</v>
      </c>
      <c r="E162">
        <f>COUNTIF(Analise!U:U,Notas_sem_indexar!C162)</f>
        <v>0</v>
      </c>
      <c r="F162" s="35" t="s">
        <v>1842</v>
      </c>
      <c r="G162" t="str">
        <f>IF(F162&lt;&gt;"",VLOOKUP(F162,'Obras e Acervos'!$C:$D,2,0),"OK")</f>
        <v>M.R. CORNACCHIA EDITORA LTDA.-PAPIRUS</v>
      </c>
    </row>
    <row r="163" spans="1:7" x14ac:dyDescent="0.25">
      <c r="A163" t="s">
        <v>5621</v>
      </c>
      <c r="B163" s="1">
        <v>46072</v>
      </c>
      <c r="C163" t="s">
        <v>5627</v>
      </c>
      <c r="D163" s="36" t="str">
        <f t="shared" si="2"/>
        <v>VERIFICAR</v>
      </c>
      <c r="E163">
        <f>COUNTIF(Analise!U:U,Notas_sem_indexar!C163)</f>
        <v>0</v>
      </c>
      <c r="F163" s="35" t="s">
        <v>1842</v>
      </c>
      <c r="G163" t="str">
        <f>IF(F163&lt;&gt;"",VLOOKUP(F163,'Obras e Acervos'!$C:$D,2,0),"OK")</f>
        <v>M.R. CORNACCHIA EDITORA LTDA.-PAPIRUS</v>
      </c>
    </row>
    <row r="164" spans="1:7" hidden="1" x14ac:dyDescent="0.25">
      <c r="A164" t="s">
        <v>5621</v>
      </c>
      <c r="B164" s="1">
        <v>46072</v>
      </c>
      <c r="C164" t="s">
        <v>5061</v>
      </c>
      <c r="D164" s="36" t="str">
        <f t="shared" si="2"/>
        <v>64238035_20260219_nf_08.pdf</v>
      </c>
      <c r="E164">
        <f>COUNTIF(Analise!U:U,Notas_sem_indexar!C164)</f>
        <v>1</v>
      </c>
      <c r="G164" t="str">
        <f>IF(F164&lt;&gt;"",VLOOKUP(F164,'Obras e Acervos'!$C:$D,2,0),"OK")</f>
        <v>OK</v>
      </c>
    </row>
    <row r="165" spans="1:7" hidden="1" x14ac:dyDescent="0.25">
      <c r="A165" t="s">
        <v>5621</v>
      </c>
      <c r="B165" s="1">
        <v>46072</v>
      </c>
      <c r="C165" t="s">
        <v>5051</v>
      </c>
      <c r="D165" s="36" t="str">
        <f t="shared" si="2"/>
        <v>64238035_20260219_nf_09.pdf</v>
      </c>
      <c r="E165">
        <f>COUNTIF(Analise!U:U,Notas_sem_indexar!C165)</f>
        <v>1</v>
      </c>
      <c r="G165" t="str">
        <f>IF(F165&lt;&gt;"",VLOOKUP(F165,'Obras e Acervos'!$C:$D,2,0),"OK")</f>
        <v>OK</v>
      </c>
    </row>
    <row r="166" spans="1:7" hidden="1" x14ac:dyDescent="0.25">
      <c r="A166" t="s">
        <v>5621</v>
      </c>
      <c r="B166" s="1">
        <v>46072</v>
      </c>
      <c r="C166" t="s">
        <v>5046</v>
      </c>
      <c r="D166" s="36" t="str">
        <f t="shared" si="2"/>
        <v>64238035_20260219_nf_10.pdf</v>
      </c>
      <c r="E166">
        <f>COUNTIF(Analise!U:U,Notas_sem_indexar!C166)</f>
        <v>2</v>
      </c>
      <c r="G166" t="str">
        <f>IF(F166&lt;&gt;"",VLOOKUP(F166,'Obras e Acervos'!$C:$D,2,0),"OK")</f>
        <v>OK</v>
      </c>
    </row>
    <row r="167" spans="1:7" hidden="1" x14ac:dyDescent="0.25">
      <c r="A167" t="s">
        <v>5621</v>
      </c>
      <c r="B167" s="1">
        <v>46072</v>
      </c>
      <c r="C167" t="s">
        <v>5049</v>
      </c>
      <c r="D167" s="36" t="str">
        <f t="shared" si="2"/>
        <v>64238035_20260219_nf_11.pdf</v>
      </c>
      <c r="E167">
        <f>COUNTIF(Analise!U:U,Notas_sem_indexar!C167)</f>
        <v>1</v>
      </c>
      <c r="G167" t="str">
        <f>IF(F167&lt;&gt;"",VLOOKUP(F167,'Obras e Acervos'!$C:$D,2,0),"OK")</f>
        <v>OK</v>
      </c>
    </row>
    <row r="168" spans="1:7" hidden="1" x14ac:dyDescent="0.25">
      <c r="A168" t="s">
        <v>5621</v>
      </c>
      <c r="B168" s="1">
        <v>46072</v>
      </c>
      <c r="C168" t="s">
        <v>5048</v>
      </c>
      <c r="D168" s="36" t="str">
        <f t="shared" si="2"/>
        <v>64238035_20260219_nf_12.pdf</v>
      </c>
      <c r="E168">
        <f>COUNTIF(Analise!U:U,Notas_sem_indexar!C168)</f>
        <v>1</v>
      </c>
      <c r="G168" t="str">
        <f>IF(F168&lt;&gt;"",VLOOKUP(F168,'Obras e Acervos'!$C:$D,2,0),"OK")</f>
        <v>OK</v>
      </c>
    </row>
    <row r="169" spans="1:7" hidden="1" x14ac:dyDescent="0.25">
      <c r="A169" t="s">
        <v>5621</v>
      </c>
      <c r="B169" s="1">
        <v>46072</v>
      </c>
      <c r="C169" t="s">
        <v>5047</v>
      </c>
      <c r="D169" s="36" t="str">
        <f t="shared" si="2"/>
        <v>64238035_20260219_nf_13.pdf</v>
      </c>
      <c r="E169">
        <f>COUNTIF(Analise!U:U,Notas_sem_indexar!C169)</f>
        <v>1</v>
      </c>
      <c r="G169" t="str">
        <f>IF(F169&lt;&gt;"",VLOOKUP(F169,'Obras e Acervos'!$C:$D,2,0),"OK")</f>
        <v>OK</v>
      </c>
    </row>
    <row r="170" spans="1:7" hidden="1" x14ac:dyDescent="0.25">
      <c r="A170" t="s">
        <v>5621</v>
      </c>
      <c r="B170" s="1">
        <v>46072</v>
      </c>
      <c r="C170" t="s">
        <v>5052</v>
      </c>
      <c r="D170" s="36" t="str">
        <f t="shared" si="2"/>
        <v>64238035_20260219_nf_14.pdf</v>
      </c>
      <c r="E170">
        <f>COUNTIF(Analise!U:U,Notas_sem_indexar!C170)</f>
        <v>1</v>
      </c>
      <c r="G170" t="str">
        <f>IF(F170&lt;&gt;"",VLOOKUP(F170,'Obras e Acervos'!$C:$D,2,0),"OK")</f>
        <v>OK</v>
      </c>
    </row>
    <row r="171" spans="1:7" hidden="1" x14ac:dyDescent="0.25">
      <c r="A171" t="s">
        <v>5621</v>
      </c>
      <c r="B171" s="1">
        <v>46072</v>
      </c>
      <c r="C171" t="s">
        <v>5054</v>
      </c>
      <c r="D171" s="36" t="str">
        <f t="shared" si="2"/>
        <v>64238035_20260219_nf_15.pdf</v>
      </c>
      <c r="E171">
        <f>COUNTIF(Analise!U:U,Notas_sem_indexar!C171)</f>
        <v>1</v>
      </c>
      <c r="G171" t="str">
        <f>IF(F171&lt;&gt;"",VLOOKUP(F171,'Obras e Acervos'!$C:$D,2,0),"OK")</f>
        <v>OK</v>
      </c>
    </row>
    <row r="172" spans="1:7" hidden="1" x14ac:dyDescent="0.25">
      <c r="A172" t="s">
        <v>5621</v>
      </c>
      <c r="B172" s="1">
        <v>46072</v>
      </c>
      <c r="C172" t="s">
        <v>5053</v>
      </c>
      <c r="D172" s="36" t="str">
        <f t="shared" si="2"/>
        <v>64238035_20260219_nf_16.pdf</v>
      </c>
      <c r="E172">
        <f>COUNTIF(Analise!U:U,Notas_sem_indexar!C172)</f>
        <v>1</v>
      </c>
      <c r="G172" t="str">
        <f>IF(F172&lt;&gt;"",VLOOKUP(F172,'Obras e Acervos'!$C:$D,2,0),"OK")</f>
        <v>OK</v>
      </c>
    </row>
    <row r="173" spans="1:7" hidden="1" x14ac:dyDescent="0.25">
      <c r="A173" t="s">
        <v>5621</v>
      </c>
      <c r="B173" s="1">
        <v>46072</v>
      </c>
      <c r="C173" t="s">
        <v>5060</v>
      </c>
      <c r="D173" s="36" t="str">
        <f t="shared" si="2"/>
        <v>64238035_20260219_nf_17.pdf</v>
      </c>
      <c r="E173">
        <f>COUNTIF(Analise!U:U,Notas_sem_indexar!C173)</f>
        <v>1</v>
      </c>
      <c r="G173" t="str">
        <f>IF(F173&lt;&gt;"",VLOOKUP(F173,'Obras e Acervos'!$C:$D,2,0),"OK")</f>
        <v>OK</v>
      </c>
    </row>
    <row r="174" spans="1:7" hidden="1" x14ac:dyDescent="0.25">
      <c r="A174" t="s">
        <v>5621</v>
      </c>
      <c r="B174" s="1">
        <v>46072</v>
      </c>
      <c r="C174" t="s">
        <v>5055</v>
      </c>
      <c r="D174" s="36" t="str">
        <f t="shared" si="2"/>
        <v>64238035_20260219_nf_18.pdf</v>
      </c>
      <c r="E174">
        <f>COUNTIF(Analise!U:U,Notas_sem_indexar!C174)</f>
        <v>1</v>
      </c>
      <c r="G174" t="str">
        <f>IF(F174&lt;&gt;"",VLOOKUP(F174,'Obras e Acervos'!$C:$D,2,0),"OK")</f>
        <v>OK</v>
      </c>
    </row>
    <row r="175" spans="1:7" hidden="1" x14ac:dyDescent="0.25">
      <c r="A175" t="s">
        <v>5621</v>
      </c>
      <c r="B175" s="1">
        <v>46072</v>
      </c>
      <c r="C175" t="s">
        <v>5057</v>
      </c>
      <c r="D175" s="36" t="str">
        <f t="shared" si="2"/>
        <v>64238035_20260219_nf_19.pdf</v>
      </c>
      <c r="E175">
        <f>COUNTIF(Analise!U:U,Notas_sem_indexar!C175)</f>
        <v>1</v>
      </c>
      <c r="G175" t="str">
        <f>IF(F175&lt;&gt;"",VLOOKUP(F175,'Obras e Acervos'!$C:$D,2,0),"OK")</f>
        <v>OK</v>
      </c>
    </row>
    <row r="176" spans="1:7" hidden="1" x14ac:dyDescent="0.25">
      <c r="A176" t="s">
        <v>5596</v>
      </c>
      <c r="B176" s="1">
        <v>46048</v>
      </c>
      <c r="C176" t="s">
        <v>5066</v>
      </c>
      <c r="D176" s="36" t="str">
        <f t="shared" si="2"/>
        <v>64238470_20260126_nf_01.pdf</v>
      </c>
      <c r="E176">
        <f>COUNTIF(Analise!U:U,Notas_sem_indexar!C176)</f>
        <v>2</v>
      </c>
      <c r="G176" t="str">
        <f>IF(F176&lt;&gt;"",VLOOKUP(F176,'Obras e Acervos'!$C:$D,2,0),"OK")</f>
        <v>OK</v>
      </c>
    </row>
    <row r="177" spans="1:7" x14ac:dyDescent="0.25">
      <c r="A177" t="s">
        <v>5596</v>
      </c>
      <c r="B177" s="1">
        <v>46048</v>
      </c>
      <c r="C177" t="s">
        <v>5597</v>
      </c>
      <c r="D177" s="36" t="str">
        <f t="shared" si="2"/>
        <v>VERIFICAR</v>
      </c>
      <c r="E177">
        <f>COUNTIF(Analise!U:U,Notas_sem_indexar!C177)</f>
        <v>0</v>
      </c>
      <c r="G177" t="s">
        <v>5774</v>
      </c>
    </row>
    <row r="178" spans="1:7" hidden="1" x14ac:dyDescent="0.25">
      <c r="A178" t="s">
        <v>5596</v>
      </c>
      <c r="B178" s="1">
        <v>46048</v>
      </c>
      <c r="C178" t="s">
        <v>5067</v>
      </c>
      <c r="D178" s="36" t="str">
        <f t="shared" si="2"/>
        <v>64238470_20260126_nf_03.pdf</v>
      </c>
      <c r="E178">
        <f>COUNTIF(Analise!U:U,Notas_sem_indexar!C178)</f>
        <v>2</v>
      </c>
      <c r="G178" t="str">
        <f>IF(F178&lt;&gt;"",VLOOKUP(F178,'Obras e Acervos'!$C:$D,2,0),"OK")</f>
        <v>OK</v>
      </c>
    </row>
    <row r="179" spans="1:7" x14ac:dyDescent="0.25">
      <c r="A179" t="s">
        <v>5596</v>
      </c>
      <c r="B179" s="1">
        <v>46048</v>
      </c>
      <c r="C179" t="s">
        <v>5598</v>
      </c>
      <c r="D179" s="36" t="str">
        <f t="shared" si="2"/>
        <v>VERIFICAR</v>
      </c>
      <c r="E179">
        <f>COUNTIF(Analise!U:U,Notas_sem_indexar!C179)</f>
        <v>0</v>
      </c>
      <c r="G179" t="s">
        <v>5774</v>
      </c>
    </row>
    <row r="180" spans="1:7" hidden="1" x14ac:dyDescent="0.25">
      <c r="A180" t="s">
        <v>5596</v>
      </c>
      <c r="B180" s="1">
        <v>46048</v>
      </c>
      <c r="C180" t="s">
        <v>5063</v>
      </c>
      <c r="D180" s="36" t="str">
        <f t="shared" si="2"/>
        <v>64238470_20260126_nf_05.pdf</v>
      </c>
      <c r="E180">
        <f>COUNTIF(Analise!U:U,Notas_sem_indexar!C180)</f>
        <v>2</v>
      </c>
      <c r="G180" t="str">
        <f>IF(F180&lt;&gt;"",VLOOKUP(F180,'Obras e Acervos'!$C:$D,2,0),"OK")</f>
        <v>OK</v>
      </c>
    </row>
    <row r="181" spans="1:7" x14ac:dyDescent="0.25">
      <c r="A181" t="s">
        <v>5596</v>
      </c>
      <c r="B181" s="1">
        <v>46048</v>
      </c>
      <c r="C181" t="s">
        <v>5599</v>
      </c>
      <c r="D181" s="36" t="str">
        <f t="shared" si="2"/>
        <v>VERIFICAR</v>
      </c>
      <c r="E181">
        <f>COUNTIF(Analise!U:U,Notas_sem_indexar!C181)</f>
        <v>0</v>
      </c>
      <c r="G181" t="s">
        <v>5774</v>
      </c>
    </row>
    <row r="182" spans="1:7" hidden="1" x14ac:dyDescent="0.25">
      <c r="A182" t="s">
        <v>5596</v>
      </c>
      <c r="B182" s="1">
        <v>46048</v>
      </c>
      <c r="C182" t="s">
        <v>5062</v>
      </c>
      <c r="D182" s="36" t="str">
        <f t="shared" si="2"/>
        <v>64238470_20260126_nf_07.pdf</v>
      </c>
      <c r="E182">
        <f>COUNTIF(Analise!U:U,Notas_sem_indexar!C182)</f>
        <v>1</v>
      </c>
      <c r="G182" t="str">
        <f>IF(F182&lt;&gt;"",VLOOKUP(F182,'Obras e Acervos'!$C:$D,2,0),"OK")</f>
        <v>OK</v>
      </c>
    </row>
    <row r="183" spans="1:7" x14ac:dyDescent="0.25">
      <c r="A183" t="s">
        <v>5596</v>
      </c>
      <c r="B183" s="1">
        <v>46048</v>
      </c>
      <c r="C183" t="s">
        <v>5600</v>
      </c>
      <c r="D183" s="36" t="str">
        <f t="shared" si="2"/>
        <v>VERIFICAR</v>
      </c>
      <c r="E183">
        <f>COUNTIF(Analise!U:U,Notas_sem_indexar!C183)</f>
        <v>0</v>
      </c>
      <c r="G183" t="s">
        <v>5774</v>
      </c>
    </row>
    <row r="184" spans="1:7" hidden="1" x14ac:dyDescent="0.25">
      <c r="A184" t="s">
        <v>5596</v>
      </c>
      <c r="B184" s="1">
        <v>46048</v>
      </c>
      <c r="C184" t="s">
        <v>5064</v>
      </c>
      <c r="D184" s="36" t="str">
        <f t="shared" si="2"/>
        <v>64238470_20260126_nf_09.pdf</v>
      </c>
      <c r="E184">
        <f>COUNTIF(Analise!U:U,Notas_sem_indexar!C184)</f>
        <v>2</v>
      </c>
      <c r="G184" t="str">
        <f>IF(F184&lt;&gt;"",VLOOKUP(F184,'Obras e Acervos'!$C:$D,2,0),"OK")</f>
        <v>OK</v>
      </c>
    </row>
    <row r="185" spans="1:7" x14ac:dyDescent="0.25">
      <c r="A185" t="s">
        <v>5596</v>
      </c>
      <c r="B185" s="1">
        <v>46048</v>
      </c>
      <c r="C185" t="s">
        <v>5601</v>
      </c>
      <c r="D185" s="36" t="str">
        <f t="shared" si="2"/>
        <v>VERIFICAR</v>
      </c>
      <c r="E185">
        <f>COUNTIF(Analise!U:U,Notas_sem_indexar!C185)</f>
        <v>0</v>
      </c>
      <c r="G185" t="s">
        <v>5774</v>
      </c>
    </row>
    <row r="186" spans="1:7" hidden="1" x14ac:dyDescent="0.25">
      <c r="A186" t="s">
        <v>5596</v>
      </c>
      <c r="B186" s="1">
        <v>46048</v>
      </c>
      <c r="C186" t="s">
        <v>5065</v>
      </c>
      <c r="D186" s="36" t="str">
        <f t="shared" si="2"/>
        <v>64238470_20260126_nf_11.pdf</v>
      </c>
      <c r="E186">
        <f>COUNTIF(Analise!U:U,Notas_sem_indexar!C186)</f>
        <v>2</v>
      </c>
      <c r="G186" t="str">
        <f>IF(F186&lt;&gt;"",VLOOKUP(F186,'Obras e Acervos'!$C:$D,2,0),"OK")</f>
        <v>OK</v>
      </c>
    </row>
    <row r="187" spans="1:7" x14ac:dyDescent="0.25">
      <c r="A187" t="s">
        <v>5596</v>
      </c>
      <c r="B187" s="1">
        <v>46048</v>
      </c>
      <c r="C187" t="s">
        <v>5602</v>
      </c>
      <c r="D187" s="36" t="str">
        <f t="shared" si="2"/>
        <v>VERIFICAR</v>
      </c>
      <c r="E187">
        <f>COUNTIF(Analise!U:U,Notas_sem_indexar!C187)</f>
        <v>0</v>
      </c>
      <c r="G187" t="s">
        <v>5774</v>
      </c>
    </row>
    <row r="188" spans="1:7" hidden="1" x14ac:dyDescent="0.25">
      <c r="A188" t="s">
        <v>5596</v>
      </c>
      <c r="B188" s="1">
        <v>46049</v>
      </c>
      <c r="C188" t="s">
        <v>5075</v>
      </c>
      <c r="D188" s="36" t="str">
        <f t="shared" si="2"/>
        <v>64238470_20260127_nf_01.pdf</v>
      </c>
      <c r="E188">
        <f>COUNTIF(Analise!U:U,Notas_sem_indexar!C188)</f>
        <v>2</v>
      </c>
      <c r="G188" t="str">
        <f>IF(F188&lt;&gt;"",VLOOKUP(F188,'Obras e Acervos'!$C:$D,2,0),"OK")</f>
        <v>OK</v>
      </c>
    </row>
    <row r="189" spans="1:7" hidden="1" x14ac:dyDescent="0.25">
      <c r="A189" t="s">
        <v>5596</v>
      </c>
      <c r="B189" s="1">
        <v>46049</v>
      </c>
      <c r="C189" t="s">
        <v>5068</v>
      </c>
      <c r="D189" s="36" t="str">
        <f t="shared" si="2"/>
        <v>64238470_20260127_nf_02.pdf</v>
      </c>
      <c r="E189">
        <f>COUNTIF(Analise!U:U,Notas_sem_indexar!C189)</f>
        <v>2</v>
      </c>
      <c r="G189" t="str">
        <f>IF(F189&lt;&gt;"",VLOOKUP(F189,'Obras e Acervos'!$C:$D,2,0),"OK")</f>
        <v>OK</v>
      </c>
    </row>
    <row r="190" spans="1:7" hidden="1" x14ac:dyDescent="0.25">
      <c r="A190" t="s">
        <v>5596</v>
      </c>
      <c r="B190" s="1">
        <v>46049</v>
      </c>
      <c r="C190" t="s">
        <v>5072</v>
      </c>
      <c r="D190" s="36" t="str">
        <f t="shared" si="2"/>
        <v>64238470_20260127_nf_03.pdf</v>
      </c>
      <c r="E190">
        <f>COUNTIF(Analise!U:U,Notas_sem_indexar!C190)</f>
        <v>1</v>
      </c>
      <c r="G190" t="str">
        <f>IF(F190&lt;&gt;"",VLOOKUP(F190,'Obras e Acervos'!$C:$D,2,0),"OK")</f>
        <v>OK</v>
      </c>
    </row>
    <row r="191" spans="1:7" hidden="1" x14ac:dyDescent="0.25">
      <c r="A191" t="s">
        <v>5596</v>
      </c>
      <c r="B191" s="1">
        <v>46049</v>
      </c>
      <c r="C191" t="s">
        <v>5078</v>
      </c>
      <c r="D191" s="36" t="str">
        <f t="shared" si="2"/>
        <v>64238470_20260127_nf_04.pdf</v>
      </c>
      <c r="E191">
        <f>COUNTIF(Analise!U:U,Notas_sem_indexar!C191)</f>
        <v>2</v>
      </c>
      <c r="G191" t="str">
        <f>IF(F191&lt;&gt;"",VLOOKUP(F191,'Obras e Acervos'!$C:$D,2,0),"OK")</f>
        <v>OK</v>
      </c>
    </row>
    <row r="192" spans="1:7" hidden="1" x14ac:dyDescent="0.25">
      <c r="A192" t="s">
        <v>5596</v>
      </c>
      <c r="B192" s="1">
        <v>46049</v>
      </c>
      <c r="C192" t="s">
        <v>5077</v>
      </c>
      <c r="D192" s="36" t="str">
        <f t="shared" si="2"/>
        <v>64238470_20260127_nf_05.pdf</v>
      </c>
      <c r="E192">
        <f>COUNTIF(Analise!U:U,Notas_sem_indexar!C192)</f>
        <v>1</v>
      </c>
      <c r="G192" t="str">
        <f>IF(F192&lt;&gt;"",VLOOKUP(F192,'Obras e Acervos'!$C:$D,2,0),"OK")</f>
        <v>OK</v>
      </c>
    </row>
    <row r="193" spans="1:7" hidden="1" x14ac:dyDescent="0.25">
      <c r="A193" t="s">
        <v>5596</v>
      </c>
      <c r="B193" s="1">
        <v>46049</v>
      </c>
      <c r="C193" t="s">
        <v>5069</v>
      </c>
      <c r="D193" s="36" t="str">
        <f t="shared" si="2"/>
        <v>64238470_20260127_nf_06.pdf</v>
      </c>
      <c r="E193">
        <f>COUNTIF(Analise!U:U,Notas_sem_indexar!C193)</f>
        <v>1</v>
      </c>
      <c r="G193" t="str">
        <f>IF(F193&lt;&gt;"",VLOOKUP(F193,'Obras e Acervos'!$C:$D,2,0),"OK")</f>
        <v>OK</v>
      </c>
    </row>
    <row r="194" spans="1:7" hidden="1" x14ac:dyDescent="0.25">
      <c r="A194" t="s">
        <v>5596</v>
      </c>
      <c r="B194" s="1">
        <v>46049</v>
      </c>
      <c r="C194" t="s">
        <v>5070</v>
      </c>
      <c r="D194" s="36" t="str">
        <f t="shared" si="2"/>
        <v>64238470_20260127_nf_07.pdf</v>
      </c>
      <c r="E194">
        <f>COUNTIF(Analise!U:U,Notas_sem_indexar!C194)</f>
        <v>1</v>
      </c>
      <c r="G194" t="str">
        <f>IF(F194&lt;&gt;"",VLOOKUP(F194,'Obras e Acervos'!$C:$D,2,0),"OK")</f>
        <v>OK</v>
      </c>
    </row>
    <row r="195" spans="1:7" hidden="1" x14ac:dyDescent="0.25">
      <c r="A195" t="s">
        <v>5596</v>
      </c>
      <c r="B195" s="1">
        <v>46049</v>
      </c>
      <c r="C195" t="s">
        <v>5071</v>
      </c>
      <c r="D195" s="36" t="str">
        <f t="shared" ref="D195:D258" si="3">IF(E195=0,HYPERLINK(CONCATENATE("saida/",C195),"VERIFICAR"),HYPERLINK(CONCATENATE("saida/",C195),C195))</f>
        <v>64238470_20260127_nf_08.pdf</v>
      </c>
      <c r="E195">
        <f>COUNTIF(Analise!U:U,Notas_sem_indexar!C195)</f>
        <v>1</v>
      </c>
      <c r="G195" t="str">
        <f>IF(F195&lt;&gt;"",VLOOKUP(F195,'Obras e Acervos'!$C:$D,2,0),"OK")</f>
        <v>OK</v>
      </c>
    </row>
    <row r="196" spans="1:7" hidden="1" x14ac:dyDescent="0.25">
      <c r="A196" t="s">
        <v>5596</v>
      </c>
      <c r="B196" s="1">
        <v>46049</v>
      </c>
      <c r="C196" t="s">
        <v>5076</v>
      </c>
      <c r="D196" s="36" t="str">
        <f t="shared" si="3"/>
        <v>64238470_20260127_nf_09.pdf</v>
      </c>
      <c r="E196">
        <f>COUNTIF(Analise!U:U,Notas_sem_indexar!C196)</f>
        <v>1</v>
      </c>
      <c r="G196" t="str">
        <f>IF(F196&lt;&gt;"",VLOOKUP(F196,'Obras e Acervos'!$C:$D,2,0),"OK")</f>
        <v>OK</v>
      </c>
    </row>
    <row r="197" spans="1:7" hidden="1" x14ac:dyDescent="0.25">
      <c r="A197" t="s">
        <v>5596</v>
      </c>
      <c r="B197" s="1">
        <v>46049</v>
      </c>
      <c r="C197" t="s">
        <v>5073</v>
      </c>
      <c r="D197" s="36" t="str">
        <f t="shared" si="3"/>
        <v>64238470_20260127_nf_10.pdf</v>
      </c>
      <c r="E197">
        <f>COUNTIF(Analise!U:U,Notas_sem_indexar!C197)</f>
        <v>2</v>
      </c>
      <c r="G197" t="str">
        <f>IF(F197&lt;&gt;"",VLOOKUP(F197,'Obras e Acervos'!$C:$D,2,0),"OK")</f>
        <v>OK</v>
      </c>
    </row>
    <row r="198" spans="1:7" x14ac:dyDescent="0.25">
      <c r="A198" t="s">
        <v>5596</v>
      </c>
      <c r="B198" s="1">
        <v>46049</v>
      </c>
      <c r="C198" t="s">
        <v>5074</v>
      </c>
      <c r="D198" s="36" t="str">
        <f t="shared" si="3"/>
        <v>VERIFICAR</v>
      </c>
      <c r="E198">
        <f>COUNTIF(Analise!U:U,Notas_sem_indexar!C198)</f>
        <v>0</v>
      </c>
      <c r="F198" s="35" t="s">
        <v>2558</v>
      </c>
      <c r="G198" t="str">
        <f>IF(F198&lt;&gt;"",VLOOKUP(F198,'Obras e Acervos'!$C:$D,2,0),"OK")</f>
        <v>ENQUETE EDITORA E COMUNICAÇÃO LTDA-POTENCIAL EDITORA</v>
      </c>
    </row>
    <row r="199" spans="1:7" x14ac:dyDescent="0.25">
      <c r="A199" t="s">
        <v>5596</v>
      </c>
      <c r="B199" s="1">
        <v>46049</v>
      </c>
      <c r="C199" t="s">
        <v>5603</v>
      </c>
      <c r="D199" s="36" t="str">
        <f t="shared" si="3"/>
        <v>VERIFICAR</v>
      </c>
      <c r="E199">
        <f>COUNTIF(Analise!U:U,Notas_sem_indexar!C199)</f>
        <v>0</v>
      </c>
      <c r="F199" s="35" t="s">
        <v>2558</v>
      </c>
      <c r="G199" t="str">
        <f>IF(F199&lt;&gt;"",VLOOKUP(F199,'Obras e Acervos'!$C:$D,2,0),"OK")</f>
        <v>ENQUETE EDITORA E COMUNICAÇÃO LTDA-POTENCIAL EDITORA</v>
      </c>
    </row>
    <row r="200" spans="1:7" hidden="1" x14ac:dyDescent="0.25">
      <c r="A200" t="s">
        <v>5596</v>
      </c>
      <c r="B200" s="1">
        <v>46071</v>
      </c>
      <c r="C200" t="s">
        <v>5092</v>
      </c>
      <c r="D200" s="36" t="str">
        <f t="shared" si="3"/>
        <v>64238470_20260218_nf_01.pdf</v>
      </c>
      <c r="E200">
        <f>COUNTIF(Analise!U:U,Notas_sem_indexar!C200)</f>
        <v>1</v>
      </c>
      <c r="G200" t="str">
        <f>IF(F200&lt;&gt;"",VLOOKUP(F200,'Obras e Acervos'!$C:$D,2,0),"OK")</f>
        <v>OK</v>
      </c>
    </row>
    <row r="201" spans="1:7" hidden="1" x14ac:dyDescent="0.25">
      <c r="A201" t="s">
        <v>5596</v>
      </c>
      <c r="B201" s="1">
        <v>46071</v>
      </c>
      <c r="C201" t="s">
        <v>5080</v>
      </c>
      <c r="D201" s="36" t="str">
        <f t="shared" si="3"/>
        <v>64238470_20260218_nf_02.pdf</v>
      </c>
      <c r="E201">
        <f>COUNTIF(Analise!U:U,Notas_sem_indexar!C201)</f>
        <v>1</v>
      </c>
      <c r="G201" t="str">
        <f>IF(F201&lt;&gt;"",VLOOKUP(F201,'Obras e Acervos'!$C:$D,2,0),"OK")</f>
        <v>OK</v>
      </c>
    </row>
    <row r="202" spans="1:7" x14ac:dyDescent="0.25">
      <c r="A202" t="s">
        <v>5596</v>
      </c>
      <c r="B202" s="1">
        <v>46071</v>
      </c>
      <c r="C202" t="s">
        <v>5623</v>
      </c>
      <c r="D202" s="36" t="str">
        <f t="shared" si="3"/>
        <v>VERIFICAR</v>
      </c>
      <c r="E202">
        <f>COUNTIF(Analise!U:U,Notas_sem_indexar!C202)</f>
        <v>0</v>
      </c>
      <c r="F202" s="35" t="s">
        <v>2050</v>
      </c>
      <c r="G202" t="str">
        <f>IF(F202&lt;&gt;"",VLOOKUP(F202,'Obras e Acervos'!$C:$D,2,0),"OK")</f>
        <v>CAPITAL DAS LETRAS DISTRIBUIDORA DE LIVROS LTDA-CAPITAL DAS LETRAS</v>
      </c>
    </row>
    <row r="203" spans="1:7" hidden="1" x14ac:dyDescent="0.25">
      <c r="A203" t="s">
        <v>5596</v>
      </c>
      <c r="B203" s="1">
        <v>46071</v>
      </c>
      <c r="C203" t="s">
        <v>5081</v>
      </c>
      <c r="D203" s="36" t="str">
        <f t="shared" si="3"/>
        <v>64238470_20260218_nf_04.pdf</v>
      </c>
      <c r="E203">
        <f>COUNTIF(Analise!U:U,Notas_sem_indexar!C203)</f>
        <v>1</v>
      </c>
      <c r="G203" t="str">
        <f>IF(F203&lt;&gt;"",VLOOKUP(F203,'Obras e Acervos'!$C:$D,2,0),"OK")</f>
        <v>OK</v>
      </c>
    </row>
    <row r="204" spans="1:7" hidden="1" x14ac:dyDescent="0.25">
      <c r="A204" t="s">
        <v>5596</v>
      </c>
      <c r="B204" s="1">
        <v>46071</v>
      </c>
      <c r="C204" t="s">
        <v>5083</v>
      </c>
      <c r="D204" s="36" t="str">
        <f t="shared" si="3"/>
        <v>64238470_20260218_nf_05.pdf</v>
      </c>
      <c r="E204">
        <f>COUNTIF(Analise!U:U,Notas_sem_indexar!C204)</f>
        <v>1</v>
      </c>
      <c r="G204" t="str">
        <f>IF(F204&lt;&gt;"",VLOOKUP(F204,'Obras e Acervos'!$C:$D,2,0),"OK")</f>
        <v>OK</v>
      </c>
    </row>
    <row r="205" spans="1:7" hidden="1" x14ac:dyDescent="0.25">
      <c r="A205" t="s">
        <v>5596</v>
      </c>
      <c r="B205" s="1">
        <v>46071</v>
      </c>
      <c r="C205" t="s">
        <v>5084</v>
      </c>
      <c r="D205" s="36" t="str">
        <f t="shared" si="3"/>
        <v>64238470_20260218_nf_06.pdf</v>
      </c>
      <c r="E205">
        <f>COUNTIF(Analise!U:U,Notas_sem_indexar!C205)</f>
        <v>1</v>
      </c>
      <c r="G205" t="str">
        <f>IF(F205&lt;&gt;"",VLOOKUP(F205,'Obras e Acervos'!$C:$D,2,0),"OK")</f>
        <v>OK</v>
      </c>
    </row>
    <row r="206" spans="1:7" hidden="1" x14ac:dyDescent="0.25">
      <c r="A206" t="s">
        <v>5596</v>
      </c>
      <c r="B206" s="1">
        <v>46071</v>
      </c>
      <c r="C206" t="s">
        <v>5088</v>
      </c>
      <c r="D206" s="36" t="str">
        <f t="shared" si="3"/>
        <v>64238470_20260218_nf_07.pdf</v>
      </c>
      <c r="E206">
        <f>COUNTIF(Analise!U:U,Notas_sem_indexar!C206)</f>
        <v>2</v>
      </c>
      <c r="G206" t="str">
        <f>IF(F206&lt;&gt;"",VLOOKUP(F206,'Obras e Acervos'!$C:$D,2,0),"OK")</f>
        <v>OK</v>
      </c>
    </row>
    <row r="207" spans="1:7" hidden="1" x14ac:dyDescent="0.25">
      <c r="A207" t="s">
        <v>5596</v>
      </c>
      <c r="B207" s="1">
        <v>46071</v>
      </c>
      <c r="C207" t="s">
        <v>5089</v>
      </c>
      <c r="D207" s="36" t="str">
        <f t="shared" si="3"/>
        <v>64238470_20260218_nf_08.pdf</v>
      </c>
      <c r="E207">
        <f>COUNTIF(Analise!U:U,Notas_sem_indexar!C207)</f>
        <v>1</v>
      </c>
      <c r="G207" t="str">
        <f>IF(F207&lt;&gt;"",VLOOKUP(F207,'Obras e Acervos'!$C:$D,2,0),"OK")</f>
        <v>OK</v>
      </c>
    </row>
    <row r="208" spans="1:7" hidden="1" x14ac:dyDescent="0.25">
      <c r="A208" t="s">
        <v>5596</v>
      </c>
      <c r="B208" s="1">
        <v>46071</v>
      </c>
      <c r="C208" t="s">
        <v>5094</v>
      </c>
      <c r="D208" s="36" t="str">
        <f t="shared" si="3"/>
        <v>64238470_20260218_nf_09.pdf</v>
      </c>
      <c r="E208">
        <f>COUNTIF(Analise!U:U,Notas_sem_indexar!C208)</f>
        <v>1</v>
      </c>
      <c r="G208" t="str">
        <f>IF(F208&lt;&gt;"",VLOOKUP(F208,'Obras e Acervos'!$C:$D,2,0),"OK")</f>
        <v>OK</v>
      </c>
    </row>
    <row r="209" spans="1:7" hidden="1" x14ac:dyDescent="0.25">
      <c r="A209" t="s">
        <v>5596</v>
      </c>
      <c r="B209" s="1">
        <v>46071</v>
      </c>
      <c r="C209" t="s">
        <v>5085</v>
      </c>
      <c r="D209" s="36" t="str">
        <f t="shared" si="3"/>
        <v>64238470_20260218_nf_10.pdf</v>
      </c>
      <c r="E209">
        <f>COUNTIF(Analise!U:U,Notas_sem_indexar!C209)</f>
        <v>2</v>
      </c>
      <c r="G209" t="str">
        <f>IF(F209&lt;&gt;"",VLOOKUP(F209,'Obras e Acervos'!$C:$D,2,0),"OK")</f>
        <v>OK</v>
      </c>
    </row>
    <row r="210" spans="1:7" hidden="1" x14ac:dyDescent="0.25">
      <c r="A210" t="s">
        <v>5596</v>
      </c>
      <c r="B210" s="1">
        <v>46071</v>
      </c>
      <c r="C210" t="s">
        <v>5079</v>
      </c>
      <c r="D210" s="36" t="str">
        <f t="shared" si="3"/>
        <v>64238470_20260218_nf_11.pdf</v>
      </c>
      <c r="E210">
        <f>COUNTIF(Analise!U:U,Notas_sem_indexar!C210)</f>
        <v>1</v>
      </c>
      <c r="G210" t="str">
        <f>IF(F210&lt;&gt;"",VLOOKUP(F210,'Obras e Acervos'!$C:$D,2,0),"OK")</f>
        <v>OK</v>
      </c>
    </row>
    <row r="211" spans="1:7" hidden="1" x14ac:dyDescent="0.25">
      <c r="A211" t="s">
        <v>5596</v>
      </c>
      <c r="B211" s="1">
        <v>46071</v>
      </c>
      <c r="C211" t="s">
        <v>5087</v>
      </c>
      <c r="D211" s="36" t="str">
        <f t="shared" si="3"/>
        <v>64238470_20260218_nf_12.pdf</v>
      </c>
      <c r="E211">
        <f>COUNTIF(Analise!U:U,Notas_sem_indexar!C211)</f>
        <v>2</v>
      </c>
      <c r="G211" t="str">
        <f>IF(F211&lt;&gt;"",VLOOKUP(F211,'Obras e Acervos'!$C:$D,2,0),"OK")</f>
        <v>OK</v>
      </c>
    </row>
    <row r="212" spans="1:7" hidden="1" x14ac:dyDescent="0.25">
      <c r="A212" t="s">
        <v>5596</v>
      </c>
      <c r="B212" s="1">
        <v>46071</v>
      </c>
      <c r="C212" t="s">
        <v>5086</v>
      </c>
      <c r="D212" s="36" t="str">
        <f t="shared" si="3"/>
        <v>64238470_20260218_nf_13.pdf</v>
      </c>
      <c r="E212">
        <f>COUNTIF(Analise!U:U,Notas_sem_indexar!C212)</f>
        <v>1</v>
      </c>
      <c r="G212" t="str">
        <f>IF(F212&lt;&gt;"",VLOOKUP(F212,'Obras e Acervos'!$C:$D,2,0),"OK")</f>
        <v>OK</v>
      </c>
    </row>
    <row r="213" spans="1:7" hidden="1" x14ac:dyDescent="0.25">
      <c r="A213" t="s">
        <v>5596</v>
      </c>
      <c r="B213" s="1">
        <v>46071</v>
      </c>
      <c r="C213" t="s">
        <v>5082</v>
      </c>
      <c r="D213" s="36" t="str">
        <f t="shared" si="3"/>
        <v>64238470_20260218_nf_14.pdf</v>
      </c>
      <c r="E213">
        <f>COUNTIF(Analise!U:U,Notas_sem_indexar!C213)</f>
        <v>1</v>
      </c>
      <c r="G213" t="str">
        <f>IF(F213&lt;&gt;"",VLOOKUP(F213,'Obras e Acervos'!$C:$D,2,0),"OK")</f>
        <v>OK</v>
      </c>
    </row>
    <row r="214" spans="1:7" x14ac:dyDescent="0.25">
      <c r="A214" t="s">
        <v>5596</v>
      </c>
      <c r="B214" s="1">
        <v>46071</v>
      </c>
      <c r="C214" t="s">
        <v>5624</v>
      </c>
      <c r="D214" s="36" t="str">
        <f t="shared" si="3"/>
        <v>VERIFICAR</v>
      </c>
      <c r="E214">
        <f>COUNTIF(Analise!U:U,Notas_sem_indexar!C214)</f>
        <v>0</v>
      </c>
      <c r="G214" t="s">
        <v>5775</v>
      </c>
    </row>
    <row r="215" spans="1:7" hidden="1" x14ac:dyDescent="0.25">
      <c r="A215" t="s">
        <v>5596</v>
      </c>
      <c r="B215" s="1">
        <v>46071</v>
      </c>
      <c r="C215" t="s">
        <v>5096</v>
      </c>
      <c r="D215" s="36" t="str">
        <f t="shared" si="3"/>
        <v>64238470_20260218_nf_16.pdf</v>
      </c>
      <c r="E215">
        <f>COUNTIF(Analise!U:U,Notas_sem_indexar!C215)</f>
        <v>1</v>
      </c>
      <c r="G215" t="str">
        <f>IF(F215&lt;&gt;"",VLOOKUP(F215,'Obras e Acervos'!$C:$D,2,0),"OK")</f>
        <v>OK</v>
      </c>
    </row>
    <row r="216" spans="1:7" hidden="1" x14ac:dyDescent="0.25">
      <c r="A216" t="s">
        <v>5596</v>
      </c>
      <c r="B216" s="1">
        <v>46071</v>
      </c>
      <c r="C216" t="s">
        <v>5090</v>
      </c>
      <c r="D216" s="36" t="str">
        <f t="shared" si="3"/>
        <v>64238470_20260218_nf_17.pdf</v>
      </c>
      <c r="E216">
        <f>COUNTIF(Analise!U:U,Notas_sem_indexar!C216)</f>
        <v>1</v>
      </c>
      <c r="G216" t="str">
        <f>IF(F216&lt;&gt;"",VLOOKUP(F216,'Obras e Acervos'!$C:$D,2,0),"OK")</f>
        <v>OK</v>
      </c>
    </row>
    <row r="217" spans="1:7" hidden="1" x14ac:dyDescent="0.25">
      <c r="A217" t="s">
        <v>5596</v>
      </c>
      <c r="B217" s="1">
        <v>46071</v>
      </c>
      <c r="C217" t="s">
        <v>5095</v>
      </c>
      <c r="D217" s="36" t="str">
        <f t="shared" si="3"/>
        <v>64238470_20260218_nf_18.pdf</v>
      </c>
      <c r="E217">
        <f>COUNTIF(Analise!U:U,Notas_sem_indexar!C217)</f>
        <v>2</v>
      </c>
      <c r="G217" t="str">
        <f>IF(F217&lt;&gt;"",VLOOKUP(F217,'Obras e Acervos'!$C:$D,2,0),"OK")</f>
        <v>OK</v>
      </c>
    </row>
    <row r="218" spans="1:7" hidden="1" x14ac:dyDescent="0.25">
      <c r="A218" t="s">
        <v>5596</v>
      </c>
      <c r="B218" s="1">
        <v>46071</v>
      </c>
      <c r="C218" t="s">
        <v>5093</v>
      </c>
      <c r="D218" s="36" t="str">
        <f t="shared" si="3"/>
        <v>64238470_20260218_nf_19.pdf</v>
      </c>
      <c r="E218">
        <f>COUNTIF(Analise!U:U,Notas_sem_indexar!C218)</f>
        <v>2</v>
      </c>
      <c r="G218" t="str">
        <f>IF(F218&lt;&gt;"",VLOOKUP(F218,'Obras e Acervos'!$C:$D,2,0),"OK")</f>
        <v>OK</v>
      </c>
    </row>
    <row r="219" spans="1:7" hidden="1" x14ac:dyDescent="0.25">
      <c r="A219" t="s">
        <v>5596</v>
      </c>
      <c r="B219" s="1">
        <v>46071</v>
      </c>
      <c r="C219" t="s">
        <v>5091</v>
      </c>
      <c r="D219" s="36" t="str">
        <f t="shared" si="3"/>
        <v>64238470_20260218_nf_20.pdf</v>
      </c>
      <c r="E219">
        <f>COUNTIF(Analise!U:U,Notas_sem_indexar!C219)</f>
        <v>2</v>
      </c>
      <c r="G219" t="str">
        <f>IF(F219&lt;&gt;"",VLOOKUP(F219,'Obras e Acervos'!$C:$D,2,0),"OK")</f>
        <v>OK</v>
      </c>
    </row>
    <row r="220" spans="1:7" hidden="1" x14ac:dyDescent="0.25">
      <c r="A220" t="s">
        <v>5628</v>
      </c>
      <c r="B220" s="1">
        <v>46073</v>
      </c>
      <c r="C220" t="s">
        <v>5098</v>
      </c>
      <c r="D220" s="36" t="str">
        <f t="shared" si="3"/>
        <v>64238582_20260220_nf_01.pdf</v>
      </c>
      <c r="E220">
        <f>COUNTIF(Analise!U:U,Notas_sem_indexar!C220)</f>
        <v>1</v>
      </c>
      <c r="G220" t="str">
        <f>IF(F220&lt;&gt;"",VLOOKUP(F220,'Obras e Acervos'!$C:$D,2,0),"OK")</f>
        <v>OK</v>
      </c>
    </row>
    <row r="221" spans="1:7" hidden="1" x14ac:dyDescent="0.25">
      <c r="A221" t="s">
        <v>5628</v>
      </c>
      <c r="B221" s="1">
        <v>46073</v>
      </c>
      <c r="C221" t="s">
        <v>5102</v>
      </c>
      <c r="D221" s="36" t="str">
        <f t="shared" si="3"/>
        <v>64238582_20260220_nf_02.pdf</v>
      </c>
      <c r="E221">
        <f>COUNTIF(Analise!U:U,Notas_sem_indexar!C221)</f>
        <v>1</v>
      </c>
      <c r="G221" t="str">
        <f>IF(F221&lt;&gt;"",VLOOKUP(F221,'Obras e Acervos'!$C:$D,2,0),"OK")</f>
        <v>OK</v>
      </c>
    </row>
    <row r="222" spans="1:7" x14ac:dyDescent="0.25">
      <c r="A222" t="s">
        <v>5628</v>
      </c>
      <c r="B222" s="1">
        <v>46073</v>
      </c>
      <c r="C222" t="s">
        <v>5629</v>
      </c>
      <c r="D222" s="36" t="str">
        <f t="shared" si="3"/>
        <v>VERIFICAR</v>
      </c>
      <c r="E222">
        <f>COUNTIF(Analise!U:U,Notas_sem_indexar!C222)</f>
        <v>0</v>
      </c>
      <c r="F222" s="35" t="s">
        <v>3146</v>
      </c>
      <c r="G222" t="str">
        <f>IF(F222&lt;&gt;"",VLOOKUP(F222,'Obras e Acervos'!$C:$D,2,0),"OK")</f>
        <v>VALOR CRUCIAL TREINAMENTO LTDA-VALOR CRUCIAL</v>
      </c>
    </row>
    <row r="223" spans="1:7" hidden="1" x14ac:dyDescent="0.25">
      <c r="A223" t="s">
        <v>5628</v>
      </c>
      <c r="B223" s="1">
        <v>46073</v>
      </c>
      <c r="C223" t="s">
        <v>5103</v>
      </c>
      <c r="D223" s="36" t="str">
        <f t="shared" si="3"/>
        <v>64238582_20260220_nf_04.pdf</v>
      </c>
      <c r="E223">
        <f>COUNTIF(Analise!U:U,Notas_sem_indexar!C223)</f>
        <v>1</v>
      </c>
      <c r="G223" t="str">
        <f>IF(F223&lt;&gt;"",VLOOKUP(F223,'Obras e Acervos'!$C:$D,2,0),"OK")</f>
        <v>OK</v>
      </c>
    </row>
    <row r="224" spans="1:7" hidden="1" x14ac:dyDescent="0.25">
      <c r="A224" t="s">
        <v>5628</v>
      </c>
      <c r="B224" s="1">
        <v>46073</v>
      </c>
      <c r="C224" t="s">
        <v>5116</v>
      </c>
      <c r="D224" s="36" t="str">
        <f t="shared" si="3"/>
        <v>64238582_20260220_nf_05.pdf</v>
      </c>
      <c r="E224">
        <f>COUNTIF(Analise!U:U,Notas_sem_indexar!C224)</f>
        <v>1</v>
      </c>
      <c r="G224" t="str">
        <f>IF(F224&lt;&gt;"",VLOOKUP(F224,'Obras e Acervos'!$C:$D,2,0),"OK")</f>
        <v>OK</v>
      </c>
    </row>
    <row r="225" spans="1:7" hidden="1" x14ac:dyDescent="0.25">
      <c r="A225" t="s">
        <v>5628</v>
      </c>
      <c r="B225" s="1">
        <v>46073</v>
      </c>
      <c r="C225" t="s">
        <v>5104</v>
      </c>
      <c r="D225" s="36" t="str">
        <f t="shared" si="3"/>
        <v>64238582_20260220_nf_06.pdf</v>
      </c>
      <c r="E225">
        <f>COUNTIF(Analise!U:U,Notas_sem_indexar!C225)</f>
        <v>1</v>
      </c>
      <c r="G225" t="str">
        <f>IF(F225&lt;&gt;"",VLOOKUP(F225,'Obras e Acervos'!$C:$D,2,0),"OK")</f>
        <v>OK</v>
      </c>
    </row>
    <row r="226" spans="1:7" hidden="1" x14ac:dyDescent="0.25">
      <c r="A226" t="s">
        <v>5628</v>
      </c>
      <c r="B226" s="1">
        <v>46073</v>
      </c>
      <c r="C226" t="s">
        <v>5110</v>
      </c>
      <c r="D226" s="36" t="str">
        <f t="shared" si="3"/>
        <v>64238582_20260220_nf_07.pdf</v>
      </c>
      <c r="E226">
        <f>COUNTIF(Analise!U:U,Notas_sem_indexar!C226)</f>
        <v>1</v>
      </c>
      <c r="G226" t="str">
        <f>IF(F226&lt;&gt;"",VLOOKUP(F226,'Obras e Acervos'!$C:$D,2,0),"OK")</f>
        <v>OK</v>
      </c>
    </row>
    <row r="227" spans="1:7" x14ac:dyDescent="0.25">
      <c r="A227" t="s">
        <v>5628</v>
      </c>
      <c r="B227" s="1">
        <v>46073</v>
      </c>
      <c r="C227" t="s">
        <v>5630</v>
      </c>
      <c r="D227" s="36" t="str">
        <f t="shared" si="3"/>
        <v>VERIFICAR</v>
      </c>
      <c r="E227">
        <f>COUNTIF(Analise!U:U,Notas_sem_indexar!C227)</f>
        <v>0</v>
      </c>
      <c r="G227" t="s">
        <v>5776</v>
      </c>
    </row>
    <row r="228" spans="1:7" hidden="1" x14ac:dyDescent="0.25">
      <c r="A228" t="s">
        <v>5628</v>
      </c>
      <c r="B228" s="1">
        <v>46073</v>
      </c>
      <c r="C228" t="s">
        <v>5113</v>
      </c>
      <c r="D228" s="36" t="str">
        <f t="shared" si="3"/>
        <v>64238582_20260220_nf_09.pdf</v>
      </c>
      <c r="E228">
        <f>COUNTIF(Analise!U:U,Notas_sem_indexar!C228)</f>
        <v>1</v>
      </c>
      <c r="G228" t="str">
        <f>IF(F228&lt;&gt;"",VLOOKUP(F228,'Obras e Acervos'!$C:$D,2,0),"OK")</f>
        <v>OK</v>
      </c>
    </row>
    <row r="229" spans="1:7" hidden="1" x14ac:dyDescent="0.25">
      <c r="A229" t="s">
        <v>5628</v>
      </c>
      <c r="B229" s="1">
        <v>46073</v>
      </c>
      <c r="C229" t="s">
        <v>5106</v>
      </c>
      <c r="D229" s="36" t="str">
        <f t="shared" si="3"/>
        <v>64238582_20260220_nf_10.pdf</v>
      </c>
      <c r="E229">
        <f>COUNTIF(Analise!U:U,Notas_sem_indexar!C229)</f>
        <v>1</v>
      </c>
      <c r="G229" t="str">
        <f>IF(F229&lt;&gt;"",VLOOKUP(F229,'Obras e Acervos'!$C:$D,2,0),"OK")</f>
        <v>OK</v>
      </c>
    </row>
    <row r="230" spans="1:7" hidden="1" x14ac:dyDescent="0.25">
      <c r="A230" t="s">
        <v>5628</v>
      </c>
      <c r="B230" s="1">
        <v>46073</v>
      </c>
      <c r="C230" t="s">
        <v>5114</v>
      </c>
      <c r="D230" s="36" t="str">
        <f t="shared" si="3"/>
        <v>64238582_20260220_nf_11.pdf</v>
      </c>
      <c r="E230">
        <f>COUNTIF(Analise!U:U,Notas_sem_indexar!C230)</f>
        <v>1</v>
      </c>
      <c r="G230" t="str">
        <f>IF(F230&lt;&gt;"",VLOOKUP(F230,'Obras e Acervos'!$C:$D,2,0),"OK")</f>
        <v>OK</v>
      </c>
    </row>
    <row r="231" spans="1:7" hidden="1" x14ac:dyDescent="0.25">
      <c r="A231" t="s">
        <v>5628</v>
      </c>
      <c r="B231" s="1">
        <v>46073</v>
      </c>
      <c r="C231" t="s">
        <v>5115</v>
      </c>
      <c r="D231" s="36" t="str">
        <f t="shared" si="3"/>
        <v>64238582_20260220_nf_12.pdf</v>
      </c>
      <c r="E231">
        <f>COUNTIF(Analise!U:U,Notas_sem_indexar!C231)</f>
        <v>1</v>
      </c>
      <c r="G231" t="str">
        <f>IF(F231&lt;&gt;"",VLOOKUP(F231,'Obras e Acervos'!$C:$D,2,0),"OK")</f>
        <v>OK</v>
      </c>
    </row>
    <row r="232" spans="1:7" hidden="1" x14ac:dyDescent="0.25">
      <c r="A232" t="s">
        <v>5628</v>
      </c>
      <c r="B232" s="1">
        <v>46073</v>
      </c>
      <c r="C232" t="s">
        <v>5109</v>
      </c>
      <c r="D232" s="36" t="str">
        <f t="shared" si="3"/>
        <v>64238582_20260220_nf_13.pdf</v>
      </c>
      <c r="E232">
        <f>COUNTIF(Analise!U:U,Notas_sem_indexar!C232)</f>
        <v>2</v>
      </c>
      <c r="G232" t="str">
        <f>IF(F232&lt;&gt;"",VLOOKUP(F232,'Obras e Acervos'!$C:$D,2,0),"OK")</f>
        <v>OK</v>
      </c>
    </row>
    <row r="233" spans="1:7" hidden="1" x14ac:dyDescent="0.25">
      <c r="A233" t="s">
        <v>5628</v>
      </c>
      <c r="B233" s="1">
        <v>46073</v>
      </c>
      <c r="C233" t="s">
        <v>5117</v>
      </c>
      <c r="D233" s="36" t="str">
        <f t="shared" si="3"/>
        <v>64238582_20260220_nf_14.pdf</v>
      </c>
      <c r="E233">
        <f>COUNTIF(Analise!U:U,Notas_sem_indexar!C233)</f>
        <v>1</v>
      </c>
      <c r="G233" t="str">
        <f>IF(F233&lt;&gt;"",VLOOKUP(F233,'Obras e Acervos'!$C:$D,2,0),"OK")</f>
        <v>OK</v>
      </c>
    </row>
    <row r="234" spans="1:7" hidden="1" x14ac:dyDescent="0.25">
      <c r="A234" t="s">
        <v>5628</v>
      </c>
      <c r="B234" s="1">
        <v>46073</v>
      </c>
      <c r="C234" t="s">
        <v>5111</v>
      </c>
      <c r="D234" s="36" t="str">
        <f t="shared" si="3"/>
        <v>64238582_20260220_nf_15.pdf</v>
      </c>
      <c r="E234">
        <f>COUNTIF(Analise!U:U,Notas_sem_indexar!C234)</f>
        <v>2</v>
      </c>
      <c r="G234" t="str">
        <f>IF(F234&lt;&gt;"",VLOOKUP(F234,'Obras e Acervos'!$C:$D,2,0),"OK")</f>
        <v>OK</v>
      </c>
    </row>
    <row r="235" spans="1:7" hidden="1" x14ac:dyDescent="0.25">
      <c r="A235" t="s">
        <v>5628</v>
      </c>
      <c r="B235" s="1">
        <v>46073</v>
      </c>
      <c r="C235" t="s">
        <v>5112</v>
      </c>
      <c r="D235" s="36" t="str">
        <f t="shared" si="3"/>
        <v>64238582_20260220_nf_16.pdf</v>
      </c>
      <c r="E235">
        <f>COUNTIF(Analise!U:U,Notas_sem_indexar!C235)</f>
        <v>2</v>
      </c>
      <c r="G235" t="str">
        <f>IF(F235&lt;&gt;"",VLOOKUP(F235,'Obras e Acervos'!$C:$D,2,0),"OK")</f>
        <v>OK</v>
      </c>
    </row>
    <row r="236" spans="1:7" hidden="1" x14ac:dyDescent="0.25">
      <c r="A236" t="s">
        <v>5628</v>
      </c>
      <c r="B236" s="1">
        <v>46073</v>
      </c>
      <c r="C236" t="s">
        <v>5105</v>
      </c>
      <c r="D236" s="36" t="str">
        <f t="shared" si="3"/>
        <v>64238582_20260220_nf_17.pdf</v>
      </c>
      <c r="E236">
        <f>COUNTIF(Analise!U:U,Notas_sem_indexar!C236)</f>
        <v>1</v>
      </c>
      <c r="G236" t="str">
        <f>IF(F236&lt;&gt;"",VLOOKUP(F236,'Obras e Acervos'!$C:$D,2,0),"OK")</f>
        <v>OK</v>
      </c>
    </row>
    <row r="237" spans="1:7" hidden="1" x14ac:dyDescent="0.25">
      <c r="A237" t="s">
        <v>5628</v>
      </c>
      <c r="B237" s="1">
        <v>46073</v>
      </c>
      <c r="C237" t="s">
        <v>5107</v>
      </c>
      <c r="D237" s="36" t="str">
        <f t="shared" si="3"/>
        <v>64238582_20260220_nf_18.pdf</v>
      </c>
      <c r="E237">
        <f>COUNTIF(Analise!U:U,Notas_sem_indexar!C237)</f>
        <v>1</v>
      </c>
      <c r="G237" t="str">
        <f>IF(F237&lt;&gt;"",VLOOKUP(F237,'Obras e Acervos'!$C:$D,2,0),"OK")</f>
        <v>OK</v>
      </c>
    </row>
    <row r="238" spans="1:7" hidden="1" x14ac:dyDescent="0.25">
      <c r="A238" t="s">
        <v>5628</v>
      </c>
      <c r="B238" s="1">
        <v>46073</v>
      </c>
      <c r="C238" t="s">
        <v>5108</v>
      </c>
      <c r="D238" s="36" t="str">
        <f t="shared" si="3"/>
        <v>64238582_20260220_nf_19.pdf</v>
      </c>
      <c r="E238">
        <f>COUNTIF(Analise!U:U,Notas_sem_indexar!C238)</f>
        <v>1</v>
      </c>
      <c r="G238" t="str">
        <f>IF(F238&lt;&gt;"",VLOOKUP(F238,'Obras e Acervos'!$C:$D,2,0),"OK")</f>
        <v>OK</v>
      </c>
    </row>
    <row r="239" spans="1:7" hidden="1" x14ac:dyDescent="0.25">
      <c r="A239" t="s">
        <v>5628</v>
      </c>
      <c r="B239" s="1">
        <v>46073</v>
      </c>
      <c r="C239" t="s">
        <v>5099</v>
      </c>
      <c r="D239" s="36" t="str">
        <f t="shared" si="3"/>
        <v>64238582_20260220_nf_20.pdf</v>
      </c>
      <c r="E239">
        <f>COUNTIF(Analise!U:U,Notas_sem_indexar!C239)</f>
        <v>1</v>
      </c>
      <c r="G239" t="str">
        <f>IF(F239&lt;&gt;"",VLOOKUP(F239,'Obras e Acervos'!$C:$D,2,0),"OK")</f>
        <v>OK</v>
      </c>
    </row>
    <row r="240" spans="1:7" hidden="1" x14ac:dyDescent="0.25">
      <c r="A240" t="s">
        <v>5628</v>
      </c>
      <c r="B240" s="1">
        <v>46073</v>
      </c>
      <c r="C240" t="s">
        <v>5097</v>
      </c>
      <c r="D240" s="36" t="str">
        <f t="shared" si="3"/>
        <v>64238582_20260220_nf_21.pdf</v>
      </c>
      <c r="E240">
        <f>COUNTIF(Analise!U:U,Notas_sem_indexar!C240)</f>
        <v>1</v>
      </c>
      <c r="G240" t="str">
        <f>IF(F240&lt;&gt;"",VLOOKUP(F240,'Obras e Acervos'!$C:$D,2,0),"OK")</f>
        <v>OK</v>
      </c>
    </row>
    <row r="241" spans="1:7" hidden="1" x14ac:dyDescent="0.25">
      <c r="A241" t="s">
        <v>5628</v>
      </c>
      <c r="B241" s="1">
        <v>46073</v>
      </c>
      <c r="C241" t="s">
        <v>5100</v>
      </c>
      <c r="D241" s="36" t="str">
        <f t="shared" si="3"/>
        <v>64238582_20260220_nf_22.pdf</v>
      </c>
      <c r="E241">
        <f>COUNTIF(Analise!U:U,Notas_sem_indexar!C241)</f>
        <v>2</v>
      </c>
      <c r="G241" t="str">
        <f>IF(F241&lt;&gt;"",VLOOKUP(F241,'Obras e Acervos'!$C:$D,2,0),"OK")</f>
        <v>OK</v>
      </c>
    </row>
    <row r="242" spans="1:7" hidden="1" x14ac:dyDescent="0.25">
      <c r="A242" t="s">
        <v>5628</v>
      </c>
      <c r="B242" s="1">
        <v>46073</v>
      </c>
      <c r="C242" t="s">
        <v>5101</v>
      </c>
      <c r="D242" s="36" t="str">
        <f t="shared" si="3"/>
        <v>64238582_20260220_nf_23.pdf</v>
      </c>
      <c r="E242">
        <f>COUNTIF(Analise!U:U,Notas_sem_indexar!C242)</f>
        <v>2</v>
      </c>
      <c r="G242" t="str">
        <f>IF(F242&lt;&gt;"",VLOOKUP(F242,'Obras e Acervos'!$C:$D,2,0),"OK")</f>
        <v>OK</v>
      </c>
    </row>
    <row r="243" spans="1:7" hidden="1" x14ac:dyDescent="0.25">
      <c r="A243" t="s">
        <v>5604</v>
      </c>
      <c r="B243" s="1">
        <v>46050</v>
      </c>
      <c r="C243" t="s">
        <v>5125</v>
      </c>
      <c r="D243" s="36" t="str">
        <f t="shared" si="3"/>
        <v>64238767_20260128_nf_01.pdf</v>
      </c>
      <c r="E243">
        <f>COUNTIF(Analise!U:U,Notas_sem_indexar!C243)</f>
        <v>1</v>
      </c>
      <c r="G243" t="str">
        <f>IF(F243&lt;&gt;"",VLOOKUP(F243,'Obras e Acervos'!$C:$D,2,0),"OK")</f>
        <v>OK</v>
      </c>
    </row>
    <row r="244" spans="1:7" hidden="1" x14ac:dyDescent="0.25">
      <c r="A244" t="s">
        <v>5604</v>
      </c>
      <c r="B244" s="1">
        <v>46050</v>
      </c>
      <c r="C244" t="s">
        <v>5120</v>
      </c>
      <c r="D244" s="36" t="str">
        <f t="shared" si="3"/>
        <v>64238767_20260128_nf_02.pdf</v>
      </c>
      <c r="E244">
        <f>COUNTIF(Analise!U:U,Notas_sem_indexar!C244)</f>
        <v>1</v>
      </c>
      <c r="G244" t="str">
        <f>IF(F244&lt;&gt;"",VLOOKUP(F244,'Obras e Acervos'!$C:$D,2,0),"OK")</f>
        <v>OK</v>
      </c>
    </row>
    <row r="245" spans="1:7" hidden="1" x14ac:dyDescent="0.25">
      <c r="A245" t="s">
        <v>5604</v>
      </c>
      <c r="B245" s="1">
        <v>46050</v>
      </c>
      <c r="C245" t="s">
        <v>5121</v>
      </c>
      <c r="D245" s="36" t="str">
        <f t="shared" si="3"/>
        <v>64238767_20260128_nf_03.pdf</v>
      </c>
      <c r="E245">
        <f>COUNTIF(Analise!U:U,Notas_sem_indexar!C245)</f>
        <v>1</v>
      </c>
      <c r="G245" t="str">
        <f>IF(F245&lt;&gt;"",VLOOKUP(F245,'Obras e Acervos'!$C:$D,2,0),"OK")</f>
        <v>OK</v>
      </c>
    </row>
    <row r="246" spans="1:7" hidden="1" x14ac:dyDescent="0.25">
      <c r="A246" t="s">
        <v>5604</v>
      </c>
      <c r="B246" s="1">
        <v>46050</v>
      </c>
      <c r="C246" t="s">
        <v>5130</v>
      </c>
      <c r="D246" s="36" t="str">
        <f t="shared" si="3"/>
        <v>64238767_20260128_nf_04.pdf</v>
      </c>
      <c r="E246">
        <f>COUNTIF(Analise!U:U,Notas_sem_indexar!C246)</f>
        <v>2</v>
      </c>
      <c r="G246" t="str">
        <f>IF(F246&lt;&gt;"",VLOOKUP(F246,'Obras e Acervos'!$C:$D,2,0),"OK")</f>
        <v>OK</v>
      </c>
    </row>
    <row r="247" spans="1:7" hidden="1" x14ac:dyDescent="0.25">
      <c r="A247" t="s">
        <v>5604</v>
      </c>
      <c r="B247" s="1">
        <v>46050</v>
      </c>
      <c r="C247" t="s">
        <v>5118</v>
      </c>
      <c r="D247" s="36" t="str">
        <f t="shared" si="3"/>
        <v>64238767_20260128_nf_05.pdf</v>
      </c>
      <c r="E247">
        <f>COUNTIF(Analise!U:U,Notas_sem_indexar!C247)</f>
        <v>1</v>
      </c>
      <c r="G247" t="str">
        <f>IF(F247&lt;&gt;"",VLOOKUP(F247,'Obras e Acervos'!$C:$D,2,0),"OK")</f>
        <v>OK</v>
      </c>
    </row>
    <row r="248" spans="1:7" hidden="1" x14ac:dyDescent="0.25">
      <c r="A248" t="s">
        <v>5604</v>
      </c>
      <c r="B248" s="1">
        <v>46050</v>
      </c>
      <c r="C248" t="s">
        <v>5127</v>
      </c>
      <c r="D248" s="36" t="str">
        <f t="shared" si="3"/>
        <v>64238767_20260128_nf_06.pdf</v>
      </c>
      <c r="E248">
        <f>COUNTIF(Analise!U:U,Notas_sem_indexar!C248)</f>
        <v>1</v>
      </c>
      <c r="G248" t="str">
        <f>IF(F248&lt;&gt;"",VLOOKUP(F248,'Obras e Acervos'!$C:$D,2,0),"OK")</f>
        <v>OK</v>
      </c>
    </row>
    <row r="249" spans="1:7" hidden="1" x14ac:dyDescent="0.25">
      <c r="A249" t="s">
        <v>5604</v>
      </c>
      <c r="B249" s="1">
        <v>46050</v>
      </c>
      <c r="C249" t="s">
        <v>5128</v>
      </c>
      <c r="D249" s="36" t="str">
        <f t="shared" si="3"/>
        <v>64238767_20260128_nf_07.pdf</v>
      </c>
      <c r="E249">
        <f>COUNTIF(Analise!U:U,Notas_sem_indexar!C249)</f>
        <v>1</v>
      </c>
      <c r="G249" t="str">
        <f>IF(F249&lt;&gt;"",VLOOKUP(F249,'Obras e Acervos'!$C:$D,2,0),"OK")</f>
        <v>OK</v>
      </c>
    </row>
    <row r="250" spans="1:7" x14ac:dyDescent="0.25">
      <c r="A250" t="s">
        <v>5604</v>
      </c>
      <c r="B250" s="1">
        <v>46050</v>
      </c>
      <c r="C250" t="s">
        <v>5122</v>
      </c>
      <c r="D250" s="36" t="str">
        <f t="shared" si="3"/>
        <v>VERIFICAR</v>
      </c>
      <c r="E250">
        <f>COUNTIF(Analise!U:U,Notas_sem_indexar!C250)</f>
        <v>0</v>
      </c>
      <c r="F250" s="35" t="s">
        <v>2246</v>
      </c>
      <c r="G250" t="str">
        <f>IF(F250&lt;&gt;"",VLOOKUP(F250,'Obras e Acervos'!$C:$D,2,0),"OK")</f>
        <v>EDITORA ENSINO E CONHECIMENTO LTDA-ENSINO E CONHECIMENTO</v>
      </c>
    </row>
    <row r="251" spans="1:7" hidden="1" x14ac:dyDescent="0.25">
      <c r="A251" t="s">
        <v>5604</v>
      </c>
      <c r="B251" s="1">
        <v>46050</v>
      </c>
      <c r="C251" t="s">
        <v>5129</v>
      </c>
      <c r="D251" s="36" t="str">
        <f t="shared" si="3"/>
        <v>64238767_20260128_nf_09.pdf</v>
      </c>
      <c r="E251">
        <f>COUNTIF(Analise!U:U,Notas_sem_indexar!C251)</f>
        <v>1</v>
      </c>
      <c r="G251" t="str">
        <f>IF(F251&lt;&gt;"",VLOOKUP(F251,'Obras e Acervos'!$C:$D,2,0),"OK")</f>
        <v>OK</v>
      </c>
    </row>
    <row r="252" spans="1:7" x14ac:dyDescent="0.25">
      <c r="A252" t="s">
        <v>5604</v>
      </c>
      <c r="B252" s="1">
        <v>46050</v>
      </c>
      <c r="C252" t="s">
        <v>5123</v>
      </c>
      <c r="D252" s="36" t="str">
        <f t="shared" si="3"/>
        <v>VERIFICAR</v>
      </c>
      <c r="E252">
        <f>COUNTIF(Analise!U:U,Notas_sem_indexar!C252)</f>
        <v>0</v>
      </c>
      <c r="F252" s="35" t="s">
        <v>2246</v>
      </c>
      <c r="G252" t="str">
        <f>IF(F252&lt;&gt;"",VLOOKUP(F252,'Obras e Acervos'!$C:$D,2,0),"OK")</f>
        <v>EDITORA ENSINO E CONHECIMENTO LTDA-ENSINO E CONHECIMENTO</v>
      </c>
    </row>
    <row r="253" spans="1:7" hidden="1" x14ac:dyDescent="0.25">
      <c r="A253" t="s">
        <v>5604</v>
      </c>
      <c r="B253" s="1">
        <v>46050</v>
      </c>
      <c r="C253" t="s">
        <v>5119</v>
      </c>
      <c r="D253" s="36" t="str">
        <f t="shared" si="3"/>
        <v>64238767_20260128_nf_11.pdf</v>
      </c>
      <c r="E253">
        <f>COUNTIF(Analise!U:U,Notas_sem_indexar!C253)</f>
        <v>2</v>
      </c>
      <c r="G253" t="str">
        <f>IF(F253&lt;&gt;"",VLOOKUP(F253,'Obras e Acervos'!$C:$D,2,0),"OK")</f>
        <v>OK</v>
      </c>
    </row>
    <row r="254" spans="1:7" hidden="1" x14ac:dyDescent="0.25">
      <c r="A254" t="s">
        <v>5604</v>
      </c>
      <c r="B254" s="1">
        <v>46050</v>
      </c>
      <c r="C254" t="s">
        <v>5124</v>
      </c>
      <c r="D254" s="36" t="str">
        <f t="shared" si="3"/>
        <v>64238767_20260128_nf_12.pdf</v>
      </c>
      <c r="E254">
        <f>COUNTIF(Analise!U:U,Notas_sem_indexar!C254)</f>
        <v>1</v>
      </c>
      <c r="G254" t="str">
        <f>IF(F254&lt;&gt;"",VLOOKUP(F254,'Obras e Acervos'!$C:$D,2,0),"OK")</f>
        <v>OK</v>
      </c>
    </row>
    <row r="255" spans="1:7" hidden="1" x14ac:dyDescent="0.25">
      <c r="A255" t="s">
        <v>5604</v>
      </c>
      <c r="B255" s="1">
        <v>46050</v>
      </c>
      <c r="C255" t="s">
        <v>5126</v>
      </c>
      <c r="D255" s="36" t="str">
        <f t="shared" si="3"/>
        <v>64238767_20260128_nf_13.pdf</v>
      </c>
      <c r="E255">
        <f>COUNTIF(Analise!U:U,Notas_sem_indexar!C255)</f>
        <v>2</v>
      </c>
      <c r="G255" t="str">
        <f>IF(F255&lt;&gt;"",VLOOKUP(F255,'Obras e Acervos'!$C:$D,2,0),"OK")</f>
        <v>OK</v>
      </c>
    </row>
    <row r="256" spans="1:7" hidden="1" x14ac:dyDescent="0.25">
      <c r="A256" t="s">
        <v>5604</v>
      </c>
      <c r="B256" s="1">
        <v>46051</v>
      </c>
      <c r="C256" t="s">
        <v>5131</v>
      </c>
      <c r="D256" s="36" t="str">
        <f t="shared" si="3"/>
        <v>64238767_20260129_nf_01.pdf</v>
      </c>
      <c r="E256">
        <f>COUNTIF(Analise!U:U,Notas_sem_indexar!C256)</f>
        <v>1</v>
      </c>
      <c r="G256" t="str">
        <f>IF(F256&lt;&gt;"",VLOOKUP(F256,'Obras e Acervos'!$C:$D,2,0),"OK")</f>
        <v>OK</v>
      </c>
    </row>
    <row r="257" spans="1:7" hidden="1" x14ac:dyDescent="0.25">
      <c r="A257" t="s">
        <v>5604</v>
      </c>
      <c r="B257" s="1">
        <v>46051</v>
      </c>
      <c r="C257" t="s">
        <v>5133</v>
      </c>
      <c r="D257" s="36" t="str">
        <f t="shared" si="3"/>
        <v>64238767_20260129_nf_02.pdf</v>
      </c>
      <c r="E257">
        <f>COUNTIF(Analise!U:U,Notas_sem_indexar!C257)</f>
        <v>1</v>
      </c>
      <c r="G257" t="str">
        <f>IF(F257&lt;&gt;"",VLOOKUP(F257,'Obras e Acervos'!$C:$D,2,0),"OK")</f>
        <v>OK</v>
      </c>
    </row>
    <row r="258" spans="1:7" hidden="1" x14ac:dyDescent="0.25">
      <c r="A258" t="s">
        <v>5604</v>
      </c>
      <c r="B258" s="1">
        <v>46051</v>
      </c>
      <c r="C258" t="s">
        <v>5132</v>
      </c>
      <c r="D258" s="36" t="str">
        <f t="shared" si="3"/>
        <v>64238767_20260129_nf_03.pdf</v>
      </c>
      <c r="E258">
        <f>COUNTIF(Analise!U:U,Notas_sem_indexar!C258)</f>
        <v>1</v>
      </c>
      <c r="G258" t="str">
        <f>IF(F258&lt;&gt;"",VLOOKUP(F258,'Obras e Acervos'!$C:$D,2,0),"OK")</f>
        <v>OK</v>
      </c>
    </row>
    <row r="259" spans="1:7" hidden="1" x14ac:dyDescent="0.25">
      <c r="A259" t="s">
        <v>5604</v>
      </c>
      <c r="B259" s="1">
        <v>46051</v>
      </c>
      <c r="C259" t="s">
        <v>5134</v>
      </c>
      <c r="D259" s="36" t="str">
        <f t="shared" ref="D259:D322" si="4">IF(E259=0,HYPERLINK(CONCATENATE("saida/",C259),"VERIFICAR"),HYPERLINK(CONCATENATE("saida/",C259),C259))</f>
        <v>64238767_20260129_nf_04.pdf</v>
      </c>
      <c r="E259">
        <f>COUNTIF(Analise!U:U,Notas_sem_indexar!C259)</f>
        <v>1</v>
      </c>
      <c r="G259" t="str">
        <f>IF(F259&lt;&gt;"",VLOOKUP(F259,'Obras e Acervos'!$C:$D,2,0),"OK")</f>
        <v>OK</v>
      </c>
    </row>
    <row r="260" spans="1:7" hidden="1" x14ac:dyDescent="0.25">
      <c r="A260" t="s">
        <v>5604</v>
      </c>
      <c r="B260" s="1">
        <v>46051</v>
      </c>
      <c r="C260" t="s">
        <v>5136</v>
      </c>
      <c r="D260" s="36" t="str">
        <f t="shared" si="4"/>
        <v>64238767_20260129_nf_05.pdf</v>
      </c>
      <c r="E260">
        <f>COUNTIF(Analise!U:U,Notas_sem_indexar!C260)</f>
        <v>1</v>
      </c>
      <c r="G260" t="str">
        <f>IF(F260&lt;&gt;"",VLOOKUP(F260,'Obras e Acervos'!$C:$D,2,0),"OK")</f>
        <v>OK</v>
      </c>
    </row>
    <row r="261" spans="1:7" hidden="1" x14ac:dyDescent="0.25">
      <c r="A261" t="s">
        <v>5604</v>
      </c>
      <c r="B261" s="1">
        <v>46051</v>
      </c>
      <c r="C261" t="s">
        <v>5135</v>
      </c>
      <c r="D261" s="36" t="str">
        <f t="shared" si="4"/>
        <v>64238767_20260129_nf_06.pdf</v>
      </c>
      <c r="E261">
        <f>COUNTIF(Analise!U:U,Notas_sem_indexar!C261)</f>
        <v>1</v>
      </c>
      <c r="G261" t="str">
        <f>IF(F261&lt;&gt;"",VLOOKUP(F261,'Obras e Acervos'!$C:$D,2,0),"OK")</f>
        <v>OK</v>
      </c>
    </row>
    <row r="262" spans="1:7" hidden="1" x14ac:dyDescent="0.25">
      <c r="A262" t="s">
        <v>5604</v>
      </c>
      <c r="B262" s="1">
        <v>46052</v>
      </c>
      <c r="C262" t="s">
        <v>5139</v>
      </c>
      <c r="D262" s="36" t="str">
        <f t="shared" si="4"/>
        <v>64238767_20260130_nf_01.pdf</v>
      </c>
      <c r="E262">
        <f>COUNTIF(Analise!U:U,Notas_sem_indexar!C262)</f>
        <v>2</v>
      </c>
      <c r="G262" t="str">
        <f>IF(F262&lt;&gt;"",VLOOKUP(F262,'Obras e Acervos'!$C:$D,2,0),"OK")</f>
        <v>OK</v>
      </c>
    </row>
    <row r="263" spans="1:7" hidden="1" x14ac:dyDescent="0.25">
      <c r="A263" t="s">
        <v>5604</v>
      </c>
      <c r="B263" s="1">
        <v>46052</v>
      </c>
      <c r="C263" t="s">
        <v>5141</v>
      </c>
      <c r="D263" s="36" t="str">
        <f t="shared" si="4"/>
        <v>64238767_20260130_nf_02.pdf</v>
      </c>
      <c r="E263">
        <f>COUNTIF(Analise!U:U,Notas_sem_indexar!C263)</f>
        <v>2</v>
      </c>
      <c r="G263" t="str">
        <f>IF(F263&lt;&gt;"",VLOOKUP(F263,'Obras e Acervos'!$C:$D,2,0),"OK")</f>
        <v>OK</v>
      </c>
    </row>
    <row r="264" spans="1:7" hidden="1" x14ac:dyDescent="0.25">
      <c r="A264" t="s">
        <v>5604</v>
      </c>
      <c r="B264" s="1">
        <v>46052</v>
      </c>
      <c r="C264" t="s">
        <v>5143</v>
      </c>
      <c r="D264" s="36" t="str">
        <f t="shared" si="4"/>
        <v>64238767_20260130_nf_03.pdf</v>
      </c>
      <c r="E264">
        <f>COUNTIF(Analise!U:U,Notas_sem_indexar!C264)</f>
        <v>1</v>
      </c>
      <c r="G264" t="str">
        <f>IF(F264&lt;&gt;"",VLOOKUP(F264,'Obras e Acervos'!$C:$D,2,0),"OK")</f>
        <v>OK</v>
      </c>
    </row>
    <row r="265" spans="1:7" hidden="1" x14ac:dyDescent="0.25">
      <c r="A265" t="s">
        <v>5604</v>
      </c>
      <c r="B265" s="1">
        <v>46052</v>
      </c>
      <c r="C265" t="s">
        <v>5137</v>
      </c>
      <c r="D265" s="36" t="str">
        <f t="shared" si="4"/>
        <v>64238767_20260130_nf_04.pdf</v>
      </c>
      <c r="E265">
        <f>COUNTIF(Analise!U:U,Notas_sem_indexar!C265)</f>
        <v>1</v>
      </c>
      <c r="G265" t="str">
        <f>IF(F265&lt;&gt;"",VLOOKUP(F265,'Obras e Acervos'!$C:$D,2,0),"OK")</f>
        <v>OK</v>
      </c>
    </row>
    <row r="266" spans="1:7" hidden="1" x14ac:dyDescent="0.25">
      <c r="A266" t="s">
        <v>5604</v>
      </c>
      <c r="B266" s="1">
        <v>46052</v>
      </c>
      <c r="C266" t="s">
        <v>5140</v>
      </c>
      <c r="D266" s="36" t="str">
        <f t="shared" si="4"/>
        <v>64238767_20260130_nf_05.pdf</v>
      </c>
      <c r="E266">
        <f>COUNTIF(Analise!U:U,Notas_sem_indexar!C266)</f>
        <v>1</v>
      </c>
      <c r="G266" t="str">
        <f>IF(F266&lt;&gt;"",VLOOKUP(F266,'Obras e Acervos'!$C:$D,2,0),"OK")</f>
        <v>OK</v>
      </c>
    </row>
    <row r="267" spans="1:7" hidden="1" x14ac:dyDescent="0.25">
      <c r="A267" t="s">
        <v>5604</v>
      </c>
      <c r="B267" s="1">
        <v>46052</v>
      </c>
      <c r="C267" t="s">
        <v>5138</v>
      </c>
      <c r="D267" s="36" t="str">
        <f t="shared" si="4"/>
        <v>64238767_20260130_nf_06.pdf</v>
      </c>
      <c r="E267">
        <f>COUNTIF(Analise!U:U,Notas_sem_indexar!C267)</f>
        <v>1</v>
      </c>
      <c r="G267" t="str">
        <f>IF(F267&lt;&gt;"",VLOOKUP(F267,'Obras e Acervos'!$C:$D,2,0),"OK")</f>
        <v>OK</v>
      </c>
    </row>
    <row r="268" spans="1:7" hidden="1" x14ac:dyDescent="0.25">
      <c r="A268" t="s">
        <v>5604</v>
      </c>
      <c r="B268" s="1">
        <v>46052</v>
      </c>
      <c r="C268" t="s">
        <v>5142</v>
      </c>
      <c r="D268" s="36" t="str">
        <f t="shared" si="4"/>
        <v>64238767_20260130_nf_07.pdf</v>
      </c>
      <c r="E268">
        <f>COUNTIF(Analise!U:U,Notas_sem_indexar!C268)</f>
        <v>2</v>
      </c>
      <c r="G268" t="str">
        <f>IF(F268&lt;&gt;"",VLOOKUP(F268,'Obras e Acervos'!$C:$D,2,0),"OK")</f>
        <v>OK</v>
      </c>
    </row>
    <row r="269" spans="1:7" hidden="1" x14ac:dyDescent="0.25">
      <c r="A269" t="s">
        <v>5595</v>
      </c>
      <c r="B269" s="1">
        <v>46045</v>
      </c>
      <c r="C269" t="s">
        <v>5145</v>
      </c>
      <c r="D269" s="36" t="str">
        <f t="shared" si="4"/>
        <v>64238876_20260123_nf_01.pdf</v>
      </c>
      <c r="E269">
        <f>COUNTIF(Analise!U:U,Notas_sem_indexar!C269)</f>
        <v>2</v>
      </c>
      <c r="G269" t="str">
        <f>IF(F269&lt;&gt;"",VLOOKUP(F269,'Obras e Acervos'!$C:$D,2,0),"OK")</f>
        <v>OK</v>
      </c>
    </row>
    <row r="270" spans="1:7" hidden="1" x14ac:dyDescent="0.25">
      <c r="A270" t="s">
        <v>5595</v>
      </c>
      <c r="B270" s="1">
        <v>46045</v>
      </c>
      <c r="C270" t="s">
        <v>5144</v>
      </c>
      <c r="D270" s="36" t="str">
        <f t="shared" si="4"/>
        <v>64238876_20260123_nf_02.pdf</v>
      </c>
      <c r="E270">
        <f>COUNTIF(Analise!U:U,Notas_sem_indexar!C270)</f>
        <v>2</v>
      </c>
      <c r="G270" t="str">
        <f>IF(F270&lt;&gt;"",VLOOKUP(F270,'Obras e Acervos'!$C:$D,2,0),"OK")</f>
        <v>OK</v>
      </c>
    </row>
    <row r="271" spans="1:7" hidden="1" x14ac:dyDescent="0.25">
      <c r="A271" t="s">
        <v>5668</v>
      </c>
      <c r="B271" s="1">
        <v>46083</v>
      </c>
      <c r="C271" t="s">
        <v>5146</v>
      </c>
      <c r="D271" s="36" t="str">
        <f t="shared" si="4"/>
        <v>64307150_20260302_nf_01.pdf</v>
      </c>
      <c r="E271">
        <f>COUNTIF(Analise!U:U,Notas_sem_indexar!C271)</f>
        <v>1</v>
      </c>
      <c r="G271" t="str">
        <f>IF(F271&lt;&gt;"",VLOOKUP(F271,'Obras e Acervos'!$C:$D,2,0),"OK")</f>
        <v>OK</v>
      </c>
    </row>
    <row r="272" spans="1:7" hidden="1" x14ac:dyDescent="0.25">
      <c r="A272" t="s">
        <v>5668</v>
      </c>
      <c r="B272" s="1">
        <v>46083</v>
      </c>
      <c r="C272" t="s">
        <v>5147</v>
      </c>
      <c r="D272" s="36" t="str">
        <f t="shared" si="4"/>
        <v>64307150_20260302_nf_02.pdf</v>
      </c>
      <c r="E272">
        <f>COUNTIF(Analise!U:U,Notas_sem_indexar!C272)</f>
        <v>1</v>
      </c>
      <c r="G272" t="str">
        <f>IF(F272&lt;&gt;"",VLOOKUP(F272,'Obras e Acervos'!$C:$D,2,0),"OK")</f>
        <v>OK</v>
      </c>
    </row>
    <row r="273" spans="1:7" hidden="1" x14ac:dyDescent="0.25">
      <c r="A273" t="s">
        <v>5668</v>
      </c>
      <c r="B273" s="1">
        <v>46083</v>
      </c>
      <c r="C273" t="s">
        <v>5149</v>
      </c>
      <c r="D273" s="36" t="str">
        <f t="shared" si="4"/>
        <v>64307150_20260302_nf_03.pdf</v>
      </c>
      <c r="E273">
        <f>COUNTIF(Analise!U:U,Notas_sem_indexar!C273)</f>
        <v>1</v>
      </c>
      <c r="G273" t="str">
        <f>IF(F273&lt;&gt;"",VLOOKUP(F273,'Obras e Acervos'!$C:$D,2,0),"OK")</f>
        <v>OK</v>
      </c>
    </row>
    <row r="274" spans="1:7" hidden="1" x14ac:dyDescent="0.25">
      <c r="A274" t="s">
        <v>5668</v>
      </c>
      <c r="B274" s="1">
        <v>46083</v>
      </c>
      <c r="C274" t="s">
        <v>5148</v>
      </c>
      <c r="D274" s="36" t="str">
        <f t="shared" si="4"/>
        <v>64307150_20260302_nf_04.pdf</v>
      </c>
      <c r="E274">
        <f>COUNTIF(Analise!U:U,Notas_sem_indexar!C274)</f>
        <v>1</v>
      </c>
      <c r="G274" t="str">
        <f>IF(F274&lt;&gt;"",VLOOKUP(F274,'Obras e Acervos'!$C:$D,2,0),"OK")</f>
        <v>OK</v>
      </c>
    </row>
    <row r="275" spans="1:7" hidden="1" x14ac:dyDescent="0.25">
      <c r="A275" t="s">
        <v>5668</v>
      </c>
      <c r="B275" s="1">
        <v>46083</v>
      </c>
      <c r="C275" t="s">
        <v>5163</v>
      </c>
      <c r="D275" s="36" t="str">
        <f t="shared" si="4"/>
        <v>64307150_20260302_nf_05.pdf</v>
      </c>
      <c r="E275">
        <f>COUNTIF(Analise!U:U,Notas_sem_indexar!C275)</f>
        <v>1</v>
      </c>
      <c r="G275" t="str">
        <f>IF(F275&lt;&gt;"",VLOOKUP(F275,'Obras e Acervos'!$C:$D,2,0),"OK")</f>
        <v>OK</v>
      </c>
    </row>
    <row r="276" spans="1:7" hidden="1" x14ac:dyDescent="0.25">
      <c r="A276" t="s">
        <v>5668</v>
      </c>
      <c r="B276" s="1">
        <v>46083</v>
      </c>
      <c r="C276" t="s">
        <v>5154</v>
      </c>
      <c r="D276" s="36" t="str">
        <f t="shared" si="4"/>
        <v>64307150_20260302_nf_06.pdf</v>
      </c>
      <c r="E276">
        <f>COUNTIF(Analise!U:U,Notas_sem_indexar!C276)</f>
        <v>1</v>
      </c>
      <c r="G276" t="str">
        <f>IF(F276&lt;&gt;"",VLOOKUP(F276,'Obras e Acervos'!$C:$D,2,0),"OK")</f>
        <v>OK</v>
      </c>
    </row>
    <row r="277" spans="1:7" hidden="1" x14ac:dyDescent="0.25">
      <c r="A277" t="s">
        <v>5668</v>
      </c>
      <c r="B277" s="1">
        <v>46083</v>
      </c>
      <c r="C277" t="s">
        <v>5150</v>
      </c>
      <c r="D277" s="36" t="str">
        <f t="shared" si="4"/>
        <v>64307150_20260302_nf_07.pdf</v>
      </c>
      <c r="E277">
        <f>COUNTIF(Analise!U:U,Notas_sem_indexar!C277)</f>
        <v>1</v>
      </c>
      <c r="G277" t="str">
        <f>IF(F277&lt;&gt;"",VLOOKUP(F277,'Obras e Acervos'!$C:$D,2,0),"OK")</f>
        <v>OK</v>
      </c>
    </row>
    <row r="278" spans="1:7" x14ac:dyDescent="0.25">
      <c r="A278" t="s">
        <v>5668</v>
      </c>
      <c r="B278" s="1">
        <v>46083</v>
      </c>
      <c r="C278" t="s">
        <v>5669</v>
      </c>
      <c r="D278" s="36" t="str">
        <f t="shared" si="4"/>
        <v>VERIFICAR</v>
      </c>
      <c r="E278">
        <f>COUNTIF(Analise!U:U,Notas_sem_indexar!C278)</f>
        <v>0</v>
      </c>
      <c r="G278" t="s">
        <v>5774</v>
      </c>
    </row>
    <row r="279" spans="1:7" hidden="1" x14ac:dyDescent="0.25">
      <c r="A279" t="s">
        <v>5668</v>
      </c>
      <c r="B279" s="1">
        <v>46083</v>
      </c>
      <c r="C279" t="s">
        <v>5170</v>
      </c>
      <c r="D279" s="36" t="str">
        <f t="shared" si="4"/>
        <v>64307150_20260302_nf_09.pdf</v>
      </c>
      <c r="E279">
        <f>COUNTIF(Analise!U:U,Notas_sem_indexar!C279)</f>
        <v>1</v>
      </c>
      <c r="G279" t="str">
        <f>IF(F279&lt;&gt;"",VLOOKUP(F279,'Obras e Acervos'!$C:$D,2,0),"OK")</f>
        <v>OK</v>
      </c>
    </row>
    <row r="280" spans="1:7" hidden="1" x14ac:dyDescent="0.25">
      <c r="A280" t="s">
        <v>5668</v>
      </c>
      <c r="B280" s="1">
        <v>46083</v>
      </c>
      <c r="C280" t="s">
        <v>5156</v>
      </c>
      <c r="D280" s="36" t="str">
        <f t="shared" si="4"/>
        <v>64307150_20260302_nf_10.pdf</v>
      </c>
      <c r="E280">
        <f>COUNTIF(Analise!U:U,Notas_sem_indexar!C280)</f>
        <v>1</v>
      </c>
      <c r="G280" t="str">
        <f>IF(F280&lt;&gt;"",VLOOKUP(F280,'Obras e Acervos'!$C:$D,2,0),"OK")</f>
        <v>OK</v>
      </c>
    </row>
    <row r="281" spans="1:7" hidden="1" x14ac:dyDescent="0.25">
      <c r="A281" t="s">
        <v>5668</v>
      </c>
      <c r="B281" s="1">
        <v>46083</v>
      </c>
      <c r="C281" t="s">
        <v>5152</v>
      </c>
      <c r="D281" s="36" t="str">
        <f t="shared" si="4"/>
        <v>64307150_20260302_nf_11.pdf</v>
      </c>
      <c r="E281">
        <f>COUNTIF(Analise!U:U,Notas_sem_indexar!C281)</f>
        <v>1</v>
      </c>
      <c r="G281" t="str">
        <f>IF(F281&lt;&gt;"",VLOOKUP(F281,'Obras e Acervos'!$C:$D,2,0),"OK")</f>
        <v>OK</v>
      </c>
    </row>
    <row r="282" spans="1:7" hidden="1" x14ac:dyDescent="0.25">
      <c r="A282" t="s">
        <v>5668</v>
      </c>
      <c r="B282" s="1">
        <v>46083</v>
      </c>
      <c r="C282" t="s">
        <v>5172</v>
      </c>
      <c r="D282" s="36" t="str">
        <f t="shared" si="4"/>
        <v>64307150_20260302_nf_12.pdf</v>
      </c>
      <c r="E282">
        <f>COUNTIF(Analise!U:U,Notas_sem_indexar!C282)</f>
        <v>1</v>
      </c>
      <c r="G282" t="str">
        <f>IF(F282&lt;&gt;"",VLOOKUP(F282,'Obras e Acervos'!$C:$D,2,0),"OK")</f>
        <v>OK</v>
      </c>
    </row>
    <row r="283" spans="1:7" hidden="1" x14ac:dyDescent="0.25">
      <c r="A283" t="s">
        <v>5668</v>
      </c>
      <c r="B283" s="1">
        <v>46083</v>
      </c>
      <c r="C283" t="s">
        <v>5159</v>
      </c>
      <c r="D283" s="36" t="str">
        <f t="shared" si="4"/>
        <v>64307150_20260302_nf_13.pdf</v>
      </c>
      <c r="E283">
        <f>COUNTIF(Analise!U:U,Notas_sem_indexar!C283)</f>
        <v>1</v>
      </c>
      <c r="G283" t="str">
        <f>IF(F283&lt;&gt;"",VLOOKUP(F283,'Obras e Acervos'!$C:$D,2,0),"OK")</f>
        <v>OK</v>
      </c>
    </row>
    <row r="284" spans="1:7" hidden="1" x14ac:dyDescent="0.25">
      <c r="A284" t="s">
        <v>5668</v>
      </c>
      <c r="B284" s="1">
        <v>46083</v>
      </c>
      <c r="C284" t="s">
        <v>5171</v>
      </c>
      <c r="D284" s="36" t="str">
        <f t="shared" si="4"/>
        <v>64307150_20260302_nf_14.pdf</v>
      </c>
      <c r="E284">
        <f>COUNTIF(Analise!U:U,Notas_sem_indexar!C284)</f>
        <v>1</v>
      </c>
      <c r="G284" t="str">
        <f>IF(F284&lt;&gt;"",VLOOKUP(F284,'Obras e Acervos'!$C:$D,2,0),"OK")</f>
        <v>OK</v>
      </c>
    </row>
    <row r="285" spans="1:7" hidden="1" x14ac:dyDescent="0.25">
      <c r="A285" t="s">
        <v>5668</v>
      </c>
      <c r="B285" s="1">
        <v>46083</v>
      </c>
      <c r="C285" t="s">
        <v>5160</v>
      </c>
      <c r="D285" s="36" t="str">
        <f t="shared" si="4"/>
        <v>64307150_20260302_nf_15.pdf</v>
      </c>
      <c r="E285">
        <f>COUNTIF(Analise!U:U,Notas_sem_indexar!C285)</f>
        <v>1</v>
      </c>
      <c r="G285" t="str">
        <f>IF(F285&lt;&gt;"",VLOOKUP(F285,'Obras e Acervos'!$C:$D,2,0),"OK")</f>
        <v>OK</v>
      </c>
    </row>
    <row r="286" spans="1:7" hidden="1" x14ac:dyDescent="0.25">
      <c r="A286" t="s">
        <v>5668</v>
      </c>
      <c r="B286" s="1">
        <v>46083</v>
      </c>
      <c r="C286" t="s">
        <v>5173</v>
      </c>
      <c r="D286" s="36" t="str">
        <f t="shared" si="4"/>
        <v>64307150_20260302_nf_16.pdf</v>
      </c>
      <c r="E286">
        <f>COUNTIF(Analise!U:U,Notas_sem_indexar!C286)</f>
        <v>1</v>
      </c>
      <c r="G286" t="str">
        <f>IF(F286&lt;&gt;"",VLOOKUP(F286,'Obras e Acervos'!$C:$D,2,0),"OK")</f>
        <v>OK</v>
      </c>
    </row>
    <row r="287" spans="1:7" hidden="1" x14ac:dyDescent="0.25">
      <c r="A287" t="s">
        <v>5668</v>
      </c>
      <c r="B287" s="1">
        <v>46083</v>
      </c>
      <c r="C287" t="s">
        <v>5162</v>
      </c>
      <c r="D287" s="36" t="str">
        <f t="shared" si="4"/>
        <v>64307150_20260302_nf_17.pdf</v>
      </c>
      <c r="E287">
        <f>COUNTIF(Analise!U:U,Notas_sem_indexar!C287)</f>
        <v>1</v>
      </c>
      <c r="G287" t="str">
        <f>IF(F287&lt;&gt;"",VLOOKUP(F287,'Obras e Acervos'!$C:$D,2,0),"OK")</f>
        <v>OK</v>
      </c>
    </row>
    <row r="288" spans="1:7" hidden="1" x14ac:dyDescent="0.25">
      <c r="A288" t="s">
        <v>5668</v>
      </c>
      <c r="B288" s="1">
        <v>46083</v>
      </c>
      <c r="C288" t="s">
        <v>5153</v>
      </c>
      <c r="D288" s="36" t="str">
        <f t="shared" si="4"/>
        <v>64307150_20260302_nf_18.pdf</v>
      </c>
      <c r="E288">
        <f>COUNTIF(Analise!U:U,Notas_sem_indexar!C288)</f>
        <v>1</v>
      </c>
      <c r="G288" t="str">
        <f>IF(F288&lt;&gt;"",VLOOKUP(F288,'Obras e Acervos'!$C:$D,2,0),"OK")</f>
        <v>OK</v>
      </c>
    </row>
    <row r="289" spans="1:7" x14ac:dyDescent="0.25">
      <c r="A289" t="s">
        <v>5668</v>
      </c>
      <c r="B289" s="1">
        <v>46083</v>
      </c>
      <c r="C289" t="s">
        <v>5670</v>
      </c>
      <c r="D289" s="36" t="str">
        <f t="shared" si="4"/>
        <v>VERIFICAR</v>
      </c>
      <c r="E289">
        <f>COUNTIF(Analise!U:U,Notas_sem_indexar!C289)</f>
        <v>0</v>
      </c>
      <c r="G289" t="s">
        <v>5777</v>
      </c>
    </row>
    <row r="290" spans="1:7" x14ac:dyDescent="0.25">
      <c r="A290" t="s">
        <v>5668</v>
      </c>
      <c r="B290" s="1">
        <v>46083</v>
      </c>
      <c r="C290" t="s">
        <v>5671</v>
      </c>
      <c r="D290" s="36" t="str">
        <f t="shared" si="4"/>
        <v>VERIFICAR</v>
      </c>
      <c r="E290">
        <f>COUNTIF(Analise!U:U,Notas_sem_indexar!C290)</f>
        <v>0</v>
      </c>
      <c r="G290" t="s">
        <v>5774</v>
      </c>
    </row>
    <row r="291" spans="1:7" hidden="1" x14ac:dyDescent="0.25">
      <c r="A291" t="s">
        <v>5668</v>
      </c>
      <c r="B291" s="1">
        <v>46083</v>
      </c>
      <c r="C291" t="s">
        <v>5177</v>
      </c>
      <c r="D291" s="36" t="str">
        <f t="shared" si="4"/>
        <v>64307150_20260302_nf_21.pdf</v>
      </c>
      <c r="E291">
        <f>COUNTIF(Analise!U:U,Notas_sem_indexar!C291)</f>
        <v>1</v>
      </c>
      <c r="G291" t="str">
        <f>IF(F291&lt;&gt;"",VLOOKUP(F291,'Obras e Acervos'!$C:$D,2,0),"OK")</f>
        <v>OK</v>
      </c>
    </row>
    <row r="292" spans="1:7" hidden="1" x14ac:dyDescent="0.25">
      <c r="A292" t="s">
        <v>5668</v>
      </c>
      <c r="B292" s="1">
        <v>46083</v>
      </c>
      <c r="C292" t="s">
        <v>5155</v>
      </c>
      <c r="D292" s="36" t="str">
        <f t="shared" si="4"/>
        <v>64307150_20260302_nf_22.pdf</v>
      </c>
      <c r="E292">
        <f>COUNTIF(Analise!U:U,Notas_sem_indexar!C292)</f>
        <v>1</v>
      </c>
      <c r="G292" t="str">
        <f>IF(F292&lt;&gt;"",VLOOKUP(F292,'Obras e Acervos'!$C:$D,2,0),"OK")</f>
        <v>OK</v>
      </c>
    </row>
    <row r="293" spans="1:7" hidden="1" x14ac:dyDescent="0.25">
      <c r="A293" t="s">
        <v>5668</v>
      </c>
      <c r="B293" s="1">
        <v>46083</v>
      </c>
      <c r="C293" t="s">
        <v>5151</v>
      </c>
      <c r="D293" s="36" t="str">
        <f t="shared" si="4"/>
        <v>64307150_20260302_nf_23.pdf</v>
      </c>
      <c r="E293">
        <f>COUNTIF(Analise!U:U,Notas_sem_indexar!C293)</f>
        <v>1</v>
      </c>
      <c r="G293" t="str">
        <f>IF(F293&lt;&gt;"",VLOOKUP(F293,'Obras e Acervos'!$C:$D,2,0),"OK")</f>
        <v>OK</v>
      </c>
    </row>
    <row r="294" spans="1:7" hidden="1" x14ac:dyDescent="0.25">
      <c r="A294" t="s">
        <v>5668</v>
      </c>
      <c r="B294" s="1">
        <v>46083</v>
      </c>
      <c r="C294" t="s">
        <v>5158</v>
      </c>
      <c r="D294" s="36" t="str">
        <f t="shared" si="4"/>
        <v>64307150_20260302_nf_24.pdf</v>
      </c>
      <c r="E294">
        <f>COUNTIF(Analise!U:U,Notas_sem_indexar!C294)</f>
        <v>1</v>
      </c>
      <c r="G294" t="str">
        <f>IF(F294&lt;&gt;"",VLOOKUP(F294,'Obras e Acervos'!$C:$D,2,0),"OK")</f>
        <v>OK</v>
      </c>
    </row>
    <row r="295" spans="1:7" hidden="1" x14ac:dyDescent="0.25">
      <c r="A295" t="s">
        <v>5668</v>
      </c>
      <c r="B295" s="1">
        <v>46083</v>
      </c>
      <c r="C295" t="s">
        <v>5165</v>
      </c>
      <c r="D295" s="36" t="str">
        <f t="shared" si="4"/>
        <v>64307150_20260302_nf_25.pdf</v>
      </c>
      <c r="E295">
        <f>COUNTIF(Analise!U:U,Notas_sem_indexar!C295)</f>
        <v>1</v>
      </c>
      <c r="G295" t="str">
        <f>IF(F295&lt;&gt;"",VLOOKUP(F295,'Obras e Acervos'!$C:$D,2,0),"OK")</f>
        <v>OK</v>
      </c>
    </row>
    <row r="296" spans="1:7" hidden="1" x14ac:dyDescent="0.25">
      <c r="A296" t="s">
        <v>5668</v>
      </c>
      <c r="B296" s="1">
        <v>46083</v>
      </c>
      <c r="C296" t="s">
        <v>5166</v>
      </c>
      <c r="D296" s="36" t="str">
        <f t="shared" si="4"/>
        <v>64307150_20260302_nf_26.pdf</v>
      </c>
      <c r="E296">
        <f>COUNTIF(Analise!U:U,Notas_sem_indexar!C296)</f>
        <v>1</v>
      </c>
      <c r="G296" t="str">
        <f>IF(F296&lt;&gt;"",VLOOKUP(F296,'Obras e Acervos'!$C:$D,2,0),"OK")</f>
        <v>OK</v>
      </c>
    </row>
    <row r="297" spans="1:7" hidden="1" x14ac:dyDescent="0.25">
      <c r="A297" t="s">
        <v>5668</v>
      </c>
      <c r="B297" s="1">
        <v>46083</v>
      </c>
      <c r="C297" t="s">
        <v>5175</v>
      </c>
      <c r="D297" s="36" t="str">
        <f t="shared" si="4"/>
        <v>64307150_20260302_nf_27.pdf</v>
      </c>
      <c r="E297">
        <f>COUNTIF(Analise!U:U,Notas_sem_indexar!C297)</f>
        <v>1</v>
      </c>
      <c r="G297" t="str">
        <f>IF(F297&lt;&gt;"",VLOOKUP(F297,'Obras e Acervos'!$C:$D,2,0),"OK")</f>
        <v>OK</v>
      </c>
    </row>
    <row r="298" spans="1:7" hidden="1" x14ac:dyDescent="0.25">
      <c r="A298" t="s">
        <v>5668</v>
      </c>
      <c r="B298" s="1">
        <v>46083</v>
      </c>
      <c r="C298" t="s">
        <v>5176</v>
      </c>
      <c r="D298" s="36" t="str">
        <f t="shared" si="4"/>
        <v>64307150_20260302_nf_28.pdf</v>
      </c>
      <c r="E298">
        <f>COUNTIF(Analise!U:U,Notas_sem_indexar!C298)</f>
        <v>1</v>
      </c>
      <c r="G298" t="str">
        <f>IF(F298&lt;&gt;"",VLOOKUP(F298,'Obras e Acervos'!$C:$D,2,0),"OK")</f>
        <v>OK</v>
      </c>
    </row>
    <row r="299" spans="1:7" hidden="1" x14ac:dyDescent="0.25">
      <c r="A299" t="s">
        <v>5668</v>
      </c>
      <c r="B299" s="1">
        <v>46083</v>
      </c>
      <c r="C299" t="s">
        <v>5174</v>
      </c>
      <c r="D299" s="36" t="str">
        <f t="shared" si="4"/>
        <v>64307150_20260302_nf_29.pdf</v>
      </c>
      <c r="E299">
        <f>COUNTIF(Analise!U:U,Notas_sem_indexar!C299)</f>
        <v>1</v>
      </c>
      <c r="G299" t="str">
        <f>IF(F299&lt;&gt;"",VLOOKUP(F299,'Obras e Acervos'!$C:$D,2,0),"OK")</f>
        <v>OK</v>
      </c>
    </row>
    <row r="300" spans="1:7" hidden="1" x14ac:dyDescent="0.25">
      <c r="A300" t="s">
        <v>5668</v>
      </c>
      <c r="B300" s="1">
        <v>46083</v>
      </c>
      <c r="C300" t="s">
        <v>5161</v>
      </c>
      <c r="D300" s="36" t="str">
        <f t="shared" si="4"/>
        <v>64307150_20260302_nf_30.pdf</v>
      </c>
      <c r="E300">
        <f>COUNTIF(Analise!U:U,Notas_sem_indexar!C300)</f>
        <v>1</v>
      </c>
      <c r="G300" t="str">
        <f>IF(F300&lt;&gt;"",VLOOKUP(F300,'Obras e Acervos'!$C:$D,2,0),"OK")</f>
        <v>OK</v>
      </c>
    </row>
    <row r="301" spans="1:7" hidden="1" x14ac:dyDescent="0.25">
      <c r="A301" t="s">
        <v>5668</v>
      </c>
      <c r="B301" s="1">
        <v>46083</v>
      </c>
      <c r="C301" t="s">
        <v>5169</v>
      </c>
      <c r="D301" s="36" t="str">
        <f t="shared" si="4"/>
        <v>64307150_20260302_nf_31.pdf</v>
      </c>
      <c r="E301">
        <f>COUNTIF(Analise!U:U,Notas_sem_indexar!C301)</f>
        <v>1</v>
      </c>
      <c r="G301" t="str">
        <f>IF(F301&lt;&gt;"",VLOOKUP(F301,'Obras e Acervos'!$C:$D,2,0),"OK")</f>
        <v>OK</v>
      </c>
    </row>
    <row r="302" spans="1:7" hidden="1" x14ac:dyDescent="0.25">
      <c r="A302" t="s">
        <v>5668</v>
      </c>
      <c r="B302" s="1">
        <v>46083</v>
      </c>
      <c r="C302" t="s">
        <v>5168</v>
      </c>
      <c r="D302" s="36" t="str">
        <f t="shared" si="4"/>
        <v>64307150_20260302_nf_32.pdf</v>
      </c>
      <c r="E302">
        <f>COUNTIF(Analise!U:U,Notas_sem_indexar!C302)</f>
        <v>1</v>
      </c>
      <c r="G302" t="str">
        <f>IF(F302&lt;&gt;"",VLOOKUP(F302,'Obras e Acervos'!$C:$D,2,0),"OK")</f>
        <v>OK</v>
      </c>
    </row>
    <row r="303" spans="1:7" hidden="1" x14ac:dyDescent="0.25">
      <c r="A303" t="s">
        <v>5668</v>
      </c>
      <c r="B303" s="1">
        <v>46083</v>
      </c>
      <c r="C303" t="s">
        <v>5164</v>
      </c>
      <c r="D303" s="36" t="str">
        <f t="shared" si="4"/>
        <v>64307150_20260302_nf_33.pdf</v>
      </c>
      <c r="E303">
        <f>COUNTIF(Analise!U:U,Notas_sem_indexar!C303)</f>
        <v>1</v>
      </c>
      <c r="G303" t="str">
        <f>IF(F303&lt;&gt;"",VLOOKUP(F303,'Obras e Acervos'!$C:$D,2,0),"OK")</f>
        <v>OK</v>
      </c>
    </row>
    <row r="304" spans="1:7" hidden="1" x14ac:dyDescent="0.25">
      <c r="A304" t="s">
        <v>5668</v>
      </c>
      <c r="B304" s="1">
        <v>46083</v>
      </c>
      <c r="C304" t="s">
        <v>5178</v>
      </c>
      <c r="D304" s="36" t="str">
        <f t="shared" si="4"/>
        <v>64307150_20260302_nf_34.pdf</v>
      </c>
      <c r="E304">
        <f>COUNTIF(Analise!U:U,Notas_sem_indexar!C304)</f>
        <v>1</v>
      </c>
      <c r="G304" t="str">
        <f>IF(F304&lt;&gt;"",VLOOKUP(F304,'Obras e Acervos'!$C:$D,2,0),"OK")</f>
        <v>OK</v>
      </c>
    </row>
    <row r="305" spans="1:7" x14ac:dyDescent="0.25">
      <c r="A305" t="s">
        <v>5668</v>
      </c>
      <c r="B305" s="1">
        <v>46083</v>
      </c>
      <c r="C305" t="s">
        <v>5672</v>
      </c>
      <c r="D305" s="36" t="str">
        <f t="shared" si="4"/>
        <v>VERIFICAR</v>
      </c>
      <c r="E305">
        <f>COUNTIF(Analise!U:U,Notas_sem_indexar!C305)</f>
        <v>0</v>
      </c>
      <c r="G305" t="s">
        <v>5774</v>
      </c>
    </row>
    <row r="306" spans="1:7" hidden="1" x14ac:dyDescent="0.25">
      <c r="A306" t="s">
        <v>5668</v>
      </c>
      <c r="B306" s="1">
        <v>46083</v>
      </c>
      <c r="C306" t="s">
        <v>5157</v>
      </c>
      <c r="D306" s="36" t="str">
        <f t="shared" si="4"/>
        <v>64307150_20260302_nf_36.pdf</v>
      </c>
      <c r="E306">
        <f>COUNTIF(Analise!U:U,Notas_sem_indexar!C306)</f>
        <v>1</v>
      </c>
      <c r="G306" t="str">
        <f>IF(F306&lt;&gt;"",VLOOKUP(F306,'Obras e Acervos'!$C:$D,2,0),"OK")</f>
        <v>OK</v>
      </c>
    </row>
    <row r="307" spans="1:7" x14ac:dyDescent="0.25">
      <c r="A307" t="s">
        <v>5668</v>
      </c>
      <c r="B307" s="1">
        <v>46083</v>
      </c>
      <c r="C307" t="s">
        <v>5673</v>
      </c>
      <c r="D307" s="36" t="str">
        <f t="shared" si="4"/>
        <v>VERIFICAR</v>
      </c>
      <c r="E307">
        <f>COUNTIF(Analise!U:U,Notas_sem_indexar!C307)</f>
        <v>0</v>
      </c>
      <c r="F307" s="35" t="s">
        <v>1750</v>
      </c>
      <c r="G307" t="str">
        <f>IF(F307&lt;&gt;"",VLOOKUP(F307,'Obras e Acervos'!$C:$D,2,0),"OK")</f>
        <v>CASA DE LETRAS E GRAFICA LTDA-CASA DE LETRAS</v>
      </c>
    </row>
    <row r="308" spans="1:7" hidden="1" x14ac:dyDescent="0.25">
      <c r="A308" t="s">
        <v>5668</v>
      </c>
      <c r="B308" s="1">
        <v>46083</v>
      </c>
      <c r="C308" t="s">
        <v>5167</v>
      </c>
      <c r="D308" s="36" t="str">
        <f t="shared" si="4"/>
        <v>64307150_20260302_nf_38.pdf</v>
      </c>
      <c r="E308">
        <f>COUNTIF(Analise!U:U,Notas_sem_indexar!C308)</f>
        <v>1</v>
      </c>
      <c r="G308" t="str">
        <f>IF(F308&lt;&gt;"",VLOOKUP(F308,'Obras e Acervos'!$C:$D,2,0),"OK")</f>
        <v>OK</v>
      </c>
    </row>
    <row r="309" spans="1:7" x14ac:dyDescent="0.25">
      <c r="A309" t="s">
        <v>5668</v>
      </c>
      <c r="B309" s="1">
        <v>46083</v>
      </c>
      <c r="C309" t="s">
        <v>5674</v>
      </c>
      <c r="D309" s="36" t="str">
        <f t="shared" si="4"/>
        <v>VERIFICAR</v>
      </c>
      <c r="E309">
        <f>COUNTIF(Analise!U:U,Notas_sem_indexar!C309)</f>
        <v>0</v>
      </c>
      <c r="G309" t="s">
        <v>5774</v>
      </c>
    </row>
    <row r="310" spans="1:7" hidden="1" x14ac:dyDescent="0.25">
      <c r="A310" t="s">
        <v>5668</v>
      </c>
      <c r="B310" s="1">
        <v>46083</v>
      </c>
      <c r="C310" t="s">
        <v>5179</v>
      </c>
      <c r="D310" s="36" t="str">
        <f t="shared" si="4"/>
        <v>64307150_20260302_nf_40.pdf</v>
      </c>
      <c r="E310">
        <f>COUNTIF(Analise!U:U,Notas_sem_indexar!C310)</f>
        <v>1</v>
      </c>
      <c r="G310" t="str">
        <f>IF(F310&lt;&gt;"",VLOOKUP(F310,'Obras e Acervos'!$C:$D,2,0),"OK")</f>
        <v>OK</v>
      </c>
    </row>
    <row r="311" spans="1:7" hidden="1" x14ac:dyDescent="0.25">
      <c r="A311" t="s">
        <v>5668</v>
      </c>
      <c r="B311" s="1">
        <v>46084</v>
      </c>
      <c r="C311" t="s">
        <v>5180</v>
      </c>
      <c r="D311" s="36" t="str">
        <f t="shared" si="4"/>
        <v>64307150_20260303_nf_01.pdf</v>
      </c>
      <c r="E311">
        <f>COUNTIF(Analise!U:U,Notas_sem_indexar!C311)</f>
        <v>1</v>
      </c>
      <c r="G311" t="str">
        <f>IF(F311&lt;&gt;"",VLOOKUP(F311,'Obras e Acervos'!$C:$D,2,0),"OK")</f>
        <v>OK</v>
      </c>
    </row>
    <row r="312" spans="1:7" x14ac:dyDescent="0.25">
      <c r="A312" t="s">
        <v>5668</v>
      </c>
      <c r="B312" s="1">
        <v>46084</v>
      </c>
      <c r="C312" t="s">
        <v>5675</v>
      </c>
      <c r="D312" s="36" t="str">
        <f t="shared" si="4"/>
        <v>VERIFICAR</v>
      </c>
      <c r="E312">
        <f>COUNTIF(Analise!U:U,Notas_sem_indexar!C312)</f>
        <v>0</v>
      </c>
      <c r="G312" t="s">
        <v>5774</v>
      </c>
    </row>
    <row r="313" spans="1:7" hidden="1" x14ac:dyDescent="0.25">
      <c r="A313" t="s">
        <v>5668</v>
      </c>
      <c r="B313" s="1">
        <v>46084</v>
      </c>
      <c r="C313" t="s">
        <v>5181</v>
      </c>
      <c r="D313" s="36" t="str">
        <f t="shared" si="4"/>
        <v>64307150_20260303_nf_03.pdf</v>
      </c>
      <c r="E313">
        <f>COUNTIF(Analise!U:U,Notas_sem_indexar!C313)</f>
        <v>1</v>
      </c>
      <c r="G313" t="str">
        <f>IF(F313&lt;&gt;"",VLOOKUP(F313,'Obras e Acervos'!$C:$D,2,0),"OK")</f>
        <v>OK</v>
      </c>
    </row>
    <row r="314" spans="1:7" hidden="1" x14ac:dyDescent="0.25">
      <c r="A314" t="s">
        <v>5668</v>
      </c>
      <c r="B314" s="1">
        <v>46084</v>
      </c>
      <c r="C314" t="s">
        <v>5190</v>
      </c>
      <c r="D314" s="36" t="str">
        <f t="shared" si="4"/>
        <v>64307150_20260303_nf_04.pdf</v>
      </c>
      <c r="E314">
        <f>COUNTIF(Analise!U:U,Notas_sem_indexar!C314)</f>
        <v>1</v>
      </c>
      <c r="G314" t="str">
        <f>IF(F314&lt;&gt;"",VLOOKUP(F314,'Obras e Acervos'!$C:$D,2,0),"OK")</f>
        <v>OK</v>
      </c>
    </row>
    <row r="315" spans="1:7" x14ac:dyDescent="0.25">
      <c r="A315" t="s">
        <v>5668</v>
      </c>
      <c r="B315" s="1">
        <v>46084</v>
      </c>
      <c r="C315" t="s">
        <v>5676</v>
      </c>
      <c r="D315" s="36" t="str">
        <f t="shared" si="4"/>
        <v>VERIFICAR</v>
      </c>
      <c r="E315">
        <f>COUNTIF(Analise!U:U,Notas_sem_indexar!C315)</f>
        <v>0</v>
      </c>
      <c r="F315" s="35" t="s">
        <v>2339</v>
      </c>
      <c r="G315" t="str">
        <f>IF(F315&lt;&gt;"",VLOOKUP(F315,'Obras e Acervos'!$C:$D,2,0),"OK")</f>
        <v>SABIDURÍA EDITORA LTDA-SABIDURÍA</v>
      </c>
    </row>
    <row r="316" spans="1:7" hidden="1" x14ac:dyDescent="0.25">
      <c r="A316" t="s">
        <v>5668</v>
      </c>
      <c r="B316" s="1">
        <v>46084</v>
      </c>
      <c r="C316" t="s">
        <v>5202</v>
      </c>
      <c r="D316" s="36" t="str">
        <f t="shared" si="4"/>
        <v>64307150_20260303_nf_06.pdf</v>
      </c>
      <c r="E316">
        <f>COUNTIF(Analise!U:U,Notas_sem_indexar!C316)</f>
        <v>1</v>
      </c>
      <c r="G316" t="str">
        <f>IF(F316&lt;&gt;"",VLOOKUP(F316,'Obras e Acervos'!$C:$D,2,0),"OK")</f>
        <v>OK</v>
      </c>
    </row>
    <row r="317" spans="1:7" hidden="1" x14ac:dyDescent="0.25">
      <c r="A317" t="s">
        <v>5668</v>
      </c>
      <c r="B317" s="1">
        <v>46084</v>
      </c>
      <c r="C317" t="s">
        <v>5195</v>
      </c>
      <c r="D317" s="36" t="str">
        <f t="shared" si="4"/>
        <v>64307150_20260303_nf_07.pdf</v>
      </c>
      <c r="E317">
        <f>COUNTIF(Analise!U:U,Notas_sem_indexar!C317)</f>
        <v>1</v>
      </c>
      <c r="G317" t="str">
        <f>IF(F317&lt;&gt;"",VLOOKUP(F317,'Obras e Acervos'!$C:$D,2,0),"OK")</f>
        <v>OK</v>
      </c>
    </row>
    <row r="318" spans="1:7" hidden="1" x14ac:dyDescent="0.25">
      <c r="A318" t="s">
        <v>5668</v>
      </c>
      <c r="B318" s="1">
        <v>46084</v>
      </c>
      <c r="C318" t="s">
        <v>5200</v>
      </c>
      <c r="D318" s="36" t="str">
        <f t="shared" si="4"/>
        <v>64307150_20260303_nf_08.pdf</v>
      </c>
      <c r="E318">
        <f>COUNTIF(Analise!U:U,Notas_sem_indexar!C318)</f>
        <v>1</v>
      </c>
      <c r="G318" t="str">
        <f>IF(F318&lt;&gt;"",VLOOKUP(F318,'Obras e Acervos'!$C:$D,2,0),"OK")</f>
        <v>OK</v>
      </c>
    </row>
    <row r="319" spans="1:7" hidden="1" x14ac:dyDescent="0.25">
      <c r="A319" t="s">
        <v>5668</v>
      </c>
      <c r="B319" s="1">
        <v>46084</v>
      </c>
      <c r="C319" t="s">
        <v>5186</v>
      </c>
      <c r="D319" s="36" t="str">
        <f t="shared" si="4"/>
        <v>64307150_20260303_nf_09.pdf</v>
      </c>
      <c r="E319">
        <f>COUNTIF(Analise!U:U,Notas_sem_indexar!C319)</f>
        <v>1</v>
      </c>
      <c r="G319" t="str">
        <f>IF(F319&lt;&gt;"",VLOOKUP(F319,'Obras e Acervos'!$C:$D,2,0),"OK")</f>
        <v>OK</v>
      </c>
    </row>
    <row r="320" spans="1:7" hidden="1" x14ac:dyDescent="0.25">
      <c r="A320" t="s">
        <v>5668</v>
      </c>
      <c r="B320" s="1">
        <v>46084</v>
      </c>
      <c r="C320" t="s">
        <v>5196</v>
      </c>
      <c r="D320" s="36" t="str">
        <f t="shared" si="4"/>
        <v>64307150_20260303_nf_10.pdf</v>
      </c>
      <c r="E320">
        <f>COUNTIF(Analise!U:U,Notas_sem_indexar!C320)</f>
        <v>1</v>
      </c>
      <c r="G320" t="str">
        <f>IF(F320&lt;&gt;"",VLOOKUP(F320,'Obras e Acervos'!$C:$D,2,0),"OK")</f>
        <v>OK</v>
      </c>
    </row>
    <row r="321" spans="1:7" hidden="1" x14ac:dyDescent="0.25">
      <c r="A321" t="s">
        <v>5668</v>
      </c>
      <c r="B321" s="1">
        <v>46084</v>
      </c>
      <c r="C321" t="s">
        <v>5184</v>
      </c>
      <c r="D321" s="36" t="str">
        <f t="shared" si="4"/>
        <v>64307150_20260303_nf_11.pdf</v>
      </c>
      <c r="E321">
        <f>COUNTIF(Analise!U:U,Notas_sem_indexar!C321)</f>
        <v>1</v>
      </c>
      <c r="G321" t="str">
        <f>IF(F321&lt;&gt;"",VLOOKUP(F321,'Obras e Acervos'!$C:$D,2,0),"OK")</f>
        <v>OK</v>
      </c>
    </row>
    <row r="322" spans="1:7" hidden="1" x14ac:dyDescent="0.25">
      <c r="A322" t="s">
        <v>5668</v>
      </c>
      <c r="B322" s="1">
        <v>46084</v>
      </c>
      <c r="C322" t="s">
        <v>5192</v>
      </c>
      <c r="D322" s="36" t="str">
        <f t="shared" si="4"/>
        <v>64307150_20260303_nf_12.pdf</v>
      </c>
      <c r="E322">
        <f>COUNTIF(Analise!U:U,Notas_sem_indexar!C322)</f>
        <v>1</v>
      </c>
      <c r="G322" t="str">
        <f>IF(F322&lt;&gt;"",VLOOKUP(F322,'Obras e Acervos'!$C:$D,2,0),"OK")</f>
        <v>OK</v>
      </c>
    </row>
    <row r="323" spans="1:7" hidden="1" x14ac:dyDescent="0.25">
      <c r="A323" t="s">
        <v>5668</v>
      </c>
      <c r="B323" s="1">
        <v>46084</v>
      </c>
      <c r="C323" t="s">
        <v>5182</v>
      </c>
      <c r="D323" s="36" t="str">
        <f t="shared" ref="D323:D386" si="5">IF(E323=0,HYPERLINK(CONCATENATE("saida/",C323),"VERIFICAR"),HYPERLINK(CONCATENATE("saida/",C323),C323))</f>
        <v>64307150_20260303_nf_13.pdf</v>
      </c>
      <c r="E323">
        <f>COUNTIF(Analise!U:U,Notas_sem_indexar!C323)</f>
        <v>1</v>
      </c>
      <c r="G323" t="str">
        <f>IF(F323&lt;&gt;"",VLOOKUP(F323,'Obras e Acervos'!$C:$D,2,0),"OK")</f>
        <v>OK</v>
      </c>
    </row>
    <row r="324" spans="1:7" x14ac:dyDescent="0.25">
      <c r="A324" t="s">
        <v>5668</v>
      </c>
      <c r="B324" s="1">
        <v>46084</v>
      </c>
      <c r="C324" t="s">
        <v>5677</v>
      </c>
      <c r="D324" s="36" t="str">
        <f t="shared" si="5"/>
        <v>VERIFICAR</v>
      </c>
      <c r="E324">
        <f>COUNTIF(Analise!U:U,Notas_sem_indexar!C324)</f>
        <v>0</v>
      </c>
      <c r="F324" s="35" t="s">
        <v>3818</v>
      </c>
      <c r="G324" t="str">
        <f>IF(F324&lt;&gt;"",VLOOKUP(F324,'Obras e Acervos'!$C:$D,2,0),"OK")</f>
        <v>AMOK SERVIÇOS LTDA ME-AMOK</v>
      </c>
    </row>
    <row r="325" spans="1:7" hidden="1" x14ac:dyDescent="0.25">
      <c r="A325" t="s">
        <v>5668</v>
      </c>
      <c r="B325" s="1">
        <v>46084</v>
      </c>
      <c r="C325" t="s">
        <v>5199</v>
      </c>
      <c r="D325" s="36" t="str">
        <f t="shared" si="5"/>
        <v>64307150_20260303_nf_15.pdf</v>
      </c>
      <c r="E325">
        <f>COUNTIF(Analise!U:U,Notas_sem_indexar!C325)</f>
        <v>1</v>
      </c>
      <c r="G325" t="str">
        <f>IF(F325&lt;&gt;"",VLOOKUP(F325,'Obras e Acervos'!$C:$D,2,0),"OK")</f>
        <v>OK</v>
      </c>
    </row>
    <row r="326" spans="1:7" x14ac:dyDescent="0.25">
      <c r="A326" t="s">
        <v>5668</v>
      </c>
      <c r="B326" s="1">
        <v>46084</v>
      </c>
      <c r="C326" t="s">
        <v>5678</v>
      </c>
      <c r="D326" s="36" t="str">
        <f t="shared" si="5"/>
        <v>VERIFICAR</v>
      </c>
      <c r="E326">
        <f>COUNTIF(Analise!U:U,Notas_sem_indexar!C326)</f>
        <v>0</v>
      </c>
      <c r="G326" t="s">
        <v>5778</v>
      </c>
    </row>
    <row r="327" spans="1:7" hidden="1" x14ac:dyDescent="0.25">
      <c r="A327" t="s">
        <v>5668</v>
      </c>
      <c r="B327" s="1">
        <v>46084</v>
      </c>
      <c r="C327" t="s">
        <v>5183</v>
      </c>
      <c r="D327" s="36" t="str">
        <f t="shared" si="5"/>
        <v>64307150_20260303_nf_17.pdf</v>
      </c>
      <c r="E327">
        <f>COUNTIF(Analise!U:U,Notas_sem_indexar!C327)</f>
        <v>1</v>
      </c>
      <c r="G327" t="str">
        <f>IF(F327&lt;&gt;"",VLOOKUP(F327,'Obras e Acervos'!$C:$D,2,0),"OK")</f>
        <v>OK</v>
      </c>
    </row>
    <row r="328" spans="1:7" hidden="1" x14ac:dyDescent="0.25">
      <c r="A328" t="s">
        <v>5668</v>
      </c>
      <c r="B328" s="1">
        <v>46084</v>
      </c>
      <c r="C328" t="s">
        <v>5198</v>
      </c>
      <c r="D328" s="36" t="str">
        <f t="shared" si="5"/>
        <v>64307150_20260303_nf_18.pdf</v>
      </c>
      <c r="E328">
        <f>COUNTIF(Analise!U:U,Notas_sem_indexar!C328)</f>
        <v>1</v>
      </c>
      <c r="G328" t="str">
        <f>IF(F328&lt;&gt;"",VLOOKUP(F328,'Obras e Acervos'!$C:$D,2,0),"OK")</f>
        <v>OK</v>
      </c>
    </row>
    <row r="329" spans="1:7" hidden="1" x14ac:dyDescent="0.25">
      <c r="A329" t="s">
        <v>5668</v>
      </c>
      <c r="B329" s="1">
        <v>46084</v>
      </c>
      <c r="C329" t="s">
        <v>5188</v>
      </c>
      <c r="D329" s="36" t="str">
        <f t="shared" si="5"/>
        <v>64307150_20260303_nf_19.pdf</v>
      </c>
      <c r="E329">
        <f>COUNTIF(Analise!U:U,Notas_sem_indexar!C329)</f>
        <v>1</v>
      </c>
      <c r="G329" t="str">
        <f>IF(F329&lt;&gt;"",VLOOKUP(F329,'Obras e Acervos'!$C:$D,2,0),"OK")</f>
        <v>OK</v>
      </c>
    </row>
    <row r="330" spans="1:7" hidden="1" x14ac:dyDescent="0.25">
      <c r="A330" t="s">
        <v>5668</v>
      </c>
      <c r="B330" s="1">
        <v>46084</v>
      </c>
      <c r="C330" t="s">
        <v>5189</v>
      </c>
      <c r="D330" s="36" t="str">
        <f t="shared" si="5"/>
        <v>64307150_20260303_nf_20.pdf</v>
      </c>
      <c r="E330">
        <f>COUNTIF(Analise!U:U,Notas_sem_indexar!C330)</f>
        <v>1</v>
      </c>
      <c r="G330" t="str">
        <f>IF(F330&lt;&gt;"",VLOOKUP(F330,'Obras e Acervos'!$C:$D,2,0),"OK")</f>
        <v>OK</v>
      </c>
    </row>
    <row r="331" spans="1:7" hidden="1" x14ac:dyDescent="0.25">
      <c r="A331" t="s">
        <v>5668</v>
      </c>
      <c r="B331" s="1">
        <v>46084</v>
      </c>
      <c r="C331" t="s">
        <v>5191</v>
      </c>
      <c r="D331" s="36" t="str">
        <f t="shared" si="5"/>
        <v>64307150_20260303_nf_21.pdf</v>
      </c>
      <c r="E331">
        <f>COUNTIF(Analise!U:U,Notas_sem_indexar!C331)</f>
        <v>1</v>
      </c>
      <c r="G331" t="str">
        <f>IF(F331&lt;&gt;"",VLOOKUP(F331,'Obras e Acervos'!$C:$D,2,0),"OK")</f>
        <v>OK</v>
      </c>
    </row>
    <row r="332" spans="1:7" x14ac:dyDescent="0.25">
      <c r="A332" t="s">
        <v>5668</v>
      </c>
      <c r="B332" s="1">
        <v>46084</v>
      </c>
      <c r="C332" t="s">
        <v>5679</v>
      </c>
      <c r="D332" s="36" t="str">
        <f t="shared" si="5"/>
        <v>VERIFICAR</v>
      </c>
      <c r="E332">
        <f>COUNTIF(Analise!U:U,Notas_sem_indexar!C332)</f>
        <v>0</v>
      </c>
      <c r="F332" s="35" t="s">
        <v>2681</v>
      </c>
      <c r="G332" t="str">
        <f>IF(F332&lt;&gt;"",VLOOKUP(F332,'Obras e Acervos'!$C:$D,2,0),"OK")</f>
        <v>AMARE EDITORA LTDA-AMARE</v>
      </c>
    </row>
    <row r="333" spans="1:7" hidden="1" x14ac:dyDescent="0.25">
      <c r="A333" t="s">
        <v>5668</v>
      </c>
      <c r="B333" s="1">
        <v>46084</v>
      </c>
      <c r="C333" t="s">
        <v>5187</v>
      </c>
      <c r="D333" s="36" t="str">
        <f t="shared" si="5"/>
        <v>64307150_20260303_nf_23.pdf</v>
      </c>
      <c r="E333">
        <f>COUNTIF(Analise!U:U,Notas_sem_indexar!C333)</f>
        <v>1</v>
      </c>
      <c r="G333" t="str">
        <f>IF(F333&lt;&gt;"",VLOOKUP(F333,'Obras e Acervos'!$C:$D,2,0),"OK")</f>
        <v>OK</v>
      </c>
    </row>
    <row r="334" spans="1:7" x14ac:dyDescent="0.25">
      <c r="A334" t="s">
        <v>5668</v>
      </c>
      <c r="B334" s="1">
        <v>46084</v>
      </c>
      <c r="C334" t="s">
        <v>5680</v>
      </c>
      <c r="D334" s="36" t="str">
        <f t="shared" si="5"/>
        <v>VERIFICAR</v>
      </c>
      <c r="E334">
        <f>COUNTIF(Analise!U:U,Notas_sem_indexar!C334)</f>
        <v>0</v>
      </c>
      <c r="F334" s="35" t="s">
        <v>2258</v>
      </c>
      <c r="G334" t="str">
        <f>IF(F334&lt;&gt;"",VLOOKUP(F334,'Obras e Acervos'!$C:$D,2,0),"OK")</f>
        <v>EDITORA ILUMINURAS LTDA-ILUMINURAS</v>
      </c>
    </row>
    <row r="335" spans="1:7" x14ac:dyDescent="0.25">
      <c r="A335" t="s">
        <v>5668</v>
      </c>
      <c r="B335" s="1">
        <v>46084</v>
      </c>
      <c r="C335" t="s">
        <v>5681</v>
      </c>
      <c r="D335" s="36" t="str">
        <f t="shared" si="5"/>
        <v>VERIFICAR</v>
      </c>
      <c r="E335">
        <f>COUNTIF(Analise!U:U,Notas_sem_indexar!C335)</f>
        <v>0</v>
      </c>
      <c r="G335" t="s">
        <v>5774</v>
      </c>
    </row>
    <row r="336" spans="1:7" hidden="1" x14ac:dyDescent="0.25">
      <c r="A336" t="s">
        <v>5668</v>
      </c>
      <c r="B336" s="1">
        <v>46084</v>
      </c>
      <c r="C336" t="s">
        <v>5197</v>
      </c>
      <c r="D336" s="36" t="str">
        <f t="shared" si="5"/>
        <v>64307150_20260303_nf_26.pdf</v>
      </c>
      <c r="E336">
        <f>COUNTIF(Analise!U:U,Notas_sem_indexar!C336)</f>
        <v>1</v>
      </c>
      <c r="G336" t="str">
        <f>IF(F336&lt;&gt;"",VLOOKUP(F336,'Obras e Acervos'!$C:$D,2,0),"OK")</f>
        <v>OK</v>
      </c>
    </row>
    <row r="337" spans="1:7" hidden="1" x14ac:dyDescent="0.25">
      <c r="A337" t="s">
        <v>5668</v>
      </c>
      <c r="B337" s="1">
        <v>46084</v>
      </c>
      <c r="C337" t="s">
        <v>5201</v>
      </c>
      <c r="D337" s="36" t="str">
        <f t="shared" si="5"/>
        <v>64307150_20260303_nf_27.pdf</v>
      </c>
      <c r="E337">
        <f>COUNTIF(Analise!U:U,Notas_sem_indexar!C337)</f>
        <v>1</v>
      </c>
      <c r="G337" t="str">
        <f>IF(F337&lt;&gt;"",VLOOKUP(F337,'Obras e Acervos'!$C:$D,2,0),"OK")</f>
        <v>OK</v>
      </c>
    </row>
    <row r="338" spans="1:7" x14ac:dyDescent="0.25">
      <c r="A338" t="s">
        <v>5668</v>
      </c>
      <c r="B338" s="1">
        <v>46084</v>
      </c>
      <c r="C338" t="s">
        <v>5185</v>
      </c>
      <c r="D338" s="36" t="str">
        <f t="shared" si="5"/>
        <v>VERIFICAR</v>
      </c>
      <c r="E338">
        <f>COUNTIF(Analise!U:U,Notas_sem_indexar!C338)</f>
        <v>0</v>
      </c>
      <c r="G338" t="s">
        <v>5779</v>
      </c>
    </row>
    <row r="339" spans="1:7" hidden="1" x14ac:dyDescent="0.25">
      <c r="A339" t="s">
        <v>5668</v>
      </c>
      <c r="B339" s="1">
        <v>46084</v>
      </c>
      <c r="C339" t="s">
        <v>5193</v>
      </c>
      <c r="D339" s="36" t="str">
        <f t="shared" si="5"/>
        <v>64307150_20260303_nf_29.pdf</v>
      </c>
      <c r="E339">
        <f>COUNTIF(Analise!U:U,Notas_sem_indexar!C339)</f>
        <v>1</v>
      </c>
      <c r="G339" t="str">
        <f>IF(F339&lt;&gt;"",VLOOKUP(F339,'Obras e Acervos'!$C:$D,2,0),"OK")</f>
        <v>OK</v>
      </c>
    </row>
    <row r="340" spans="1:7" hidden="1" x14ac:dyDescent="0.25">
      <c r="A340" t="s">
        <v>5668</v>
      </c>
      <c r="B340" s="1">
        <v>46084</v>
      </c>
      <c r="C340" t="s">
        <v>5194</v>
      </c>
      <c r="D340" s="36" t="str">
        <f t="shared" si="5"/>
        <v>64307150_20260303_nf_30.pdf</v>
      </c>
      <c r="E340">
        <f>COUNTIF(Analise!U:U,Notas_sem_indexar!C340)</f>
        <v>1</v>
      </c>
      <c r="G340" t="str">
        <f>IF(F340&lt;&gt;"",VLOOKUP(F340,'Obras e Acervos'!$C:$D,2,0),"OK")</f>
        <v>OK</v>
      </c>
    </row>
    <row r="341" spans="1:7" hidden="1" x14ac:dyDescent="0.25">
      <c r="A341" t="s">
        <v>5668</v>
      </c>
      <c r="B341" s="1">
        <v>46084</v>
      </c>
      <c r="C341" t="s">
        <v>5215</v>
      </c>
      <c r="D341" s="36" t="str">
        <f t="shared" si="5"/>
        <v>64307150_20260303_nf_31.pdf</v>
      </c>
      <c r="E341">
        <f>COUNTIF(Analise!U:U,Notas_sem_indexar!C341)</f>
        <v>1</v>
      </c>
      <c r="G341" t="str">
        <f>IF(F341&lt;&gt;"",VLOOKUP(F341,'Obras e Acervos'!$C:$D,2,0),"OK")</f>
        <v>OK</v>
      </c>
    </row>
    <row r="342" spans="1:7" x14ac:dyDescent="0.25">
      <c r="A342" t="s">
        <v>5668</v>
      </c>
      <c r="B342" s="1">
        <v>46084</v>
      </c>
      <c r="C342" t="s">
        <v>5682</v>
      </c>
      <c r="D342" s="36" t="str">
        <f t="shared" si="5"/>
        <v>VERIFICAR</v>
      </c>
      <c r="E342">
        <f>COUNTIF(Analise!U:U,Notas_sem_indexar!C342)</f>
        <v>0</v>
      </c>
      <c r="F342" s="35" t="s">
        <v>2566</v>
      </c>
      <c r="G342" t="str">
        <f>IF(F342&lt;&gt;"",VLOOKUP(F342,'Obras e Acervos'!$C:$D,2,0),"OK")</f>
        <v>EDITORA BRASILEIRINHO LTDA-EDITORA BRASILEIRINHO</v>
      </c>
    </row>
    <row r="343" spans="1:7" hidden="1" x14ac:dyDescent="0.25">
      <c r="A343" t="s">
        <v>5668</v>
      </c>
      <c r="B343" s="1">
        <v>46084</v>
      </c>
      <c r="C343" t="s">
        <v>5216</v>
      </c>
      <c r="D343" s="36" t="str">
        <f t="shared" si="5"/>
        <v>64307150_20260303_nf_33.pdf</v>
      </c>
      <c r="E343">
        <f>COUNTIF(Analise!U:U,Notas_sem_indexar!C343)</f>
        <v>1</v>
      </c>
      <c r="G343" t="str">
        <f>IF(F343&lt;&gt;"",VLOOKUP(F343,'Obras e Acervos'!$C:$D,2,0),"OK")</f>
        <v>OK</v>
      </c>
    </row>
    <row r="344" spans="1:7" hidden="1" x14ac:dyDescent="0.25">
      <c r="A344" t="s">
        <v>5668</v>
      </c>
      <c r="B344" s="1">
        <v>46084</v>
      </c>
      <c r="C344" t="s">
        <v>5222</v>
      </c>
      <c r="D344" s="36" t="str">
        <f t="shared" si="5"/>
        <v>64307150_20260303_nf_34.pdf</v>
      </c>
      <c r="E344">
        <f>COUNTIF(Analise!U:U,Notas_sem_indexar!C344)</f>
        <v>1</v>
      </c>
      <c r="G344" t="str">
        <f>IF(F344&lt;&gt;"",VLOOKUP(F344,'Obras e Acervos'!$C:$D,2,0),"OK")</f>
        <v>OK</v>
      </c>
    </row>
    <row r="345" spans="1:7" hidden="1" x14ac:dyDescent="0.25">
      <c r="A345" t="s">
        <v>5668</v>
      </c>
      <c r="B345" s="1">
        <v>46084</v>
      </c>
      <c r="C345" t="s">
        <v>5218</v>
      </c>
      <c r="D345" s="36" t="str">
        <f t="shared" si="5"/>
        <v>64307150_20260303_nf_35.pdf</v>
      </c>
      <c r="E345">
        <f>COUNTIF(Analise!U:U,Notas_sem_indexar!C345)</f>
        <v>1</v>
      </c>
      <c r="G345" t="str">
        <f>IF(F345&lt;&gt;"",VLOOKUP(F345,'Obras e Acervos'!$C:$D,2,0),"OK")</f>
        <v>OK</v>
      </c>
    </row>
    <row r="346" spans="1:7" hidden="1" x14ac:dyDescent="0.25">
      <c r="A346" t="s">
        <v>5668</v>
      </c>
      <c r="B346" s="1">
        <v>46084</v>
      </c>
      <c r="C346" t="s">
        <v>5205</v>
      </c>
      <c r="D346" s="36" t="str">
        <f t="shared" si="5"/>
        <v>64307150_20260303_nf_36.pdf</v>
      </c>
      <c r="E346">
        <f>COUNTIF(Analise!U:U,Notas_sem_indexar!C346)</f>
        <v>1</v>
      </c>
      <c r="G346" t="str">
        <f>IF(F346&lt;&gt;"",VLOOKUP(F346,'Obras e Acervos'!$C:$D,2,0),"OK")</f>
        <v>OK</v>
      </c>
    </row>
    <row r="347" spans="1:7" hidden="1" x14ac:dyDescent="0.25">
      <c r="A347" t="s">
        <v>5668</v>
      </c>
      <c r="B347" s="1">
        <v>46084</v>
      </c>
      <c r="C347" t="s">
        <v>5213</v>
      </c>
      <c r="D347" s="36" t="str">
        <f t="shared" si="5"/>
        <v>64307150_20260303_nf_37.pdf</v>
      </c>
      <c r="E347">
        <f>COUNTIF(Analise!U:U,Notas_sem_indexar!C347)</f>
        <v>1</v>
      </c>
      <c r="G347" t="str">
        <f>IF(F347&lt;&gt;"",VLOOKUP(F347,'Obras e Acervos'!$C:$D,2,0),"OK")</f>
        <v>OK</v>
      </c>
    </row>
    <row r="348" spans="1:7" hidden="1" x14ac:dyDescent="0.25">
      <c r="A348" t="s">
        <v>5668</v>
      </c>
      <c r="B348" s="1">
        <v>46084</v>
      </c>
      <c r="C348" t="s">
        <v>5209</v>
      </c>
      <c r="D348" s="36" t="str">
        <f t="shared" si="5"/>
        <v>64307150_20260303_nf_38.pdf</v>
      </c>
      <c r="E348">
        <f>COUNTIF(Analise!U:U,Notas_sem_indexar!C348)</f>
        <v>1</v>
      </c>
      <c r="G348" t="str">
        <f>IF(F348&lt;&gt;"",VLOOKUP(F348,'Obras e Acervos'!$C:$D,2,0),"OK")</f>
        <v>OK</v>
      </c>
    </row>
    <row r="349" spans="1:7" hidden="1" x14ac:dyDescent="0.25">
      <c r="A349" t="s">
        <v>5668</v>
      </c>
      <c r="B349" s="1">
        <v>46084</v>
      </c>
      <c r="C349" t="s">
        <v>5211</v>
      </c>
      <c r="D349" s="36" t="str">
        <f t="shared" si="5"/>
        <v>64307150_20260303_nf_39.pdf</v>
      </c>
      <c r="E349">
        <f>COUNTIF(Analise!U:U,Notas_sem_indexar!C349)</f>
        <v>1</v>
      </c>
      <c r="G349" t="str">
        <f>IF(F349&lt;&gt;"",VLOOKUP(F349,'Obras e Acervos'!$C:$D,2,0),"OK")</f>
        <v>OK</v>
      </c>
    </row>
    <row r="350" spans="1:7" hidden="1" x14ac:dyDescent="0.25">
      <c r="A350" t="s">
        <v>5668</v>
      </c>
      <c r="B350" s="1">
        <v>46084</v>
      </c>
      <c r="C350" t="s">
        <v>5207</v>
      </c>
      <c r="D350" s="36" t="str">
        <f t="shared" si="5"/>
        <v>64307150_20260303_nf_40.pdf</v>
      </c>
      <c r="E350">
        <f>COUNTIF(Analise!U:U,Notas_sem_indexar!C350)</f>
        <v>1</v>
      </c>
      <c r="G350" t="str">
        <f>IF(F350&lt;&gt;"",VLOOKUP(F350,'Obras e Acervos'!$C:$D,2,0),"OK")</f>
        <v>OK</v>
      </c>
    </row>
    <row r="351" spans="1:7" x14ac:dyDescent="0.25">
      <c r="A351" t="s">
        <v>5668</v>
      </c>
      <c r="B351" s="1">
        <v>46084</v>
      </c>
      <c r="C351" t="s">
        <v>5683</v>
      </c>
      <c r="D351" s="36" t="str">
        <f t="shared" si="5"/>
        <v>VERIFICAR</v>
      </c>
      <c r="E351">
        <f>COUNTIF(Analise!U:U,Notas_sem_indexar!C351)</f>
        <v>0</v>
      </c>
      <c r="F351" s="35" t="s">
        <v>2278</v>
      </c>
      <c r="G351" t="str">
        <f>IF(F351&lt;&gt;"",VLOOKUP(F351,'Obras e Acervos'!$C:$D,2,0),"OK")</f>
        <v>EDLAB PRESS EDITORA EIRELI-EDLAB</v>
      </c>
    </row>
    <row r="352" spans="1:7" hidden="1" x14ac:dyDescent="0.25">
      <c r="A352" t="s">
        <v>5668</v>
      </c>
      <c r="B352" s="1">
        <v>46084</v>
      </c>
      <c r="C352" t="s">
        <v>5206</v>
      </c>
      <c r="D352" s="36" t="str">
        <f t="shared" si="5"/>
        <v>64307150_20260303_nf_42.pdf</v>
      </c>
      <c r="E352">
        <f>COUNTIF(Analise!U:U,Notas_sem_indexar!C352)</f>
        <v>1</v>
      </c>
      <c r="G352" t="str">
        <f>IF(F352&lt;&gt;"",VLOOKUP(F352,'Obras e Acervos'!$C:$D,2,0),"OK")</f>
        <v>OK</v>
      </c>
    </row>
    <row r="353" spans="1:7" x14ac:dyDescent="0.25">
      <c r="A353" t="s">
        <v>5668</v>
      </c>
      <c r="B353" s="1">
        <v>46084</v>
      </c>
      <c r="C353" t="s">
        <v>5203</v>
      </c>
      <c r="D353" s="36" t="str">
        <f t="shared" si="5"/>
        <v>VERIFICAR</v>
      </c>
      <c r="E353">
        <f>COUNTIF(Analise!U:U,Notas_sem_indexar!C353)</f>
        <v>0</v>
      </c>
      <c r="G353" t="s">
        <v>5780</v>
      </c>
    </row>
    <row r="354" spans="1:7" hidden="1" x14ac:dyDescent="0.25">
      <c r="A354" t="s">
        <v>5668</v>
      </c>
      <c r="B354" s="1">
        <v>46084</v>
      </c>
      <c r="C354" t="s">
        <v>5208</v>
      </c>
      <c r="D354" s="36" t="str">
        <f t="shared" si="5"/>
        <v>64307150_20260303_nf_44.pdf</v>
      </c>
      <c r="E354">
        <f>COUNTIF(Analise!U:U,Notas_sem_indexar!C354)</f>
        <v>1</v>
      </c>
      <c r="G354" t="str">
        <f>IF(F354&lt;&gt;"",VLOOKUP(F354,'Obras e Acervos'!$C:$D,2,0),"OK")</f>
        <v>OK</v>
      </c>
    </row>
    <row r="355" spans="1:7" x14ac:dyDescent="0.25">
      <c r="A355" t="s">
        <v>5668</v>
      </c>
      <c r="B355" s="1">
        <v>46084</v>
      </c>
      <c r="C355" t="s">
        <v>5684</v>
      </c>
      <c r="D355" s="36" t="str">
        <f t="shared" si="5"/>
        <v>VERIFICAR</v>
      </c>
      <c r="E355">
        <f>COUNTIF(Analise!U:U,Notas_sem_indexar!C355)</f>
        <v>0</v>
      </c>
      <c r="F355" s="35" t="s">
        <v>2102</v>
      </c>
      <c r="G355" t="str">
        <f>IF(F355&lt;&gt;"",VLOOKUP(F355,'Obras e Acervos'!$C:$D,2,0),"OK")</f>
        <v>EDITORA SEMENTE CULTURAL LTDA-SEMENTE EDITORIAL</v>
      </c>
    </row>
    <row r="356" spans="1:7" hidden="1" x14ac:dyDescent="0.25">
      <c r="A356" t="s">
        <v>5668</v>
      </c>
      <c r="B356" s="1">
        <v>46084</v>
      </c>
      <c r="C356" t="s">
        <v>5210</v>
      </c>
      <c r="D356" s="36" t="str">
        <f t="shared" si="5"/>
        <v>64307150_20260303_nf_46.pdf</v>
      </c>
      <c r="E356">
        <f>COUNTIF(Analise!U:U,Notas_sem_indexar!C356)</f>
        <v>1</v>
      </c>
      <c r="G356" t="str">
        <f>IF(F356&lt;&gt;"",VLOOKUP(F356,'Obras e Acervos'!$C:$D,2,0),"OK")</f>
        <v>OK</v>
      </c>
    </row>
    <row r="357" spans="1:7" x14ac:dyDescent="0.25">
      <c r="A357" t="s">
        <v>5668</v>
      </c>
      <c r="B357" s="1">
        <v>46084</v>
      </c>
      <c r="C357" t="s">
        <v>5685</v>
      </c>
      <c r="D357" s="36" t="str">
        <f t="shared" si="5"/>
        <v>VERIFICAR</v>
      </c>
      <c r="E357">
        <f>COUNTIF(Analise!U:U,Notas_sem_indexar!C357)</f>
        <v>0</v>
      </c>
      <c r="F357" s="35" t="s">
        <v>2422</v>
      </c>
      <c r="G357" t="str">
        <f>IF(F357&lt;&gt;"",VLOOKUP(F357,'Obras e Acervos'!$C:$D,2,0),"OK")</f>
        <v>EDITORA PINGO DE LUZ LTDA-LARISSA KOROVAEFF</v>
      </c>
    </row>
    <row r="358" spans="1:7" hidden="1" x14ac:dyDescent="0.25">
      <c r="A358" t="s">
        <v>5668</v>
      </c>
      <c r="B358" s="1">
        <v>46084</v>
      </c>
      <c r="C358" t="s">
        <v>5217</v>
      </c>
      <c r="D358" s="36" t="str">
        <f t="shared" si="5"/>
        <v>64307150_20260303_nf_48.pdf</v>
      </c>
      <c r="E358">
        <f>COUNTIF(Analise!U:U,Notas_sem_indexar!C358)</f>
        <v>1</v>
      </c>
      <c r="G358" t="str">
        <f>IF(F358&lt;&gt;"",VLOOKUP(F358,'Obras e Acervos'!$C:$D,2,0),"OK")</f>
        <v>OK</v>
      </c>
    </row>
    <row r="359" spans="1:7" x14ac:dyDescent="0.25">
      <c r="A359" t="s">
        <v>5668</v>
      </c>
      <c r="B359" s="1">
        <v>46084</v>
      </c>
      <c r="C359" t="s">
        <v>5686</v>
      </c>
      <c r="D359" s="36" t="str">
        <f t="shared" si="5"/>
        <v>VERIFICAR</v>
      </c>
      <c r="E359">
        <f>COUNTIF(Analise!U:U,Notas_sem_indexar!C359)</f>
        <v>0</v>
      </c>
      <c r="G359" t="s">
        <v>5781</v>
      </c>
    </row>
    <row r="360" spans="1:7" hidden="1" x14ac:dyDescent="0.25">
      <c r="A360" t="s">
        <v>5668</v>
      </c>
      <c r="B360" s="1">
        <v>46084</v>
      </c>
      <c r="C360" t="s">
        <v>5220</v>
      </c>
      <c r="D360" s="36" t="str">
        <f t="shared" si="5"/>
        <v>64307150_20260303_nf_50.pdf</v>
      </c>
      <c r="E360">
        <f>COUNTIF(Analise!U:U,Notas_sem_indexar!C360)</f>
        <v>1</v>
      </c>
      <c r="G360" t="str">
        <f>IF(F360&lt;&gt;"",VLOOKUP(F360,'Obras e Acervos'!$C:$D,2,0),"OK")</f>
        <v>OK</v>
      </c>
    </row>
    <row r="361" spans="1:7" x14ac:dyDescent="0.25">
      <c r="A361" t="s">
        <v>5668</v>
      </c>
      <c r="B361" s="1">
        <v>46084</v>
      </c>
      <c r="C361" t="s">
        <v>5687</v>
      </c>
      <c r="D361" s="36" t="str">
        <f t="shared" si="5"/>
        <v>VERIFICAR</v>
      </c>
      <c r="E361">
        <f>COUNTIF(Analise!U:U,Notas_sem_indexar!C361)</f>
        <v>0</v>
      </c>
      <c r="F361" s="35" t="s">
        <v>2574</v>
      </c>
      <c r="G361" t="str">
        <f>IF(F361&lt;&gt;"",VLOOKUP(F361,'Obras e Acervos'!$C:$D,2,0),"OK")</f>
        <v>EDITORA ESTRELA CULTURAL LTDA-EDITORA ESTRELA CULTURAL</v>
      </c>
    </row>
    <row r="362" spans="1:7" hidden="1" x14ac:dyDescent="0.25">
      <c r="A362" t="s">
        <v>5668</v>
      </c>
      <c r="B362" s="1">
        <v>46084</v>
      </c>
      <c r="C362" t="s">
        <v>5212</v>
      </c>
      <c r="D362" s="36" t="str">
        <f t="shared" si="5"/>
        <v>64307150_20260303_nf_52.pdf</v>
      </c>
      <c r="E362">
        <f>COUNTIF(Analise!U:U,Notas_sem_indexar!C362)</f>
        <v>1</v>
      </c>
      <c r="G362" t="str">
        <f>IF(F362&lt;&gt;"",VLOOKUP(F362,'Obras e Acervos'!$C:$D,2,0),"OK")</f>
        <v>OK</v>
      </c>
    </row>
    <row r="363" spans="1:7" hidden="1" x14ac:dyDescent="0.25">
      <c r="A363" t="s">
        <v>5668</v>
      </c>
      <c r="B363" s="1">
        <v>46084</v>
      </c>
      <c r="C363" t="s">
        <v>5219</v>
      </c>
      <c r="D363" s="36" t="str">
        <f t="shared" si="5"/>
        <v>64307150_20260303_nf_53.pdf</v>
      </c>
      <c r="E363">
        <f>COUNTIF(Analise!U:U,Notas_sem_indexar!C363)</f>
        <v>1</v>
      </c>
      <c r="G363" t="str">
        <f>IF(F363&lt;&gt;"",VLOOKUP(F363,'Obras e Acervos'!$C:$D,2,0),"OK")</f>
        <v>OK</v>
      </c>
    </row>
    <row r="364" spans="1:7" hidden="1" x14ac:dyDescent="0.25">
      <c r="A364" t="s">
        <v>5668</v>
      </c>
      <c r="B364" s="1">
        <v>46084</v>
      </c>
      <c r="C364" t="s">
        <v>5221</v>
      </c>
      <c r="D364" s="36" t="str">
        <f t="shared" si="5"/>
        <v>64307150_20260303_nf_54.pdf</v>
      </c>
      <c r="E364">
        <f>COUNTIF(Analise!U:U,Notas_sem_indexar!C364)</f>
        <v>1</v>
      </c>
      <c r="G364" t="str">
        <f>IF(F364&lt;&gt;"",VLOOKUP(F364,'Obras e Acervos'!$C:$D,2,0),"OK")</f>
        <v>OK</v>
      </c>
    </row>
    <row r="365" spans="1:7" hidden="1" x14ac:dyDescent="0.25">
      <c r="A365" t="s">
        <v>5668</v>
      </c>
      <c r="B365" s="1">
        <v>46084</v>
      </c>
      <c r="C365" t="s">
        <v>5214</v>
      </c>
      <c r="D365" s="36" t="str">
        <f t="shared" si="5"/>
        <v>64307150_20260303_nf_55.pdf</v>
      </c>
      <c r="E365">
        <f>COUNTIF(Analise!U:U,Notas_sem_indexar!C365)</f>
        <v>1</v>
      </c>
      <c r="G365" t="str">
        <f>IF(F365&lt;&gt;"",VLOOKUP(F365,'Obras e Acervos'!$C:$D,2,0),"OK")</f>
        <v>OK</v>
      </c>
    </row>
    <row r="366" spans="1:7" x14ac:dyDescent="0.25">
      <c r="A366" t="s">
        <v>5668</v>
      </c>
      <c r="B366" s="1">
        <v>46084</v>
      </c>
      <c r="C366" t="s">
        <v>5688</v>
      </c>
      <c r="D366" s="36" t="str">
        <f t="shared" si="5"/>
        <v>VERIFICAR</v>
      </c>
      <c r="E366">
        <f>COUNTIF(Analise!U:U,Notas_sem_indexar!C366)</f>
        <v>0</v>
      </c>
      <c r="G366" t="s">
        <v>5774</v>
      </c>
    </row>
    <row r="367" spans="1:7" hidden="1" x14ac:dyDescent="0.25">
      <c r="A367" t="s">
        <v>5668</v>
      </c>
      <c r="B367" s="1">
        <v>46084</v>
      </c>
      <c r="C367" t="s">
        <v>5204</v>
      </c>
      <c r="D367" s="36" t="str">
        <f t="shared" si="5"/>
        <v>64307150_20260303_nf_57.pdf</v>
      </c>
      <c r="E367">
        <f>COUNTIF(Analise!U:U,Notas_sem_indexar!C367)</f>
        <v>1</v>
      </c>
      <c r="G367" t="str">
        <f>IF(F367&lt;&gt;"",VLOOKUP(F367,'Obras e Acervos'!$C:$D,2,0),"OK")</f>
        <v>OK</v>
      </c>
    </row>
    <row r="368" spans="1:7" hidden="1" x14ac:dyDescent="0.25">
      <c r="A368" t="s">
        <v>5689</v>
      </c>
      <c r="B368" s="1">
        <v>46085</v>
      </c>
      <c r="C368" t="s">
        <v>5227</v>
      </c>
      <c r="D368" s="36" t="str">
        <f t="shared" si="5"/>
        <v>64307205_20260304_nf_01.pdf</v>
      </c>
      <c r="E368">
        <f>COUNTIF(Analise!U:U,Notas_sem_indexar!C368)</f>
        <v>1</v>
      </c>
      <c r="G368" t="str">
        <f>IF(F368&lt;&gt;"",VLOOKUP(F368,'Obras e Acervos'!$C:$D,2,0),"OK")</f>
        <v>OK</v>
      </c>
    </row>
    <row r="369" spans="1:7" hidden="1" x14ac:dyDescent="0.25">
      <c r="A369" t="s">
        <v>5689</v>
      </c>
      <c r="B369" s="1">
        <v>46085</v>
      </c>
      <c r="C369" t="s">
        <v>5224</v>
      </c>
      <c r="D369" s="36" t="str">
        <f t="shared" si="5"/>
        <v>64307205_20260304_nf_02.pdf</v>
      </c>
      <c r="E369">
        <f>COUNTIF(Analise!U:U,Notas_sem_indexar!C369)</f>
        <v>1</v>
      </c>
      <c r="G369" t="str">
        <f>IF(F369&lt;&gt;"",VLOOKUP(F369,'Obras e Acervos'!$C:$D,2,0),"OK")</f>
        <v>OK</v>
      </c>
    </row>
    <row r="370" spans="1:7" hidden="1" x14ac:dyDescent="0.25">
      <c r="A370" t="s">
        <v>5689</v>
      </c>
      <c r="B370" s="1">
        <v>46085</v>
      </c>
      <c r="C370" t="s">
        <v>5240</v>
      </c>
      <c r="D370" s="36" t="str">
        <f t="shared" si="5"/>
        <v>64307205_20260304_nf_03.pdf</v>
      </c>
      <c r="E370">
        <f>COUNTIF(Analise!U:U,Notas_sem_indexar!C370)</f>
        <v>1</v>
      </c>
      <c r="G370" t="str">
        <f>IF(F370&lt;&gt;"",VLOOKUP(F370,'Obras e Acervos'!$C:$D,2,0),"OK")</f>
        <v>OK</v>
      </c>
    </row>
    <row r="371" spans="1:7" x14ac:dyDescent="0.25">
      <c r="A371" t="s">
        <v>5689</v>
      </c>
      <c r="B371" s="1">
        <v>46085</v>
      </c>
      <c r="C371" t="s">
        <v>5690</v>
      </c>
      <c r="D371" s="36" t="str">
        <f t="shared" si="5"/>
        <v>VERIFICAR</v>
      </c>
      <c r="E371">
        <f>COUNTIF(Analise!U:U,Notas_sem_indexar!C371)</f>
        <v>0</v>
      </c>
      <c r="G371" t="s">
        <v>5774</v>
      </c>
    </row>
    <row r="372" spans="1:7" hidden="1" x14ac:dyDescent="0.25">
      <c r="A372" t="s">
        <v>5689</v>
      </c>
      <c r="B372" s="1">
        <v>46085</v>
      </c>
      <c r="C372" t="s">
        <v>5246</v>
      </c>
      <c r="D372" s="36" t="str">
        <f t="shared" si="5"/>
        <v>64307205_20260304_nf_05.pdf</v>
      </c>
      <c r="E372">
        <f>COUNTIF(Analise!U:U,Notas_sem_indexar!C372)</f>
        <v>1</v>
      </c>
      <c r="G372" t="str">
        <f>IF(F372&lt;&gt;"",VLOOKUP(F372,'Obras e Acervos'!$C:$D,2,0),"OK")</f>
        <v>OK</v>
      </c>
    </row>
    <row r="373" spans="1:7" hidden="1" x14ac:dyDescent="0.25">
      <c r="A373" t="s">
        <v>5689</v>
      </c>
      <c r="B373" s="1">
        <v>46085</v>
      </c>
      <c r="C373" t="s">
        <v>5254</v>
      </c>
      <c r="D373" s="36" t="str">
        <f t="shared" si="5"/>
        <v>64307205_20260304_nf_06.pdf</v>
      </c>
      <c r="E373">
        <f>COUNTIF(Analise!U:U,Notas_sem_indexar!C373)</f>
        <v>1</v>
      </c>
      <c r="G373" t="str">
        <f>IF(F373&lt;&gt;"",VLOOKUP(F373,'Obras e Acervos'!$C:$D,2,0),"OK")</f>
        <v>OK</v>
      </c>
    </row>
    <row r="374" spans="1:7" hidden="1" x14ac:dyDescent="0.25">
      <c r="A374" t="s">
        <v>5689</v>
      </c>
      <c r="B374" s="1">
        <v>46085</v>
      </c>
      <c r="C374" t="s">
        <v>5233</v>
      </c>
      <c r="D374" s="36" t="str">
        <f t="shared" si="5"/>
        <v>64307205_20260304_nf_07.pdf</v>
      </c>
      <c r="E374">
        <f>COUNTIF(Analise!U:U,Notas_sem_indexar!C374)</f>
        <v>1</v>
      </c>
      <c r="G374" t="str">
        <f>IF(F374&lt;&gt;"",VLOOKUP(F374,'Obras e Acervos'!$C:$D,2,0),"OK")</f>
        <v>OK</v>
      </c>
    </row>
    <row r="375" spans="1:7" hidden="1" x14ac:dyDescent="0.25">
      <c r="A375" t="s">
        <v>5689</v>
      </c>
      <c r="B375" s="1">
        <v>46085</v>
      </c>
      <c r="C375" t="s">
        <v>5235</v>
      </c>
      <c r="D375" s="36" t="str">
        <f t="shared" si="5"/>
        <v>64307205_20260304_nf_08.pdf</v>
      </c>
      <c r="E375">
        <f>COUNTIF(Analise!U:U,Notas_sem_indexar!C375)</f>
        <v>1</v>
      </c>
      <c r="G375" t="str">
        <f>IF(F375&lt;&gt;"",VLOOKUP(F375,'Obras e Acervos'!$C:$D,2,0),"OK")</f>
        <v>OK</v>
      </c>
    </row>
    <row r="376" spans="1:7" hidden="1" x14ac:dyDescent="0.25">
      <c r="A376" t="s">
        <v>5689</v>
      </c>
      <c r="B376" s="1">
        <v>46085</v>
      </c>
      <c r="C376" t="s">
        <v>5234</v>
      </c>
      <c r="D376" s="36" t="str">
        <f t="shared" si="5"/>
        <v>64307205_20260304_nf_09.pdf</v>
      </c>
      <c r="E376">
        <f>COUNTIF(Analise!U:U,Notas_sem_indexar!C376)</f>
        <v>1</v>
      </c>
      <c r="G376" t="str">
        <f>IF(F376&lt;&gt;"",VLOOKUP(F376,'Obras e Acervos'!$C:$D,2,0),"OK")</f>
        <v>OK</v>
      </c>
    </row>
    <row r="377" spans="1:7" hidden="1" x14ac:dyDescent="0.25">
      <c r="A377" t="s">
        <v>5689</v>
      </c>
      <c r="B377" s="1">
        <v>46085</v>
      </c>
      <c r="C377" t="s">
        <v>5238</v>
      </c>
      <c r="D377" s="36" t="str">
        <f t="shared" si="5"/>
        <v>64307205_20260304_nf_10.pdf</v>
      </c>
      <c r="E377">
        <f>COUNTIF(Analise!U:U,Notas_sem_indexar!C377)</f>
        <v>1</v>
      </c>
      <c r="G377" t="str">
        <f>IF(F377&lt;&gt;"",VLOOKUP(F377,'Obras e Acervos'!$C:$D,2,0),"OK")</f>
        <v>OK</v>
      </c>
    </row>
    <row r="378" spans="1:7" hidden="1" x14ac:dyDescent="0.25">
      <c r="A378" t="s">
        <v>5689</v>
      </c>
      <c r="B378" s="1">
        <v>46085</v>
      </c>
      <c r="C378" t="s">
        <v>5225</v>
      </c>
      <c r="D378" s="36" t="str">
        <f t="shared" si="5"/>
        <v>64307205_20260304_nf_11.pdf</v>
      </c>
      <c r="E378">
        <f>COUNTIF(Analise!U:U,Notas_sem_indexar!C378)</f>
        <v>1</v>
      </c>
      <c r="G378" t="str">
        <f>IF(F378&lt;&gt;"",VLOOKUP(F378,'Obras e Acervos'!$C:$D,2,0),"OK")</f>
        <v>OK</v>
      </c>
    </row>
    <row r="379" spans="1:7" hidden="1" x14ac:dyDescent="0.25">
      <c r="A379" t="s">
        <v>5689</v>
      </c>
      <c r="B379" s="1">
        <v>46085</v>
      </c>
      <c r="C379" t="s">
        <v>5230</v>
      </c>
      <c r="D379" s="36" t="str">
        <f t="shared" si="5"/>
        <v>64307205_20260304_nf_12.pdf</v>
      </c>
      <c r="E379">
        <f>COUNTIF(Analise!U:U,Notas_sem_indexar!C379)</f>
        <v>1</v>
      </c>
      <c r="G379" t="str">
        <f>IF(F379&lt;&gt;"",VLOOKUP(F379,'Obras e Acervos'!$C:$D,2,0),"OK")</f>
        <v>OK</v>
      </c>
    </row>
    <row r="380" spans="1:7" hidden="1" x14ac:dyDescent="0.25">
      <c r="A380" t="s">
        <v>5689</v>
      </c>
      <c r="B380" s="1">
        <v>46085</v>
      </c>
      <c r="C380" t="s">
        <v>5226</v>
      </c>
      <c r="D380" s="36" t="str">
        <f t="shared" si="5"/>
        <v>64307205_20260304_nf_13.pdf</v>
      </c>
      <c r="E380">
        <f>COUNTIF(Analise!U:U,Notas_sem_indexar!C380)</f>
        <v>1</v>
      </c>
      <c r="G380" t="str">
        <f>IF(F380&lt;&gt;"",VLOOKUP(F380,'Obras e Acervos'!$C:$D,2,0),"OK")</f>
        <v>OK</v>
      </c>
    </row>
    <row r="381" spans="1:7" hidden="1" x14ac:dyDescent="0.25">
      <c r="A381" t="s">
        <v>5689</v>
      </c>
      <c r="B381" s="1">
        <v>46085</v>
      </c>
      <c r="C381" t="s">
        <v>5228</v>
      </c>
      <c r="D381" s="36" t="str">
        <f t="shared" si="5"/>
        <v>64307205_20260304_nf_14.pdf</v>
      </c>
      <c r="E381">
        <f>COUNTIF(Analise!U:U,Notas_sem_indexar!C381)</f>
        <v>1</v>
      </c>
      <c r="G381" t="str">
        <f>IF(F381&lt;&gt;"",VLOOKUP(F381,'Obras e Acervos'!$C:$D,2,0),"OK")</f>
        <v>OK</v>
      </c>
    </row>
    <row r="382" spans="1:7" hidden="1" x14ac:dyDescent="0.25">
      <c r="A382" t="s">
        <v>5689</v>
      </c>
      <c r="B382" s="1">
        <v>46085</v>
      </c>
      <c r="C382" t="s">
        <v>5237</v>
      </c>
      <c r="D382" s="36" t="str">
        <f t="shared" si="5"/>
        <v>64307205_20260304_nf_15.pdf</v>
      </c>
      <c r="E382">
        <f>COUNTIF(Analise!U:U,Notas_sem_indexar!C382)</f>
        <v>1</v>
      </c>
      <c r="G382" t="str">
        <f>IF(F382&lt;&gt;"",VLOOKUP(F382,'Obras e Acervos'!$C:$D,2,0),"OK")</f>
        <v>OK</v>
      </c>
    </row>
    <row r="383" spans="1:7" hidden="1" x14ac:dyDescent="0.25">
      <c r="A383" t="s">
        <v>5689</v>
      </c>
      <c r="B383" s="1">
        <v>46085</v>
      </c>
      <c r="C383" t="s">
        <v>5252</v>
      </c>
      <c r="D383" s="36" t="str">
        <f t="shared" si="5"/>
        <v>64307205_20260304_nf_16.pdf</v>
      </c>
      <c r="E383">
        <f>COUNTIF(Analise!U:U,Notas_sem_indexar!C383)</f>
        <v>1</v>
      </c>
      <c r="G383" t="str">
        <f>IF(F383&lt;&gt;"",VLOOKUP(F383,'Obras e Acervos'!$C:$D,2,0),"OK")</f>
        <v>OK</v>
      </c>
    </row>
    <row r="384" spans="1:7" hidden="1" x14ac:dyDescent="0.25">
      <c r="A384" t="s">
        <v>5689</v>
      </c>
      <c r="B384" s="1">
        <v>46085</v>
      </c>
      <c r="C384" t="s">
        <v>5244</v>
      </c>
      <c r="D384" s="36" t="str">
        <f t="shared" si="5"/>
        <v>64307205_20260304_nf_17.pdf</v>
      </c>
      <c r="E384">
        <f>COUNTIF(Analise!U:U,Notas_sem_indexar!C384)</f>
        <v>1</v>
      </c>
      <c r="G384" t="str">
        <f>IF(F384&lt;&gt;"",VLOOKUP(F384,'Obras e Acervos'!$C:$D,2,0),"OK")</f>
        <v>OK</v>
      </c>
    </row>
    <row r="385" spans="1:7" hidden="1" x14ac:dyDescent="0.25">
      <c r="A385" t="s">
        <v>5689</v>
      </c>
      <c r="B385" s="1">
        <v>46085</v>
      </c>
      <c r="C385" t="s">
        <v>5257</v>
      </c>
      <c r="D385" s="36" t="str">
        <f t="shared" si="5"/>
        <v>64307205_20260304_nf_18.pdf</v>
      </c>
      <c r="E385">
        <f>COUNTIF(Analise!U:U,Notas_sem_indexar!C385)</f>
        <v>1</v>
      </c>
      <c r="G385" t="str">
        <f>IF(F385&lt;&gt;"",VLOOKUP(F385,'Obras e Acervos'!$C:$D,2,0),"OK")</f>
        <v>OK</v>
      </c>
    </row>
    <row r="386" spans="1:7" hidden="1" x14ac:dyDescent="0.25">
      <c r="A386" t="s">
        <v>5689</v>
      </c>
      <c r="B386" s="1">
        <v>46085</v>
      </c>
      <c r="C386" t="s">
        <v>5241</v>
      </c>
      <c r="D386" s="36" t="str">
        <f t="shared" si="5"/>
        <v>64307205_20260304_nf_19.pdf</v>
      </c>
      <c r="E386">
        <f>COUNTIF(Analise!U:U,Notas_sem_indexar!C386)</f>
        <v>1</v>
      </c>
      <c r="G386" t="str">
        <f>IF(F386&lt;&gt;"",VLOOKUP(F386,'Obras e Acervos'!$C:$D,2,0),"OK")</f>
        <v>OK</v>
      </c>
    </row>
    <row r="387" spans="1:7" x14ac:dyDescent="0.25">
      <c r="A387" t="s">
        <v>5689</v>
      </c>
      <c r="B387" s="1">
        <v>46085</v>
      </c>
      <c r="C387" t="s">
        <v>5691</v>
      </c>
      <c r="D387" s="36" t="str">
        <f t="shared" ref="D387:D450" si="6">IF(E387=0,HYPERLINK(CONCATENATE("saida/",C387),"VERIFICAR"),HYPERLINK(CONCATENATE("saida/",C387),C387))</f>
        <v>VERIFICAR</v>
      </c>
      <c r="E387">
        <f>COUNTIF(Analise!U:U,Notas_sem_indexar!C387)</f>
        <v>0</v>
      </c>
      <c r="F387" s="35" t="s">
        <v>1766</v>
      </c>
      <c r="G387" t="str">
        <f>IF(F387&lt;&gt;"",VLOOKUP(F387,'Obras e Acervos'!$C:$D,2,0),"OK")</f>
        <v>EDITORA BAOBA LTDA-EDITORA BAOBÁ</v>
      </c>
    </row>
    <row r="388" spans="1:7" hidden="1" x14ac:dyDescent="0.25">
      <c r="A388" t="s">
        <v>5689</v>
      </c>
      <c r="B388" s="1">
        <v>46085</v>
      </c>
      <c r="C388" t="s">
        <v>5243</v>
      </c>
      <c r="D388" s="36" t="str">
        <f t="shared" si="6"/>
        <v>64307205_20260304_nf_21.pdf</v>
      </c>
      <c r="E388">
        <f>COUNTIF(Analise!U:U,Notas_sem_indexar!C388)</f>
        <v>1</v>
      </c>
      <c r="G388" t="str">
        <f>IF(F388&lt;&gt;"",VLOOKUP(F388,'Obras e Acervos'!$C:$D,2,0),"OK")</f>
        <v>OK</v>
      </c>
    </row>
    <row r="389" spans="1:7" hidden="1" x14ac:dyDescent="0.25">
      <c r="A389" t="s">
        <v>5689</v>
      </c>
      <c r="B389" s="1">
        <v>46085</v>
      </c>
      <c r="C389" t="s">
        <v>5250</v>
      </c>
      <c r="D389" s="36" t="str">
        <f t="shared" si="6"/>
        <v>64307205_20260304_nf_22.pdf</v>
      </c>
      <c r="E389">
        <f>COUNTIF(Analise!U:U,Notas_sem_indexar!C389)</f>
        <v>1</v>
      </c>
      <c r="G389" t="str">
        <f>IF(F389&lt;&gt;"",VLOOKUP(F389,'Obras e Acervos'!$C:$D,2,0),"OK")</f>
        <v>OK</v>
      </c>
    </row>
    <row r="390" spans="1:7" x14ac:dyDescent="0.25">
      <c r="A390" t="s">
        <v>5689</v>
      </c>
      <c r="B390" s="1">
        <v>46085</v>
      </c>
      <c r="C390" t="s">
        <v>5692</v>
      </c>
      <c r="D390" s="36" t="str">
        <f t="shared" si="6"/>
        <v>VERIFICAR</v>
      </c>
      <c r="E390">
        <f>COUNTIF(Analise!U:U,Notas_sem_indexar!C390)</f>
        <v>0</v>
      </c>
      <c r="F390" s="35" t="s">
        <v>2367</v>
      </c>
      <c r="G390" t="str">
        <f>IF(F390&lt;&gt;"",VLOOKUP(F390,'Obras e Acervos'!$C:$D,2,0),"OK")</f>
        <v>BOOK EDITORA E DISTRIBUIDORA DE LIVROS LTDA.-BOOK EDITORA E DISTRIBUIDORA DE LIVROS LTDA.</v>
      </c>
    </row>
    <row r="391" spans="1:7" hidden="1" x14ac:dyDescent="0.25">
      <c r="A391" t="s">
        <v>5689</v>
      </c>
      <c r="B391" s="1">
        <v>46085</v>
      </c>
      <c r="C391" t="s">
        <v>5232</v>
      </c>
      <c r="D391" s="36" t="str">
        <f t="shared" si="6"/>
        <v>64307205_20260304_nf_24.pdf</v>
      </c>
      <c r="E391">
        <f>COUNTIF(Analise!U:U,Notas_sem_indexar!C391)</f>
        <v>1</v>
      </c>
      <c r="G391" t="str">
        <f>IF(F391&lt;&gt;"",VLOOKUP(F391,'Obras e Acervos'!$C:$D,2,0),"OK")</f>
        <v>OK</v>
      </c>
    </row>
    <row r="392" spans="1:7" x14ac:dyDescent="0.25">
      <c r="A392" t="s">
        <v>5689</v>
      </c>
      <c r="B392" s="1">
        <v>46085</v>
      </c>
      <c r="C392" t="s">
        <v>5693</v>
      </c>
      <c r="D392" s="36" t="str">
        <f t="shared" si="6"/>
        <v>VERIFICAR</v>
      </c>
      <c r="E392">
        <f>COUNTIF(Analise!U:U,Notas_sem_indexar!C392)</f>
        <v>0</v>
      </c>
      <c r="F392" s="35" t="s">
        <v>3831</v>
      </c>
      <c r="G392" t="str">
        <f>IF(F392&lt;&gt;"",VLOOKUP(F392,'Obras e Acervos'!$C:$D,2,0),"OK")</f>
        <v>CONFETE EDITORIAL LTDA-CONFETE</v>
      </c>
    </row>
    <row r="393" spans="1:7" hidden="1" x14ac:dyDescent="0.25">
      <c r="A393" t="s">
        <v>5689</v>
      </c>
      <c r="B393" s="1">
        <v>46085</v>
      </c>
      <c r="C393" t="s">
        <v>5248</v>
      </c>
      <c r="D393" s="36" t="str">
        <f t="shared" si="6"/>
        <v>64307205_20260304_nf_26.pdf</v>
      </c>
      <c r="E393">
        <f>COUNTIF(Analise!U:U,Notas_sem_indexar!C393)</f>
        <v>1</v>
      </c>
      <c r="G393" t="str">
        <f>IF(F393&lt;&gt;"",VLOOKUP(F393,'Obras e Acervos'!$C:$D,2,0),"OK")</f>
        <v>OK</v>
      </c>
    </row>
    <row r="394" spans="1:7" hidden="1" x14ac:dyDescent="0.25">
      <c r="A394" t="s">
        <v>5689</v>
      </c>
      <c r="B394" s="1">
        <v>46085</v>
      </c>
      <c r="C394" t="s">
        <v>5236</v>
      </c>
      <c r="D394" s="36" t="str">
        <f t="shared" si="6"/>
        <v>64307205_20260304_nf_27.pdf</v>
      </c>
      <c r="E394">
        <f>COUNTIF(Analise!U:U,Notas_sem_indexar!C394)</f>
        <v>1</v>
      </c>
      <c r="G394" t="str">
        <f>IF(F394&lt;&gt;"",VLOOKUP(F394,'Obras e Acervos'!$C:$D,2,0),"OK")</f>
        <v>OK</v>
      </c>
    </row>
    <row r="395" spans="1:7" hidden="1" x14ac:dyDescent="0.25">
      <c r="A395" t="s">
        <v>5689</v>
      </c>
      <c r="B395" s="1">
        <v>46085</v>
      </c>
      <c r="C395" t="s">
        <v>5255</v>
      </c>
      <c r="D395" s="36" t="str">
        <f t="shared" si="6"/>
        <v>64307205_20260304_nf_28.pdf</v>
      </c>
      <c r="E395">
        <f>COUNTIF(Analise!U:U,Notas_sem_indexar!C395)</f>
        <v>1</v>
      </c>
      <c r="G395" t="str">
        <f>IF(F395&lt;&gt;"",VLOOKUP(F395,'Obras e Acervos'!$C:$D,2,0),"OK")</f>
        <v>OK</v>
      </c>
    </row>
    <row r="396" spans="1:7" hidden="1" x14ac:dyDescent="0.25">
      <c r="A396" t="s">
        <v>5689</v>
      </c>
      <c r="B396" s="1">
        <v>46085</v>
      </c>
      <c r="C396" t="s">
        <v>5258</v>
      </c>
      <c r="D396" s="36" t="str">
        <f t="shared" si="6"/>
        <v>64307205_20260304_nf_29.pdf</v>
      </c>
      <c r="E396">
        <f>COUNTIF(Analise!U:U,Notas_sem_indexar!C396)</f>
        <v>1</v>
      </c>
      <c r="G396" t="str">
        <f>IF(F396&lt;&gt;"",VLOOKUP(F396,'Obras e Acervos'!$C:$D,2,0),"OK")</f>
        <v>OK</v>
      </c>
    </row>
    <row r="397" spans="1:7" x14ac:dyDescent="0.25">
      <c r="A397" t="s">
        <v>5689</v>
      </c>
      <c r="B397" s="1">
        <v>46085</v>
      </c>
      <c r="C397" t="s">
        <v>5694</v>
      </c>
      <c r="D397" s="36" t="str">
        <f t="shared" si="6"/>
        <v>VERIFICAR</v>
      </c>
      <c r="E397">
        <f>COUNTIF(Analise!U:U,Notas_sem_indexar!C397)</f>
        <v>0</v>
      </c>
      <c r="F397" s="35" t="s">
        <v>2761</v>
      </c>
      <c r="G397" t="str">
        <f>IF(F397&lt;&gt;"",VLOOKUP(F397,'Obras e Acervos'!$C:$D,2,0),"OK")</f>
        <v>FLUIDEZ EDITORA LTDA-FLUIDEZ EDITORA</v>
      </c>
    </row>
    <row r="398" spans="1:7" hidden="1" x14ac:dyDescent="0.25">
      <c r="A398" t="s">
        <v>5689</v>
      </c>
      <c r="B398" s="1">
        <v>46085</v>
      </c>
      <c r="C398" t="s">
        <v>5247</v>
      </c>
      <c r="D398" s="36" t="str">
        <f t="shared" si="6"/>
        <v>64307205_20260304_nf_31.pdf</v>
      </c>
      <c r="E398">
        <f>COUNTIF(Analise!U:U,Notas_sem_indexar!C398)</f>
        <v>1</v>
      </c>
      <c r="G398" t="str">
        <f>IF(F398&lt;&gt;"",VLOOKUP(F398,'Obras e Acervos'!$C:$D,2,0),"OK")</f>
        <v>OK</v>
      </c>
    </row>
    <row r="399" spans="1:7" hidden="1" x14ac:dyDescent="0.25">
      <c r="A399" t="s">
        <v>5689</v>
      </c>
      <c r="B399" s="1">
        <v>46085</v>
      </c>
      <c r="C399" t="s">
        <v>5239</v>
      </c>
      <c r="D399" s="36" t="str">
        <f t="shared" si="6"/>
        <v>64307205_20260304_nf_32.pdf</v>
      </c>
      <c r="E399">
        <f>COUNTIF(Analise!U:U,Notas_sem_indexar!C399)</f>
        <v>1</v>
      </c>
      <c r="G399" t="str">
        <f>IF(F399&lt;&gt;"",VLOOKUP(F399,'Obras e Acervos'!$C:$D,2,0),"OK")</f>
        <v>OK</v>
      </c>
    </row>
    <row r="400" spans="1:7" hidden="1" x14ac:dyDescent="0.25">
      <c r="A400" t="s">
        <v>5689</v>
      </c>
      <c r="B400" s="1">
        <v>46085</v>
      </c>
      <c r="C400" t="s">
        <v>5249</v>
      </c>
      <c r="D400" s="36" t="str">
        <f t="shared" si="6"/>
        <v>64307205_20260304_nf_33.pdf</v>
      </c>
      <c r="E400">
        <f>COUNTIF(Analise!U:U,Notas_sem_indexar!C400)</f>
        <v>1</v>
      </c>
      <c r="G400" t="str">
        <f>IF(F400&lt;&gt;"",VLOOKUP(F400,'Obras e Acervos'!$C:$D,2,0),"OK")</f>
        <v>OK</v>
      </c>
    </row>
    <row r="401" spans="1:7" hidden="1" x14ac:dyDescent="0.25">
      <c r="A401" t="s">
        <v>5689</v>
      </c>
      <c r="B401" s="1">
        <v>46085</v>
      </c>
      <c r="C401" t="s">
        <v>5242</v>
      </c>
      <c r="D401" s="36" t="str">
        <f t="shared" si="6"/>
        <v>64307205_20260304_nf_34.pdf</v>
      </c>
      <c r="E401">
        <f>COUNTIF(Analise!U:U,Notas_sem_indexar!C401)</f>
        <v>1</v>
      </c>
      <c r="G401" t="str">
        <f>IF(F401&lt;&gt;"",VLOOKUP(F401,'Obras e Acervos'!$C:$D,2,0),"OK")</f>
        <v>OK</v>
      </c>
    </row>
    <row r="402" spans="1:7" hidden="1" x14ac:dyDescent="0.25">
      <c r="A402" t="s">
        <v>5689</v>
      </c>
      <c r="B402" s="1">
        <v>46085</v>
      </c>
      <c r="C402" t="s">
        <v>5263</v>
      </c>
      <c r="D402" s="36" t="str">
        <f t="shared" si="6"/>
        <v>64307205_20260304_nf_35.pdf</v>
      </c>
      <c r="E402">
        <f>COUNTIF(Analise!U:U,Notas_sem_indexar!C402)</f>
        <v>1</v>
      </c>
      <c r="G402" t="str">
        <f>IF(F402&lt;&gt;"",VLOOKUP(F402,'Obras e Acervos'!$C:$D,2,0),"OK")</f>
        <v>OK</v>
      </c>
    </row>
    <row r="403" spans="1:7" hidden="1" x14ac:dyDescent="0.25">
      <c r="A403" t="s">
        <v>5689</v>
      </c>
      <c r="B403" s="1">
        <v>46085</v>
      </c>
      <c r="C403" t="s">
        <v>5245</v>
      </c>
      <c r="D403" s="36" t="str">
        <f t="shared" si="6"/>
        <v>64307205_20260304_nf_36.pdf</v>
      </c>
      <c r="E403">
        <f>COUNTIF(Analise!U:U,Notas_sem_indexar!C403)</f>
        <v>1</v>
      </c>
      <c r="G403" t="str">
        <f>IF(F403&lt;&gt;"",VLOOKUP(F403,'Obras e Acervos'!$C:$D,2,0),"OK")</f>
        <v>OK</v>
      </c>
    </row>
    <row r="404" spans="1:7" hidden="1" x14ac:dyDescent="0.25">
      <c r="A404" t="s">
        <v>5689</v>
      </c>
      <c r="B404" s="1">
        <v>46085</v>
      </c>
      <c r="C404" t="s">
        <v>5261</v>
      </c>
      <c r="D404" s="36" t="str">
        <f t="shared" si="6"/>
        <v>64307205_20260304_nf_37.pdf</v>
      </c>
      <c r="E404">
        <f>COUNTIF(Analise!U:U,Notas_sem_indexar!C404)</f>
        <v>1</v>
      </c>
      <c r="G404" t="str">
        <f>IF(F404&lt;&gt;"",VLOOKUP(F404,'Obras e Acervos'!$C:$D,2,0),"OK")</f>
        <v>OK</v>
      </c>
    </row>
    <row r="405" spans="1:7" x14ac:dyDescent="0.25">
      <c r="A405" t="s">
        <v>5689</v>
      </c>
      <c r="B405" s="1">
        <v>46085</v>
      </c>
      <c r="C405" t="s">
        <v>5695</v>
      </c>
      <c r="D405" s="36" t="str">
        <f t="shared" si="6"/>
        <v>VERIFICAR</v>
      </c>
      <c r="E405">
        <f>COUNTIF(Analise!U:U,Notas_sem_indexar!C405)</f>
        <v>0</v>
      </c>
      <c r="F405" s="35" t="s">
        <v>2566</v>
      </c>
      <c r="G405" t="str">
        <f>IF(F405&lt;&gt;"",VLOOKUP(F405,'Obras e Acervos'!$C:$D,2,0),"OK")</f>
        <v>EDITORA BRASILEIRINHO LTDA-EDITORA BRASILEIRINHO</v>
      </c>
    </row>
    <row r="406" spans="1:7" hidden="1" x14ac:dyDescent="0.25">
      <c r="A406" t="s">
        <v>5689</v>
      </c>
      <c r="B406" s="1">
        <v>46085</v>
      </c>
      <c r="C406" t="s">
        <v>5256</v>
      </c>
      <c r="D406" s="36" t="str">
        <f t="shared" si="6"/>
        <v>64307205_20260304_nf_39.pdf</v>
      </c>
      <c r="E406">
        <f>COUNTIF(Analise!U:U,Notas_sem_indexar!C406)</f>
        <v>1</v>
      </c>
      <c r="G406" t="str">
        <f>IF(F406&lt;&gt;"",VLOOKUP(F406,'Obras e Acervos'!$C:$D,2,0),"OK")</f>
        <v>OK</v>
      </c>
    </row>
    <row r="407" spans="1:7" hidden="1" x14ac:dyDescent="0.25">
      <c r="A407" t="s">
        <v>5689</v>
      </c>
      <c r="B407" s="1">
        <v>46085</v>
      </c>
      <c r="C407" t="s">
        <v>5262</v>
      </c>
      <c r="D407" s="36" t="str">
        <f t="shared" si="6"/>
        <v>64307205_20260304_nf_40.pdf</v>
      </c>
      <c r="E407">
        <f>COUNTIF(Analise!U:U,Notas_sem_indexar!C407)</f>
        <v>1</v>
      </c>
      <c r="G407" t="str">
        <f>IF(F407&lt;&gt;"",VLOOKUP(F407,'Obras e Acervos'!$C:$D,2,0),"OK")</f>
        <v>OK</v>
      </c>
    </row>
    <row r="408" spans="1:7" x14ac:dyDescent="0.25">
      <c r="A408" t="s">
        <v>5689</v>
      </c>
      <c r="B408" s="1">
        <v>46085</v>
      </c>
      <c r="C408" t="s">
        <v>5696</v>
      </c>
      <c r="D408" s="36" t="str">
        <f t="shared" si="6"/>
        <v>VERIFICAR</v>
      </c>
      <c r="E408">
        <f>COUNTIF(Analise!U:U,Notas_sem_indexar!C408)</f>
        <v>0</v>
      </c>
      <c r="F408" s="35" t="s">
        <v>2359</v>
      </c>
      <c r="G408" t="str">
        <f>IF(F408&lt;&gt;"",VLOOKUP(F408,'Obras e Acervos'!$C:$D,2,0),"OK")</f>
        <v>BAMBOLE EDITORA E LIVRARIA LTDA-EDITORAS BAMBOLE &amp; ELIPSE</v>
      </c>
    </row>
    <row r="409" spans="1:7" hidden="1" x14ac:dyDescent="0.25">
      <c r="A409" t="s">
        <v>5689</v>
      </c>
      <c r="B409" s="1">
        <v>46085</v>
      </c>
      <c r="C409" t="s">
        <v>5259</v>
      </c>
      <c r="D409" s="36" t="str">
        <f t="shared" si="6"/>
        <v>64307205_20260304_nf_42.pdf</v>
      </c>
      <c r="E409">
        <f>COUNTIF(Analise!U:U,Notas_sem_indexar!C409)</f>
        <v>1</v>
      </c>
      <c r="G409" t="str">
        <f>IF(F409&lt;&gt;"",VLOOKUP(F409,'Obras e Acervos'!$C:$D,2,0),"OK")</f>
        <v>OK</v>
      </c>
    </row>
    <row r="410" spans="1:7" x14ac:dyDescent="0.25">
      <c r="A410" t="s">
        <v>5689</v>
      </c>
      <c r="B410" s="1">
        <v>46085</v>
      </c>
      <c r="C410" t="s">
        <v>5697</v>
      </c>
      <c r="D410" s="36" t="str">
        <f t="shared" si="6"/>
        <v>VERIFICAR</v>
      </c>
      <c r="E410">
        <f>COUNTIF(Analise!U:U,Notas_sem_indexar!C410)</f>
        <v>0</v>
      </c>
      <c r="F410" s="35" t="s">
        <v>1650</v>
      </c>
      <c r="G410" t="str">
        <f>IF(F410&lt;&gt;"",VLOOKUP(F410,'Obras e Acervos'!$C:$D,2,0),"OK")</f>
        <v>FERNANDES &amp; WARTH EDITORA E DISTRIBUIDORA LTDA.-PALLAS MÍNI</v>
      </c>
    </row>
    <row r="411" spans="1:7" hidden="1" x14ac:dyDescent="0.25">
      <c r="A411" t="s">
        <v>5689</v>
      </c>
      <c r="B411" s="1">
        <v>46085</v>
      </c>
      <c r="C411" t="s">
        <v>5229</v>
      </c>
      <c r="D411" s="36" t="str">
        <f t="shared" si="6"/>
        <v>64307205_20260304_nf_44.pdf</v>
      </c>
      <c r="E411">
        <f>COUNTIF(Analise!U:U,Notas_sem_indexar!C411)</f>
        <v>1</v>
      </c>
      <c r="G411" t="str">
        <f>IF(F411&lt;&gt;"",VLOOKUP(F411,'Obras e Acervos'!$C:$D,2,0),"OK")</f>
        <v>OK</v>
      </c>
    </row>
    <row r="412" spans="1:7" x14ac:dyDescent="0.25">
      <c r="A412" t="s">
        <v>5689</v>
      </c>
      <c r="B412" s="1">
        <v>46085</v>
      </c>
      <c r="C412" t="s">
        <v>5698</v>
      </c>
      <c r="D412" s="36" t="str">
        <f t="shared" si="6"/>
        <v>VERIFICAR</v>
      </c>
      <c r="E412">
        <f>COUNTIF(Analise!U:U,Notas_sem_indexar!C412)</f>
        <v>0</v>
      </c>
      <c r="F412" s="35" t="s">
        <v>1890</v>
      </c>
      <c r="G412" t="str">
        <f>IF(F412&lt;&gt;"",VLOOKUP(F412,'Obras e Acervos'!$C:$D,2,0),"OK")</f>
        <v>AV EDIÇÕES E SERVIÇOS EIRELI-BADABUM</v>
      </c>
    </row>
    <row r="413" spans="1:7" hidden="1" x14ac:dyDescent="0.25">
      <c r="A413" t="s">
        <v>5689</v>
      </c>
      <c r="B413" s="1">
        <v>46085</v>
      </c>
      <c r="C413" t="s">
        <v>5260</v>
      </c>
      <c r="D413" s="36" t="str">
        <f t="shared" si="6"/>
        <v>64307205_20260304_nf_46.pdf</v>
      </c>
      <c r="E413">
        <f>COUNTIF(Analise!U:U,Notas_sem_indexar!C413)</f>
        <v>1</v>
      </c>
      <c r="G413" t="str">
        <f>IF(F413&lt;&gt;"",VLOOKUP(F413,'Obras e Acervos'!$C:$D,2,0),"OK")</f>
        <v>OK</v>
      </c>
    </row>
    <row r="414" spans="1:7" x14ac:dyDescent="0.25">
      <c r="A414" t="s">
        <v>5689</v>
      </c>
      <c r="B414" s="1">
        <v>46085</v>
      </c>
      <c r="C414" t="s">
        <v>5699</v>
      </c>
      <c r="D414" s="36" t="str">
        <f t="shared" si="6"/>
        <v>VERIFICAR</v>
      </c>
      <c r="E414">
        <f>COUNTIF(Analise!U:U,Notas_sem_indexar!C414)</f>
        <v>0</v>
      </c>
      <c r="G414" t="s">
        <v>5774</v>
      </c>
    </row>
    <row r="415" spans="1:7" x14ac:dyDescent="0.25">
      <c r="A415" t="s">
        <v>5689</v>
      </c>
      <c r="B415" s="1">
        <v>46085</v>
      </c>
      <c r="C415" t="s">
        <v>5700</v>
      </c>
      <c r="D415" s="36" t="str">
        <f t="shared" si="6"/>
        <v>VERIFICAR</v>
      </c>
      <c r="E415">
        <f>COUNTIF(Analise!U:U,Notas_sem_indexar!C415)</f>
        <v>0</v>
      </c>
      <c r="G415" t="s">
        <v>5774</v>
      </c>
    </row>
    <row r="416" spans="1:7" hidden="1" x14ac:dyDescent="0.25">
      <c r="A416" t="s">
        <v>5689</v>
      </c>
      <c r="B416" s="1">
        <v>46085</v>
      </c>
      <c r="C416" t="s">
        <v>5231</v>
      </c>
      <c r="D416" s="36" t="str">
        <f t="shared" si="6"/>
        <v>64307205_20260304_nf_49.pdf</v>
      </c>
      <c r="E416">
        <f>COUNTIF(Analise!U:U,Notas_sem_indexar!C416)</f>
        <v>1</v>
      </c>
      <c r="G416" t="str">
        <f>IF(F416&lt;&gt;"",VLOOKUP(F416,'Obras e Acervos'!$C:$D,2,0),"OK")</f>
        <v>OK</v>
      </c>
    </row>
    <row r="417" spans="1:7" x14ac:dyDescent="0.25">
      <c r="A417" t="s">
        <v>5689</v>
      </c>
      <c r="B417" s="1">
        <v>46085</v>
      </c>
      <c r="C417" t="s">
        <v>5701</v>
      </c>
      <c r="D417" s="36" t="str">
        <f t="shared" si="6"/>
        <v>VERIFICAR</v>
      </c>
      <c r="E417">
        <f>COUNTIF(Analise!U:U,Notas_sem_indexar!C417)</f>
        <v>0</v>
      </c>
      <c r="G417" t="s">
        <v>5782</v>
      </c>
    </row>
    <row r="418" spans="1:7" hidden="1" x14ac:dyDescent="0.25">
      <c r="A418" t="s">
        <v>5689</v>
      </c>
      <c r="B418" s="1">
        <v>46085</v>
      </c>
      <c r="C418" t="s">
        <v>5253</v>
      </c>
      <c r="D418" s="36" t="str">
        <f t="shared" si="6"/>
        <v>64307205_20260304_nf_51.pdf</v>
      </c>
      <c r="E418">
        <f>COUNTIF(Analise!U:U,Notas_sem_indexar!C418)</f>
        <v>1</v>
      </c>
      <c r="G418" t="str">
        <f>IF(F418&lt;&gt;"",VLOOKUP(F418,'Obras e Acervos'!$C:$D,2,0),"OK")</f>
        <v>OK</v>
      </c>
    </row>
    <row r="419" spans="1:7" hidden="1" x14ac:dyDescent="0.25">
      <c r="A419" t="s">
        <v>5689</v>
      </c>
      <c r="B419" s="1">
        <v>46085</v>
      </c>
      <c r="C419" t="s">
        <v>5264</v>
      </c>
      <c r="D419" s="36" t="str">
        <f t="shared" si="6"/>
        <v>64307205_20260304_nf_52.pdf</v>
      </c>
      <c r="E419">
        <f>COUNTIF(Analise!U:U,Notas_sem_indexar!C419)</f>
        <v>2</v>
      </c>
      <c r="G419" t="str">
        <f>IF(F419&lt;&gt;"",VLOOKUP(F419,'Obras e Acervos'!$C:$D,2,0),"OK")</f>
        <v>OK</v>
      </c>
    </row>
    <row r="420" spans="1:7" hidden="1" x14ac:dyDescent="0.25">
      <c r="A420" t="s">
        <v>5689</v>
      </c>
      <c r="B420" s="1">
        <v>46085</v>
      </c>
      <c r="C420" t="s">
        <v>5251</v>
      </c>
      <c r="D420" s="36" t="str">
        <f t="shared" si="6"/>
        <v>64307205_20260304_nf_53.pdf</v>
      </c>
      <c r="E420">
        <f>COUNTIF(Analise!U:U,Notas_sem_indexar!C420)</f>
        <v>1</v>
      </c>
      <c r="G420" t="str">
        <f>IF(F420&lt;&gt;"",VLOOKUP(F420,'Obras e Acervos'!$C:$D,2,0),"OK")</f>
        <v>OK</v>
      </c>
    </row>
    <row r="421" spans="1:7" hidden="1" x14ac:dyDescent="0.25">
      <c r="A421" t="s">
        <v>5689</v>
      </c>
      <c r="B421" s="1">
        <v>46085</v>
      </c>
      <c r="C421" t="s">
        <v>5223</v>
      </c>
      <c r="D421" s="36" t="str">
        <f t="shared" si="6"/>
        <v>64307205_20260304_nf_54.pdf</v>
      </c>
      <c r="E421">
        <f>COUNTIF(Analise!U:U,Notas_sem_indexar!C421)</f>
        <v>1</v>
      </c>
      <c r="G421" t="str">
        <f>IF(F421&lt;&gt;"",VLOOKUP(F421,'Obras e Acervos'!$C:$D,2,0),"OK")</f>
        <v>OK</v>
      </c>
    </row>
    <row r="422" spans="1:7" hidden="1" x14ac:dyDescent="0.25">
      <c r="A422" t="s">
        <v>5689</v>
      </c>
      <c r="B422" s="1">
        <v>46086</v>
      </c>
      <c r="C422" t="s">
        <v>5265</v>
      </c>
      <c r="D422" s="36" t="str">
        <f t="shared" si="6"/>
        <v>64307205_20260305_nf_01.pdf</v>
      </c>
      <c r="E422">
        <f>COUNTIF(Analise!U:U,Notas_sem_indexar!C422)</f>
        <v>1</v>
      </c>
      <c r="G422" t="str">
        <f>IF(F422&lt;&gt;"",VLOOKUP(F422,'Obras e Acervos'!$C:$D,2,0),"OK")</f>
        <v>OK</v>
      </c>
    </row>
    <row r="423" spans="1:7" hidden="1" x14ac:dyDescent="0.25">
      <c r="A423" t="s">
        <v>5689</v>
      </c>
      <c r="B423" s="1">
        <v>46086</v>
      </c>
      <c r="C423" t="s">
        <v>5268</v>
      </c>
      <c r="D423" s="36" t="str">
        <f t="shared" si="6"/>
        <v>64307205_20260305_nf_02.pdf</v>
      </c>
      <c r="E423">
        <f>COUNTIF(Analise!U:U,Notas_sem_indexar!C423)</f>
        <v>1</v>
      </c>
      <c r="G423" t="str">
        <f>IF(F423&lt;&gt;"",VLOOKUP(F423,'Obras e Acervos'!$C:$D,2,0),"OK")</f>
        <v>OK</v>
      </c>
    </row>
    <row r="424" spans="1:7" hidden="1" x14ac:dyDescent="0.25">
      <c r="A424" t="s">
        <v>5689</v>
      </c>
      <c r="B424" s="1">
        <v>46086</v>
      </c>
      <c r="C424" t="s">
        <v>5266</v>
      </c>
      <c r="D424" s="36" t="str">
        <f t="shared" si="6"/>
        <v>64307205_20260305_nf_03.pdf</v>
      </c>
      <c r="E424">
        <f>COUNTIF(Analise!U:U,Notas_sem_indexar!C424)</f>
        <v>1</v>
      </c>
      <c r="G424" t="str">
        <f>IF(F424&lt;&gt;"",VLOOKUP(F424,'Obras e Acervos'!$C:$D,2,0),"OK")</f>
        <v>OK</v>
      </c>
    </row>
    <row r="425" spans="1:7" hidden="1" x14ac:dyDescent="0.25">
      <c r="A425" t="s">
        <v>5689</v>
      </c>
      <c r="B425" s="1">
        <v>46086</v>
      </c>
      <c r="C425" t="s">
        <v>5267</v>
      </c>
      <c r="D425" s="36" t="str">
        <f t="shared" si="6"/>
        <v>64307205_20260305_nf_04.pdf</v>
      </c>
      <c r="E425">
        <f>COUNTIF(Analise!U:U,Notas_sem_indexar!C425)</f>
        <v>1</v>
      </c>
      <c r="G425" t="str">
        <f>IF(F425&lt;&gt;"",VLOOKUP(F425,'Obras e Acervos'!$C:$D,2,0),"OK")</f>
        <v>OK</v>
      </c>
    </row>
    <row r="426" spans="1:7" x14ac:dyDescent="0.25">
      <c r="A426" t="s">
        <v>5689</v>
      </c>
      <c r="B426" s="1">
        <v>46086</v>
      </c>
      <c r="C426" t="s">
        <v>5702</v>
      </c>
      <c r="D426" s="36" t="str">
        <f t="shared" si="6"/>
        <v>VERIFICAR</v>
      </c>
      <c r="E426">
        <f>COUNTIF(Analise!U:U,Notas_sem_indexar!C426)</f>
        <v>0</v>
      </c>
      <c r="G426" t="s">
        <v>5774</v>
      </c>
    </row>
    <row r="427" spans="1:7" hidden="1" x14ac:dyDescent="0.25">
      <c r="A427" t="s">
        <v>5689</v>
      </c>
      <c r="B427" s="1">
        <v>46086</v>
      </c>
      <c r="C427" t="s">
        <v>5270</v>
      </c>
      <c r="D427" s="36" t="str">
        <f t="shared" si="6"/>
        <v>64307205_20260305_nf_06.pdf</v>
      </c>
      <c r="E427">
        <f>COUNTIF(Analise!U:U,Notas_sem_indexar!C427)</f>
        <v>1</v>
      </c>
      <c r="G427" t="str">
        <f>IF(F427&lt;&gt;"",VLOOKUP(F427,'Obras e Acervos'!$C:$D,2,0),"OK")</f>
        <v>OK</v>
      </c>
    </row>
    <row r="428" spans="1:7" hidden="1" x14ac:dyDescent="0.25">
      <c r="A428" t="s">
        <v>5689</v>
      </c>
      <c r="B428" s="1">
        <v>46086</v>
      </c>
      <c r="C428" t="s">
        <v>5275</v>
      </c>
      <c r="D428" s="36" t="str">
        <f t="shared" si="6"/>
        <v>64307205_20260305_nf_07.pdf</v>
      </c>
      <c r="E428">
        <f>COUNTIF(Analise!U:U,Notas_sem_indexar!C428)</f>
        <v>1</v>
      </c>
      <c r="G428" t="str">
        <f>IF(F428&lt;&gt;"",VLOOKUP(F428,'Obras e Acervos'!$C:$D,2,0),"OK")</f>
        <v>OK</v>
      </c>
    </row>
    <row r="429" spans="1:7" hidden="1" x14ac:dyDescent="0.25">
      <c r="A429" t="s">
        <v>5689</v>
      </c>
      <c r="B429" s="1">
        <v>46086</v>
      </c>
      <c r="C429" t="s">
        <v>5283</v>
      </c>
      <c r="D429" s="36" t="str">
        <f t="shared" si="6"/>
        <v>64307205_20260305_nf_08.pdf</v>
      </c>
      <c r="E429">
        <f>COUNTIF(Analise!U:U,Notas_sem_indexar!C429)</f>
        <v>1</v>
      </c>
      <c r="G429" t="str">
        <f>IF(F429&lt;&gt;"",VLOOKUP(F429,'Obras e Acervos'!$C:$D,2,0),"OK")</f>
        <v>OK</v>
      </c>
    </row>
    <row r="430" spans="1:7" hidden="1" x14ac:dyDescent="0.25">
      <c r="A430" t="s">
        <v>5689</v>
      </c>
      <c r="B430" s="1">
        <v>46086</v>
      </c>
      <c r="C430" t="s">
        <v>5277</v>
      </c>
      <c r="D430" s="36" t="str">
        <f t="shared" si="6"/>
        <v>64307205_20260305_nf_09.pdf</v>
      </c>
      <c r="E430">
        <f>COUNTIF(Analise!U:U,Notas_sem_indexar!C430)</f>
        <v>1</v>
      </c>
      <c r="G430" t="str">
        <f>IF(F430&lt;&gt;"",VLOOKUP(F430,'Obras e Acervos'!$C:$D,2,0),"OK")</f>
        <v>OK</v>
      </c>
    </row>
    <row r="431" spans="1:7" x14ac:dyDescent="0.25">
      <c r="A431" t="s">
        <v>5689</v>
      </c>
      <c r="B431" s="1">
        <v>46086</v>
      </c>
      <c r="C431" t="s">
        <v>5703</v>
      </c>
      <c r="D431" s="36" t="str">
        <f t="shared" si="6"/>
        <v>VERIFICAR</v>
      </c>
      <c r="E431">
        <f>COUNTIF(Analise!U:U,Notas_sem_indexar!C431)</f>
        <v>0</v>
      </c>
      <c r="F431" s="35" t="s">
        <v>2785</v>
      </c>
      <c r="G431" t="str">
        <f>IF(F431&lt;&gt;"",VLOOKUP(F431,'Obras e Acervos'!$C:$D,2,0),"OK")</f>
        <v>MAZZA EDIÇÕES LTDA-MAZZA EDIÇÕES</v>
      </c>
    </row>
    <row r="432" spans="1:7" hidden="1" x14ac:dyDescent="0.25">
      <c r="A432" t="s">
        <v>5689</v>
      </c>
      <c r="B432" s="1">
        <v>46086</v>
      </c>
      <c r="C432" t="s">
        <v>5282</v>
      </c>
      <c r="D432" s="36" t="str">
        <f t="shared" si="6"/>
        <v>64307205_20260305_nf_11.pdf</v>
      </c>
      <c r="E432">
        <f>COUNTIF(Analise!U:U,Notas_sem_indexar!C432)</f>
        <v>1</v>
      </c>
      <c r="G432" t="str">
        <f>IF(F432&lt;&gt;"",VLOOKUP(F432,'Obras e Acervos'!$C:$D,2,0),"OK")</f>
        <v>OK</v>
      </c>
    </row>
    <row r="433" spans="1:7" hidden="1" x14ac:dyDescent="0.25">
      <c r="A433" t="s">
        <v>5689</v>
      </c>
      <c r="B433" s="1">
        <v>46086</v>
      </c>
      <c r="C433" t="s">
        <v>5271</v>
      </c>
      <c r="D433" s="36" t="str">
        <f t="shared" si="6"/>
        <v>64307205_20260305_nf_12.pdf</v>
      </c>
      <c r="E433">
        <f>COUNTIF(Analise!U:U,Notas_sem_indexar!C433)</f>
        <v>1</v>
      </c>
      <c r="G433" t="str">
        <f>IF(F433&lt;&gt;"",VLOOKUP(F433,'Obras e Acervos'!$C:$D,2,0),"OK")</f>
        <v>OK</v>
      </c>
    </row>
    <row r="434" spans="1:7" hidden="1" x14ac:dyDescent="0.25">
      <c r="A434" t="s">
        <v>5689</v>
      </c>
      <c r="B434" s="1">
        <v>46086</v>
      </c>
      <c r="C434" t="s">
        <v>5284</v>
      </c>
      <c r="D434" s="36" t="str">
        <f t="shared" si="6"/>
        <v>64307205_20260305_nf_13.pdf</v>
      </c>
      <c r="E434">
        <f>COUNTIF(Analise!U:U,Notas_sem_indexar!C434)</f>
        <v>1</v>
      </c>
      <c r="G434" t="str">
        <f>IF(F434&lt;&gt;"",VLOOKUP(F434,'Obras e Acervos'!$C:$D,2,0),"OK")</f>
        <v>OK</v>
      </c>
    </row>
    <row r="435" spans="1:7" x14ac:dyDescent="0.25">
      <c r="A435" t="s">
        <v>5689</v>
      </c>
      <c r="B435" s="1">
        <v>46086</v>
      </c>
      <c r="C435" t="s">
        <v>5272</v>
      </c>
      <c r="D435" s="36" t="str">
        <f t="shared" si="6"/>
        <v>VERIFICAR</v>
      </c>
      <c r="E435">
        <f>COUNTIF(Analise!U:U,Notas_sem_indexar!C435)</f>
        <v>0</v>
      </c>
      <c r="F435" s="35" t="s">
        <v>5760</v>
      </c>
      <c r="G435" t="str">
        <f>IF(F435&lt;&gt;"",VLOOKUP(F435,'Obras e Acervos'!$C:$D,2,0),"OK")</f>
        <v>EDITORA PERSPECTIVA LTDA-EDITORA PERSPECTIVA</v>
      </c>
    </row>
    <row r="436" spans="1:7" hidden="1" x14ac:dyDescent="0.25">
      <c r="A436" t="s">
        <v>5689</v>
      </c>
      <c r="B436" s="1">
        <v>46086</v>
      </c>
      <c r="C436" t="s">
        <v>5273</v>
      </c>
      <c r="D436" s="36" t="str">
        <f t="shared" si="6"/>
        <v>64307205_20260305_nf_15.pdf</v>
      </c>
      <c r="E436">
        <f>COUNTIF(Analise!U:U,Notas_sem_indexar!C436)</f>
        <v>1</v>
      </c>
      <c r="G436" t="str">
        <f>IF(F436&lt;&gt;"",VLOOKUP(F436,'Obras e Acervos'!$C:$D,2,0),"OK")</f>
        <v>OK</v>
      </c>
    </row>
    <row r="437" spans="1:7" x14ac:dyDescent="0.25">
      <c r="A437" t="s">
        <v>5689</v>
      </c>
      <c r="B437" s="1">
        <v>46086</v>
      </c>
      <c r="C437" t="s">
        <v>5278</v>
      </c>
      <c r="D437" s="36" t="str">
        <f t="shared" si="6"/>
        <v>VERIFICAR</v>
      </c>
      <c r="E437">
        <f>COUNTIF(Analise!U:U,Notas_sem_indexar!C437)</f>
        <v>0</v>
      </c>
      <c r="F437" s="35" t="s">
        <v>5783</v>
      </c>
      <c r="G437" t="s">
        <v>5784</v>
      </c>
    </row>
    <row r="438" spans="1:7" hidden="1" x14ac:dyDescent="0.25">
      <c r="A438" t="s">
        <v>5689</v>
      </c>
      <c r="B438" s="1">
        <v>46086</v>
      </c>
      <c r="C438" t="s">
        <v>5274</v>
      </c>
      <c r="D438" s="36" t="str">
        <f t="shared" si="6"/>
        <v>64307205_20260305_nf_17.pdf</v>
      </c>
      <c r="E438">
        <f>COUNTIF(Analise!U:U,Notas_sem_indexar!C438)</f>
        <v>1</v>
      </c>
      <c r="G438" t="str">
        <f>IF(F438&lt;&gt;"",VLOOKUP(F438,'Obras e Acervos'!$C:$D,2,0),"OK")</f>
        <v>OK</v>
      </c>
    </row>
    <row r="439" spans="1:7" x14ac:dyDescent="0.25">
      <c r="A439" t="s">
        <v>5689</v>
      </c>
      <c r="B439" s="1">
        <v>46086</v>
      </c>
      <c r="C439" t="s">
        <v>5279</v>
      </c>
      <c r="D439" s="36" t="str">
        <f t="shared" si="6"/>
        <v>VERIFICAR</v>
      </c>
      <c r="E439">
        <f>COUNTIF(Analise!U:U,Notas_sem_indexar!C439)</f>
        <v>0</v>
      </c>
      <c r="F439" s="35" t="s">
        <v>5785</v>
      </c>
      <c r="G439" t="s">
        <v>5784</v>
      </c>
    </row>
    <row r="440" spans="1:7" hidden="1" x14ac:dyDescent="0.25">
      <c r="A440" t="s">
        <v>5689</v>
      </c>
      <c r="B440" s="1">
        <v>46086</v>
      </c>
      <c r="C440" t="s">
        <v>5269</v>
      </c>
      <c r="D440" s="36" t="str">
        <f t="shared" si="6"/>
        <v>64307205_20260305_nf_19.pdf</v>
      </c>
      <c r="E440">
        <f>COUNTIF(Analise!U:U,Notas_sem_indexar!C440)</f>
        <v>1</v>
      </c>
      <c r="G440" t="str">
        <f>IF(F440&lt;&gt;"",VLOOKUP(F440,'Obras e Acervos'!$C:$D,2,0),"OK")</f>
        <v>OK</v>
      </c>
    </row>
    <row r="441" spans="1:7" x14ac:dyDescent="0.25">
      <c r="A441" t="s">
        <v>5689</v>
      </c>
      <c r="B441" s="1">
        <v>46086</v>
      </c>
      <c r="C441" t="s">
        <v>5704</v>
      </c>
      <c r="D441" s="36" t="str">
        <f t="shared" si="6"/>
        <v>VERIFICAR</v>
      </c>
      <c r="E441">
        <f>COUNTIF(Analise!U:U,Notas_sem_indexar!C441)</f>
        <v>0</v>
      </c>
      <c r="F441" s="35" t="s">
        <v>2347</v>
      </c>
      <c r="G441" t="str">
        <f>IF(F441&lt;&gt;"",VLOOKUP(F441,'Obras e Acervos'!$C:$D,2,0),"OK")</f>
        <v>TROIA EDITORA E DISTRIBUIDORA LTDA-TROIA EDITORA</v>
      </c>
    </row>
    <row r="442" spans="1:7" hidden="1" x14ac:dyDescent="0.25">
      <c r="A442" t="s">
        <v>5689</v>
      </c>
      <c r="B442" s="1">
        <v>46086</v>
      </c>
      <c r="C442" t="s">
        <v>5280</v>
      </c>
      <c r="D442" s="36" t="str">
        <f t="shared" si="6"/>
        <v>64307205_20260305_nf_21.pdf</v>
      </c>
      <c r="E442">
        <f>COUNTIF(Analise!U:U,Notas_sem_indexar!C442)</f>
        <v>1</v>
      </c>
      <c r="G442" t="str">
        <f>IF(F442&lt;&gt;"",VLOOKUP(F442,'Obras e Acervos'!$C:$D,2,0),"OK")</f>
        <v>OK</v>
      </c>
    </row>
    <row r="443" spans="1:7" hidden="1" x14ac:dyDescent="0.25">
      <c r="A443" t="s">
        <v>5689</v>
      </c>
      <c r="B443" s="1">
        <v>46086</v>
      </c>
      <c r="C443" t="s">
        <v>5281</v>
      </c>
      <c r="D443" s="36" t="str">
        <f t="shared" si="6"/>
        <v>64307205_20260305_nf_22.pdf</v>
      </c>
      <c r="E443">
        <f>COUNTIF(Analise!U:U,Notas_sem_indexar!C443)</f>
        <v>1</v>
      </c>
      <c r="G443" t="str">
        <f>IF(F443&lt;&gt;"",VLOOKUP(F443,'Obras e Acervos'!$C:$D,2,0),"OK")</f>
        <v>OK</v>
      </c>
    </row>
    <row r="444" spans="1:7" hidden="1" x14ac:dyDescent="0.25">
      <c r="A444" t="s">
        <v>5689</v>
      </c>
      <c r="B444" s="1">
        <v>46086</v>
      </c>
      <c r="C444" t="s">
        <v>5276</v>
      </c>
      <c r="D444" s="36" t="str">
        <f t="shared" si="6"/>
        <v>64307205_20260305_nf_23.pdf</v>
      </c>
      <c r="E444">
        <f>COUNTIF(Analise!U:U,Notas_sem_indexar!C444)</f>
        <v>1</v>
      </c>
      <c r="G444" t="str">
        <f>IF(F444&lt;&gt;"",VLOOKUP(F444,'Obras e Acervos'!$C:$D,2,0),"OK")</f>
        <v>OK</v>
      </c>
    </row>
    <row r="445" spans="1:7" hidden="1" x14ac:dyDescent="0.25">
      <c r="A445" t="s">
        <v>5705</v>
      </c>
      <c r="B445" s="1">
        <v>46087</v>
      </c>
      <c r="C445" t="s">
        <v>5287</v>
      </c>
      <c r="D445" s="36" t="str">
        <f t="shared" si="6"/>
        <v>64307304_20260306_nf_01.pdf</v>
      </c>
      <c r="E445">
        <f>COUNTIF(Analise!U:U,Notas_sem_indexar!C445)</f>
        <v>1</v>
      </c>
      <c r="G445" t="str">
        <f>IF(F445&lt;&gt;"",VLOOKUP(F445,'Obras e Acervos'!$C:$D,2,0),"OK")</f>
        <v>OK</v>
      </c>
    </row>
    <row r="446" spans="1:7" hidden="1" x14ac:dyDescent="0.25">
      <c r="A446" t="s">
        <v>5705</v>
      </c>
      <c r="B446" s="1">
        <v>46087</v>
      </c>
      <c r="C446" t="s">
        <v>5291</v>
      </c>
      <c r="D446" s="36" t="str">
        <f t="shared" si="6"/>
        <v>64307304_20260306_nf_02.pdf</v>
      </c>
      <c r="E446">
        <f>COUNTIF(Analise!U:U,Notas_sem_indexar!C446)</f>
        <v>1</v>
      </c>
      <c r="G446" t="str">
        <f>IF(F446&lt;&gt;"",VLOOKUP(F446,'Obras e Acervos'!$C:$D,2,0),"OK")</f>
        <v>OK</v>
      </c>
    </row>
    <row r="447" spans="1:7" hidden="1" x14ac:dyDescent="0.25">
      <c r="A447" t="s">
        <v>5705</v>
      </c>
      <c r="B447" s="1">
        <v>46087</v>
      </c>
      <c r="C447" t="s">
        <v>5286</v>
      </c>
      <c r="D447" s="36" t="str">
        <f t="shared" si="6"/>
        <v>64307304_20260306_nf_03.pdf</v>
      </c>
      <c r="E447">
        <f>COUNTIF(Analise!U:U,Notas_sem_indexar!C447)</f>
        <v>1</v>
      </c>
      <c r="G447" t="str">
        <f>IF(F447&lt;&gt;"",VLOOKUP(F447,'Obras e Acervos'!$C:$D,2,0),"OK")</f>
        <v>OK</v>
      </c>
    </row>
    <row r="448" spans="1:7" x14ac:dyDescent="0.25">
      <c r="A448" t="s">
        <v>5705</v>
      </c>
      <c r="B448" s="1">
        <v>46087</v>
      </c>
      <c r="C448" t="s">
        <v>5706</v>
      </c>
      <c r="D448" s="36" t="str">
        <f t="shared" si="6"/>
        <v>VERIFICAR</v>
      </c>
      <c r="E448">
        <f>COUNTIF(Analise!U:U,Notas_sem_indexar!C448)</f>
        <v>0</v>
      </c>
      <c r="F448" s="35" t="s">
        <v>2371</v>
      </c>
      <c r="G448" t="str">
        <f>IF(F448&lt;&gt;"",VLOOKUP(F448,'Obras e Acervos'!$C:$D,2,0),"OK")</f>
        <v>CARRION CARRACEDO LTDA - EPP-ENTRELINHAS EDITORA</v>
      </c>
    </row>
    <row r="449" spans="1:7" hidden="1" x14ac:dyDescent="0.25">
      <c r="A449" t="s">
        <v>5705</v>
      </c>
      <c r="B449" s="1">
        <v>46087</v>
      </c>
      <c r="C449" t="s">
        <v>5289</v>
      </c>
      <c r="D449" s="36" t="str">
        <f t="shared" si="6"/>
        <v>64307304_20260306_nf_05.pdf</v>
      </c>
      <c r="E449">
        <f>COUNTIF(Analise!U:U,Notas_sem_indexar!C449)</f>
        <v>1</v>
      </c>
      <c r="G449" t="str">
        <f>IF(F449&lt;&gt;"",VLOOKUP(F449,'Obras e Acervos'!$C:$D,2,0),"OK")</f>
        <v>OK</v>
      </c>
    </row>
    <row r="450" spans="1:7" hidden="1" x14ac:dyDescent="0.25">
      <c r="A450" t="s">
        <v>5705</v>
      </c>
      <c r="B450" s="1">
        <v>46087</v>
      </c>
      <c r="C450" t="s">
        <v>5290</v>
      </c>
      <c r="D450" s="36" t="str">
        <f t="shared" si="6"/>
        <v>64307304_20260306_nf_06.pdf</v>
      </c>
      <c r="E450">
        <f>COUNTIF(Analise!U:U,Notas_sem_indexar!C450)</f>
        <v>1</v>
      </c>
      <c r="G450" t="str">
        <f>IF(F450&lt;&gt;"",VLOOKUP(F450,'Obras e Acervos'!$C:$D,2,0),"OK")</f>
        <v>OK</v>
      </c>
    </row>
    <row r="451" spans="1:7" x14ac:dyDescent="0.25">
      <c r="A451" t="s">
        <v>5705</v>
      </c>
      <c r="B451" s="1">
        <v>46087</v>
      </c>
      <c r="C451" t="s">
        <v>5707</v>
      </c>
      <c r="D451" s="36" t="str">
        <f t="shared" ref="D451:D514" si="7">IF(E451=0,HYPERLINK(CONCATENATE("saida/",C451),"VERIFICAR"),HYPERLINK(CONCATENATE("saida/",C451),C451))</f>
        <v>VERIFICAR</v>
      </c>
      <c r="E451">
        <f>COUNTIF(Analise!U:U,Notas_sem_indexar!C451)</f>
        <v>0</v>
      </c>
      <c r="F451" s="35" t="s">
        <v>2299</v>
      </c>
      <c r="G451" t="str">
        <f>IF(F451&lt;&gt;"",VLOOKUP(F451,'Obras e Acervos'!$C:$D,2,0),"OK")</f>
        <v>GUTENBERG DISTRIBUIDORA DE LIVROS LTDA.-YELLOWFANTE</v>
      </c>
    </row>
    <row r="452" spans="1:7" hidden="1" x14ac:dyDescent="0.25">
      <c r="A452" t="s">
        <v>5705</v>
      </c>
      <c r="B452" s="1">
        <v>46087</v>
      </c>
      <c r="C452" t="s">
        <v>5288</v>
      </c>
      <c r="D452" s="36" t="str">
        <f t="shared" si="7"/>
        <v>64307304_20260306_nf_08.pdf</v>
      </c>
      <c r="E452">
        <f>COUNTIF(Analise!U:U,Notas_sem_indexar!C452)</f>
        <v>1</v>
      </c>
      <c r="G452" t="str">
        <f>IF(F452&lt;&gt;"",VLOOKUP(F452,'Obras e Acervos'!$C:$D,2,0),"OK")</f>
        <v>OK</v>
      </c>
    </row>
    <row r="453" spans="1:7" x14ac:dyDescent="0.25">
      <c r="A453" t="s">
        <v>5705</v>
      </c>
      <c r="B453" s="1">
        <v>46087</v>
      </c>
      <c r="C453" t="s">
        <v>5708</v>
      </c>
      <c r="D453" s="36" t="str">
        <f t="shared" si="7"/>
        <v>VERIFICAR</v>
      </c>
      <c r="E453">
        <f>COUNTIF(Analise!U:U,Notas_sem_indexar!C453)</f>
        <v>0</v>
      </c>
      <c r="F453" s="35" t="s">
        <v>2430</v>
      </c>
      <c r="G453" t="str">
        <f>IF(F453&lt;&gt;"",VLOOKUP(F453,'Obras e Acervos'!$C:$D,2,0),"OK")</f>
        <v>EDITORA SORRISO LTDA-EDITORA SORRISO</v>
      </c>
    </row>
    <row r="454" spans="1:7" hidden="1" x14ac:dyDescent="0.25">
      <c r="A454" t="s">
        <v>5705</v>
      </c>
      <c r="B454" s="1">
        <v>46087</v>
      </c>
      <c r="C454" t="s">
        <v>5285</v>
      </c>
      <c r="D454" s="36" t="str">
        <f t="shared" si="7"/>
        <v>64307304_20260306_nf_10.pdf</v>
      </c>
      <c r="E454">
        <f>COUNTIF(Analise!U:U,Notas_sem_indexar!C454)</f>
        <v>1</v>
      </c>
      <c r="G454" t="str">
        <f>IF(F454&lt;&gt;"",VLOOKUP(F454,'Obras e Acervos'!$C:$D,2,0),"OK")</f>
        <v>OK</v>
      </c>
    </row>
    <row r="455" spans="1:7" hidden="1" x14ac:dyDescent="0.25">
      <c r="A455" t="s">
        <v>5705</v>
      </c>
      <c r="B455" s="1">
        <v>46090</v>
      </c>
      <c r="C455" t="s">
        <v>5293</v>
      </c>
      <c r="D455" s="36" t="str">
        <f t="shared" si="7"/>
        <v>64307304_20260309_nf_01.pdf</v>
      </c>
      <c r="E455">
        <f>COUNTIF(Analise!U:U,Notas_sem_indexar!C455)</f>
        <v>1</v>
      </c>
      <c r="G455" t="str">
        <f>IF(F455&lt;&gt;"",VLOOKUP(F455,'Obras e Acervos'!$C:$D,2,0),"OK")</f>
        <v>OK</v>
      </c>
    </row>
    <row r="456" spans="1:7" hidden="1" x14ac:dyDescent="0.25">
      <c r="A456" t="s">
        <v>5705</v>
      </c>
      <c r="B456" s="1">
        <v>46090</v>
      </c>
      <c r="C456" t="s">
        <v>5303</v>
      </c>
      <c r="D456" s="36" t="str">
        <f t="shared" si="7"/>
        <v>64307304_20260309_nf_02.pdf</v>
      </c>
      <c r="E456">
        <f>COUNTIF(Analise!U:U,Notas_sem_indexar!C456)</f>
        <v>1</v>
      </c>
      <c r="G456" t="str">
        <f>IF(F456&lt;&gt;"",VLOOKUP(F456,'Obras e Acervos'!$C:$D,2,0),"OK")</f>
        <v>OK</v>
      </c>
    </row>
    <row r="457" spans="1:7" hidden="1" x14ac:dyDescent="0.25">
      <c r="A457" t="s">
        <v>5705</v>
      </c>
      <c r="B457" s="1">
        <v>46090</v>
      </c>
      <c r="C457" t="s">
        <v>5306</v>
      </c>
      <c r="D457" s="36" t="str">
        <f t="shared" si="7"/>
        <v>64307304_20260309_nf_03.pdf</v>
      </c>
      <c r="E457">
        <f>COUNTIF(Analise!U:U,Notas_sem_indexar!C457)</f>
        <v>1</v>
      </c>
      <c r="G457" t="str">
        <f>IF(F457&lt;&gt;"",VLOOKUP(F457,'Obras e Acervos'!$C:$D,2,0),"OK")</f>
        <v>OK</v>
      </c>
    </row>
    <row r="458" spans="1:7" hidden="1" x14ac:dyDescent="0.25">
      <c r="A458" t="s">
        <v>5705</v>
      </c>
      <c r="B458" s="1">
        <v>46090</v>
      </c>
      <c r="C458" t="s">
        <v>5292</v>
      </c>
      <c r="D458" s="36" t="str">
        <f t="shared" si="7"/>
        <v>64307304_20260309_nf_04.pdf</v>
      </c>
      <c r="E458">
        <f>COUNTIF(Analise!U:U,Notas_sem_indexar!C458)</f>
        <v>1</v>
      </c>
      <c r="G458" t="str">
        <f>IF(F458&lt;&gt;"",VLOOKUP(F458,'Obras e Acervos'!$C:$D,2,0),"OK")</f>
        <v>OK</v>
      </c>
    </row>
    <row r="459" spans="1:7" x14ac:dyDescent="0.25">
      <c r="A459" t="s">
        <v>5705</v>
      </c>
      <c r="B459" s="1">
        <v>46090</v>
      </c>
      <c r="C459" t="s">
        <v>5709</v>
      </c>
      <c r="D459" s="36" t="str">
        <f t="shared" si="7"/>
        <v>VERIFICAR</v>
      </c>
      <c r="E459">
        <f>COUNTIF(Analise!U:U,Notas_sem_indexar!C459)</f>
        <v>0</v>
      </c>
      <c r="F459" s="35" t="s">
        <v>1890</v>
      </c>
      <c r="G459" t="str">
        <f>IF(F459&lt;&gt;"",VLOOKUP(F459,'Obras e Acervos'!$C:$D,2,0),"OK")</f>
        <v>AV EDIÇÕES E SERVIÇOS EIRELI-BADABUM</v>
      </c>
    </row>
    <row r="460" spans="1:7" hidden="1" x14ac:dyDescent="0.25">
      <c r="A460" t="s">
        <v>5705</v>
      </c>
      <c r="B460" s="1">
        <v>46090</v>
      </c>
      <c r="C460" t="s">
        <v>5294</v>
      </c>
      <c r="D460" s="36" t="str">
        <f t="shared" si="7"/>
        <v>64307304_20260309_nf_06.pdf</v>
      </c>
      <c r="E460">
        <f>COUNTIF(Analise!U:U,Notas_sem_indexar!C460)</f>
        <v>1</v>
      </c>
      <c r="G460" t="str">
        <f>IF(F460&lt;&gt;"",VLOOKUP(F460,'Obras e Acervos'!$C:$D,2,0),"OK")</f>
        <v>OK</v>
      </c>
    </row>
    <row r="461" spans="1:7" x14ac:dyDescent="0.25">
      <c r="A461" t="s">
        <v>5705</v>
      </c>
      <c r="B461" s="1">
        <v>46090</v>
      </c>
      <c r="C461" t="s">
        <v>5710</v>
      </c>
      <c r="D461" s="36" t="str">
        <f t="shared" si="7"/>
        <v>VERIFICAR</v>
      </c>
      <c r="E461">
        <f>COUNTIF(Analise!U:U,Notas_sem_indexar!C461)</f>
        <v>0</v>
      </c>
      <c r="F461" s="35" t="s">
        <v>2785</v>
      </c>
      <c r="G461" t="str">
        <f>IF(F461&lt;&gt;"",VLOOKUP(F461,'Obras e Acervos'!$C:$D,2,0),"OK")</f>
        <v>MAZZA EDIÇÕES LTDA-MAZZA EDIÇÕES</v>
      </c>
    </row>
    <row r="462" spans="1:7" hidden="1" x14ac:dyDescent="0.25">
      <c r="A462" t="s">
        <v>5705</v>
      </c>
      <c r="B462" s="1">
        <v>46090</v>
      </c>
      <c r="C462" t="s">
        <v>5296</v>
      </c>
      <c r="D462" s="36" t="str">
        <f t="shared" si="7"/>
        <v>64307304_20260309_nf_08.pdf</v>
      </c>
      <c r="E462">
        <f>COUNTIF(Analise!U:U,Notas_sem_indexar!C462)</f>
        <v>1</v>
      </c>
      <c r="G462" t="str">
        <f>IF(F462&lt;&gt;"",VLOOKUP(F462,'Obras e Acervos'!$C:$D,2,0),"OK")</f>
        <v>OK</v>
      </c>
    </row>
    <row r="463" spans="1:7" x14ac:dyDescent="0.25">
      <c r="A463" t="s">
        <v>5705</v>
      </c>
      <c r="B463" s="1">
        <v>46090</v>
      </c>
      <c r="C463" t="s">
        <v>5711</v>
      </c>
      <c r="D463" s="36" t="str">
        <f t="shared" si="7"/>
        <v>VERIFICAR</v>
      </c>
      <c r="E463">
        <f>COUNTIF(Analise!U:U,Notas_sem_indexar!C463)</f>
        <v>0</v>
      </c>
      <c r="F463" s="35" t="s">
        <v>4203</v>
      </c>
      <c r="G463" t="str">
        <f>IF(F463&lt;&gt;"",VLOOKUP(F463,'Obras e Acervos'!$C:$D,2,0),"OK")</f>
        <v>FB PUBLICAÇÕES EIRELI -FB PUBLICAÇÕES</v>
      </c>
    </row>
    <row r="464" spans="1:7" hidden="1" x14ac:dyDescent="0.25">
      <c r="A464" t="s">
        <v>5705</v>
      </c>
      <c r="B464" s="1">
        <v>46090</v>
      </c>
      <c r="C464" t="s">
        <v>5304</v>
      </c>
      <c r="D464" s="36" t="str">
        <f t="shared" si="7"/>
        <v>64307304_20260309_nf_10.pdf</v>
      </c>
      <c r="E464">
        <f>COUNTIF(Analise!U:U,Notas_sem_indexar!C464)</f>
        <v>1</v>
      </c>
      <c r="G464" t="str">
        <f>IF(F464&lt;&gt;"",VLOOKUP(F464,'Obras e Acervos'!$C:$D,2,0),"OK")</f>
        <v>OK</v>
      </c>
    </row>
    <row r="465" spans="1:7" hidden="1" x14ac:dyDescent="0.25">
      <c r="A465" t="s">
        <v>5705</v>
      </c>
      <c r="B465" s="1">
        <v>46090</v>
      </c>
      <c r="C465" t="s">
        <v>5297</v>
      </c>
      <c r="D465" s="36" t="str">
        <f t="shared" si="7"/>
        <v>64307304_20260309_nf_11.pdf</v>
      </c>
      <c r="E465">
        <f>COUNTIF(Analise!U:U,Notas_sem_indexar!C465)</f>
        <v>1</v>
      </c>
      <c r="G465" t="str">
        <f>IF(F465&lt;&gt;"",VLOOKUP(F465,'Obras e Acervos'!$C:$D,2,0),"OK")</f>
        <v>OK</v>
      </c>
    </row>
    <row r="466" spans="1:7" x14ac:dyDescent="0.25">
      <c r="A466" t="s">
        <v>5705</v>
      </c>
      <c r="B466" s="1">
        <v>46090</v>
      </c>
      <c r="C466" t="s">
        <v>5712</v>
      </c>
      <c r="D466" s="36" t="str">
        <f t="shared" si="7"/>
        <v>VERIFICAR</v>
      </c>
      <c r="E466">
        <f>COUNTIF(Analise!U:U,Notas_sem_indexar!C466)</f>
        <v>0</v>
      </c>
      <c r="G466" t="s">
        <v>5786</v>
      </c>
    </row>
    <row r="467" spans="1:7" hidden="1" x14ac:dyDescent="0.25">
      <c r="A467" t="s">
        <v>5705</v>
      </c>
      <c r="B467" s="1">
        <v>46090</v>
      </c>
      <c r="C467" t="s">
        <v>5300</v>
      </c>
      <c r="D467" s="36" t="str">
        <f t="shared" si="7"/>
        <v>64307304_20260309_nf_13.pdf</v>
      </c>
      <c r="E467">
        <f>COUNTIF(Analise!U:U,Notas_sem_indexar!C467)</f>
        <v>1</v>
      </c>
      <c r="G467" t="str">
        <f>IF(F467&lt;&gt;"",VLOOKUP(F467,'Obras e Acervos'!$C:$D,2,0),"OK")</f>
        <v>OK</v>
      </c>
    </row>
    <row r="468" spans="1:7" hidden="1" x14ac:dyDescent="0.25">
      <c r="A468" t="s">
        <v>5705</v>
      </c>
      <c r="B468" s="1">
        <v>46090</v>
      </c>
      <c r="C468" t="s">
        <v>5301</v>
      </c>
      <c r="D468" s="36" t="str">
        <f t="shared" si="7"/>
        <v>64307304_20260309_nf_14.pdf</v>
      </c>
      <c r="E468">
        <f>COUNTIF(Analise!U:U,Notas_sem_indexar!C468)</f>
        <v>1</v>
      </c>
      <c r="G468" t="str">
        <f>IF(F468&lt;&gt;"",VLOOKUP(F468,'Obras e Acervos'!$C:$D,2,0),"OK")</f>
        <v>OK</v>
      </c>
    </row>
    <row r="469" spans="1:7" x14ac:dyDescent="0.25">
      <c r="A469" t="s">
        <v>5705</v>
      </c>
      <c r="B469" s="1">
        <v>46090</v>
      </c>
      <c r="C469" t="s">
        <v>5713</v>
      </c>
      <c r="D469" s="36" t="str">
        <f t="shared" si="7"/>
        <v>VERIFICAR</v>
      </c>
      <c r="E469">
        <f>COUNTIF(Analise!U:U,Notas_sem_indexar!C469)</f>
        <v>0</v>
      </c>
      <c r="F469" s="35" t="s">
        <v>2447</v>
      </c>
      <c r="G469" t="str">
        <f>IF(F469&lt;&gt;"",VLOOKUP(F469,'Obras e Acervos'!$C:$D,2,0),"OK")</f>
        <v>FOLIA DE LETRAS EDITORA E SERVIÇOS EDITORIAIS LTDA-EDITORA FOLIA DE LETRAS</v>
      </c>
    </row>
    <row r="470" spans="1:7" hidden="1" x14ac:dyDescent="0.25">
      <c r="A470" t="s">
        <v>5705</v>
      </c>
      <c r="B470" s="1">
        <v>46090</v>
      </c>
      <c r="C470" t="s">
        <v>5299</v>
      </c>
      <c r="D470" s="36" t="str">
        <f t="shared" si="7"/>
        <v>64307304_20260309_nf_16.pdf</v>
      </c>
      <c r="E470">
        <f>COUNTIF(Analise!U:U,Notas_sem_indexar!C470)</f>
        <v>1</v>
      </c>
      <c r="G470" t="str">
        <f>IF(F470&lt;&gt;"",VLOOKUP(F470,'Obras e Acervos'!$C:$D,2,0),"OK")</f>
        <v>OK</v>
      </c>
    </row>
    <row r="471" spans="1:7" x14ac:dyDescent="0.25">
      <c r="A471" t="s">
        <v>5705</v>
      </c>
      <c r="B471" s="1">
        <v>46090</v>
      </c>
      <c r="C471" t="s">
        <v>5714</v>
      </c>
      <c r="D471" s="36" t="str">
        <f t="shared" si="7"/>
        <v>VERIFICAR</v>
      </c>
      <c r="E471">
        <f>COUNTIF(Analise!U:U,Notas_sem_indexar!C471)</f>
        <v>0</v>
      </c>
      <c r="F471" s="35" t="s">
        <v>2522</v>
      </c>
      <c r="G471" t="str">
        <f>IF(F471&lt;&gt;"",VLOOKUP(F471,'Obras e Acervos'!$C:$D,2,0),"OK")</f>
        <v>ALAÚDE EDITORIAL LTDA-EDITORA ALAÚDE</v>
      </c>
    </row>
    <row r="472" spans="1:7" hidden="1" x14ac:dyDescent="0.25">
      <c r="A472" t="s">
        <v>5705</v>
      </c>
      <c r="B472" s="1">
        <v>46090</v>
      </c>
      <c r="C472" t="s">
        <v>5302</v>
      </c>
      <c r="D472" s="36" t="str">
        <f t="shared" si="7"/>
        <v>64307304_20260309_nf_18.pdf</v>
      </c>
      <c r="E472">
        <f>COUNTIF(Analise!U:U,Notas_sem_indexar!C472)</f>
        <v>1</v>
      </c>
      <c r="G472" t="str">
        <f>IF(F472&lt;&gt;"",VLOOKUP(F472,'Obras e Acervos'!$C:$D,2,0),"OK")</f>
        <v>OK</v>
      </c>
    </row>
    <row r="473" spans="1:7" hidden="1" x14ac:dyDescent="0.25">
      <c r="A473" t="s">
        <v>5705</v>
      </c>
      <c r="B473" s="1">
        <v>46090</v>
      </c>
      <c r="C473" t="s">
        <v>5295</v>
      </c>
      <c r="D473" s="36" t="str">
        <f t="shared" si="7"/>
        <v>64307304_20260309_nf_19.pdf</v>
      </c>
      <c r="E473">
        <f>COUNTIF(Analise!U:U,Notas_sem_indexar!C473)</f>
        <v>1</v>
      </c>
      <c r="G473" t="str">
        <f>IF(F473&lt;&gt;"",VLOOKUP(F473,'Obras e Acervos'!$C:$D,2,0),"OK")</f>
        <v>OK</v>
      </c>
    </row>
    <row r="474" spans="1:7" hidden="1" x14ac:dyDescent="0.25">
      <c r="A474" t="s">
        <v>5705</v>
      </c>
      <c r="B474" s="1">
        <v>46090</v>
      </c>
      <c r="C474" t="s">
        <v>5305</v>
      </c>
      <c r="D474" s="36" t="str">
        <f t="shared" si="7"/>
        <v>64307304_20260309_nf_20.pdf</v>
      </c>
      <c r="E474">
        <f>COUNTIF(Analise!U:U,Notas_sem_indexar!C474)</f>
        <v>1</v>
      </c>
      <c r="G474" t="str">
        <f>IF(F474&lt;&gt;"",VLOOKUP(F474,'Obras e Acervos'!$C:$D,2,0),"OK")</f>
        <v>OK</v>
      </c>
    </row>
    <row r="475" spans="1:7" hidden="1" x14ac:dyDescent="0.25">
      <c r="A475" t="s">
        <v>5705</v>
      </c>
      <c r="B475" s="1">
        <v>46090</v>
      </c>
      <c r="C475" t="s">
        <v>5298</v>
      </c>
      <c r="D475" s="36" t="str">
        <f t="shared" si="7"/>
        <v>64307304_20260309_nf_21.pdf</v>
      </c>
      <c r="E475">
        <f>COUNTIF(Analise!U:U,Notas_sem_indexar!C475)</f>
        <v>1</v>
      </c>
      <c r="G475" t="str">
        <f>IF(F475&lt;&gt;"",VLOOKUP(F475,'Obras e Acervos'!$C:$D,2,0),"OK")</f>
        <v>OK</v>
      </c>
    </row>
    <row r="476" spans="1:7" hidden="1" x14ac:dyDescent="0.25">
      <c r="A476" t="s">
        <v>5705</v>
      </c>
      <c r="B476" s="1">
        <v>46091</v>
      </c>
      <c r="C476" t="s">
        <v>5314</v>
      </c>
      <c r="D476" s="36" t="str">
        <f t="shared" si="7"/>
        <v>64307304_20260310_nf_01.pdf</v>
      </c>
      <c r="E476">
        <f>COUNTIF(Analise!U:U,Notas_sem_indexar!C476)</f>
        <v>1</v>
      </c>
      <c r="G476" t="str">
        <f>IF(F476&lt;&gt;"",VLOOKUP(F476,'Obras e Acervos'!$C:$D,2,0),"OK")</f>
        <v>OK</v>
      </c>
    </row>
    <row r="477" spans="1:7" hidden="1" x14ac:dyDescent="0.25">
      <c r="A477" t="s">
        <v>5705</v>
      </c>
      <c r="B477" s="1">
        <v>46091</v>
      </c>
      <c r="C477" t="s">
        <v>5311</v>
      </c>
      <c r="D477" s="36" t="str">
        <f t="shared" si="7"/>
        <v>64307304_20260310_nf_02.pdf</v>
      </c>
      <c r="E477">
        <f>COUNTIF(Analise!U:U,Notas_sem_indexar!C477)</f>
        <v>1</v>
      </c>
      <c r="G477" t="str">
        <f>IF(F477&lt;&gt;"",VLOOKUP(F477,'Obras e Acervos'!$C:$D,2,0),"OK")</f>
        <v>OK</v>
      </c>
    </row>
    <row r="478" spans="1:7" hidden="1" x14ac:dyDescent="0.25">
      <c r="A478" t="s">
        <v>5705</v>
      </c>
      <c r="B478" s="1">
        <v>46091</v>
      </c>
      <c r="C478" t="s">
        <v>5309</v>
      </c>
      <c r="D478" s="36" t="str">
        <f t="shared" si="7"/>
        <v>64307304_20260310_nf_03.pdf</v>
      </c>
      <c r="E478">
        <f>COUNTIF(Analise!U:U,Notas_sem_indexar!C478)</f>
        <v>1</v>
      </c>
      <c r="G478" t="str">
        <f>IF(F478&lt;&gt;"",VLOOKUP(F478,'Obras e Acervos'!$C:$D,2,0),"OK")</f>
        <v>OK</v>
      </c>
    </row>
    <row r="479" spans="1:7" x14ac:dyDescent="0.25">
      <c r="A479" t="s">
        <v>5705</v>
      </c>
      <c r="B479" s="1">
        <v>46091</v>
      </c>
      <c r="C479" t="s">
        <v>5715</v>
      </c>
      <c r="D479" s="36" t="str">
        <f t="shared" si="7"/>
        <v>VERIFICAR</v>
      </c>
      <c r="E479">
        <f>COUNTIF(Analise!U:U,Notas_sem_indexar!C479)</f>
        <v>0</v>
      </c>
      <c r="F479" s="35" t="s">
        <v>1650</v>
      </c>
      <c r="G479" t="str">
        <f>IF(F479&lt;&gt;"",VLOOKUP(F479,'Obras e Acervos'!$C:$D,2,0),"OK")</f>
        <v>FERNANDES &amp; WARTH EDITORA E DISTRIBUIDORA LTDA.-PALLAS MÍNI</v>
      </c>
    </row>
    <row r="480" spans="1:7" hidden="1" x14ac:dyDescent="0.25">
      <c r="A480" t="s">
        <v>5705</v>
      </c>
      <c r="B480" s="1">
        <v>46091</v>
      </c>
      <c r="C480" t="s">
        <v>5307</v>
      </c>
      <c r="D480" s="36" t="str">
        <f t="shared" si="7"/>
        <v>64307304_20260310_nf_05.pdf</v>
      </c>
      <c r="E480">
        <f>COUNTIF(Analise!U:U,Notas_sem_indexar!C480)</f>
        <v>1</v>
      </c>
      <c r="G480" t="str">
        <f>IF(F480&lt;&gt;"",VLOOKUP(F480,'Obras e Acervos'!$C:$D,2,0),"OK")</f>
        <v>OK</v>
      </c>
    </row>
    <row r="481" spans="1:7" x14ac:dyDescent="0.25">
      <c r="A481" t="s">
        <v>5705</v>
      </c>
      <c r="B481" s="1">
        <v>46091</v>
      </c>
      <c r="C481" t="s">
        <v>5716</v>
      </c>
      <c r="D481" s="36" t="str">
        <f t="shared" si="7"/>
        <v>VERIFICAR</v>
      </c>
      <c r="E481">
        <f>COUNTIF(Analise!U:U,Notas_sem_indexar!C481)</f>
        <v>0</v>
      </c>
      <c r="G481" t="s">
        <v>5787</v>
      </c>
    </row>
    <row r="482" spans="1:7" hidden="1" x14ac:dyDescent="0.25">
      <c r="A482" t="s">
        <v>5705</v>
      </c>
      <c r="B482" s="1">
        <v>46091</v>
      </c>
      <c r="C482" t="s">
        <v>5317</v>
      </c>
      <c r="D482" s="36" t="str">
        <f t="shared" si="7"/>
        <v>64307304_20260310_nf_07.pdf</v>
      </c>
      <c r="E482">
        <f>COUNTIF(Analise!U:U,Notas_sem_indexar!C482)</f>
        <v>1</v>
      </c>
      <c r="G482" t="str">
        <f>IF(F482&lt;&gt;"",VLOOKUP(F482,'Obras e Acervos'!$C:$D,2,0),"OK")</f>
        <v>OK</v>
      </c>
    </row>
    <row r="483" spans="1:7" x14ac:dyDescent="0.25">
      <c r="A483" t="s">
        <v>5705</v>
      </c>
      <c r="B483" s="1">
        <v>46091</v>
      </c>
      <c r="C483" t="s">
        <v>5717</v>
      </c>
      <c r="D483" s="36" t="str">
        <f t="shared" si="7"/>
        <v>VERIFICAR</v>
      </c>
      <c r="E483">
        <f>COUNTIF(Analise!U:U,Notas_sem_indexar!C483)</f>
        <v>0</v>
      </c>
      <c r="G483" t="s">
        <v>5788</v>
      </c>
    </row>
    <row r="484" spans="1:7" hidden="1" x14ac:dyDescent="0.25">
      <c r="A484" t="s">
        <v>5705</v>
      </c>
      <c r="B484" s="1">
        <v>46091</v>
      </c>
      <c r="C484" t="s">
        <v>5313</v>
      </c>
      <c r="D484" s="36" t="str">
        <f t="shared" si="7"/>
        <v>64307304_20260310_nf_09.pdf</v>
      </c>
      <c r="E484">
        <f>COUNTIF(Analise!U:U,Notas_sem_indexar!C484)</f>
        <v>1</v>
      </c>
      <c r="G484" t="str">
        <f>IF(F484&lt;&gt;"",VLOOKUP(F484,'Obras e Acervos'!$C:$D,2,0),"OK")</f>
        <v>OK</v>
      </c>
    </row>
    <row r="485" spans="1:7" hidden="1" x14ac:dyDescent="0.25">
      <c r="A485" t="s">
        <v>5705</v>
      </c>
      <c r="B485" s="1">
        <v>46091</v>
      </c>
      <c r="C485" t="s">
        <v>5312</v>
      </c>
      <c r="D485" s="36" t="str">
        <f t="shared" si="7"/>
        <v>64307304_20260310_nf_10.pdf</v>
      </c>
      <c r="E485">
        <f>COUNTIF(Analise!U:U,Notas_sem_indexar!C485)</f>
        <v>1</v>
      </c>
      <c r="G485" t="str">
        <f>IF(F485&lt;&gt;"",VLOOKUP(F485,'Obras e Acervos'!$C:$D,2,0),"OK")</f>
        <v>OK</v>
      </c>
    </row>
    <row r="486" spans="1:7" x14ac:dyDescent="0.25">
      <c r="A486" t="s">
        <v>5705</v>
      </c>
      <c r="B486" s="1">
        <v>46091</v>
      </c>
      <c r="C486" t="s">
        <v>5718</v>
      </c>
      <c r="D486" s="36" t="str">
        <f t="shared" si="7"/>
        <v>VERIFICAR</v>
      </c>
      <c r="E486">
        <f>COUNTIF(Analise!U:U,Notas_sem_indexar!C486)</f>
        <v>0</v>
      </c>
      <c r="F486" s="35" t="s">
        <v>1570</v>
      </c>
      <c r="G486" t="str">
        <f>IF(F486&lt;&gt;"",VLOOKUP(F486,'Obras e Acervos'!$C:$D,2,0),"OK")</f>
        <v>ARACARI EDITORA E ASSESSORIA LTDA -ARACARI EDITORIAL</v>
      </c>
    </row>
    <row r="487" spans="1:7" hidden="1" x14ac:dyDescent="0.25">
      <c r="A487" t="s">
        <v>5705</v>
      </c>
      <c r="B487" s="1">
        <v>46091</v>
      </c>
      <c r="C487" t="s">
        <v>5320</v>
      </c>
      <c r="D487" s="36" t="str">
        <f t="shared" si="7"/>
        <v>64307304_20260310_nf_12.pdf</v>
      </c>
      <c r="E487">
        <f>COUNTIF(Analise!U:U,Notas_sem_indexar!C487)</f>
        <v>1</v>
      </c>
      <c r="G487" t="str">
        <f>IF(F487&lt;&gt;"",VLOOKUP(F487,'Obras e Acervos'!$C:$D,2,0),"OK")</f>
        <v>OK</v>
      </c>
    </row>
    <row r="488" spans="1:7" x14ac:dyDescent="0.25">
      <c r="A488" t="s">
        <v>5705</v>
      </c>
      <c r="B488" s="1">
        <v>46091</v>
      </c>
      <c r="C488" t="s">
        <v>5308</v>
      </c>
      <c r="D488" s="36" t="str">
        <f t="shared" si="7"/>
        <v>VERIFICAR</v>
      </c>
      <c r="E488">
        <f>COUNTIF(Analise!U:U,Notas_sem_indexar!C488)</f>
        <v>0</v>
      </c>
      <c r="G488" t="s">
        <v>5779</v>
      </c>
    </row>
    <row r="489" spans="1:7" x14ac:dyDescent="0.25">
      <c r="A489" t="s">
        <v>5705</v>
      </c>
      <c r="B489" s="1">
        <v>46091</v>
      </c>
      <c r="C489" t="s">
        <v>5719</v>
      </c>
      <c r="D489" s="36" t="str">
        <f t="shared" si="7"/>
        <v>VERIFICAR</v>
      </c>
      <c r="E489">
        <f>COUNTIF(Analise!U:U,Notas_sem_indexar!C489)</f>
        <v>0</v>
      </c>
      <c r="G489" t="s">
        <v>5774</v>
      </c>
    </row>
    <row r="490" spans="1:7" hidden="1" x14ac:dyDescent="0.25">
      <c r="A490" t="s">
        <v>5705</v>
      </c>
      <c r="B490" s="1">
        <v>46091</v>
      </c>
      <c r="C490" t="s">
        <v>5321</v>
      </c>
      <c r="D490" s="36" t="str">
        <f t="shared" si="7"/>
        <v>64307304_20260310_nf_15.pdf</v>
      </c>
      <c r="E490">
        <f>COUNTIF(Analise!U:U,Notas_sem_indexar!C490)</f>
        <v>1</v>
      </c>
      <c r="G490" t="str">
        <f>IF(F490&lt;&gt;"",VLOOKUP(F490,'Obras e Acervos'!$C:$D,2,0),"OK")</f>
        <v>OK</v>
      </c>
    </row>
    <row r="491" spans="1:7" x14ac:dyDescent="0.25">
      <c r="A491" t="s">
        <v>5705</v>
      </c>
      <c r="B491" s="1">
        <v>46091</v>
      </c>
      <c r="C491" t="s">
        <v>5310</v>
      </c>
      <c r="D491" s="36" t="str">
        <f t="shared" si="7"/>
        <v>VERIFICAR</v>
      </c>
      <c r="E491">
        <f>COUNTIF(Analise!U:U,Notas_sem_indexar!C491)</f>
        <v>0</v>
      </c>
      <c r="G491" t="s">
        <v>5789</v>
      </c>
    </row>
    <row r="492" spans="1:7" hidden="1" x14ac:dyDescent="0.25">
      <c r="A492" t="s">
        <v>5705</v>
      </c>
      <c r="B492" s="1">
        <v>46091</v>
      </c>
      <c r="C492" t="s">
        <v>5323</v>
      </c>
      <c r="D492" s="36" t="str">
        <f t="shared" si="7"/>
        <v>64307304_20260310_nf_17.pdf</v>
      </c>
      <c r="E492">
        <f>COUNTIF(Analise!U:U,Notas_sem_indexar!C492)</f>
        <v>1</v>
      </c>
      <c r="G492" t="str">
        <f>IF(F492&lt;&gt;"",VLOOKUP(F492,'Obras e Acervos'!$C:$D,2,0),"OK")</f>
        <v>OK</v>
      </c>
    </row>
    <row r="493" spans="1:7" x14ac:dyDescent="0.25">
      <c r="A493" t="s">
        <v>5705</v>
      </c>
      <c r="B493" s="1">
        <v>46091</v>
      </c>
      <c r="C493" t="s">
        <v>5720</v>
      </c>
      <c r="D493" s="36" t="str">
        <f t="shared" si="7"/>
        <v>VERIFICAR</v>
      </c>
      <c r="E493">
        <f>COUNTIF(Analise!U:U,Notas_sem_indexar!C493)</f>
        <v>0</v>
      </c>
      <c r="G493" t="s">
        <v>5790</v>
      </c>
    </row>
    <row r="494" spans="1:7" hidden="1" x14ac:dyDescent="0.25">
      <c r="A494" t="s">
        <v>5705</v>
      </c>
      <c r="B494" s="1">
        <v>46091</v>
      </c>
      <c r="C494" t="s">
        <v>5319</v>
      </c>
      <c r="D494" s="36" t="str">
        <f t="shared" si="7"/>
        <v>64307304_20260310_nf_19.pdf</v>
      </c>
      <c r="E494">
        <f>COUNTIF(Analise!U:U,Notas_sem_indexar!C494)</f>
        <v>1</v>
      </c>
      <c r="G494" t="str">
        <f>IF(F494&lt;&gt;"",VLOOKUP(F494,'Obras e Acervos'!$C:$D,2,0),"OK")</f>
        <v>OK</v>
      </c>
    </row>
    <row r="495" spans="1:7" hidden="1" x14ac:dyDescent="0.25">
      <c r="A495" t="s">
        <v>5705</v>
      </c>
      <c r="B495" s="1">
        <v>46091</v>
      </c>
      <c r="C495" t="s">
        <v>5318</v>
      </c>
      <c r="D495" s="36" t="str">
        <f t="shared" si="7"/>
        <v>64307304_20260310_nf_20.pdf</v>
      </c>
      <c r="E495">
        <f>COUNTIF(Analise!U:U,Notas_sem_indexar!C495)</f>
        <v>1</v>
      </c>
      <c r="G495" t="str">
        <f>IF(F495&lt;&gt;"",VLOOKUP(F495,'Obras e Acervos'!$C:$D,2,0),"OK")</f>
        <v>OK</v>
      </c>
    </row>
    <row r="496" spans="1:7" x14ac:dyDescent="0.25">
      <c r="A496" t="s">
        <v>5705</v>
      </c>
      <c r="B496" s="1">
        <v>46091</v>
      </c>
      <c r="C496" t="s">
        <v>5721</v>
      </c>
      <c r="D496" s="36" t="str">
        <f t="shared" si="7"/>
        <v>VERIFICAR</v>
      </c>
      <c r="E496">
        <f>COUNTIF(Analise!U:U,Notas_sem_indexar!C496)</f>
        <v>0</v>
      </c>
      <c r="G496" t="s">
        <v>5790</v>
      </c>
    </row>
    <row r="497" spans="1:7" hidden="1" x14ac:dyDescent="0.25">
      <c r="A497" t="s">
        <v>5705</v>
      </c>
      <c r="B497" s="1">
        <v>46091</v>
      </c>
      <c r="C497" t="s">
        <v>5315</v>
      </c>
      <c r="D497" s="36" t="str">
        <f t="shared" si="7"/>
        <v>64307304_20260310_nf_22.pdf</v>
      </c>
      <c r="E497">
        <f>COUNTIF(Analise!U:U,Notas_sem_indexar!C497)</f>
        <v>1</v>
      </c>
      <c r="G497" t="str">
        <f>IF(F497&lt;&gt;"",VLOOKUP(F497,'Obras e Acervos'!$C:$D,2,0),"OK")</f>
        <v>OK</v>
      </c>
    </row>
    <row r="498" spans="1:7" hidden="1" x14ac:dyDescent="0.25">
      <c r="A498" t="s">
        <v>5705</v>
      </c>
      <c r="B498" s="1">
        <v>46091</v>
      </c>
      <c r="C498" t="s">
        <v>5316</v>
      </c>
      <c r="D498" s="36" t="str">
        <f t="shared" si="7"/>
        <v>64307304_20260310_nf_23.pdf</v>
      </c>
      <c r="E498">
        <f>COUNTIF(Analise!U:U,Notas_sem_indexar!C498)</f>
        <v>1</v>
      </c>
      <c r="G498" t="str">
        <f>IF(F498&lt;&gt;"",VLOOKUP(F498,'Obras e Acervos'!$C:$D,2,0),"OK")</f>
        <v>OK</v>
      </c>
    </row>
    <row r="499" spans="1:7" x14ac:dyDescent="0.25">
      <c r="A499" t="s">
        <v>5705</v>
      </c>
      <c r="B499" s="1">
        <v>46091</v>
      </c>
      <c r="C499" t="s">
        <v>5722</v>
      </c>
      <c r="D499" s="36" t="str">
        <f t="shared" si="7"/>
        <v>VERIFICAR</v>
      </c>
      <c r="E499">
        <f>COUNTIF(Analise!U:U,Notas_sem_indexar!C499)</f>
        <v>0</v>
      </c>
      <c r="G499" t="s">
        <v>5774</v>
      </c>
    </row>
    <row r="500" spans="1:7" hidden="1" x14ac:dyDescent="0.25">
      <c r="A500" t="s">
        <v>5705</v>
      </c>
      <c r="B500" s="1">
        <v>46091</v>
      </c>
      <c r="C500" t="s">
        <v>5325</v>
      </c>
      <c r="D500" s="36" t="str">
        <f t="shared" si="7"/>
        <v>64307304_20260310_nf_25.pdf</v>
      </c>
      <c r="E500">
        <f>COUNTIF(Analise!U:U,Notas_sem_indexar!C500)</f>
        <v>2</v>
      </c>
      <c r="G500" t="str">
        <f>IF(F500&lt;&gt;"",VLOOKUP(F500,'Obras e Acervos'!$C:$D,2,0),"OK")</f>
        <v>OK</v>
      </c>
    </row>
    <row r="501" spans="1:7" x14ac:dyDescent="0.25">
      <c r="A501" t="s">
        <v>5705</v>
      </c>
      <c r="B501" s="1">
        <v>46091</v>
      </c>
      <c r="C501" t="s">
        <v>5324</v>
      </c>
      <c r="D501" s="36" t="str">
        <f t="shared" si="7"/>
        <v>VERIFICAR</v>
      </c>
      <c r="E501">
        <f>COUNTIF(Analise!U:U,Notas_sem_indexar!C501)</f>
        <v>0</v>
      </c>
      <c r="F501" s="35" t="s">
        <v>5762</v>
      </c>
      <c r="G501" t="str">
        <f>IF(F501&lt;&gt;"",VLOOKUP(F501,'Obras e Acervos'!$C:$D,2,0),"OK")</f>
        <v>SB SISTEMA DE ENSINO E EDITORA LTDA.-SB SISTEMA DE ENSINO</v>
      </c>
    </row>
    <row r="502" spans="1:7" x14ac:dyDescent="0.25">
      <c r="A502" t="s">
        <v>5705</v>
      </c>
      <c r="B502" s="1">
        <v>46091</v>
      </c>
      <c r="C502" t="s">
        <v>5322</v>
      </c>
      <c r="D502" s="36" t="str">
        <f t="shared" si="7"/>
        <v>VERIFICAR</v>
      </c>
      <c r="E502">
        <f>COUNTIF(Analise!U:U,Notas_sem_indexar!C502)</f>
        <v>0</v>
      </c>
      <c r="F502" s="35" t="s">
        <v>5762</v>
      </c>
      <c r="G502" t="str">
        <f>IF(F502&lt;&gt;"",VLOOKUP(F502,'Obras e Acervos'!$C:$D,2,0),"OK")</f>
        <v>SB SISTEMA DE ENSINO E EDITORA LTDA.-SB SISTEMA DE ENSINO</v>
      </c>
    </row>
    <row r="503" spans="1:7" hidden="1" x14ac:dyDescent="0.25">
      <c r="A503" t="s">
        <v>5631</v>
      </c>
      <c r="B503" s="1">
        <v>46076</v>
      </c>
      <c r="C503" t="s">
        <v>5338</v>
      </c>
      <c r="D503" s="36" t="str">
        <f t="shared" si="7"/>
        <v>64307505_20260223_nf_01.pdf</v>
      </c>
      <c r="E503">
        <f>COUNTIF(Analise!U:U,Notas_sem_indexar!C503)</f>
        <v>1</v>
      </c>
      <c r="G503" t="str">
        <f>IF(F503&lt;&gt;"",VLOOKUP(F503,'Obras e Acervos'!$C:$D,2,0),"OK")</f>
        <v>OK</v>
      </c>
    </row>
    <row r="504" spans="1:7" hidden="1" x14ac:dyDescent="0.25">
      <c r="A504" t="s">
        <v>5631</v>
      </c>
      <c r="B504" s="1">
        <v>46076</v>
      </c>
      <c r="C504" t="s">
        <v>5329</v>
      </c>
      <c r="D504" s="36" t="str">
        <f t="shared" si="7"/>
        <v>64307505_20260223_nf_02.pdf</v>
      </c>
      <c r="E504">
        <f>COUNTIF(Analise!U:U,Notas_sem_indexar!C504)</f>
        <v>1</v>
      </c>
      <c r="G504" t="str">
        <f>IF(F504&lt;&gt;"",VLOOKUP(F504,'Obras e Acervos'!$C:$D,2,0),"OK")</f>
        <v>OK</v>
      </c>
    </row>
    <row r="505" spans="1:7" hidden="1" x14ac:dyDescent="0.25">
      <c r="A505" t="s">
        <v>5631</v>
      </c>
      <c r="B505" s="1">
        <v>46076</v>
      </c>
      <c r="C505" t="s">
        <v>5328</v>
      </c>
      <c r="D505" s="36" t="str">
        <f t="shared" si="7"/>
        <v>64307505_20260223_nf_03.pdf</v>
      </c>
      <c r="E505">
        <f>COUNTIF(Analise!U:U,Notas_sem_indexar!C505)</f>
        <v>1</v>
      </c>
      <c r="G505" t="str">
        <f>IF(F505&lt;&gt;"",VLOOKUP(F505,'Obras e Acervos'!$C:$D,2,0),"OK")</f>
        <v>OK</v>
      </c>
    </row>
    <row r="506" spans="1:7" hidden="1" x14ac:dyDescent="0.25">
      <c r="A506" t="s">
        <v>5631</v>
      </c>
      <c r="B506" s="1">
        <v>46076</v>
      </c>
      <c r="C506" t="s">
        <v>5344</v>
      </c>
      <c r="D506" s="36" t="str">
        <f t="shared" si="7"/>
        <v>64307505_20260223_nf_04.pdf</v>
      </c>
      <c r="E506">
        <f>COUNTIF(Analise!U:U,Notas_sem_indexar!C506)</f>
        <v>2</v>
      </c>
      <c r="G506" t="str">
        <f>IF(F506&lt;&gt;"",VLOOKUP(F506,'Obras e Acervos'!$C:$D,2,0),"OK")</f>
        <v>OK</v>
      </c>
    </row>
    <row r="507" spans="1:7" hidden="1" x14ac:dyDescent="0.25">
      <c r="A507" t="s">
        <v>5631</v>
      </c>
      <c r="B507" s="1">
        <v>46076</v>
      </c>
      <c r="C507" t="s">
        <v>5340</v>
      </c>
      <c r="D507" s="36" t="str">
        <f t="shared" si="7"/>
        <v>64307505_20260223_nf_05.pdf</v>
      </c>
      <c r="E507">
        <f>COUNTIF(Analise!U:U,Notas_sem_indexar!C507)</f>
        <v>2</v>
      </c>
      <c r="G507" t="str">
        <f>IF(F507&lt;&gt;"",VLOOKUP(F507,'Obras e Acervos'!$C:$D,2,0),"OK")</f>
        <v>OK</v>
      </c>
    </row>
    <row r="508" spans="1:7" hidden="1" x14ac:dyDescent="0.25">
      <c r="A508" t="s">
        <v>5631</v>
      </c>
      <c r="B508" s="1">
        <v>46076</v>
      </c>
      <c r="C508" t="s">
        <v>5330</v>
      </c>
      <c r="D508" s="36" t="str">
        <f t="shared" si="7"/>
        <v>64307505_20260223_nf_06.pdf</v>
      </c>
      <c r="E508">
        <f>COUNTIF(Analise!U:U,Notas_sem_indexar!C508)</f>
        <v>1</v>
      </c>
      <c r="G508" t="str">
        <f>IF(F508&lt;&gt;"",VLOOKUP(F508,'Obras e Acervos'!$C:$D,2,0),"OK")</f>
        <v>OK</v>
      </c>
    </row>
    <row r="509" spans="1:7" hidden="1" x14ac:dyDescent="0.25">
      <c r="A509" t="s">
        <v>5631</v>
      </c>
      <c r="B509" s="1">
        <v>46076</v>
      </c>
      <c r="C509" t="s">
        <v>5331</v>
      </c>
      <c r="D509" s="36" t="str">
        <f t="shared" si="7"/>
        <v>64307505_20260223_nf_07.pdf</v>
      </c>
      <c r="E509">
        <f>COUNTIF(Analise!U:U,Notas_sem_indexar!C509)</f>
        <v>1</v>
      </c>
      <c r="G509" t="str">
        <f>IF(F509&lt;&gt;"",VLOOKUP(F509,'Obras e Acervos'!$C:$D,2,0),"OK")</f>
        <v>OK</v>
      </c>
    </row>
    <row r="510" spans="1:7" hidden="1" x14ac:dyDescent="0.25">
      <c r="A510" t="s">
        <v>5631</v>
      </c>
      <c r="B510" s="1">
        <v>46076</v>
      </c>
      <c r="C510" t="s">
        <v>5335</v>
      </c>
      <c r="D510" s="36" t="str">
        <f t="shared" si="7"/>
        <v>64307505_20260223_nf_08.pdf</v>
      </c>
      <c r="E510">
        <f>COUNTIF(Analise!U:U,Notas_sem_indexar!C510)</f>
        <v>2</v>
      </c>
      <c r="G510" t="str">
        <f>IF(F510&lt;&gt;"",VLOOKUP(F510,'Obras e Acervos'!$C:$D,2,0),"OK")</f>
        <v>OK</v>
      </c>
    </row>
    <row r="511" spans="1:7" hidden="1" x14ac:dyDescent="0.25">
      <c r="A511" t="s">
        <v>5631</v>
      </c>
      <c r="B511" s="1">
        <v>46076</v>
      </c>
      <c r="C511" t="s">
        <v>5348</v>
      </c>
      <c r="D511" s="36" t="str">
        <f t="shared" si="7"/>
        <v>64307505_20260223_nf_09.pdf</v>
      </c>
      <c r="E511">
        <f>COUNTIF(Analise!U:U,Notas_sem_indexar!C511)</f>
        <v>2</v>
      </c>
      <c r="G511" t="str">
        <f>IF(F511&lt;&gt;"",VLOOKUP(F511,'Obras e Acervos'!$C:$D,2,0),"OK")</f>
        <v>OK</v>
      </c>
    </row>
    <row r="512" spans="1:7" hidden="1" x14ac:dyDescent="0.25">
      <c r="A512" t="s">
        <v>5631</v>
      </c>
      <c r="B512" s="1">
        <v>46076</v>
      </c>
      <c r="C512" t="s">
        <v>5334</v>
      </c>
      <c r="D512" s="36" t="str">
        <f t="shared" si="7"/>
        <v>64307505_20260223_nf_10.pdf</v>
      </c>
      <c r="E512">
        <f>COUNTIF(Analise!U:U,Notas_sem_indexar!C512)</f>
        <v>1</v>
      </c>
      <c r="G512" t="str">
        <f>IF(F512&lt;&gt;"",VLOOKUP(F512,'Obras e Acervos'!$C:$D,2,0),"OK")</f>
        <v>OK</v>
      </c>
    </row>
    <row r="513" spans="1:7" hidden="1" x14ac:dyDescent="0.25">
      <c r="A513" t="s">
        <v>5631</v>
      </c>
      <c r="B513" s="1">
        <v>46076</v>
      </c>
      <c r="C513" t="s">
        <v>5342</v>
      </c>
      <c r="D513" s="36" t="str">
        <f t="shared" si="7"/>
        <v>64307505_20260223_nf_11.pdf</v>
      </c>
      <c r="E513">
        <f>COUNTIF(Analise!U:U,Notas_sem_indexar!C513)</f>
        <v>1</v>
      </c>
      <c r="G513" t="str">
        <f>IF(F513&lt;&gt;"",VLOOKUP(F513,'Obras e Acervos'!$C:$D,2,0),"OK")</f>
        <v>OK</v>
      </c>
    </row>
    <row r="514" spans="1:7" hidden="1" x14ac:dyDescent="0.25">
      <c r="A514" t="s">
        <v>5631</v>
      </c>
      <c r="B514" s="1">
        <v>46076</v>
      </c>
      <c r="C514" t="s">
        <v>5326</v>
      </c>
      <c r="D514" s="36" t="str">
        <f t="shared" si="7"/>
        <v>64307505_20260223_nf_12.pdf</v>
      </c>
      <c r="E514">
        <f>COUNTIF(Analise!U:U,Notas_sem_indexar!C514)</f>
        <v>1</v>
      </c>
      <c r="G514" t="str">
        <f>IF(F514&lt;&gt;"",VLOOKUP(F514,'Obras e Acervos'!$C:$D,2,0),"OK")</f>
        <v>OK</v>
      </c>
    </row>
    <row r="515" spans="1:7" hidden="1" x14ac:dyDescent="0.25">
      <c r="A515" t="s">
        <v>5631</v>
      </c>
      <c r="B515" s="1">
        <v>46076</v>
      </c>
      <c r="C515" t="s">
        <v>5336</v>
      </c>
      <c r="D515" s="36" t="str">
        <f t="shared" ref="D515:D578" si="8">IF(E515=0,HYPERLINK(CONCATENATE("saida/",C515),"VERIFICAR"),HYPERLINK(CONCATENATE("saida/",C515),C515))</f>
        <v>64307505_20260223_nf_13.pdf</v>
      </c>
      <c r="E515">
        <f>COUNTIF(Analise!U:U,Notas_sem_indexar!C515)</f>
        <v>1</v>
      </c>
      <c r="G515" t="str">
        <f>IF(F515&lt;&gt;"",VLOOKUP(F515,'Obras e Acervos'!$C:$D,2,0),"OK")</f>
        <v>OK</v>
      </c>
    </row>
    <row r="516" spans="1:7" hidden="1" x14ac:dyDescent="0.25">
      <c r="A516" t="s">
        <v>5631</v>
      </c>
      <c r="B516" s="1">
        <v>46076</v>
      </c>
      <c r="C516" t="s">
        <v>5337</v>
      </c>
      <c r="D516" s="36" t="str">
        <f t="shared" si="8"/>
        <v>64307505_20260223_nf_14.pdf</v>
      </c>
      <c r="E516">
        <f>COUNTIF(Analise!U:U,Notas_sem_indexar!C516)</f>
        <v>1</v>
      </c>
      <c r="G516" t="str">
        <f>IF(F516&lt;&gt;"",VLOOKUP(F516,'Obras e Acervos'!$C:$D,2,0),"OK")</f>
        <v>OK</v>
      </c>
    </row>
    <row r="517" spans="1:7" hidden="1" x14ac:dyDescent="0.25">
      <c r="A517" t="s">
        <v>5631</v>
      </c>
      <c r="B517" s="1">
        <v>46076</v>
      </c>
      <c r="C517" t="s">
        <v>5339</v>
      </c>
      <c r="D517" s="36" t="str">
        <f t="shared" si="8"/>
        <v>64307505_20260223_nf_15.pdf</v>
      </c>
      <c r="E517">
        <f>COUNTIF(Analise!U:U,Notas_sem_indexar!C517)</f>
        <v>2</v>
      </c>
      <c r="G517" t="str">
        <f>IF(F517&lt;&gt;"",VLOOKUP(F517,'Obras e Acervos'!$C:$D,2,0),"OK")</f>
        <v>OK</v>
      </c>
    </row>
    <row r="518" spans="1:7" hidden="1" x14ac:dyDescent="0.25">
      <c r="A518" t="s">
        <v>5631</v>
      </c>
      <c r="B518" s="1">
        <v>46076</v>
      </c>
      <c r="C518" t="s">
        <v>5327</v>
      </c>
      <c r="D518" s="36" t="str">
        <f t="shared" si="8"/>
        <v>64307505_20260223_nf_16.pdf</v>
      </c>
      <c r="E518">
        <f>COUNTIF(Analise!U:U,Notas_sem_indexar!C518)</f>
        <v>2</v>
      </c>
      <c r="G518" t="str">
        <f>IF(F518&lt;&gt;"",VLOOKUP(F518,'Obras e Acervos'!$C:$D,2,0),"OK")</f>
        <v>OK</v>
      </c>
    </row>
    <row r="519" spans="1:7" hidden="1" x14ac:dyDescent="0.25">
      <c r="A519" t="s">
        <v>5631</v>
      </c>
      <c r="B519" s="1">
        <v>46076</v>
      </c>
      <c r="C519" t="s">
        <v>5351</v>
      </c>
      <c r="D519" s="36" t="str">
        <f t="shared" si="8"/>
        <v>64307505_20260223_nf_17.pdf</v>
      </c>
      <c r="E519">
        <f>COUNTIF(Analise!U:U,Notas_sem_indexar!C519)</f>
        <v>2</v>
      </c>
      <c r="G519" t="str">
        <f>IF(F519&lt;&gt;"",VLOOKUP(F519,'Obras e Acervos'!$C:$D,2,0),"OK")</f>
        <v>OK</v>
      </c>
    </row>
    <row r="520" spans="1:7" hidden="1" x14ac:dyDescent="0.25">
      <c r="A520" t="s">
        <v>5631</v>
      </c>
      <c r="B520" s="1">
        <v>46076</v>
      </c>
      <c r="C520" t="s">
        <v>5332</v>
      </c>
      <c r="D520" s="36" t="str">
        <f t="shared" si="8"/>
        <v>64307505_20260223_nf_18.pdf</v>
      </c>
      <c r="E520">
        <f>COUNTIF(Analise!U:U,Notas_sem_indexar!C520)</f>
        <v>1</v>
      </c>
      <c r="G520" t="str">
        <f>IF(F520&lt;&gt;"",VLOOKUP(F520,'Obras e Acervos'!$C:$D,2,0),"OK")</f>
        <v>OK</v>
      </c>
    </row>
    <row r="521" spans="1:7" hidden="1" x14ac:dyDescent="0.25">
      <c r="A521" t="s">
        <v>5631</v>
      </c>
      <c r="B521" s="1">
        <v>46076</v>
      </c>
      <c r="C521" t="s">
        <v>5347</v>
      </c>
      <c r="D521" s="36" t="str">
        <f t="shared" si="8"/>
        <v>64307505_20260223_nf_19.pdf</v>
      </c>
      <c r="E521">
        <f>COUNTIF(Analise!U:U,Notas_sem_indexar!C521)</f>
        <v>1</v>
      </c>
      <c r="G521" t="str">
        <f>IF(F521&lt;&gt;"",VLOOKUP(F521,'Obras e Acervos'!$C:$D,2,0),"OK")</f>
        <v>OK</v>
      </c>
    </row>
    <row r="522" spans="1:7" hidden="1" x14ac:dyDescent="0.25">
      <c r="A522" t="s">
        <v>5631</v>
      </c>
      <c r="B522" s="1">
        <v>46076</v>
      </c>
      <c r="C522" t="s">
        <v>5349</v>
      </c>
      <c r="D522" s="36" t="str">
        <f t="shared" si="8"/>
        <v>64307505_20260223_nf_20.pdf</v>
      </c>
      <c r="E522">
        <f>COUNTIF(Analise!U:U,Notas_sem_indexar!C522)</f>
        <v>1</v>
      </c>
      <c r="G522" t="str">
        <f>IF(F522&lt;&gt;"",VLOOKUP(F522,'Obras e Acervos'!$C:$D,2,0),"OK")</f>
        <v>OK</v>
      </c>
    </row>
    <row r="523" spans="1:7" hidden="1" x14ac:dyDescent="0.25">
      <c r="A523" t="s">
        <v>5631</v>
      </c>
      <c r="B523" s="1">
        <v>46076</v>
      </c>
      <c r="C523" t="s">
        <v>5341</v>
      </c>
      <c r="D523" s="36" t="str">
        <f t="shared" si="8"/>
        <v>64307505_20260223_nf_21.pdf</v>
      </c>
      <c r="E523">
        <f>COUNTIF(Analise!U:U,Notas_sem_indexar!C523)</f>
        <v>1</v>
      </c>
      <c r="G523" t="str">
        <f>IF(F523&lt;&gt;"",VLOOKUP(F523,'Obras e Acervos'!$C:$D,2,0),"OK")</f>
        <v>OK</v>
      </c>
    </row>
    <row r="524" spans="1:7" x14ac:dyDescent="0.25">
      <c r="A524" t="s">
        <v>5631</v>
      </c>
      <c r="B524" s="1">
        <v>46076</v>
      </c>
      <c r="C524" t="s">
        <v>5333</v>
      </c>
      <c r="D524" s="36" t="str">
        <f t="shared" si="8"/>
        <v>VERIFICAR</v>
      </c>
      <c r="E524">
        <f>COUNTIF(Analise!U:U,Notas_sem_indexar!C524)</f>
        <v>0</v>
      </c>
      <c r="G524" t="s">
        <v>5791</v>
      </c>
    </row>
    <row r="525" spans="1:7" hidden="1" x14ac:dyDescent="0.25">
      <c r="A525" t="s">
        <v>5631</v>
      </c>
      <c r="B525" s="1">
        <v>46076</v>
      </c>
      <c r="C525" t="s">
        <v>5350</v>
      </c>
      <c r="D525" s="36" t="str">
        <f t="shared" si="8"/>
        <v>64307505_20260223_nf_23.pdf</v>
      </c>
      <c r="E525">
        <f>COUNTIF(Analise!U:U,Notas_sem_indexar!C525)</f>
        <v>2</v>
      </c>
      <c r="G525" t="str">
        <f>IF(F525&lt;&gt;"",VLOOKUP(F525,'Obras e Acervos'!$C:$D,2,0),"OK")</f>
        <v>OK</v>
      </c>
    </row>
    <row r="526" spans="1:7" hidden="1" x14ac:dyDescent="0.25">
      <c r="A526" t="s">
        <v>5631</v>
      </c>
      <c r="B526" s="1">
        <v>46076</v>
      </c>
      <c r="C526" t="s">
        <v>5343</v>
      </c>
      <c r="D526" s="36" t="str">
        <f t="shared" si="8"/>
        <v>64307505_20260223_nf_24.pdf</v>
      </c>
      <c r="E526">
        <f>COUNTIF(Analise!U:U,Notas_sem_indexar!C526)</f>
        <v>1</v>
      </c>
      <c r="G526" t="str">
        <f>IF(F526&lt;&gt;"",VLOOKUP(F526,'Obras e Acervos'!$C:$D,2,0),"OK")</f>
        <v>OK</v>
      </c>
    </row>
    <row r="527" spans="1:7" hidden="1" x14ac:dyDescent="0.25">
      <c r="A527" t="s">
        <v>5631</v>
      </c>
      <c r="B527" s="1">
        <v>46076</v>
      </c>
      <c r="C527" t="s">
        <v>5354</v>
      </c>
      <c r="D527" s="36" t="str">
        <f t="shared" si="8"/>
        <v>64307505_20260223_nf_25.pdf</v>
      </c>
      <c r="E527">
        <f>COUNTIF(Analise!U:U,Notas_sem_indexar!C527)</f>
        <v>1</v>
      </c>
      <c r="G527" t="str">
        <f>IF(F527&lt;&gt;"",VLOOKUP(F527,'Obras e Acervos'!$C:$D,2,0),"OK")</f>
        <v>OK</v>
      </c>
    </row>
    <row r="528" spans="1:7" hidden="1" x14ac:dyDescent="0.25">
      <c r="A528" t="s">
        <v>5631</v>
      </c>
      <c r="B528" s="1">
        <v>46076</v>
      </c>
      <c r="C528" t="s">
        <v>5345</v>
      </c>
      <c r="D528" s="36" t="str">
        <f t="shared" si="8"/>
        <v>64307505_20260223_nf_26.pdf</v>
      </c>
      <c r="E528">
        <f>COUNTIF(Analise!U:U,Notas_sem_indexar!C528)</f>
        <v>1</v>
      </c>
      <c r="G528" t="str">
        <f>IF(F528&lt;&gt;"",VLOOKUP(F528,'Obras e Acervos'!$C:$D,2,0),"OK")</f>
        <v>OK</v>
      </c>
    </row>
    <row r="529" spans="1:7" hidden="1" x14ac:dyDescent="0.25">
      <c r="A529" t="s">
        <v>5631</v>
      </c>
      <c r="B529" s="1">
        <v>46076</v>
      </c>
      <c r="C529" t="s">
        <v>5346</v>
      </c>
      <c r="D529" s="36" t="str">
        <f t="shared" si="8"/>
        <v>64307505_20260223_nf_27.pdf</v>
      </c>
      <c r="E529">
        <f>COUNTIF(Analise!U:U,Notas_sem_indexar!C529)</f>
        <v>1</v>
      </c>
      <c r="G529" t="str">
        <f>IF(F529&lt;&gt;"",VLOOKUP(F529,'Obras e Acervos'!$C:$D,2,0),"OK")</f>
        <v>OK</v>
      </c>
    </row>
    <row r="530" spans="1:7" hidden="1" x14ac:dyDescent="0.25">
      <c r="A530" t="s">
        <v>5631</v>
      </c>
      <c r="B530" s="1">
        <v>46076</v>
      </c>
      <c r="C530" t="s">
        <v>5352</v>
      </c>
      <c r="D530" s="36" t="str">
        <f t="shared" si="8"/>
        <v>64307505_20260223_nf_28.pdf</v>
      </c>
      <c r="E530">
        <f>COUNTIF(Analise!U:U,Notas_sem_indexar!C530)</f>
        <v>1</v>
      </c>
      <c r="G530" t="str">
        <f>IF(F530&lt;&gt;"",VLOOKUP(F530,'Obras e Acervos'!$C:$D,2,0),"OK")</f>
        <v>OK</v>
      </c>
    </row>
    <row r="531" spans="1:7" hidden="1" x14ac:dyDescent="0.25">
      <c r="A531" t="s">
        <v>5631</v>
      </c>
      <c r="B531" s="1">
        <v>46076</v>
      </c>
      <c r="C531" t="s">
        <v>5353</v>
      </c>
      <c r="D531" s="36" t="str">
        <f t="shared" si="8"/>
        <v>64307505_20260223_nf_29.pdf</v>
      </c>
      <c r="E531">
        <f>COUNTIF(Analise!U:U,Notas_sem_indexar!C531)</f>
        <v>1</v>
      </c>
      <c r="G531" t="str">
        <f>IF(F531&lt;&gt;"",VLOOKUP(F531,'Obras e Acervos'!$C:$D,2,0),"OK")</f>
        <v>OK</v>
      </c>
    </row>
    <row r="532" spans="1:7" x14ac:dyDescent="0.25">
      <c r="A532" t="s">
        <v>5631</v>
      </c>
      <c r="B532" s="1">
        <v>46076</v>
      </c>
      <c r="C532" t="s">
        <v>5632</v>
      </c>
      <c r="D532" s="36" t="str">
        <f t="shared" si="8"/>
        <v>VERIFICAR</v>
      </c>
      <c r="E532">
        <f>COUNTIF(Analise!U:U,Notas_sem_indexar!C532)</f>
        <v>0</v>
      </c>
      <c r="F532" s="35" t="s">
        <v>2004</v>
      </c>
      <c r="G532" t="str">
        <f>IF(F532&lt;&gt;"",VLOOKUP(F532,'Obras e Acervos'!$C:$D,2,0),"OK")</f>
        <v>RETICÊNCIAS PRODUÇÕES LITERÁRIAS E EDITORIAIS LTDA-RETICÊNCIAS...</v>
      </c>
    </row>
    <row r="533" spans="1:7" hidden="1" x14ac:dyDescent="0.25">
      <c r="A533" t="s">
        <v>5631</v>
      </c>
      <c r="B533" s="1">
        <v>46092</v>
      </c>
      <c r="C533" t="s">
        <v>5361</v>
      </c>
      <c r="D533" s="36" t="str">
        <f t="shared" si="8"/>
        <v>64307505_20260311_nf_01.pdf</v>
      </c>
      <c r="E533">
        <f>COUNTIF(Analise!U:U,Notas_sem_indexar!C533)</f>
        <v>1</v>
      </c>
      <c r="G533" t="str">
        <f>IF(F533&lt;&gt;"",VLOOKUP(F533,'Obras e Acervos'!$C:$D,2,0),"OK")</f>
        <v>OK</v>
      </c>
    </row>
    <row r="534" spans="1:7" hidden="1" x14ac:dyDescent="0.25">
      <c r="A534" t="s">
        <v>5631</v>
      </c>
      <c r="B534" s="1">
        <v>46092</v>
      </c>
      <c r="C534" t="s">
        <v>5355</v>
      </c>
      <c r="D534" s="36" t="str">
        <f t="shared" si="8"/>
        <v>64307505_20260311_nf_02.pdf</v>
      </c>
      <c r="E534">
        <f>COUNTIF(Analise!U:U,Notas_sem_indexar!C534)</f>
        <v>1</v>
      </c>
      <c r="G534" t="str">
        <f>IF(F534&lt;&gt;"",VLOOKUP(F534,'Obras e Acervos'!$C:$D,2,0),"OK")</f>
        <v>OK</v>
      </c>
    </row>
    <row r="535" spans="1:7" hidden="1" x14ac:dyDescent="0.25">
      <c r="A535" t="s">
        <v>5631</v>
      </c>
      <c r="B535" s="1">
        <v>46092</v>
      </c>
      <c r="C535" t="s">
        <v>5356</v>
      </c>
      <c r="D535" s="36" t="str">
        <f t="shared" si="8"/>
        <v>64307505_20260311_nf_03.pdf</v>
      </c>
      <c r="E535">
        <f>COUNTIF(Analise!U:U,Notas_sem_indexar!C535)</f>
        <v>1</v>
      </c>
      <c r="G535" t="str">
        <f>IF(F535&lt;&gt;"",VLOOKUP(F535,'Obras e Acervos'!$C:$D,2,0),"OK")</f>
        <v>OK</v>
      </c>
    </row>
    <row r="536" spans="1:7" hidden="1" x14ac:dyDescent="0.25">
      <c r="A536" t="s">
        <v>5631</v>
      </c>
      <c r="B536" s="1">
        <v>46092</v>
      </c>
      <c r="C536" t="s">
        <v>5360</v>
      </c>
      <c r="D536" s="36" t="str">
        <f t="shared" si="8"/>
        <v>64307505_20260311_nf_04.pdf</v>
      </c>
      <c r="E536">
        <f>COUNTIF(Analise!U:U,Notas_sem_indexar!C536)</f>
        <v>1</v>
      </c>
      <c r="G536" t="str">
        <f>IF(F536&lt;&gt;"",VLOOKUP(F536,'Obras e Acervos'!$C:$D,2,0),"OK")</f>
        <v>OK</v>
      </c>
    </row>
    <row r="537" spans="1:7" hidden="1" x14ac:dyDescent="0.25">
      <c r="A537" t="s">
        <v>5631</v>
      </c>
      <c r="B537" s="1">
        <v>46092</v>
      </c>
      <c r="C537" t="s">
        <v>5384</v>
      </c>
      <c r="D537" s="36" t="str">
        <f t="shared" si="8"/>
        <v>64307505_20260311_nf_05.pdf</v>
      </c>
      <c r="E537">
        <f>COUNTIF(Analise!U:U,Notas_sem_indexar!C537)</f>
        <v>1</v>
      </c>
      <c r="G537" t="str">
        <f>IF(F537&lt;&gt;"",VLOOKUP(F537,'Obras e Acervos'!$C:$D,2,0),"OK")</f>
        <v>OK</v>
      </c>
    </row>
    <row r="538" spans="1:7" hidden="1" x14ac:dyDescent="0.25">
      <c r="A538" t="s">
        <v>5631</v>
      </c>
      <c r="B538" s="1">
        <v>46092</v>
      </c>
      <c r="C538" t="s">
        <v>5357</v>
      </c>
      <c r="D538" s="36" t="str">
        <f t="shared" si="8"/>
        <v>64307505_20260311_nf_06.pdf</v>
      </c>
      <c r="E538">
        <f>COUNTIF(Analise!U:U,Notas_sem_indexar!C538)</f>
        <v>1</v>
      </c>
      <c r="G538" t="str">
        <f>IF(F538&lt;&gt;"",VLOOKUP(F538,'Obras e Acervos'!$C:$D,2,0),"OK")</f>
        <v>OK</v>
      </c>
    </row>
    <row r="539" spans="1:7" hidden="1" x14ac:dyDescent="0.25">
      <c r="A539" t="s">
        <v>5631</v>
      </c>
      <c r="B539" s="1">
        <v>46092</v>
      </c>
      <c r="C539" t="s">
        <v>5382</v>
      </c>
      <c r="D539" s="36" t="str">
        <f t="shared" si="8"/>
        <v>64307505_20260311_nf_07.pdf</v>
      </c>
      <c r="E539">
        <f>COUNTIF(Analise!U:U,Notas_sem_indexar!C539)</f>
        <v>1</v>
      </c>
      <c r="G539" t="str">
        <f>IF(F539&lt;&gt;"",VLOOKUP(F539,'Obras e Acervos'!$C:$D,2,0),"OK")</f>
        <v>OK</v>
      </c>
    </row>
    <row r="540" spans="1:7" hidden="1" x14ac:dyDescent="0.25">
      <c r="A540" t="s">
        <v>5631</v>
      </c>
      <c r="B540" s="1">
        <v>46092</v>
      </c>
      <c r="C540" t="s">
        <v>5358</v>
      </c>
      <c r="D540" s="36" t="str">
        <f t="shared" si="8"/>
        <v>64307505_20260311_nf_08.pdf</v>
      </c>
      <c r="E540">
        <f>COUNTIF(Analise!U:U,Notas_sem_indexar!C540)</f>
        <v>1</v>
      </c>
      <c r="G540" t="str">
        <f>IF(F540&lt;&gt;"",VLOOKUP(F540,'Obras e Acervos'!$C:$D,2,0),"OK")</f>
        <v>OK</v>
      </c>
    </row>
    <row r="541" spans="1:7" hidden="1" x14ac:dyDescent="0.25">
      <c r="A541" t="s">
        <v>5631</v>
      </c>
      <c r="B541" s="1">
        <v>46092</v>
      </c>
      <c r="C541" t="s">
        <v>5359</v>
      </c>
      <c r="D541" s="36" t="str">
        <f t="shared" si="8"/>
        <v>64307505_20260311_nf_09.pdf</v>
      </c>
      <c r="E541">
        <f>COUNTIF(Analise!U:U,Notas_sem_indexar!C541)</f>
        <v>1</v>
      </c>
      <c r="G541" t="str">
        <f>IF(F541&lt;&gt;"",VLOOKUP(F541,'Obras e Acervos'!$C:$D,2,0),"OK")</f>
        <v>OK</v>
      </c>
    </row>
    <row r="542" spans="1:7" x14ac:dyDescent="0.25">
      <c r="A542" t="s">
        <v>5631</v>
      </c>
      <c r="B542" s="1">
        <v>46092</v>
      </c>
      <c r="C542" t="s">
        <v>5723</v>
      </c>
      <c r="D542" s="36" t="str">
        <f t="shared" si="8"/>
        <v>VERIFICAR</v>
      </c>
      <c r="E542">
        <f>COUNTIF(Analise!U:U,Notas_sem_indexar!C542)</f>
        <v>0</v>
      </c>
      <c r="F542" s="35" t="s">
        <v>1782</v>
      </c>
      <c r="G542" t="str">
        <f>IF(F542&lt;&gt;"",VLOOKUP(F542,'Obras e Acervos'!$C:$D,2,0),"OK")</f>
        <v>EDITORA LÊ LTDA-EDITORA LÊ</v>
      </c>
    </row>
    <row r="543" spans="1:7" hidden="1" x14ac:dyDescent="0.25">
      <c r="A543" t="s">
        <v>5631</v>
      </c>
      <c r="B543" s="1">
        <v>46092</v>
      </c>
      <c r="C543" t="s">
        <v>5367</v>
      </c>
      <c r="D543" s="36" t="str">
        <f t="shared" si="8"/>
        <v>64307505_20260311_nf_11.pdf</v>
      </c>
      <c r="E543">
        <f>COUNTIF(Analise!U:U,Notas_sem_indexar!C543)</f>
        <v>1</v>
      </c>
      <c r="G543" t="str">
        <f>IF(F543&lt;&gt;"",VLOOKUP(F543,'Obras e Acervos'!$C:$D,2,0),"OK")</f>
        <v>OK</v>
      </c>
    </row>
    <row r="544" spans="1:7" hidden="1" x14ac:dyDescent="0.25">
      <c r="A544" t="s">
        <v>5631</v>
      </c>
      <c r="B544" s="1">
        <v>46092</v>
      </c>
      <c r="C544" t="s">
        <v>5369</v>
      </c>
      <c r="D544" s="36" t="str">
        <f t="shared" si="8"/>
        <v>64307505_20260311_nf_12.pdf</v>
      </c>
      <c r="E544">
        <f>COUNTIF(Analise!U:U,Notas_sem_indexar!C544)</f>
        <v>1</v>
      </c>
      <c r="G544" t="str">
        <f>IF(F544&lt;&gt;"",VLOOKUP(F544,'Obras e Acervos'!$C:$D,2,0),"OK")</f>
        <v>OK</v>
      </c>
    </row>
    <row r="545" spans="1:7" x14ac:dyDescent="0.25">
      <c r="A545" t="s">
        <v>5631</v>
      </c>
      <c r="B545" s="1">
        <v>46092</v>
      </c>
      <c r="C545" t="s">
        <v>5724</v>
      </c>
      <c r="D545" s="36" t="str">
        <f t="shared" si="8"/>
        <v>VERIFICAR</v>
      </c>
      <c r="E545">
        <f>COUNTIF(Analise!U:U,Notas_sem_indexar!C545)</f>
        <v>0</v>
      </c>
      <c r="G545" t="s">
        <v>5778</v>
      </c>
    </row>
    <row r="546" spans="1:7" hidden="1" x14ac:dyDescent="0.25">
      <c r="A546" t="s">
        <v>5631</v>
      </c>
      <c r="B546" s="1">
        <v>46092</v>
      </c>
      <c r="C546" t="s">
        <v>5377</v>
      </c>
      <c r="D546" s="36" t="str">
        <f t="shared" si="8"/>
        <v>64307505_20260311_nf_14.pdf</v>
      </c>
      <c r="E546">
        <f>COUNTIF(Analise!U:U,Notas_sem_indexar!C546)</f>
        <v>1</v>
      </c>
      <c r="G546" t="str">
        <f>IF(F546&lt;&gt;"",VLOOKUP(F546,'Obras e Acervos'!$C:$D,2,0),"OK")</f>
        <v>OK</v>
      </c>
    </row>
    <row r="547" spans="1:7" hidden="1" x14ac:dyDescent="0.25">
      <c r="A547" t="s">
        <v>5631</v>
      </c>
      <c r="B547" s="1">
        <v>46092</v>
      </c>
      <c r="C547" t="s">
        <v>5364</v>
      </c>
      <c r="D547" s="36" t="str">
        <f t="shared" si="8"/>
        <v>64307505_20260311_nf_15.pdf</v>
      </c>
      <c r="E547">
        <f>COUNTIF(Analise!U:U,Notas_sem_indexar!C547)</f>
        <v>1</v>
      </c>
      <c r="G547" t="str">
        <f>IF(F547&lt;&gt;"",VLOOKUP(F547,'Obras e Acervos'!$C:$D,2,0),"OK")</f>
        <v>OK</v>
      </c>
    </row>
    <row r="548" spans="1:7" hidden="1" x14ac:dyDescent="0.25">
      <c r="A548" t="s">
        <v>5631</v>
      </c>
      <c r="B548" s="1">
        <v>46092</v>
      </c>
      <c r="C548" t="s">
        <v>5370</v>
      </c>
      <c r="D548" s="36" t="str">
        <f t="shared" si="8"/>
        <v>64307505_20260311_nf_16.pdf</v>
      </c>
      <c r="E548">
        <f>COUNTIF(Analise!U:U,Notas_sem_indexar!C548)</f>
        <v>1</v>
      </c>
      <c r="G548" t="str">
        <f>IF(F548&lt;&gt;"",VLOOKUP(F548,'Obras e Acervos'!$C:$D,2,0),"OK")</f>
        <v>OK</v>
      </c>
    </row>
    <row r="549" spans="1:7" hidden="1" x14ac:dyDescent="0.25">
      <c r="A549" t="s">
        <v>5631</v>
      </c>
      <c r="B549" s="1">
        <v>46092</v>
      </c>
      <c r="C549" t="s">
        <v>5365</v>
      </c>
      <c r="D549" s="36" t="str">
        <f t="shared" si="8"/>
        <v>64307505_20260311_nf_17.pdf</v>
      </c>
      <c r="E549">
        <f>COUNTIF(Analise!U:U,Notas_sem_indexar!C549)</f>
        <v>1</v>
      </c>
      <c r="G549" t="str">
        <f>IF(F549&lt;&gt;"",VLOOKUP(F549,'Obras e Acervos'!$C:$D,2,0),"OK")</f>
        <v>OK</v>
      </c>
    </row>
    <row r="550" spans="1:7" x14ac:dyDescent="0.25">
      <c r="A550" t="s">
        <v>5631</v>
      </c>
      <c r="B550" s="1">
        <v>46092</v>
      </c>
      <c r="C550" t="s">
        <v>5725</v>
      </c>
      <c r="D550" s="36" t="str">
        <f t="shared" si="8"/>
        <v>VERIFICAR</v>
      </c>
      <c r="E550">
        <f>COUNTIF(Analise!U:U,Notas_sem_indexar!C550)</f>
        <v>0</v>
      </c>
      <c r="F550" s="35" t="s">
        <v>2805</v>
      </c>
      <c r="G550" t="str">
        <f>IF(F550&lt;&gt;"",VLOOKUP(F550,'Obras e Acervos'!$C:$D,2,0),"OK")</f>
        <v>QUASE OITO EDITORA E LIVRARIA LTDA.-QUASE OITO</v>
      </c>
    </row>
    <row r="551" spans="1:7" hidden="1" x14ac:dyDescent="0.25">
      <c r="A551" t="s">
        <v>5631</v>
      </c>
      <c r="B551" s="1">
        <v>46092</v>
      </c>
      <c r="C551" t="s">
        <v>5368</v>
      </c>
      <c r="D551" s="36" t="str">
        <f t="shared" si="8"/>
        <v>64307505_20260311_nf_19.pdf</v>
      </c>
      <c r="E551">
        <f>COUNTIF(Analise!U:U,Notas_sem_indexar!C551)</f>
        <v>1</v>
      </c>
      <c r="G551" t="str">
        <f>IF(F551&lt;&gt;"",VLOOKUP(F551,'Obras e Acervos'!$C:$D,2,0),"OK")</f>
        <v>OK</v>
      </c>
    </row>
    <row r="552" spans="1:7" hidden="1" x14ac:dyDescent="0.25">
      <c r="A552" t="s">
        <v>5631</v>
      </c>
      <c r="B552" s="1">
        <v>46092</v>
      </c>
      <c r="C552" t="s">
        <v>5373</v>
      </c>
      <c r="D552" s="36" t="str">
        <f t="shared" si="8"/>
        <v>64307505_20260311_nf_20.pdf</v>
      </c>
      <c r="E552">
        <f>COUNTIF(Analise!U:U,Notas_sem_indexar!C552)</f>
        <v>1</v>
      </c>
      <c r="G552" t="str">
        <f>IF(F552&lt;&gt;"",VLOOKUP(F552,'Obras e Acervos'!$C:$D,2,0),"OK")</f>
        <v>OK</v>
      </c>
    </row>
    <row r="553" spans="1:7" hidden="1" x14ac:dyDescent="0.25">
      <c r="A553" t="s">
        <v>5631</v>
      </c>
      <c r="B553" s="1">
        <v>46092</v>
      </c>
      <c r="C553" t="s">
        <v>5363</v>
      </c>
      <c r="D553" s="36" t="str">
        <f t="shared" si="8"/>
        <v>64307505_20260311_nf_21.pdf</v>
      </c>
      <c r="E553">
        <f>COUNTIF(Analise!U:U,Notas_sem_indexar!C553)</f>
        <v>1</v>
      </c>
      <c r="G553" t="str">
        <f>IF(F553&lt;&gt;"",VLOOKUP(F553,'Obras e Acervos'!$C:$D,2,0),"OK")</f>
        <v>OK</v>
      </c>
    </row>
    <row r="554" spans="1:7" hidden="1" x14ac:dyDescent="0.25">
      <c r="A554" t="s">
        <v>5631</v>
      </c>
      <c r="B554" s="1">
        <v>46092</v>
      </c>
      <c r="C554" t="s">
        <v>5372</v>
      </c>
      <c r="D554" s="36" t="str">
        <f t="shared" si="8"/>
        <v>64307505_20260311_nf_22.pdf</v>
      </c>
      <c r="E554">
        <f>COUNTIF(Analise!U:U,Notas_sem_indexar!C554)</f>
        <v>1</v>
      </c>
      <c r="G554" t="str">
        <f>IF(F554&lt;&gt;"",VLOOKUP(F554,'Obras e Acervos'!$C:$D,2,0),"OK")</f>
        <v>OK</v>
      </c>
    </row>
    <row r="555" spans="1:7" hidden="1" x14ac:dyDescent="0.25">
      <c r="A555" t="s">
        <v>5631</v>
      </c>
      <c r="B555" s="1">
        <v>46092</v>
      </c>
      <c r="C555" t="s">
        <v>5366</v>
      </c>
      <c r="D555" s="36" t="str">
        <f t="shared" si="8"/>
        <v>64307505_20260311_nf_23.pdf</v>
      </c>
      <c r="E555">
        <f>COUNTIF(Analise!U:U,Notas_sem_indexar!C555)</f>
        <v>1</v>
      </c>
      <c r="G555" t="str">
        <f>IF(F555&lt;&gt;"",VLOOKUP(F555,'Obras e Acervos'!$C:$D,2,0),"OK")</f>
        <v>OK</v>
      </c>
    </row>
    <row r="556" spans="1:7" hidden="1" x14ac:dyDescent="0.25">
      <c r="A556" t="s">
        <v>5631</v>
      </c>
      <c r="B556" s="1">
        <v>46092</v>
      </c>
      <c r="C556" t="s">
        <v>5380</v>
      </c>
      <c r="D556" s="36" t="str">
        <f t="shared" si="8"/>
        <v>64307505_20260311_nf_24.pdf</v>
      </c>
      <c r="E556">
        <f>COUNTIF(Analise!U:U,Notas_sem_indexar!C556)</f>
        <v>1</v>
      </c>
      <c r="G556" t="str">
        <f>IF(F556&lt;&gt;"",VLOOKUP(F556,'Obras e Acervos'!$C:$D,2,0),"OK")</f>
        <v>OK</v>
      </c>
    </row>
    <row r="557" spans="1:7" x14ac:dyDescent="0.25">
      <c r="A557" t="s">
        <v>5631</v>
      </c>
      <c r="B557" s="1">
        <v>46092</v>
      </c>
      <c r="C557" t="s">
        <v>5726</v>
      </c>
      <c r="D557" s="36" t="str">
        <f t="shared" si="8"/>
        <v>VERIFICAR</v>
      </c>
      <c r="E557">
        <f>COUNTIF(Analise!U:U,Notas_sem_indexar!C557)</f>
        <v>0</v>
      </c>
      <c r="F557" s="35" t="s">
        <v>3099</v>
      </c>
      <c r="G557" t="str">
        <f>IF(F557&lt;&gt;"",VLOOKUP(F557,'Obras e Acervos'!$C:$D,2,0),"OK")</f>
        <v>IMPERIAL NOVO MILÊNIO GRÁFICA E EDITORA LTDA-IMPERIAL NOVO MILÊNIO</v>
      </c>
    </row>
    <row r="558" spans="1:7" hidden="1" x14ac:dyDescent="0.25">
      <c r="A558" t="s">
        <v>5631</v>
      </c>
      <c r="B558" s="1">
        <v>46092</v>
      </c>
      <c r="C558" t="s">
        <v>5371</v>
      </c>
      <c r="D558" s="36" t="str">
        <f t="shared" si="8"/>
        <v>64307505_20260311_nf_26.pdf</v>
      </c>
      <c r="E558">
        <f>COUNTIF(Analise!U:U,Notas_sem_indexar!C558)</f>
        <v>1</v>
      </c>
      <c r="G558" t="str">
        <f>IF(F558&lt;&gt;"",VLOOKUP(F558,'Obras e Acervos'!$C:$D,2,0),"OK")</f>
        <v>OK</v>
      </c>
    </row>
    <row r="559" spans="1:7" hidden="1" x14ac:dyDescent="0.25">
      <c r="A559" t="s">
        <v>5631</v>
      </c>
      <c r="B559" s="1">
        <v>46092</v>
      </c>
      <c r="C559" t="s">
        <v>5375</v>
      </c>
      <c r="D559" s="36" t="str">
        <f t="shared" si="8"/>
        <v>64307505_20260311_nf_27.pdf</v>
      </c>
      <c r="E559">
        <f>COUNTIF(Analise!U:U,Notas_sem_indexar!C559)</f>
        <v>1</v>
      </c>
      <c r="G559" t="str">
        <f>IF(F559&lt;&gt;"",VLOOKUP(F559,'Obras e Acervos'!$C:$D,2,0),"OK")</f>
        <v>OK</v>
      </c>
    </row>
    <row r="560" spans="1:7" x14ac:dyDescent="0.25">
      <c r="A560" t="s">
        <v>5631</v>
      </c>
      <c r="B560" s="1">
        <v>46092</v>
      </c>
      <c r="C560" t="s">
        <v>5727</v>
      </c>
      <c r="D560" s="36" t="str">
        <f t="shared" si="8"/>
        <v>VERIFICAR</v>
      </c>
      <c r="E560">
        <f>COUNTIF(Analise!U:U,Notas_sem_indexar!C560)</f>
        <v>0</v>
      </c>
      <c r="F560" s="35" t="s">
        <v>2836</v>
      </c>
      <c r="G560" t="str">
        <f>IF(F560&lt;&gt;"",VLOOKUP(F560,'Obras e Acervos'!$C:$D,2,0),"OK")</f>
        <v>ALUAR EDITORA LTDA-ALUAR EDITORA</v>
      </c>
    </row>
    <row r="561" spans="1:7" hidden="1" x14ac:dyDescent="0.25">
      <c r="A561" t="s">
        <v>5631</v>
      </c>
      <c r="B561" s="1">
        <v>46092</v>
      </c>
      <c r="C561" t="s">
        <v>5374</v>
      </c>
      <c r="D561" s="36" t="str">
        <f t="shared" si="8"/>
        <v>64307505_20260311_nf_29.pdf</v>
      </c>
      <c r="E561">
        <f>COUNTIF(Analise!U:U,Notas_sem_indexar!C561)</f>
        <v>1</v>
      </c>
      <c r="G561" t="str">
        <f>IF(F561&lt;&gt;"",VLOOKUP(F561,'Obras e Acervos'!$C:$D,2,0),"OK")</f>
        <v>OK</v>
      </c>
    </row>
    <row r="562" spans="1:7" hidden="1" x14ac:dyDescent="0.25">
      <c r="A562" t="s">
        <v>5631</v>
      </c>
      <c r="B562" s="1">
        <v>46092</v>
      </c>
      <c r="C562" t="s">
        <v>5376</v>
      </c>
      <c r="D562" s="36" t="str">
        <f t="shared" si="8"/>
        <v>64307505_20260311_nf_30.pdf</v>
      </c>
      <c r="E562">
        <f>COUNTIF(Analise!U:U,Notas_sem_indexar!C562)</f>
        <v>1</v>
      </c>
      <c r="G562" t="str">
        <f>IF(F562&lt;&gt;"",VLOOKUP(F562,'Obras e Acervos'!$C:$D,2,0),"OK")</f>
        <v>OK</v>
      </c>
    </row>
    <row r="563" spans="1:7" x14ac:dyDescent="0.25">
      <c r="A563" t="s">
        <v>5631</v>
      </c>
      <c r="B563" s="1">
        <v>46092</v>
      </c>
      <c r="C563" t="s">
        <v>5728</v>
      </c>
      <c r="D563" s="36" t="str">
        <f t="shared" si="8"/>
        <v>VERIFICAR</v>
      </c>
      <c r="E563">
        <f>COUNTIF(Analise!U:U,Notas_sem_indexar!C563)</f>
        <v>0</v>
      </c>
      <c r="F563" s="35" t="s">
        <v>1570</v>
      </c>
      <c r="G563" t="str">
        <f>IF(F563&lt;&gt;"",VLOOKUP(F563,'Obras e Acervos'!$C:$D,2,0),"OK")</f>
        <v>ARACARI EDITORA E ASSESSORIA LTDA -ARACARI EDITORIAL</v>
      </c>
    </row>
    <row r="564" spans="1:7" hidden="1" x14ac:dyDescent="0.25">
      <c r="A564" t="s">
        <v>5631</v>
      </c>
      <c r="B564" s="1">
        <v>46092</v>
      </c>
      <c r="C564" t="s">
        <v>5378</v>
      </c>
      <c r="D564" s="36" t="str">
        <f t="shared" si="8"/>
        <v>64307505_20260311_nf_32.pdf</v>
      </c>
      <c r="E564">
        <f>COUNTIF(Analise!U:U,Notas_sem_indexar!C564)</f>
        <v>1</v>
      </c>
      <c r="G564" t="str">
        <f>IF(F564&lt;&gt;"",VLOOKUP(F564,'Obras e Acervos'!$C:$D,2,0),"OK")</f>
        <v>OK</v>
      </c>
    </row>
    <row r="565" spans="1:7" x14ac:dyDescent="0.25">
      <c r="A565" t="s">
        <v>5631</v>
      </c>
      <c r="B565" s="1">
        <v>46092</v>
      </c>
      <c r="C565" t="s">
        <v>5383</v>
      </c>
      <c r="D565" s="36" t="str">
        <f t="shared" si="8"/>
        <v>VERIFICAR</v>
      </c>
      <c r="E565">
        <f>COUNTIF(Analise!U:U,Notas_sem_indexar!C565)</f>
        <v>0</v>
      </c>
      <c r="F565" s="35" t="s">
        <v>2274</v>
      </c>
      <c r="G565" t="str">
        <f>IF(F565&lt;&gt;"",VLOOKUP(F565,'Obras e Acervos'!$C:$D,2,0),"OK")</f>
        <v>EDITORA ZAGUINHA LTDA-ZAGUINHA</v>
      </c>
    </row>
    <row r="566" spans="1:7" hidden="1" x14ac:dyDescent="0.25">
      <c r="A566" t="s">
        <v>5631</v>
      </c>
      <c r="B566" s="1">
        <v>46092</v>
      </c>
      <c r="C566" t="s">
        <v>5379</v>
      </c>
      <c r="D566" s="36" t="str">
        <f t="shared" si="8"/>
        <v>64307505_20260311_nf_34.pdf</v>
      </c>
      <c r="E566">
        <f>COUNTIF(Analise!U:U,Notas_sem_indexar!C566)</f>
        <v>1</v>
      </c>
      <c r="G566" t="str">
        <f>IF(F566&lt;&gt;"",VLOOKUP(F566,'Obras e Acervos'!$C:$D,2,0),"OK")</f>
        <v>OK</v>
      </c>
    </row>
    <row r="567" spans="1:7" hidden="1" x14ac:dyDescent="0.25">
      <c r="A567" t="s">
        <v>5631</v>
      </c>
      <c r="B567" s="1">
        <v>46092</v>
      </c>
      <c r="C567" t="s">
        <v>5381</v>
      </c>
      <c r="D567" s="36" t="str">
        <f t="shared" si="8"/>
        <v>64307505_20260311_nf_35.pdf</v>
      </c>
      <c r="E567">
        <f>COUNTIF(Analise!U:U,Notas_sem_indexar!C567)</f>
        <v>1</v>
      </c>
      <c r="G567" t="str">
        <f>IF(F567&lt;&gt;"",VLOOKUP(F567,'Obras e Acervos'!$C:$D,2,0),"OK")</f>
        <v>OK</v>
      </c>
    </row>
    <row r="568" spans="1:7" x14ac:dyDescent="0.25">
      <c r="A568" t="s">
        <v>5631</v>
      </c>
      <c r="B568" s="1">
        <v>46092</v>
      </c>
      <c r="C568" t="s">
        <v>5362</v>
      </c>
      <c r="D568" s="36" t="str">
        <f t="shared" si="8"/>
        <v>VERIFICAR</v>
      </c>
      <c r="E568">
        <f>COUNTIF(Analise!U:U,Notas_sem_indexar!C568)</f>
        <v>0</v>
      </c>
      <c r="F568" s="35" t="s">
        <v>2274</v>
      </c>
      <c r="G568" t="str">
        <f>IF(F568&lt;&gt;"",VLOOKUP(F568,'Obras e Acervos'!$C:$D,2,0),"OK")</f>
        <v>EDITORA ZAGUINHA LTDA-ZAGUINHA</v>
      </c>
    </row>
    <row r="569" spans="1:7" hidden="1" x14ac:dyDescent="0.25">
      <c r="A569" t="s">
        <v>5631</v>
      </c>
      <c r="B569" s="1">
        <v>46093</v>
      </c>
      <c r="C569" t="s">
        <v>5387</v>
      </c>
      <c r="D569" s="36" t="str">
        <f t="shared" si="8"/>
        <v>64307505_20260312_nf_01.pdf</v>
      </c>
      <c r="E569">
        <f>COUNTIF(Analise!U:U,Notas_sem_indexar!C569)</f>
        <v>1</v>
      </c>
      <c r="G569" t="str">
        <f>IF(F569&lt;&gt;"",VLOOKUP(F569,'Obras e Acervos'!$C:$D,2,0),"OK")</f>
        <v>OK</v>
      </c>
    </row>
    <row r="570" spans="1:7" hidden="1" x14ac:dyDescent="0.25">
      <c r="A570" t="s">
        <v>5631</v>
      </c>
      <c r="B570" s="1">
        <v>46093</v>
      </c>
      <c r="C570" t="s">
        <v>5390</v>
      </c>
      <c r="D570" s="36" t="str">
        <f t="shared" si="8"/>
        <v>64307505_20260312_nf_02.pdf</v>
      </c>
      <c r="E570">
        <f>COUNTIF(Analise!U:U,Notas_sem_indexar!C570)</f>
        <v>1</v>
      </c>
      <c r="G570" t="str">
        <f>IF(F570&lt;&gt;"",VLOOKUP(F570,'Obras e Acervos'!$C:$D,2,0),"OK")</f>
        <v>OK</v>
      </c>
    </row>
    <row r="571" spans="1:7" x14ac:dyDescent="0.25">
      <c r="A571" t="s">
        <v>5631</v>
      </c>
      <c r="B571" s="1">
        <v>46093</v>
      </c>
      <c r="C571" t="s">
        <v>5729</v>
      </c>
      <c r="D571" s="36" t="str">
        <f t="shared" si="8"/>
        <v>VERIFICAR</v>
      </c>
      <c r="E571">
        <f>COUNTIF(Analise!U:U,Notas_sem_indexar!C571)</f>
        <v>0</v>
      </c>
      <c r="F571" s="35" t="s">
        <v>2175</v>
      </c>
      <c r="G571" t="str">
        <f>IF(F571&lt;&gt;"",VLOOKUP(F571,'Obras e Acervos'!$C:$D,2,0),"OK")</f>
        <v>RHJ LIVROS LTDA-EDITORA RHJ</v>
      </c>
    </row>
    <row r="572" spans="1:7" hidden="1" x14ac:dyDescent="0.25">
      <c r="A572" t="s">
        <v>5631</v>
      </c>
      <c r="B572" s="1">
        <v>46093</v>
      </c>
      <c r="C572" t="s">
        <v>5386</v>
      </c>
      <c r="D572" s="36" t="str">
        <f t="shared" si="8"/>
        <v>64307505_20260312_nf_04.pdf</v>
      </c>
      <c r="E572">
        <f>COUNTIF(Analise!U:U,Notas_sem_indexar!C572)</f>
        <v>1</v>
      </c>
      <c r="G572" t="str">
        <f>IF(F572&lt;&gt;"",VLOOKUP(F572,'Obras e Acervos'!$C:$D,2,0),"OK")</f>
        <v>OK</v>
      </c>
    </row>
    <row r="573" spans="1:7" hidden="1" x14ac:dyDescent="0.25">
      <c r="A573" t="s">
        <v>5631</v>
      </c>
      <c r="B573" s="1">
        <v>46093</v>
      </c>
      <c r="C573" t="s">
        <v>5391</v>
      </c>
      <c r="D573" s="36" t="str">
        <f t="shared" si="8"/>
        <v>64307505_20260312_nf_05.pdf</v>
      </c>
      <c r="E573">
        <f>COUNTIF(Analise!U:U,Notas_sem_indexar!C573)</f>
        <v>1</v>
      </c>
      <c r="G573" t="str">
        <f>IF(F573&lt;&gt;"",VLOOKUP(F573,'Obras e Acervos'!$C:$D,2,0),"OK")</f>
        <v>OK</v>
      </c>
    </row>
    <row r="574" spans="1:7" hidden="1" x14ac:dyDescent="0.25">
      <c r="A574" t="s">
        <v>5631</v>
      </c>
      <c r="B574" s="1">
        <v>46093</v>
      </c>
      <c r="C574" t="s">
        <v>5393</v>
      </c>
      <c r="D574" s="36" t="str">
        <f t="shared" si="8"/>
        <v>64307505_20260312_nf_06.pdf</v>
      </c>
      <c r="E574">
        <f>COUNTIF(Analise!U:U,Notas_sem_indexar!C574)</f>
        <v>1</v>
      </c>
      <c r="G574" t="str">
        <f>IF(F574&lt;&gt;"",VLOOKUP(F574,'Obras e Acervos'!$C:$D,2,0),"OK")</f>
        <v>OK</v>
      </c>
    </row>
    <row r="575" spans="1:7" hidden="1" x14ac:dyDescent="0.25">
      <c r="A575" t="s">
        <v>5631</v>
      </c>
      <c r="B575" s="1">
        <v>46093</v>
      </c>
      <c r="C575" t="s">
        <v>5392</v>
      </c>
      <c r="D575" s="36" t="str">
        <f t="shared" si="8"/>
        <v>64307505_20260312_nf_07.pdf</v>
      </c>
      <c r="E575">
        <f>COUNTIF(Analise!U:U,Notas_sem_indexar!C575)</f>
        <v>1</v>
      </c>
      <c r="G575" t="str">
        <f>IF(F575&lt;&gt;"",VLOOKUP(F575,'Obras e Acervos'!$C:$D,2,0),"OK")</f>
        <v>OK</v>
      </c>
    </row>
    <row r="576" spans="1:7" x14ac:dyDescent="0.25">
      <c r="A576" t="s">
        <v>5631</v>
      </c>
      <c r="B576" s="1">
        <v>46093</v>
      </c>
      <c r="C576" t="s">
        <v>5385</v>
      </c>
      <c r="D576" s="36" t="str">
        <f t="shared" si="8"/>
        <v>VERIFICAR</v>
      </c>
      <c r="E576">
        <f>COUNTIF(Analise!U:U,Notas_sem_indexar!C576)</f>
        <v>0</v>
      </c>
      <c r="G576" t="s">
        <v>5786</v>
      </c>
    </row>
    <row r="577" spans="1:7" hidden="1" x14ac:dyDescent="0.25">
      <c r="A577" t="s">
        <v>5631</v>
      </c>
      <c r="B577" s="1">
        <v>46093</v>
      </c>
      <c r="C577" t="s">
        <v>5388</v>
      </c>
      <c r="D577" s="36" t="str">
        <f t="shared" si="8"/>
        <v>64307505_20260312_nf_09.pdf</v>
      </c>
      <c r="E577">
        <f>COUNTIF(Analise!U:U,Notas_sem_indexar!C577)</f>
        <v>1</v>
      </c>
      <c r="G577" t="str">
        <f>IF(F577&lt;&gt;"",VLOOKUP(F577,'Obras e Acervos'!$C:$D,2,0),"OK")</f>
        <v>OK</v>
      </c>
    </row>
    <row r="578" spans="1:7" hidden="1" x14ac:dyDescent="0.25">
      <c r="A578" t="s">
        <v>5631</v>
      </c>
      <c r="B578" s="1">
        <v>46093</v>
      </c>
      <c r="C578" t="s">
        <v>5394</v>
      </c>
      <c r="D578" s="36" t="str">
        <f t="shared" si="8"/>
        <v>64307505_20260312_nf_10.pdf</v>
      </c>
      <c r="E578">
        <f>COUNTIF(Analise!U:U,Notas_sem_indexar!C578)</f>
        <v>1</v>
      </c>
      <c r="G578" t="str">
        <f>IF(F578&lt;&gt;"",VLOOKUP(F578,'Obras e Acervos'!$C:$D,2,0),"OK")</f>
        <v>OK</v>
      </c>
    </row>
    <row r="579" spans="1:7" hidden="1" x14ac:dyDescent="0.25">
      <c r="A579" t="s">
        <v>5631</v>
      </c>
      <c r="B579" s="1">
        <v>46093</v>
      </c>
      <c r="C579" t="s">
        <v>5389</v>
      </c>
      <c r="D579" s="36" t="str">
        <f t="shared" ref="D579:D642" si="9">IF(E579=0,HYPERLINK(CONCATENATE("saida/",C579),"VERIFICAR"),HYPERLINK(CONCATENATE("saida/",C579),C579))</f>
        <v>64307505_20260312_nf_11.pdf</v>
      </c>
      <c r="E579">
        <f>COUNTIF(Analise!U:U,Notas_sem_indexar!C579)</f>
        <v>1</v>
      </c>
      <c r="G579" t="str">
        <f>IF(F579&lt;&gt;"",VLOOKUP(F579,'Obras e Acervos'!$C:$D,2,0),"OK")</f>
        <v>OK</v>
      </c>
    </row>
    <row r="580" spans="1:7" hidden="1" x14ac:dyDescent="0.25">
      <c r="A580" t="s">
        <v>5650</v>
      </c>
      <c r="B580" s="1">
        <v>46079</v>
      </c>
      <c r="C580" t="s">
        <v>5397</v>
      </c>
      <c r="D580" s="36" t="str">
        <f t="shared" si="9"/>
        <v>64307629_20260226_nf_01.pdf</v>
      </c>
      <c r="E580">
        <f>COUNTIF(Analise!U:U,Notas_sem_indexar!C580)</f>
        <v>1</v>
      </c>
      <c r="G580" t="str">
        <f>IF(F580&lt;&gt;"",VLOOKUP(F580,'Obras e Acervos'!$C:$D,2,0),"OK")</f>
        <v>OK</v>
      </c>
    </row>
    <row r="581" spans="1:7" hidden="1" x14ac:dyDescent="0.25">
      <c r="A581" t="s">
        <v>5650</v>
      </c>
      <c r="B581" s="1">
        <v>46079</v>
      </c>
      <c r="C581" t="s">
        <v>5398</v>
      </c>
      <c r="D581" s="36" t="str">
        <f t="shared" si="9"/>
        <v>64307629_20260226_nf_02.pdf</v>
      </c>
      <c r="E581">
        <f>COUNTIF(Analise!U:U,Notas_sem_indexar!C581)</f>
        <v>1</v>
      </c>
      <c r="G581" t="str">
        <f>IF(F581&lt;&gt;"",VLOOKUP(F581,'Obras e Acervos'!$C:$D,2,0),"OK")</f>
        <v>OK</v>
      </c>
    </row>
    <row r="582" spans="1:7" hidden="1" x14ac:dyDescent="0.25">
      <c r="A582" t="s">
        <v>5650</v>
      </c>
      <c r="B582" s="1">
        <v>46079</v>
      </c>
      <c r="C582" t="s">
        <v>5396</v>
      </c>
      <c r="D582" s="36" t="str">
        <f t="shared" si="9"/>
        <v>64307629_20260226_nf_03.pdf</v>
      </c>
      <c r="E582">
        <f>COUNTIF(Analise!U:U,Notas_sem_indexar!C582)</f>
        <v>1</v>
      </c>
      <c r="G582" t="str">
        <f>IF(F582&lt;&gt;"",VLOOKUP(F582,'Obras e Acervos'!$C:$D,2,0),"OK")</f>
        <v>OK</v>
      </c>
    </row>
    <row r="583" spans="1:7" hidden="1" x14ac:dyDescent="0.25">
      <c r="A583" t="s">
        <v>5650</v>
      </c>
      <c r="B583" s="1">
        <v>46079</v>
      </c>
      <c r="C583" t="s">
        <v>5403</v>
      </c>
      <c r="D583" s="36" t="str">
        <f t="shared" si="9"/>
        <v>64307629_20260226_nf_04.pdf</v>
      </c>
      <c r="E583">
        <f>COUNTIF(Analise!U:U,Notas_sem_indexar!C583)</f>
        <v>2</v>
      </c>
      <c r="G583" t="str">
        <f>IF(F583&lt;&gt;"",VLOOKUP(F583,'Obras e Acervos'!$C:$D,2,0),"OK")</f>
        <v>OK</v>
      </c>
    </row>
    <row r="584" spans="1:7" hidden="1" x14ac:dyDescent="0.25">
      <c r="A584" t="s">
        <v>5650</v>
      </c>
      <c r="B584" s="1">
        <v>46079</v>
      </c>
      <c r="C584" t="s">
        <v>5395</v>
      </c>
      <c r="D584" s="36" t="str">
        <f t="shared" si="9"/>
        <v>64307629_20260226_nf_05.pdf</v>
      </c>
      <c r="E584">
        <f>COUNTIF(Analise!U:U,Notas_sem_indexar!C584)</f>
        <v>1</v>
      </c>
      <c r="G584" t="str">
        <f>IF(F584&lt;&gt;"",VLOOKUP(F584,'Obras e Acervos'!$C:$D,2,0),"OK")</f>
        <v>OK</v>
      </c>
    </row>
    <row r="585" spans="1:7" hidden="1" x14ac:dyDescent="0.25">
      <c r="A585" t="s">
        <v>5650</v>
      </c>
      <c r="B585" s="1">
        <v>46079</v>
      </c>
      <c r="C585" t="s">
        <v>5405</v>
      </c>
      <c r="D585" s="36" t="str">
        <f t="shared" si="9"/>
        <v>64307629_20260226_nf_06.pdf</v>
      </c>
      <c r="E585">
        <f>COUNTIF(Analise!U:U,Notas_sem_indexar!C585)</f>
        <v>1</v>
      </c>
      <c r="G585" t="str">
        <f>IF(F585&lt;&gt;"",VLOOKUP(F585,'Obras e Acervos'!$C:$D,2,0),"OK")</f>
        <v>OK</v>
      </c>
    </row>
    <row r="586" spans="1:7" hidden="1" x14ac:dyDescent="0.25">
      <c r="A586" t="s">
        <v>5650</v>
      </c>
      <c r="B586" s="1">
        <v>46079</v>
      </c>
      <c r="C586" t="s">
        <v>5399</v>
      </c>
      <c r="D586" s="36" t="str">
        <f t="shared" si="9"/>
        <v>64307629_20260226_nf_07.pdf</v>
      </c>
      <c r="E586">
        <f>COUNTIF(Analise!U:U,Notas_sem_indexar!C586)</f>
        <v>2</v>
      </c>
      <c r="G586" t="str">
        <f>IF(F586&lt;&gt;"",VLOOKUP(F586,'Obras e Acervos'!$C:$D,2,0),"OK")</f>
        <v>OK</v>
      </c>
    </row>
    <row r="587" spans="1:7" hidden="1" x14ac:dyDescent="0.25">
      <c r="A587" t="s">
        <v>5650</v>
      </c>
      <c r="B587" s="1">
        <v>46079</v>
      </c>
      <c r="C587" t="s">
        <v>5400</v>
      </c>
      <c r="D587" s="36" t="str">
        <f t="shared" si="9"/>
        <v>64307629_20260226_nf_08.pdf</v>
      </c>
      <c r="E587">
        <f>COUNTIF(Analise!U:U,Notas_sem_indexar!C587)</f>
        <v>1</v>
      </c>
      <c r="G587" t="str">
        <f>IF(F587&lt;&gt;"",VLOOKUP(F587,'Obras e Acervos'!$C:$D,2,0),"OK")</f>
        <v>OK</v>
      </c>
    </row>
    <row r="588" spans="1:7" hidden="1" x14ac:dyDescent="0.25">
      <c r="A588" t="s">
        <v>5650</v>
      </c>
      <c r="B588" s="1">
        <v>46079</v>
      </c>
      <c r="C588" t="s">
        <v>5409</v>
      </c>
      <c r="D588" s="36" t="str">
        <f t="shared" si="9"/>
        <v>64307629_20260226_nf_09.pdf</v>
      </c>
      <c r="E588">
        <f>COUNTIF(Analise!U:U,Notas_sem_indexar!C588)</f>
        <v>1</v>
      </c>
      <c r="G588" t="str">
        <f>IF(F588&lt;&gt;"",VLOOKUP(F588,'Obras e Acervos'!$C:$D,2,0),"OK")</f>
        <v>OK</v>
      </c>
    </row>
    <row r="589" spans="1:7" hidden="1" x14ac:dyDescent="0.25">
      <c r="A589" t="s">
        <v>5650</v>
      </c>
      <c r="B589" s="1">
        <v>46079</v>
      </c>
      <c r="C589" t="s">
        <v>5415</v>
      </c>
      <c r="D589" s="36" t="str">
        <f t="shared" si="9"/>
        <v>64307629_20260226_nf_10.pdf</v>
      </c>
      <c r="E589">
        <f>COUNTIF(Analise!U:U,Notas_sem_indexar!C589)</f>
        <v>1</v>
      </c>
      <c r="G589" t="str">
        <f>IF(F589&lt;&gt;"",VLOOKUP(F589,'Obras e Acervos'!$C:$D,2,0),"OK")</f>
        <v>OK</v>
      </c>
    </row>
    <row r="590" spans="1:7" hidden="1" x14ac:dyDescent="0.25">
      <c r="A590" t="s">
        <v>5650</v>
      </c>
      <c r="B590" s="1">
        <v>46079</v>
      </c>
      <c r="C590" t="s">
        <v>5418</v>
      </c>
      <c r="D590" s="36" t="str">
        <f t="shared" si="9"/>
        <v>64307629_20260226_nf_11.pdf</v>
      </c>
      <c r="E590">
        <f>COUNTIF(Analise!U:U,Notas_sem_indexar!C590)</f>
        <v>1</v>
      </c>
      <c r="G590" t="str">
        <f>IF(F590&lt;&gt;"",VLOOKUP(F590,'Obras e Acervos'!$C:$D,2,0),"OK")</f>
        <v>OK</v>
      </c>
    </row>
    <row r="591" spans="1:7" hidden="1" x14ac:dyDescent="0.25">
      <c r="A591" t="s">
        <v>5650</v>
      </c>
      <c r="B591" s="1">
        <v>46079</v>
      </c>
      <c r="C591" t="s">
        <v>5408</v>
      </c>
      <c r="D591" s="36" t="str">
        <f t="shared" si="9"/>
        <v>64307629_20260226_nf_12.pdf</v>
      </c>
      <c r="E591">
        <f>COUNTIF(Analise!U:U,Notas_sem_indexar!C591)</f>
        <v>1</v>
      </c>
      <c r="G591" t="str">
        <f>IF(F591&lt;&gt;"",VLOOKUP(F591,'Obras e Acervos'!$C:$D,2,0),"OK")</f>
        <v>OK</v>
      </c>
    </row>
    <row r="592" spans="1:7" hidden="1" x14ac:dyDescent="0.25">
      <c r="A592" t="s">
        <v>5650</v>
      </c>
      <c r="B592" s="1">
        <v>46079</v>
      </c>
      <c r="C592" t="s">
        <v>5411</v>
      </c>
      <c r="D592" s="36" t="str">
        <f t="shared" si="9"/>
        <v>64307629_20260226_nf_13.pdf</v>
      </c>
      <c r="E592">
        <f>COUNTIF(Analise!U:U,Notas_sem_indexar!C592)</f>
        <v>1</v>
      </c>
      <c r="G592" t="str">
        <f>IF(F592&lt;&gt;"",VLOOKUP(F592,'Obras e Acervos'!$C:$D,2,0),"OK")</f>
        <v>OK</v>
      </c>
    </row>
    <row r="593" spans="1:7" hidden="1" x14ac:dyDescent="0.25">
      <c r="A593" t="s">
        <v>5650</v>
      </c>
      <c r="B593" s="1">
        <v>46079</v>
      </c>
      <c r="C593" t="s">
        <v>5402</v>
      </c>
      <c r="D593" s="36" t="str">
        <f t="shared" si="9"/>
        <v>64307629_20260226_nf_14.pdf</v>
      </c>
      <c r="E593">
        <f>COUNTIF(Analise!U:U,Notas_sem_indexar!C593)</f>
        <v>1</v>
      </c>
      <c r="G593" t="str">
        <f>IF(F593&lt;&gt;"",VLOOKUP(F593,'Obras e Acervos'!$C:$D,2,0),"OK")</f>
        <v>OK</v>
      </c>
    </row>
    <row r="594" spans="1:7" hidden="1" x14ac:dyDescent="0.25">
      <c r="A594" t="s">
        <v>5650</v>
      </c>
      <c r="B594" s="1">
        <v>46079</v>
      </c>
      <c r="C594" t="s">
        <v>5420</v>
      </c>
      <c r="D594" s="36" t="str">
        <f t="shared" si="9"/>
        <v>64307629_20260226_nf_15.pdf</v>
      </c>
      <c r="E594">
        <f>COUNTIF(Analise!U:U,Notas_sem_indexar!C594)</f>
        <v>1</v>
      </c>
      <c r="G594" t="str">
        <f>IF(F594&lt;&gt;"",VLOOKUP(F594,'Obras e Acervos'!$C:$D,2,0),"OK")</f>
        <v>OK</v>
      </c>
    </row>
    <row r="595" spans="1:7" x14ac:dyDescent="0.25">
      <c r="A595" t="s">
        <v>5650</v>
      </c>
      <c r="B595" s="1">
        <v>46079</v>
      </c>
      <c r="C595" t="s">
        <v>5651</v>
      </c>
      <c r="D595" s="36" t="str">
        <f t="shared" si="9"/>
        <v>VERIFICAR</v>
      </c>
      <c r="E595">
        <f>COUNTIF(Analise!U:U,Notas_sem_indexar!C595)</f>
        <v>0</v>
      </c>
      <c r="G595" t="s">
        <v>5774</v>
      </c>
    </row>
    <row r="596" spans="1:7" x14ac:dyDescent="0.25">
      <c r="A596" t="s">
        <v>5650</v>
      </c>
      <c r="B596" s="1">
        <v>46079</v>
      </c>
      <c r="C596" t="s">
        <v>5652</v>
      </c>
      <c r="D596" s="36" t="str">
        <f t="shared" si="9"/>
        <v>VERIFICAR</v>
      </c>
      <c r="E596">
        <f>COUNTIF(Analise!U:U,Notas_sem_indexar!C596)</f>
        <v>0</v>
      </c>
      <c r="G596" t="s">
        <v>5792</v>
      </c>
    </row>
    <row r="597" spans="1:7" x14ac:dyDescent="0.25">
      <c r="A597" t="s">
        <v>5650</v>
      </c>
      <c r="B597" s="1">
        <v>46079</v>
      </c>
      <c r="C597" t="s">
        <v>5653</v>
      </c>
      <c r="D597" s="36" t="str">
        <f t="shared" si="9"/>
        <v>VERIFICAR</v>
      </c>
      <c r="E597">
        <f>COUNTIF(Analise!U:U,Notas_sem_indexar!C597)</f>
        <v>0</v>
      </c>
      <c r="G597" t="s">
        <v>5774</v>
      </c>
    </row>
    <row r="598" spans="1:7" hidden="1" x14ac:dyDescent="0.25">
      <c r="A598" t="s">
        <v>5650</v>
      </c>
      <c r="B598" s="1">
        <v>46079</v>
      </c>
      <c r="C598" t="s">
        <v>5404</v>
      </c>
      <c r="D598" s="36" t="str">
        <f t="shared" si="9"/>
        <v>64307629_20260226_nf_19.pdf</v>
      </c>
      <c r="E598">
        <f>COUNTIF(Analise!U:U,Notas_sem_indexar!C598)</f>
        <v>1</v>
      </c>
      <c r="G598" t="str">
        <f>IF(F598&lt;&gt;"",VLOOKUP(F598,'Obras e Acervos'!$C:$D,2,0),"OK")</f>
        <v>OK</v>
      </c>
    </row>
    <row r="599" spans="1:7" x14ac:dyDescent="0.25">
      <c r="A599" t="s">
        <v>5650</v>
      </c>
      <c r="B599" s="1">
        <v>46079</v>
      </c>
      <c r="C599" t="s">
        <v>5654</v>
      </c>
      <c r="D599" s="36" t="str">
        <f t="shared" si="9"/>
        <v>VERIFICAR</v>
      </c>
      <c r="E599">
        <f>COUNTIF(Analise!U:U,Notas_sem_indexar!C599)</f>
        <v>0</v>
      </c>
      <c r="G599" t="s">
        <v>5774</v>
      </c>
    </row>
    <row r="600" spans="1:7" hidden="1" x14ac:dyDescent="0.25">
      <c r="A600" t="s">
        <v>5650</v>
      </c>
      <c r="B600" s="1">
        <v>46079</v>
      </c>
      <c r="C600" t="s">
        <v>5401</v>
      </c>
      <c r="D600" s="36" t="str">
        <f t="shared" si="9"/>
        <v>64307629_20260226_nf_21.pdf</v>
      </c>
      <c r="E600">
        <f>COUNTIF(Analise!U:U,Notas_sem_indexar!C600)</f>
        <v>1</v>
      </c>
      <c r="G600" t="str">
        <f>IF(F600&lt;&gt;"",VLOOKUP(F600,'Obras e Acervos'!$C:$D,2,0),"OK")</f>
        <v>OK</v>
      </c>
    </row>
    <row r="601" spans="1:7" x14ac:dyDescent="0.25">
      <c r="A601" t="s">
        <v>5650</v>
      </c>
      <c r="B601" s="1">
        <v>46079</v>
      </c>
      <c r="C601" t="s">
        <v>5655</v>
      </c>
      <c r="D601" s="36" t="str">
        <f t="shared" si="9"/>
        <v>VERIFICAR</v>
      </c>
      <c r="E601">
        <f>COUNTIF(Analise!U:U,Notas_sem_indexar!C601)</f>
        <v>0</v>
      </c>
      <c r="F601" s="35" t="s">
        <v>1818</v>
      </c>
      <c r="G601" t="str">
        <f>IF(F601&lt;&gt;"",VLOOKUP(F601,'Obras e Acervos'!$C:$D,2,0),"OK")</f>
        <v>FIMAC DISTRIBUIDORA DE LIVROS LTDA-</v>
      </c>
    </row>
    <row r="602" spans="1:7" hidden="1" x14ac:dyDescent="0.25">
      <c r="A602" t="s">
        <v>5650</v>
      </c>
      <c r="B602" s="1">
        <v>46079</v>
      </c>
      <c r="C602" t="s">
        <v>5406</v>
      </c>
      <c r="D602" s="36" t="str">
        <f t="shared" si="9"/>
        <v>64307629_20260226_nf_23.pdf</v>
      </c>
      <c r="E602">
        <f>COUNTIF(Analise!U:U,Notas_sem_indexar!C602)</f>
        <v>1</v>
      </c>
      <c r="G602" t="str">
        <f>IF(F602&lt;&gt;"",VLOOKUP(F602,'Obras e Acervos'!$C:$D,2,0),"OK")</f>
        <v>OK</v>
      </c>
    </row>
    <row r="603" spans="1:7" hidden="1" x14ac:dyDescent="0.25">
      <c r="A603" t="s">
        <v>5650</v>
      </c>
      <c r="B603" s="1">
        <v>46079</v>
      </c>
      <c r="C603" t="s">
        <v>5407</v>
      </c>
      <c r="D603" s="36" t="str">
        <f t="shared" si="9"/>
        <v>64307629_20260226_nf_24.pdf</v>
      </c>
      <c r="E603">
        <f>COUNTIF(Analise!U:U,Notas_sem_indexar!C603)</f>
        <v>1</v>
      </c>
      <c r="G603" t="str">
        <f>IF(F603&lt;&gt;"",VLOOKUP(F603,'Obras e Acervos'!$C:$D,2,0),"OK")</f>
        <v>OK</v>
      </c>
    </row>
    <row r="604" spans="1:7" hidden="1" x14ac:dyDescent="0.25">
      <c r="A604" t="s">
        <v>5650</v>
      </c>
      <c r="B604" s="1">
        <v>46079</v>
      </c>
      <c r="C604" t="s">
        <v>5416</v>
      </c>
      <c r="D604" s="36" t="str">
        <f t="shared" si="9"/>
        <v>64307629_20260226_nf_25.pdf</v>
      </c>
      <c r="E604">
        <f>COUNTIF(Analise!U:U,Notas_sem_indexar!C604)</f>
        <v>1</v>
      </c>
      <c r="G604" t="str">
        <f>IF(F604&lt;&gt;"",VLOOKUP(F604,'Obras e Acervos'!$C:$D,2,0),"OK")</f>
        <v>OK</v>
      </c>
    </row>
    <row r="605" spans="1:7" hidden="1" x14ac:dyDescent="0.25">
      <c r="A605" t="s">
        <v>5650</v>
      </c>
      <c r="B605" s="1">
        <v>46079</v>
      </c>
      <c r="C605" t="s">
        <v>5410</v>
      </c>
      <c r="D605" s="36" t="str">
        <f t="shared" si="9"/>
        <v>64307629_20260226_nf_26.pdf</v>
      </c>
      <c r="E605">
        <f>COUNTIF(Analise!U:U,Notas_sem_indexar!C605)</f>
        <v>2</v>
      </c>
      <c r="G605" t="str">
        <f>IF(F605&lt;&gt;"",VLOOKUP(F605,'Obras e Acervos'!$C:$D,2,0),"OK")</f>
        <v>OK</v>
      </c>
    </row>
    <row r="606" spans="1:7" hidden="1" x14ac:dyDescent="0.25">
      <c r="A606" t="s">
        <v>5650</v>
      </c>
      <c r="B606" s="1">
        <v>46079</v>
      </c>
      <c r="C606" t="s">
        <v>5412</v>
      </c>
      <c r="D606" s="36" t="str">
        <f t="shared" si="9"/>
        <v>64307629_20260226_nf_27.pdf</v>
      </c>
      <c r="E606">
        <f>COUNTIF(Analise!U:U,Notas_sem_indexar!C606)</f>
        <v>1</v>
      </c>
      <c r="G606" t="str">
        <f>IF(F606&lt;&gt;"",VLOOKUP(F606,'Obras e Acervos'!$C:$D,2,0),"OK")</f>
        <v>OK</v>
      </c>
    </row>
    <row r="607" spans="1:7" hidden="1" x14ac:dyDescent="0.25">
      <c r="A607" t="s">
        <v>5650</v>
      </c>
      <c r="B607" s="1">
        <v>46079</v>
      </c>
      <c r="C607" t="s">
        <v>5417</v>
      </c>
      <c r="D607" s="36" t="str">
        <f t="shared" si="9"/>
        <v>64307629_20260226_nf_28.pdf</v>
      </c>
      <c r="E607">
        <f>COUNTIF(Analise!U:U,Notas_sem_indexar!C607)</f>
        <v>1</v>
      </c>
      <c r="G607" t="str">
        <f>IF(F607&lt;&gt;"",VLOOKUP(F607,'Obras e Acervos'!$C:$D,2,0),"OK")</f>
        <v>OK</v>
      </c>
    </row>
    <row r="608" spans="1:7" hidden="1" x14ac:dyDescent="0.25">
      <c r="A608" t="s">
        <v>5650</v>
      </c>
      <c r="B608" s="1">
        <v>46079</v>
      </c>
      <c r="C608" t="s">
        <v>5419</v>
      </c>
      <c r="D608" s="36" t="str">
        <f t="shared" si="9"/>
        <v>64307629_20260226_nf_29.pdf</v>
      </c>
      <c r="E608">
        <f>COUNTIF(Analise!U:U,Notas_sem_indexar!C608)</f>
        <v>1</v>
      </c>
      <c r="G608" t="str">
        <f>IF(F608&lt;&gt;"",VLOOKUP(F608,'Obras e Acervos'!$C:$D,2,0),"OK")</f>
        <v>OK</v>
      </c>
    </row>
    <row r="609" spans="1:7" x14ac:dyDescent="0.25">
      <c r="A609" t="s">
        <v>5650</v>
      </c>
      <c r="B609" s="1">
        <v>46079</v>
      </c>
      <c r="C609" t="s">
        <v>5656</v>
      </c>
      <c r="D609" s="36" t="str">
        <f t="shared" si="9"/>
        <v>VERIFICAR</v>
      </c>
      <c r="E609">
        <f>COUNTIF(Analise!U:U,Notas_sem_indexar!C609)</f>
        <v>0</v>
      </c>
      <c r="G609" t="s">
        <v>5774</v>
      </c>
    </row>
    <row r="610" spans="1:7" hidden="1" x14ac:dyDescent="0.25">
      <c r="A610" t="s">
        <v>5650</v>
      </c>
      <c r="B610" s="1">
        <v>46079</v>
      </c>
      <c r="C610" t="s">
        <v>5421</v>
      </c>
      <c r="D610" s="36" t="str">
        <f t="shared" si="9"/>
        <v>64307629_20260226_nf_31.pdf</v>
      </c>
      <c r="E610">
        <f>COUNTIF(Analise!U:U,Notas_sem_indexar!C610)</f>
        <v>1</v>
      </c>
      <c r="G610" t="str">
        <f>IF(F610&lt;&gt;"",VLOOKUP(F610,'Obras e Acervos'!$C:$D,2,0),"OK")</f>
        <v>OK</v>
      </c>
    </row>
    <row r="611" spans="1:7" hidden="1" x14ac:dyDescent="0.25">
      <c r="A611" t="s">
        <v>5650</v>
      </c>
      <c r="B611" s="1">
        <v>46079</v>
      </c>
      <c r="C611" t="s">
        <v>5414</v>
      </c>
      <c r="D611" s="36" t="str">
        <f t="shared" si="9"/>
        <v>64307629_20260226_nf_32.pdf</v>
      </c>
      <c r="E611">
        <f>COUNTIF(Analise!U:U,Notas_sem_indexar!C611)</f>
        <v>1</v>
      </c>
      <c r="G611" t="str">
        <f>IF(F611&lt;&gt;"",VLOOKUP(F611,'Obras e Acervos'!$C:$D,2,0),"OK")</f>
        <v>OK</v>
      </c>
    </row>
    <row r="612" spans="1:7" hidden="1" x14ac:dyDescent="0.25">
      <c r="A612" t="s">
        <v>5650</v>
      </c>
      <c r="B612" s="1">
        <v>46079</v>
      </c>
      <c r="C612" t="s">
        <v>5413</v>
      </c>
      <c r="D612" s="36" t="str">
        <f t="shared" si="9"/>
        <v>64307629_20260226_nf_33.pdf</v>
      </c>
      <c r="E612">
        <f>COUNTIF(Analise!U:U,Notas_sem_indexar!C612)</f>
        <v>1</v>
      </c>
      <c r="G612" t="str">
        <f>IF(F612&lt;&gt;"",VLOOKUP(F612,'Obras e Acervos'!$C:$D,2,0),"OK")</f>
        <v>OK</v>
      </c>
    </row>
    <row r="613" spans="1:7" hidden="1" x14ac:dyDescent="0.25">
      <c r="A613" t="s">
        <v>5657</v>
      </c>
      <c r="B613" s="1">
        <v>46080</v>
      </c>
      <c r="C613" t="s">
        <v>5422</v>
      </c>
      <c r="D613" s="36" t="str">
        <f t="shared" si="9"/>
        <v>64307674_20260227_nf_01.pdf</v>
      </c>
      <c r="E613">
        <f>COUNTIF(Analise!U:U,Notas_sem_indexar!C613)</f>
        <v>1</v>
      </c>
      <c r="G613" t="str">
        <f>IF(F613&lt;&gt;"",VLOOKUP(F613,'Obras e Acervos'!$C:$D,2,0),"OK")</f>
        <v>OK</v>
      </c>
    </row>
    <row r="614" spans="1:7" x14ac:dyDescent="0.25">
      <c r="A614" t="s">
        <v>5657</v>
      </c>
      <c r="B614" s="1">
        <v>46080</v>
      </c>
      <c r="C614" t="s">
        <v>5658</v>
      </c>
      <c r="D614" s="36" t="str">
        <f t="shared" si="9"/>
        <v>VERIFICAR</v>
      </c>
      <c r="E614">
        <f>COUNTIF(Analise!U:U,Notas_sem_indexar!C614)</f>
        <v>0</v>
      </c>
      <c r="F614" s="35" t="s">
        <v>2681</v>
      </c>
      <c r="G614" t="str">
        <f>IF(F614&lt;&gt;"",VLOOKUP(F614,'Obras e Acervos'!$C:$D,2,0),"OK")</f>
        <v>AMARE EDITORA LTDA-AMARE</v>
      </c>
    </row>
    <row r="615" spans="1:7" hidden="1" x14ac:dyDescent="0.25">
      <c r="A615" t="s">
        <v>5657</v>
      </c>
      <c r="B615" s="1">
        <v>46080</v>
      </c>
      <c r="C615" t="s">
        <v>5425</v>
      </c>
      <c r="D615" s="36" t="str">
        <f t="shared" si="9"/>
        <v>64307674_20260227_nf_03.pdf</v>
      </c>
      <c r="E615">
        <f>COUNTIF(Analise!U:U,Notas_sem_indexar!C615)</f>
        <v>1</v>
      </c>
      <c r="G615" t="str">
        <f>IF(F615&lt;&gt;"",VLOOKUP(F615,'Obras e Acervos'!$C:$D,2,0),"OK")</f>
        <v>OK</v>
      </c>
    </row>
    <row r="616" spans="1:7" x14ac:dyDescent="0.25">
      <c r="A616" t="s">
        <v>5657</v>
      </c>
      <c r="B616" s="1">
        <v>46080</v>
      </c>
      <c r="C616" t="s">
        <v>5659</v>
      </c>
      <c r="D616" s="36" t="str">
        <f t="shared" si="9"/>
        <v>VERIFICAR</v>
      </c>
      <c r="E616">
        <f>COUNTIF(Analise!U:U,Notas_sem_indexar!C616)</f>
        <v>0</v>
      </c>
      <c r="G616" t="s">
        <v>5793</v>
      </c>
    </row>
    <row r="617" spans="1:7" hidden="1" x14ac:dyDescent="0.25">
      <c r="A617" t="s">
        <v>5657</v>
      </c>
      <c r="B617" s="1">
        <v>46080</v>
      </c>
      <c r="C617" t="s">
        <v>5430</v>
      </c>
      <c r="D617" s="36" t="str">
        <f t="shared" si="9"/>
        <v>64307674_20260227_nf_05.pdf</v>
      </c>
      <c r="E617">
        <f>COUNTIF(Analise!U:U,Notas_sem_indexar!C617)</f>
        <v>1</v>
      </c>
      <c r="G617" t="str">
        <f>IF(F617&lt;&gt;"",VLOOKUP(F617,'Obras e Acervos'!$C:$D,2,0),"OK")</f>
        <v>OK</v>
      </c>
    </row>
    <row r="618" spans="1:7" x14ac:dyDescent="0.25">
      <c r="A618" t="s">
        <v>5657</v>
      </c>
      <c r="B618" s="1">
        <v>46080</v>
      </c>
      <c r="C618" t="s">
        <v>5660</v>
      </c>
      <c r="D618" s="36" t="str">
        <f t="shared" si="9"/>
        <v>VERIFICAR</v>
      </c>
      <c r="E618">
        <f>COUNTIF(Analise!U:U,Notas_sem_indexar!C618)</f>
        <v>0</v>
      </c>
      <c r="F618" s="35" t="s">
        <v>2230</v>
      </c>
      <c r="G618" t="str">
        <f>IF(F618&lt;&gt;"",VLOOKUP(F618,'Obras e Acervos'!$C:$D,2,0),"OK")</f>
        <v>EDITORA BEST SELLER LTDA.-EDITORA BEST SELLER</v>
      </c>
    </row>
    <row r="619" spans="1:7" hidden="1" x14ac:dyDescent="0.25">
      <c r="A619" t="s">
        <v>5657</v>
      </c>
      <c r="B619" s="1">
        <v>46080</v>
      </c>
      <c r="C619" t="s">
        <v>5423</v>
      </c>
      <c r="D619" s="36" t="str">
        <f t="shared" si="9"/>
        <v>64307674_20260227_nf_07.pdf</v>
      </c>
      <c r="E619">
        <f>COUNTIF(Analise!U:U,Notas_sem_indexar!C619)</f>
        <v>2</v>
      </c>
      <c r="G619" t="str">
        <f>IF(F619&lt;&gt;"",VLOOKUP(F619,'Obras e Acervos'!$C:$D,2,0),"OK")</f>
        <v>OK</v>
      </c>
    </row>
    <row r="620" spans="1:7" hidden="1" x14ac:dyDescent="0.25">
      <c r="A620" t="s">
        <v>5657</v>
      </c>
      <c r="B620" s="1">
        <v>46080</v>
      </c>
      <c r="C620" t="s">
        <v>5433</v>
      </c>
      <c r="D620" s="36" t="str">
        <f t="shared" si="9"/>
        <v>64307674_20260227_nf_08.pdf</v>
      </c>
      <c r="E620">
        <f>COUNTIF(Analise!U:U,Notas_sem_indexar!C620)</f>
        <v>2</v>
      </c>
      <c r="G620" t="str">
        <f>IF(F620&lt;&gt;"",VLOOKUP(F620,'Obras e Acervos'!$C:$D,2,0),"OK")</f>
        <v>OK</v>
      </c>
    </row>
    <row r="621" spans="1:7" hidden="1" x14ac:dyDescent="0.25">
      <c r="A621" t="s">
        <v>5657</v>
      </c>
      <c r="B621" s="1">
        <v>46080</v>
      </c>
      <c r="C621" t="s">
        <v>5438</v>
      </c>
      <c r="D621" s="36" t="str">
        <f t="shared" si="9"/>
        <v>64307674_20260227_nf_09.pdf</v>
      </c>
      <c r="E621">
        <f>COUNTIF(Analise!U:U,Notas_sem_indexar!C621)</f>
        <v>1</v>
      </c>
      <c r="G621" t="str">
        <f>IF(F621&lt;&gt;"",VLOOKUP(F621,'Obras e Acervos'!$C:$D,2,0),"OK")</f>
        <v>OK</v>
      </c>
    </row>
    <row r="622" spans="1:7" hidden="1" x14ac:dyDescent="0.25">
      <c r="A622" t="s">
        <v>5657</v>
      </c>
      <c r="B622" s="1">
        <v>46080</v>
      </c>
      <c r="C622" t="s">
        <v>5435</v>
      </c>
      <c r="D622" s="36" t="str">
        <f t="shared" si="9"/>
        <v>64307674_20260227_nf_10.pdf</v>
      </c>
      <c r="E622">
        <f>COUNTIF(Analise!U:U,Notas_sem_indexar!C622)</f>
        <v>1</v>
      </c>
      <c r="G622" t="str">
        <f>IF(F622&lt;&gt;"",VLOOKUP(F622,'Obras e Acervos'!$C:$D,2,0),"OK")</f>
        <v>OK</v>
      </c>
    </row>
    <row r="623" spans="1:7" hidden="1" x14ac:dyDescent="0.25">
      <c r="A623" t="s">
        <v>5657</v>
      </c>
      <c r="B623" s="1">
        <v>46080</v>
      </c>
      <c r="C623" t="s">
        <v>5428</v>
      </c>
      <c r="D623" s="36" t="str">
        <f t="shared" si="9"/>
        <v>64307674_20260227_nf_11.pdf</v>
      </c>
      <c r="E623">
        <f>COUNTIF(Analise!U:U,Notas_sem_indexar!C623)</f>
        <v>1</v>
      </c>
      <c r="G623" t="str">
        <f>IF(F623&lt;&gt;"",VLOOKUP(F623,'Obras e Acervos'!$C:$D,2,0),"OK")</f>
        <v>OK</v>
      </c>
    </row>
    <row r="624" spans="1:7" x14ac:dyDescent="0.25">
      <c r="A624" t="s">
        <v>5657</v>
      </c>
      <c r="B624" s="1">
        <v>46080</v>
      </c>
      <c r="C624" t="s">
        <v>5429</v>
      </c>
      <c r="D624" s="36" t="str">
        <f t="shared" si="9"/>
        <v>VERIFICAR</v>
      </c>
      <c r="E624">
        <f>COUNTIF(Analise!U:U,Notas_sem_indexar!C624)</f>
        <v>0</v>
      </c>
      <c r="G624" t="s">
        <v>5794</v>
      </c>
    </row>
    <row r="625" spans="1:7" hidden="1" x14ac:dyDescent="0.25">
      <c r="A625" t="s">
        <v>5657</v>
      </c>
      <c r="B625" s="1">
        <v>46080</v>
      </c>
      <c r="C625" t="s">
        <v>5439</v>
      </c>
      <c r="D625" s="36" t="str">
        <f t="shared" si="9"/>
        <v>64307674_20260227_nf_13.pdf</v>
      </c>
      <c r="E625">
        <f>COUNTIF(Analise!U:U,Notas_sem_indexar!C625)</f>
        <v>1</v>
      </c>
      <c r="G625" t="str">
        <f>IF(F625&lt;&gt;"",VLOOKUP(F625,'Obras e Acervos'!$C:$D,2,0),"OK")</f>
        <v>OK</v>
      </c>
    </row>
    <row r="626" spans="1:7" hidden="1" x14ac:dyDescent="0.25">
      <c r="A626" t="s">
        <v>5657</v>
      </c>
      <c r="B626" s="1">
        <v>46080</v>
      </c>
      <c r="C626" t="s">
        <v>5431</v>
      </c>
      <c r="D626" s="36" t="str">
        <f t="shared" si="9"/>
        <v>64307674_20260227_nf_14.pdf</v>
      </c>
      <c r="E626">
        <f>COUNTIF(Analise!U:U,Notas_sem_indexar!C626)</f>
        <v>1</v>
      </c>
      <c r="G626" t="str">
        <f>IF(F626&lt;&gt;"",VLOOKUP(F626,'Obras e Acervos'!$C:$D,2,0),"OK")</f>
        <v>OK</v>
      </c>
    </row>
    <row r="627" spans="1:7" hidden="1" x14ac:dyDescent="0.25">
      <c r="A627" t="s">
        <v>5657</v>
      </c>
      <c r="B627" s="1">
        <v>46080</v>
      </c>
      <c r="C627" t="s">
        <v>5432</v>
      </c>
      <c r="D627" s="36" t="str">
        <f t="shared" si="9"/>
        <v>64307674_20260227_nf_15.pdf</v>
      </c>
      <c r="E627">
        <f>COUNTIF(Analise!U:U,Notas_sem_indexar!C627)</f>
        <v>1</v>
      </c>
      <c r="G627" t="str">
        <f>IF(F627&lt;&gt;"",VLOOKUP(F627,'Obras e Acervos'!$C:$D,2,0),"OK")</f>
        <v>OK</v>
      </c>
    </row>
    <row r="628" spans="1:7" hidden="1" x14ac:dyDescent="0.25">
      <c r="A628" t="s">
        <v>5657</v>
      </c>
      <c r="B628" s="1">
        <v>46080</v>
      </c>
      <c r="C628" t="s">
        <v>5449</v>
      </c>
      <c r="D628" s="36" t="str">
        <f t="shared" si="9"/>
        <v>64307674_20260227_nf_16.pdf</v>
      </c>
      <c r="E628">
        <f>COUNTIF(Analise!U:U,Notas_sem_indexar!C628)</f>
        <v>1</v>
      </c>
      <c r="G628" t="str">
        <f>IF(F628&lt;&gt;"",VLOOKUP(F628,'Obras e Acervos'!$C:$D,2,0),"OK")</f>
        <v>OK</v>
      </c>
    </row>
    <row r="629" spans="1:7" x14ac:dyDescent="0.25">
      <c r="A629" t="s">
        <v>5657</v>
      </c>
      <c r="B629" s="1">
        <v>46080</v>
      </c>
      <c r="C629" t="s">
        <v>5661</v>
      </c>
      <c r="D629" s="36" t="str">
        <f t="shared" si="9"/>
        <v>VERIFICAR</v>
      </c>
      <c r="E629">
        <f>COUNTIF(Analise!U:U,Notas_sem_indexar!C629)</f>
        <v>0</v>
      </c>
      <c r="F629" s="35" t="s">
        <v>3700</v>
      </c>
      <c r="G629" t="str">
        <f>IF(F629&lt;&gt;"",VLOOKUP(F629,'Obras e Acervos'!$C:$D,2,0),"OK")</f>
        <v>ACORDE PRODUÇÕES MUSICAIS LTDA-ACORDE</v>
      </c>
    </row>
    <row r="630" spans="1:7" hidden="1" x14ac:dyDescent="0.25">
      <c r="A630" t="s">
        <v>5657</v>
      </c>
      <c r="B630" s="1">
        <v>46080</v>
      </c>
      <c r="C630" t="s">
        <v>5455</v>
      </c>
      <c r="D630" s="36" t="str">
        <f t="shared" si="9"/>
        <v>64307674_20260227_nf_18.pdf</v>
      </c>
      <c r="E630">
        <f>COUNTIF(Analise!U:U,Notas_sem_indexar!C630)</f>
        <v>1</v>
      </c>
      <c r="G630" t="str">
        <f>IF(F630&lt;&gt;"",VLOOKUP(F630,'Obras e Acervos'!$C:$D,2,0),"OK")</f>
        <v>OK</v>
      </c>
    </row>
    <row r="631" spans="1:7" x14ac:dyDescent="0.25">
      <c r="A631" t="s">
        <v>5657</v>
      </c>
      <c r="B631" s="1">
        <v>46080</v>
      </c>
      <c r="C631" t="s">
        <v>5662</v>
      </c>
      <c r="D631" s="36" t="str">
        <f t="shared" si="9"/>
        <v>VERIFICAR</v>
      </c>
      <c r="E631">
        <f>COUNTIF(Analise!U:U,Notas_sem_indexar!C631)</f>
        <v>0</v>
      </c>
      <c r="F631" s="35" t="s">
        <v>1621</v>
      </c>
      <c r="G631" t="str">
        <f>IF(F631&lt;&gt;"",VLOOKUP(F631,'Obras e Acervos'!$C:$D,2,0),"OK")</f>
        <v>EDITORA PAZ E TERRA LTDA -EDITORA PAZ E TERRA</v>
      </c>
    </row>
    <row r="632" spans="1:7" hidden="1" x14ac:dyDescent="0.25">
      <c r="A632" t="s">
        <v>5657</v>
      </c>
      <c r="B632" s="1">
        <v>46080</v>
      </c>
      <c r="C632" t="s">
        <v>5441</v>
      </c>
      <c r="D632" s="36" t="str">
        <f t="shared" si="9"/>
        <v>64307674_20260227_nf_20.pdf</v>
      </c>
      <c r="E632">
        <f>COUNTIF(Analise!U:U,Notas_sem_indexar!C632)</f>
        <v>1</v>
      </c>
      <c r="G632" t="str">
        <f>IF(F632&lt;&gt;"",VLOOKUP(F632,'Obras e Acervos'!$C:$D,2,0),"OK")</f>
        <v>OK</v>
      </c>
    </row>
    <row r="633" spans="1:7" x14ac:dyDescent="0.25">
      <c r="A633" t="s">
        <v>5657</v>
      </c>
      <c r="B633" s="1">
        <v>46080</v>
      </c>
      <c r="C633" t="s">
        <v>5663</v>
      </c>
      <c r="D633" s="36" t="str">
        <f t="shared" si="9"/>
        <v>VERIFICAR</v>
      </c>
      <c r="E633">
        <f>COUNTIF(Analise!U:U,Notas_sem_indexar!C633)</f>
        <v>0</v>
      </c>
      <c r="G633" t="s">
        <v>5774</v>
      </c>
    </row>
    <row r="634" spans="1:7" hidden="1" x14ac:dyDescent="0.25">
      <c r="A634" t="s">
        <v>5657</v>
      </c>
      <c r="B634" s="1">
        <v>46080</v>
      </c>
      <c r="C634" t="s">
        <v>5436</v>
      </c>
      <c r="D634" s="36" t="str">
        <f t="shared" si="9"/>
        <v>64307674_20260227_nf_22.pdf</v>
      </c>
      <c r="E634">
        <f>COUNTIF(Analise!U:U,Notas_sem_indexar!C634)</f>
        <v>1</v>
      </c>
      <c r="G634" t="str">
        <f>IF(F634&lt;&gt;"",VLOOKUP(F634,'Obras e Acervos'!$C:$D,2,0),"OK")</f>
        <v>OK</v>
      </c>
    </row>
    <row r="635" spans="1:7" hidden="1" x14ac:dyDescent="0.25">
      <c r="A635" t="s">
        <v>5657</v>
      </c>
      <c r="B635" s="1">
        <v>46080</v>
      </c>
      <c r="C635" t="s">
        <v>5458</v>
      </c>
      <c r="D635" s="36" t="str">
        <f t="shared" si="9"/>
        <v>64307674_20260227_nf_23.pdf</v>
      </c>
      <c r="E635">
        <f>COUNTIF(Analise!U:U,Notas_sem_indexar!C635)</f>
        <v>1</v>
      </c>
      <c r="G635" t="str">
        <f>IF(F635&lt;&gt;"",VLOOKUP(F635,'Obras e Acervos'!$C:$D,2,0),"OK")</f>
        <v>OK</v>
      </c>
    </row>
    <row r="636" spans="1:7" hidden="1" x14ac:dyDescent="0.25">
      <c r="A636" t="s">
        <v>5657</v>
      </c>
      <c r="B636" s="1">
        <v>46080</v>
      </c>
      <c r="C636" t="s">
        <v>5453</v>
      </c>
      <c r="D636" s="36" t="str">
        <f t="shared" si="9"/>
        <v>64307674_20260227_nf_24.pdf</v>
      </c>
      <c r="E636">
        <f>COUNTIF(Analise!U:U,Notas_sem_indexar!C636)</f>
        <v>1</v>
      </c>
      <c r="G636" t="str">
        <f>IF(F636&lt;&gt;"",VLOOKUP(F636,'Obras e Acervos'!$C:$D,2,0),"OK")</f>
        <v>OK</v>
      </c>
    </row>
    <row r="637" spans="1:7" hidden="1" x14ac:dyDescent="0.25">
      <c r="A637" t="s">
        <v>5657</v>
      </c>
      <c r="B637" s="1">
        <v>46080</v>
      </c>
      <c r="C637" t="s">
        <v>5437</v>
      </c>
      <c r="D637" s="36" t="str">
        <f t="shared" si="9"/>
        <v>64307674_20260227_nf_25.pdf</v>
      </c>
      <c r="E637">
        <f>COUNTIF(Analise!U:U,Notas_sem_indexar!C637)</f>
        <v>1</v>
      </c>
      <c r="G637" t="str">
        <f>IF(F637&lt;&gt;"",VLOOKUP(F637,'Obras e Acervos'!$C:$D,2,0),"OK")</f>
        <v>OK</v>
      </c>
    </row>
    <row r="638" spans="1:7" hidden="1" x14ac:dyDescent="0.25">
      <c r="A638" t="s">
        <v>5657</v>
      </c>
      <c r="B638" s="1">
        <v>46080</v>
      </c>
      <c r="C638" t="s">
        <v>5445</v>
      </c>
      <c r="D638" s="36" t="str">
        <f t="shared" si="9"/>
        <v>64307674_20260227_nf_26.pdf</v>
      </c>
      <c r="E638">
        <f>COUNTIF(Analise!U:U,Notas_sem_indexar!C638)</f>
        <v>1</v>
      </c>
      <c r="G638" t="str">
        <f>IF(F638&lt;&gt;"",VLOOKUP(F638,'Obras e Acervos'!$C:$D,2,0),"OK")</f>
        <v>OK</v>
      </c>
    </row>
    <row r="639" spans="1:7" hidden="1" x14ac:dyDescent="0.25">
      <c r="A639" t="s">
        <v>5657</v>
      </c>
      <c r="B639" s="1">
        <v>46080</v>
      </c>
      <c r="C639" t="s">
        <v>5448</v>
      </c>
      <c r="D639" s="36" t="str">
        <f t="shared" si="9"/>
        <v>64307674_20260227_nf_27.pdf</v>
      </c>
      <c r="E639">
        <f>COUNTIF(Analise!U:U,Notas_sem_indexar!C639)</f>
        <v>1</v>
      </c>
      <c r="G639" t="str">
        <f>IF(F639&lt;&gt;"",VLOOKUP(F639,'Obras e Acervos'!$C:$D,2,0),"OK")</f>
        <v>OK</v>
      </c>
    </row>
    <row r="640" spans="1:7" hidden="1" x14ac:dyDescent="0.25">
      <c r="A640" t="s">
        <v>5657</v>
      </c>
      <c r="B640" s="1">
        <v>46080</v>
      </c>
      <c r="C640" t="s">
        <v>5440</v>
      </c>
      <c r="D640" s="36" t="str">
        <f t="shared" si="9"/>
        <v>64307674_20260227_nf_28.pdf</v>
      </c>
      <c r="E640">
        <f>COUNTIF(Analise!U:U,Notas_sem_indexar!C640)</f>
        <v>1</v>
      </c>
      <c r="G640" t="str">
        <f>IF(F640&lt;&gt;"",VLOOKUP(F640,'Obras e Acervos'!$C:$D,2,0),"OK")</f>
        <v>OK</v>
      </c>
    </row>
    <row r="641" spans="1:7" hidden="1" x14ac:dyDescent="0.25">
      <c r="A641" t="s">
        <v>5657</v>
      </c>
      <c r="B641" s="1">
        <v>46080</v>
      </c>
      <c r="C641" t="s">
        <v>5451</v>
      </c>
      <c r="D641" s="36" t="str">
        <f t="shared" si="9"/>
        <v>64307674_20260227_nf_29.pdf</v>
      </c>
      <c r="E641">
        <f>COUNTIF(Analise!U:U,Notas_sem_indexar!C641)</f>
        <v>1</v>
      </c>
      <c r="G641" t="str">
        <f>IF(F641&lt;&gt;"",VLOOKUP(F641,'Obras e Acervos'!$C:$D,2,0),"OK")</f>
        <v>OK</v>
      </c>
    </row>
    <row r="642" spans="1:7" hidden="1" x14ac:dyDescent="0.25">
      <c r="A642" t="s">
        <v>5657</v>
      </c>
      <c r="B642" s="1">
        <v>46080</v>
      </c>
      <c r="C642" t="s">
        <v>5442</v>
      </c>
      <c r="D642" s="36" t="str">
        <f t="shared" si="9"/>
        <v>64307674_20260227_nf_30.pdf</v>
      </c>
      <c r="E642">
        <f>COUNTIF(Analise!U:U,Notas_sem_indexar!C642)</f>
        <v>1</v>
      </c>
      <c r="G642" t="str">
        <f>IF(F642&lt;&gt;"",VLOOKUP(F642,'Obras e Acervos'!$C:$D,2,0),"OK")</f>
        <v>OK</v>
      </c>
    </row>
    <row r="643" spans="1:7" hidden="1" x14ac:dyDescent="0.25">
      <c r="A643" t="s">
        <v>5657</v>
      </c>
      <c r="B643" s="1">
        <v>46080</v>
      </c>
      <c r="C643" t="s">
        <v>5443</v>
      </c>
      <c r="D643" s="36" t="str">
        <f t="shared" ref="D643:D706" si="10">IF(E643=0,HYPERLINK(CONCATENATE("saida/",C643),"VERIFICAR"),HYPERLINK(CONCATENATE("saida/",C643),C643))</f>
        <v>64307674_20260227_nf_31.pdf</v>
      </c>
      <c r="E643">
        <f>COUNTIF(Analise!U:U,Notas_sem_indexar!C643)</f>
        <v>1</v>
      </c>
      <c r="G643" t="str">
        <f>IF(F643&lt;&gt;"",VLOOKUP(F643,'Obras e Acervos'!$C:$D,2,0),"OK")</f>
        <v>OK</v>
      </c>
    </row>
    <row r="644" spans="1:7" hidden="1" x14ac:dyDescent="0.25">
      <c r="A644" t="s">
        <v>5657</v>
      </c>
      <c r="B644" s="1">
        <v>46080</v>
      </c>
      <c r="C644" t="s">
        <v>5426</v>
      </c>
      <c r="D644" s="36" t="str">
        <f t="shared" si="10"/>
        <v>64307674_20260227_nf_32.pdf</v>
      </c>
      <c r="E644">
        <f>COUNTIF(Analise!U:U,Notas_sem_indexar!C644)</f>
        <v>1</v>
      </c>
      <c r="G644" t="str">
        <f>IF(F644&lt;&gt;"",VLOOKUP(F644,'Obras e Acervos'!$C:$D,2,0),"OK")</f>
        <v>OK</v>
      </c>
    </row>
    <row r="645" spans="1:7" hidden="1" x14ac:dyDescent="0.25">
      <c r="A645" t="s">
        <v>5657</v>
      </c>
      <c r="B645" s="1">
        <v>46080</v>
      </c>
      <c r="C645" t="s">
        <v>5427</v>
      </c>
      <c r="D645" s="36" t="str">
        <f t="shared" si="10"/>
        <v>64307674_20260227_nf_33.pdf</v>
      </c>
      <c r="E645">
        <f>COUNTIF(Analise!U:U,Notas_sem_indexar!C645)</f>
        <v>1</v>
      </c>
      <c r="G645" t="str">
        <f>IF(F645&lt;&gt;"",VLOOKUP(F645,'Obras e Acervos'!$C:$D,2,0),"OK")</f>
        <v>OK</v>
      </c>
    </row>
    <row r="646" spans="1:7" hidden="1" x14ac:dyDescent="0.25">
      <c r="A646" t="s">
        <v>5657</v>
      </c>
      <c r="B646" s="1">
        <v>46080</v>
      </c>
      <c r="C646" t="s">
        <v>5462</v>
      </c>
      <c r="D646" s="36" t="str">
        <f t="shared" si="10"/>
        <v>64307674_20260227_nf_34.pdf</v>
      </c>
      <c r="E646">
        <f>COUNTIF(Analise!U:U,Notas_sem_indexar!C646)</f>
        <v>1</v>
      </c>
      <c r="G646" t="str">
        <f>IF(F646&lt;&gt;"",VLOOKUP(F646,'Obras e Acervos'!$C:$D,2,0),"OK")</f>
        <v>OK</v>
      </c>
    </row>
    <row r="647" spans="1:7" hidden="1" x14ac:dyDescent="0.25">
      <c r="A647" t="s">
        <v>5657</v>
      </c>
      <c r="B647" s="1">
        <v>46080</v>
      </c>
      <c r="C647" t="s">
        <v>5446</v>
      </c>
      <c r="D647" s="36" t="str">
        <f t="shared" si="10"/>
        <v>64307674_20260227_nf_35.pdf</v>
      </c>
      <c r="E647">
        <f>COUNTIF(Analise!U:U,Notas_sem_indexar!C647)</f>
        <v>1</v>
      </c>
      <c r="G647" t="str">
        <f>IF(F647&lt;&gt;"",VLOOKUP(F647,'Obras e Acervos'!$C:$D,2,0),"OK")</f>
        <v>OK</v>
      </c>
    </row>
    <row r="648" spans="1:7" hidden="1" x14ac:dyDescent="0.25">
      <c r="A648" t="s">
        <v>5657</v>
      </c>
      <c r="B648" s="1">
        <v>46080</v>
      </c>
      <c r="C648" t="s">
        <v>5464</v>
      </c>
      <c r="D648" s="36" t="str">
        <f t="shared" si="10"/>
        <v>64307674_20260227_nf_36.pdf</v>
      </c>
      <c r="E648">
        <f>COUNTIF(Analise!U:U,Notas_sem_indexar!C648)</f>
        <v>1</v>
      </c>
      <c r="G648" t="str">
        <f>IF(F648&lt;&gt;"",VLOOKUP(F648,'Obras e Acervos'!$C:$D,2,0),"OK")</f>
        <v>OK</v>
      </c>
    </row>
    <row r="649" spans="1:7" x14ac:dyDescent="0.25">
      <c r="A649" t="s">
        <v>5657</v>
      </c>
      <c r="B649" s="1">
        <v>46080</v>
      </c>
      <c r="C649" t="s">
        <v>5664</v>
      </c>
      <c r="D649" s="36" t="str">
        <f t="shared" si="10"/>
        <v>VERIFICAR</v>
      </c>
      <c r="E649">
        <f>COUNTIF(Analise!U:U,Notas_sem_indexar!C649)</f>
        <v>0</v>
      </c>
      <c r="F649" s="35" t="s">
        <v>2836</v>
      </c>
      <c r="G649" t="str">
        <f>IF(F649&lt;&gt;"",VLOOKUP(F649,'Obras e Acervos'!$C:$D,2,0),"OK")</f>
        <v>ALUAR EDITORA LTDA-ALUAR EDITORA</v>
      </c>
    </row>
    <row r="650" spans="1:7" hidden="1" x14ac:dyDescent="0.25">
      <c r="A650" t="s">
        <v>5657</v>
      </c>
      <c r="B650" s="1">
        <v>46080</v>
      </c>
      <c r="C650" t="s">
        <v>5424</v>
      </c>
      <c r="D650" s="36" t="str">
        <f t="shared" si="10"/>
        <v>64307674_20260227_nf_38.pdf</v>
      </c>
      <c r="E650">
        <f>COUNTIF(Analise!U:U,Notas_sem_indexar!C650)</f>
        <v>1</v>
      </c>
      <c r="G650" t="str">
        <f>IF(F650&lt;&gt;"",VLOOKUP(F650,'Obras e Acervos'!$C:$D,2,0),"OK")</f>
        <v>OK</v>
      </c>
    </row>
    <row r="651" spans="1:7" x14ac:dyDescent="0.25">
      <c r="A651" t="s">
        <v>5657</v>
      </c>
      <c r="B651" s="1">
        <v>46080</v>
      </c>
      <c r="C651" t="s">
        <v>5665</v>
      </c>
      <c r="D651" s="36" t="str">
        <f t="shared" si="10"/>
        <v>VERIFICAR</v>
      </c>
      <c r="E651">
        <f>COUNTIF(Analise!U:U,Notas_sem_indexar!C651)</f>
        <v>0</v>
      </c>
      <c r="G651" t="s">
        <v>5795</v>
      </c>
    </row>
    <row r="652" spans="1:7" hidden="1" x14ac:dyDescent="0.25">
      <c r="A652" t="s">
        <v>5657</v>
      </c>
      <c r="B652" s="1">
        <v>46080</v>
      </c>
      <c r="C652" t="s">
        <v>5447</v>
      </c>
      <c r="D652" s="36" t="str">
        <f t="shared" si="10"/>
        <v>64307674_20260227_nf_40.pdf</v>
      </c>
      <c r="E652">
        <f>COUNTIF(Analise!U:U,Notas_sem_indexar!C652)</f>
        <v>1</v>
      </c>
      <c r="G652" t="str">
        <f>IF(F652&lt;&gt;"",VLOOKUP(F652,'Obras e Acervos'!$C:$D,2,0),"OK")</f>
        <v>OK</v>
      </c>
    </row>
    <row r="653" spans="1:7" hidden="1" x14ac:dyDescent="0.25">
      <c r="A653" t="s">
        <v>5657</v>
      </c>
      <c r="B653" s="1">
        <v>46080</v>
      </c>
      <c r="C653" t="s">
        <v>5450</v>
      </c>
      <c r="D653" s="36" t="str">
        <f t="shared" si="10"/>
        <v>64307674_20260227_nf_41.pdf</v>
      </c>
      <c r="E653">
        <f>COUNTIF(Analise!U:U,Notas_sem_indexar!C653)</f>
        <v>2</v>
      </c>
      <c r="G653" t="str">
        <f>IF(F653&lt;&gt;"",VLOOKUP(F653,'Obras e Acervos'!$C:$D,2,0),"OK")</f>
        <v>OK</v>
      </c>
    </row>
    <row r="654" spans="1:7" hidden="1" x14ac:dyDescent="0.25">
      <c r="A654" t="s">
        <v>5657</v>
      </c>
      <c r="B654" s="1">
        <v>46080</v>
      </c>
      <c r="C654" t="s">
        <v>5463</v>
      </c>
      <c r="D654" s="36" t="str">
        <f t="shared" si="10"/>
        <v>64307674_20260227_nf_42.pdf</v>
      </c>
      <c r="E654">
        <f>COUNTIF(Analise!U:U,Notas_sem_indexar!C654)</f>
        <v>1</v>
      </c>
      <c r="G654" t="str">
        <f>IF(F654&lt;&gt;"",VLOOKUP(F654,'Obras e Acervos'!$C:$D,2,0),"OK")</f>
        <v>OK</v>
      </c>
    </row>
    <row r="655" spans="1:7" hidden="1" x14ac:dyDescent="0.25">
      <c r="A655" t="s">
        <v>5657</v>
      </c>
      <c r="B655" s="1">
        <v>46080</v>
      </c>
      <c r="C655" t="s">
        <v>5452</v>
      </c>
      <c r="D655" s="36" t="str">
        <f t="shared" si="10"/>
        <v>64307674_20260227_nf_43.pdf</v>
      </c>
      <c r="E655">
        <f>COUNTIF(Analise!U:U,Notas_sem_indexar!C655)</f>
        <v>1</v>
      </c>
      <c r="G655" t="str">
        <f>IF(F655&lt;&gt;"",VLOOKUP(F655,'Obras e Acervos'!$C:$D,2,0),"OK")</f>
        <v>OK</v>
      </c>
    </row>
    <row r="656" spans="1:7" hidden="1" x14ac:dyDescent="0.25">
      <c r="A656" t="s">
        <v>5657</v>
      </c>
      <c r="B656" s="1">
        <v>46080</v>
      </c>
      <c r="C656" t="s">
        <v>5454</v>
      </c>
      <c r="D656" s="36" t="str">
        <f t="shared" si="10"/>
        <v>64307674_20260227_nf_44.pdf</v>
      </c>
      <c r="E656">
        <f>COUNTIF(Analise!U:U,Notas_sem_indexar!C656)</f>
        <v>1</v>
      </c>
      <c r="G656" t="str">
        <f>IF(F656&lt;&gt;"",VLOOKUP(F656,'Obras e Acervos'!$C:$D,2,0),"OK")</f>
        <v>OK</v>
      </c>
    </row>
    <row r="657" spans="1:7" hidden="1" x14ac:dyDescent="0.25">
      <c r="A657" t="s">
        <v>5657</v>
      </c>
      <c r="B657" s="1">
        <v>46080</v>
      </c>
      <c r="C657" t="s">
        <v>5456</v>
      </c>
      <c r="D657" s="36" t="str">
        <f t="shared" si="10"/>
        <v>64307674_20260227_nf_45.pdf</v>
      </c>
      <c r="E657">
        <f>COUNTIF(Analise!U:U,Notas_sem_indexar!C657)</f>
        <v>1</v>
      </c>
      <c r="G657" t="str">
        <f>IF(F657&lt;&gt;"",VLOOKUP(F657,'Obras e Acervos'!$C:$D,2,0),"OK")</f>
        <v>OK</v>
      </c>
    </row>
    <row r="658" spans="1:7" hidden="1" x14ac:dyDescent="0.25">
      <c r="A658" t="s">
        <v>5657</v>
      </c>
      <c r="B658" s="1">
        <v>46080</v>
      </c>
      <c r="C658" t="s">
        <v>5461</v>
      </c>
      <c r="D658" s="36" t="str">
        <f t="shared" si="10"/>
        <v>64307674_20260227_nf_46.pdf</v>
      </c>
      <c r="E658">
        <f>COUNTIF(Analise!U:U,Notas_sem_indexar!C658)</f>
        <v>1</v>
      </c>
      <c r="G658" t="str">
        <f>IF(F658&lt;&gt;"",VLOOKUP(F658,'Obras e Acervos'!$C:$D,2,0),"OK")</f>
        <v>OK</v>
      </c>
    </row>
    <row r="659" spans="1:7" hidden="1" x14ac:dyDescent="0.25">
      <c r="A659" t="s">
        <v>5657</v>
      </c>
      <c r="B659" s="1">
        <v>46080</v>
      </c>
      <c r="C659" t="s">
        <v>5460</v>
      </c>
      <c r="D659" s="36" t="str">
        <f t="shared" si="10"/>
        <v>64307674_20260227_nf_47.pdf</v>
      </c>
      <c r="E659">
        <f>COUNTIF(Analise!U:U,Notas_sem_indexar!C659)</f>
        <v>1</v>
      </c>
      <c r="G659" t="str">
        <f>IF(F659&lt;&gt;"",VLOOKUP(F659,'Obras e Acervos'!$C:$D,2,0),"OK")</f>
        <v>OK</v>
      </c>
    </row>
    <row r="660" spans="1:7" x14ac:dyDescent="0.25">
      <c r="A660" t="s">
        <v>5657</v>
      </c>
      <c r="B660" s="1">
        <v>46080</v>
      </c>
      <c r="C660" t="s">
        <v>5666</v>
      </c>
      <c r="D660" s="36" t="str">
        <f t="shared" si="10"/>
        <v>VERIFICAR</v>
      </c>
      <c r="E660">
        <f>COUNTIF(Analise!U:U,Notas_sem_indexar!C660)</f>
        <v>0</v>
      </c>
      <c r="F660" s="35" t="s">
        <v>1646</v>
      </c>
      <c r="G660" t="str">
        <f>IF(F660&lt;&gt;"",VLOOKUP(F660,'Obras e Acervos'!$C:$D,2,0),"OK")</f>
        <v>ESTÚDIO MADALENA PRODUÇÕES FOTOGRÁFICAS EIRELI-MADALENA</v>
      </c>
    </row>
    <row r="661" spans="1:7" hidden="1" x14ac:dyDescent="0.25">
      <c r="A661" t="s">
        <v>5657</v>
      </c>
      <c r="B661" s="1">
        <v>46080</v>
      </c>
      <c r="C661" t="s">
        <v>5457</v>
      </c>
      <c r="D661" s="36" t="str">
        <f t="shared" si="10"/>
        <v>64307674_20260227_nf_49.pdf</v>
      </c>
      <c r="E661">
        <f>COUNTIF(Analise!U:U,Notas_sem_indexar!C661)</f>
        <v>1</v>
      </c>
      <c r="G661" t="str">
        <f>IF(F661&lt;&gt;"",VLOOKUP(F661,'Obras e Acervos'!$C:$D,2,0),"OK")</f>
        <v>OK</v>
      </c>
    </row>
    <row r="662" spans="1:7" hidden="1" x14ac:dyDescent="0.25">
      <c r="A662" t="s">
        <v>5657</v>
      </c>
      <c r="B662" s="1">
        <v>46080</v>
      </c>
      <c r="C662" t="s">
        <v>5444</v>
      </c>
      <c r="D662" s="36" t="str">
        <f t="shared" si="10"/>
        <v>64307674_20260227_nf_50.pdf</v>
      </c>
      <c r="E662">
        <f>COUNTIF(Analise!U:U,Notas_sem_indexar!C662)</f>
        <v>1</v>
      </c>
      <c r="G662" t="str">
        <f>IF(F662&lt;&gt;"",VLOOKUP(F662,'Obras e Acervos'!$C:$D,2,0),"OK")</f>
        <v>OK</v>
      </c>
    </row>
    <row r="663" spans="1:7" x14ac:dyDescent="0.25">
      <c r="A663" t="s">
        <v>5657</v>
      </c>
      <c r="B663" s="1">
        <v>46080</v>
      </c>
      <c r="C663" t="s">
        <v>5667</v>
      </c>
      <c r="D663" s="36" t="str">
        <f t="shared" si="10"/>
        <v>VERIFICAR</v>
      </c>
      <c r="E663">
        <f>COUNTIF(Analise!U:U,Notas_sem_indexar!C663)</f>
        <v>0</v>
      </c>
      <c r="G663" t="s">
        <v>5781</v>
      </c>
    </row>
    <row r="664" spans="1:7" hidden="1" x14ac:dyDescent="0.25">
      <c r="A664" t="s">
        <v>5657</v>
      </c>
      <c r="B664" s="1">
        <v>46080</v>
      </c>
      <c r="C664" t="s">
        <v>5459</v>
      </c>
      <c r="D664" s="36" t="str">
        <f t="shared" si="10"/>
        <v>64307674_20260227_nf_52.pdf</v>
      </c>
      <c r="E664">
        <f>COUNTIF(Analise!U:U,Notas_sem_indexar!C664)</f>
        <v>2</v>
      </c>
      <c r="G664" t="str">
        <f>IF(F664&lt;&gt;"",VLOOKUP(F664,'Obras e Acervos'!$C:$D,2,0),"OK")</f>
        <v>OK</v>
      </c>
    </row>
    <row r="665" spans="1:7" hidden="1" x14ac:dyDescent="0.25">
      <c r="A665" t="s">
        <v>5657</v>
      </c>
      <c r="B665" s="1">
        <v>46080</v>
      </c>
      <c r="C665" t="s">
        <v>5434</v>
      </c>
      <c r="D665" s="36" t="str">
        <f t="shared" si="10"/>
        <v>64307674_20260227_nf_53.pdf</v>
      </c>
      <c r="E665">
        <f>COUNTIF(Analise!U:U,Notas_sem_indexar!C665)</f>
        <v>1</v>
      </c>
      <c r="G665" t="str">
        <f>IF(F665&lt;&gt;"",VLOOKUP(F665,'Obras e Acervos'!$C:$D,2,0),"OK")</f>
        <v>OK</v>
      </c>
    </row>
    <row r="666" spans="1:7" hidden="1" x14ac:dyDescent="0.25">
      <c r="A666" t="s">
        <v>5633</v>
      </c>
      <c r="B666" s="1">
        <v>46077</v>
      </c>
      <c r="C666" t="s">
        <v>5467</v>
      </c>
      <c r="D666" s="36" t="str">
        <f t="shared" si="10"/>
        <v>64307905_20260224_nf_01.pdf</v>
      </c>
      <c r="E666">
        <f>COUNTIF(Analise!U:U,Notas_sem_indexar!C666)</f>
        <v>1</v>
      </c>
      <c r="G666" t="str">
        <f>IF(F666&lt;&gt;"",VLOOKUP(F666,'Obras e Acervos'!$C:$D,2,0),"OK")</f>
        <v>OK</v>
      </c>
    </row>
    <row r="667" spans="1:7" hidden="1" x14ac:dyDescent="0.25">
      <c r="A667" t="s">
        <v>5633</v>
      </c>
      <c r="B667" s="1">
        <v>46077</v>
      </c>
      <c r="C667" t="s">
        <v>5477</v>
      </c>
      <c r="D667" s="36" t="str">
        <f t="shared" si="10"/>
        <v>64307905_20260224_nf_02.pdf</v>
      </c>
      <c r="E667">
        <f>COUNTIF(Analise!U:U,Notas_sem_indexar!C667)</f>
        <v>1</v>
      </c>
      <c r="G667" t="str">
        <f>IF(F667&lt;&gt;"",VLOOKUP(F667,'Obras e Acervos'!$C:$D,2,0),"OK")</f>
        <v>OK</v>
      </c>
    </row>
    <row r="668" spans="1:7" hidden="1" x14ac:dyDescent="0.25">
      <c r="A668" t="s">
        <v>5633</v>
      </c>
      <c r="B668" s="1">
        <v>46077</v>
      </c>
      <c r="C668" t="s">
        <v>5466</v>
      </c>
      <c r="D668" s="36" t="str">
        <f t="shared" si="10"/>
        <v>64307905_20260224_nf_03.pdf</v>
      </c>
      <c r="E668">
        <f>COUNTIF(Analise!U:U,Notas_sem_indexar!C668)</f>
        <v>1</v>
      </c>
      <c r="G668" t="str">
        <f>IF(F668&lt;&gt;"",VLOOKUP(F668,'Obras e Acervos'!$C:$D,2,0),"OK")</f>
        <v>OK</v>
      </c>
    </row>
    <row r="669" spans="1:7" hidden="1" x14ac:dyDescent="0.25">
      <c r="A669" t="s">
        <v>5633</v>
      </c>
      <c r="B669" s="1">
        <v>46077</v>
      </c>
      <c r="C669" t="s">
        <v>5465</v>
      </c>
      <c r="D669" s="36" t="str">
        <f t="shared" si="10"/>
        <v>64307905_20260224_nf_04.pdf</v>
      </c>
      <c r="E669">
        <f>COUNTIF(Analise!U:U,Notas_sem_indexar!C669)</f>
        <v>1</v>
      </c>
      <c r="G669" t="str">
        <f>IF(F669&lt;&gt;"",VLOOKUP(F669,'Obras e Acervos'!$C:$D,2,0),"OK")</f>
        <v>OK</v>
      </c>
    </row>
    <row r="670" spans="1:7" hidden="1" x14ac:dyDescent="0.25">
      <c r="A670" t="s">
        <v>5633</v>
      </c>
      <c r="B670" s="1">
        <v>46077</v>
      </c>
      <c r="C670" t="s">
        <v>5475</v>
      </c>
      <c r="D670" s="36" t="str">
        <f t="shared" si="10"/>
        <v>64307905_20260224_nf_05.pdf</v>
      </c>
      <c r="E670">
        <f>COUNTIF(Analise!U:U,Notas_sem_indexar!C670)</f>
        <v>2</v>
      </c>
      <c r="G670" t="str">
        <f>IF(F670&lt;&gt;"",VLOOKUP(F670,'Obras e Acervos'!$C:$D,2,0),"OK")</f>
        <v>OK</v>
      </c>
    </row>
    <row r="671" spans="1:7" hidden="1" x14ac:dyDescent="0.25">
      <c r="A671" t="s">
        <v>5633</v>
      </c>
      <c r="B671" s="1">
        <v>46077</v>
      </c>
      <c r="C671" t="s">
        <v>5469</v>
      </c>
      <c r="D671" s="36" t="str">
        <f t="shared" si="10"/>
        <v>64307905_20260224_nf_06.pdf</v>
      </c>
      <c r="E671">
        <f>COUNTIF(Analise!U:U,Notas_sem_indexar!C671)</f>
        <v>1</v>
      </c>
      <c r="G671" t="str">
        <f>IF(F671&lt;&gt;"",VLOOKUP(F671,'Obras e Acervos'!$C:$D,2,0),"OK")</f>
        <v>OK</v>
      </c>
    </row>
    <row r="672" spans="1:7" x14ac:dyDescent="0.25">
      <c r="A672" t="s">
        <v>5633</v>
      </c>
      <c r="B672" s="1">
        <v>46077</v>
      </c>
      <c r="C672" t="s">
        <v>5634</v>
      </c>
      <c r="D672" s="36" t="str">
        <f t="shared" si="10"/>
        <v>VERIFICAR</v>
      </c>
      <c r="E672">
        <f>COUNTIF(Analise!U:U,Notas_sem_indexar!C672)</f>
        <v>0</v>
      </c>
      <c r="G672" t="s">
        <v>5796</v>
      </c>
    </row>
    <row r="673" spans="1:7" hidden="1" x14ac:dyDescent="0.25">
      <c r="A673" t="s">
        <v>5633</v>
      </c>
      <c r="B673" s="1">
        <v>46077</v>
      </c>
      <c r="C673" t="s">
        <v>5470</v>
      </c>
      <c r="D673" s="36" t="str">
        <f t="shared" si="10"/>
        <v>64307905_20260224_nf_08.pdf</v>
      </c>
      <c r="E673">
        <f>COUNTIF(Analise!U:U,Notas_sem_indexar!C673)</f>
        <v>1</v>
      </c>
      <c r="G673" t="str">
        <f>IF(F673&lt;&gt;"",VLOOKUP(F673,'Obras e Acervos'!$C:$D,2,0),"OK")</f>
        <v>OK</v>
      </c>
    </row>
    <row r="674" spans="1:7" hidden="1" x14ac:dyDescent="0.25">
      <c r="A674" t="s">
        <v>5633</v>
      </c>
      <c r="B674" s="1">
        <v>46077</v>
      </c>
      <c r="C674" t="s">
        <v>5471</v>
      </c>
      <c r="D674" s="36" t="str">
        <f t="shared" si="10"/>
        <v>64307905_20260224_nf_09.pdf</v>
      </c>
      <c r="E674">
        <f>COUNTIF(Analise!U:U,Notas_sem_indexar!C674)</f>
        <v>1</v>
      </c>
      <c r="G674" t="str">
        <f>IF(F674&lt;&gt;"",VLOOKUP(F674,'Obras e Acervos'!$C:$D,2,0),"OK")</f>
        <v>OK</v>
      </c>
    </row>
    <row r="675" spans="1:7" x14ac:dyDescent="0.25">
      <c r="A675" t="s">
        <v>5633</v>
      </c>
      <c r="B675" s="1">
        <v>46077</v>
      </c>
      <c r="C675" t="s">
        <v>5635</v>
      </c>
      <c r="D675" s="36" t="str">
        <f t="shared" si="10"/>
        <v>VERIFICAR</v>
      </c>
      <c r="E675">
        <f>COUNTIF(Analise!U:U,Notas_sem_indexar!C675)</f>
        <v>0</v>
      </c>
      <c r="F675" s="35" t="s">
        <v>2562</v>
      </c>
      <c r="G675" t="str">
        <f>IF(F675&lt;&gt;"",VLOOKUP(F675,'Obras e Acervos'!$C:$D,2,0),"OK")</f>
        <v>EDITORA BIRUTA LTDA-EDITORA BIRUTA</v>
      </c>
    </row>
    <row r="676" spans="1:7" hidden="1" x14ac:dyDescent="0.25">
      <c r="A676" t="s">
        <v>5633</v>
      </c>
      <c r="B676" s="1">
        <v>46077</v>
      </c>
      <c r="C676" t="s">
        <v>5473</v>
      </c>
      <c r="D676" s="36" t="str">
        <f t="shared" si="10"/>
        <v>64307905_20260224_nf_11.pdf</v>
      </c>
      <c r="E676">
        <f>COUNTIF(Analise!U:U,Notas_sem_indexar!C676)</f>
        <v>1</v>
      </c>
      <c r="G676" t="str">
        <f>IF(F676&lt;&gt;"",VLOOKUP(F676,'Obras e Acervos'!$C:$D,2,0),"OK")</f>
        <v>OK</v>
      </c>
    </row>
    <row r="677" spans="1:7" hidden="1" x14ac:dyDescent="0.25">
      <c r="A677" t="s">
        <v>5633</v>
      </c>
      <c r="B677" s="1">
        <v>46077</v>
      </c>
      <c r="C677" t="s">
        <v>5481</v>
      </c>
      <c r="D677" s="36" t="str">
        <f t="shared" si="10"/>
        <v>64307905_20260224_nf_12.pdf</v>
      </c>
      <c r="E677">
        <f>COUNTIF(Analise!U:U,Notas_sem_indexar!C677)</f>
        <v>1</v>
      </c>
      <c r="G677" t="str">
        <f>IF(F677&lt;&gt;"",VLOOKUP(F677,'Obras e Acervos'!$C:$D,2,0),"OK")</f>
        <v>OK</v>
      </c>
    </row>
    <row r="678" spans="1:7" hidden="1" x14ac:dyDescent="0.25">
      <c r="A678" t="s">
        <v>5633</v>
      </c>
      <c r="B678" s="1">
        <v>46077</v>
      </c>
      <c r="C678" t="s">
        <v>5474</v>
      </c>
      <c r="D678" s="36" t="str">
        <f t="shared" si="10"/>
        <v>64307905_20260224_nf_13.pdf</v>
      </c>
      <c r="E678">
        <f>COUNTIF(Analise!U:U,Notas_sem_indexar!C678)</f>
        <v>1</v>
      </c>
      <c r="G678" t="str">
        <f>IF(F678&lt;&gt;"",VLOOKUP(F678,'Obras e Acervos'!$C:$D,2,0),"OK")</f>
        <v>OK</v>
      </c>
    </row>
    <row r="679" spans="1:7" hidden="1" x14ac:dyDescent="0.25">
      <c r="A679" t="s">
        <v>5633</v>
      </c>
      <c r="B679" s="1">
        <v>46077</v>
      </c>
      <c r="C679" t="s">
        <v>5483</v>
      </c>
      <c r="D679" s="36" t="str">
        <f t="shared" si="10"/>
        <v>64307905_20260224_nf_14.pdf</v>
      </c>
      <c r="E679">
        <f>COUNTIF(Analise!U:U,Notas_sem_indexar!C679)</f>
        <v>1</v>
      </c>
      <c r="G679" t="str">
        <f>IF(F679&lt;&gt;"",VLOOKUP(F679,'Obras e Acervos'!$C:$D,2,0),"OK")</f>
        <v>OK</v>
      </c>
    </row>
    <row r="680" spans="1:7" hidden="1" x14ac:dyDescent="0.25">
      <c r="A680" t="s">
        <v>5633</v>
      </c>
      <c r="B680" s="1">
        <v>46077</v>
      </c>
      <c r="C680" t="s">
        <v>5468</v>
      </c>
      <c r="D680" s="36" t="str">
        <f t="shared" si="10"/>
        <v>64307905_20260224_nf_15.pdf</v>
      </c>
      <c r="E680">
        <f>COUNTIF(Analise!U:U,Notas_sem_indexar!C680)</f>
        <v>1</v>
      </c>
      <c r="G680" t="str">
        <f>IF(F680&lt;&gt;"",VLOOKUP(F680,'Obras e Acervos'!$C:$D,2,0),"OK")</f>
        <v>OK</v>
      </c>
    </row>
    <row r="681" spans="1:7" hidden="1" x14ac:dyDescent="0.25">
      <c r="A681" t="s">
        <v>5633</v>
      </c>
      <c r="B681" s="1">
        <v>46077</v>
      </c>
      <c r="C681" t="s">
        <v>5476</v>
      </c>
      <c r="D681" s="36" t="str">
        <f t="shared" si="10"/>
        <v>64307905_20260224_nf_16.pdf</v>
      </c>
      <c r="E681">
        <f>COUNTIF(Analise!U:U,Notas_sem_indexar!C681)</f>
        <v>1</v>
      </c>
      <c r="G681" t="str">
        <f>IF(F681&lt;&gt;"",VLOOKUP(F681,'Obras e Acervos'!$C:$D,2,0),"OK")</f>
        <v>OK</v>
      </c>
    </row>
    <row r="682" spans="1:7" hidden="1" x14ac:dyDescent="0.25">
      <c r="A682" t="s">
        <v>5633</v>
      </c>
      <c r="B682" s="1">
        <v>46077</v>
      </c>
      <c r="C682" t="s">
        <v>5482</v>
      </c>
      <c r="D682" s="36" t="str">
        <f t="shared" si="10"/>
        <v>64307905_20260224_nf_17.pdf</v>
      </c>
      <c r="E682">
        <f>COUNTIF(Analise!U:U,Notas_sem_indexar!C682)</f>
        <v>1</v>
      </c>
      <c r="G682" t="str">
        <f>IF(F682&lt;&gt;"",VLOOKUP(F682,'Obras e Acervos'!$C:$D,2,0),"OK")</f>
        <v>OK</v>
      </c>
    </row>
    <row r="683" spans="1:7" hidden="1" x14ac:dyDescent="0.25">
      <c r="A683" t="s">
        <v>5633</v>
      </c>
      <c r="B683" s="1">
        <v>46077</v>
      </c>
      <c r="C683" t="s">
        <v>5478</v>
      </c>
      <c r="D683" s="36" t="str">
        <f t="shared" si="10"/>
        <v>64307905_20260224_nf_18.pdf</v>
      </c>
      <c r="E683">
        <f>COUNTIF(Analise!U:U,Notas_sem_indexar!C683)</f>
        <v>1</v>
      </c>
      <c r="G683" t="str">
        <f>IF(F683&lt;&gt;"",VLOOKUP(F683,'Obras e Acervos'!$C:$D,2,0),"OK")</f>
        <v>OK</v>
      </c>
    </row>
    <row r="684" spans="1:7" hidden="1" x14ac:dyDescent="0.25">
      <c r="A684" t="s">
        <v>5633</v>
      </c>
      <c r="B684" s="1">
        <v>46077</v>
      </c>
      <c r="C684" t="s">
        <v>5484</v>
      </c>
      <c r="D684" s="36" t="str">
        <f t="shared" si="10"/>
        <v>64307905_20260224_nf_19.pdf</v>
      </c>
      <c r="E684">
        <f>COUNTIF(Analise!U:U,Notas_sem_indexar!C684)</f>
        <v>1</v>
      </c>
      <c r="G684" t="str">
        <f>IF(F684&lt;&gt;"",VLOOKUP(F684,'Obras e Acervos'!$C:$D,2,0),"OK")</f>
        <v>OK</v>
      </c>
    </row>
    <row r="685" spans="1:7" hidden="1" x14ac:dyDescent="0.25">
      <c r="A685" t="s">
        <v>5633</v>
      </c>
      <c r="B685" s="1">
        <v>46077</v>
      </c>
      <c r="C685" t="s">
        <v>5479</v>
      </c>
      <c r="D685" s="36" t="str">
        <f t="shared" si="10"/>
        <v>64307905_20260224_nf_20.pdf</v>
      </c>
      <c r="E685">
        <f>COUNTIF(Analise!U:U,Notas_sem_indexar!C685)</f>
        <v>1</v>
      </c>
      <c r="G685" t="str">
        <f>IF(F685&lt;&gt;"",VLOOKUP(F685,'Obras e Acervos'!$C:$D,2,0),"OK")</f>
        <v>OK</v>
      </c>
    </row>
    <row r="686" spans="1:7" x14ac:dyDescent="0.25">
      <c r="A686" t="s">
        <v>5633</v>
      </c>
      <c r="B686" s="1">
        <v>46077</v>
      </c>
      <c r="C686" t="s">
        <v>5636</v>
      </c>
      <c r="D686" s="36" t="str">
        <f t="shared" si="10"/>
        <v>VERIFICAR</v>
      </c>
      <c r="E686">
        <f>COUNTIF(Analise!U:U,Notas_sem_indexar!C686)</f>
        <v>0</v>
      </c>
      <c r="F686" s="35" t="s">
        <v>1718</v>
      </c>
      <c r="G686" t="str">
        <f>IF(F686&lt;&gt;"",VLOOKUP(F686,'Obras e Acervos'!$C:$D,2,0),"OK")</f>
        <v>ZUM ZUM EDITORA LTDA-ZUM ZUM</v>
      </c>
    </row>
    <row r="687" spans="1:7" x14ac:dyDescent="0.25">
      <c r="A687" t="s">
        <v>5633</v>
      </c>
      <c r="B687" s="1">
        <v>46077</v>
      </c>
      <c r="C687" t="s">
        <v>5480</v>
      </c>
      <c r="D687" s="36" t="str">
        <f t="shared" si="10"/>
        <v>VERIFICAR</v>
      </c>
      <c r="E687">
        <f>COUNTIF(Analise!U:U,Notas_sem_indexar!C687)</f>
        <v>0</v>
      </c>
      <c r="F687" s="35" t="s">
        <v>2653</v>
      </c>
      <c r="G687" t="str">
        <f>IF(F687&lt;&gt;"",VLOOKUP(F687,'Obras e Acervos'!$C:$D,2,0),"OK")</f>
        <v>PUBLIBOOK LIVROS E PAPÉIS LTDA.-L&amp;PM EDITORES</v>
      </c>
    </row>
    <row r="688" spans="1:7" hidden="1" x14ac:dyDescent="0.25">
      <c r="A688" t="s">
        <v>5633</v>
      </c>
      <c r="B688" s="1">
        <v>46077</v>
      </c>
      <c r="C688" t="s">
        <v>5487</v>
      </c>
      <c r="D688" s="36" t="str">
        <f t="shared" si="10"/>
        <v>64307905_20260224_nf_23.pdf</v>
      </c>
      <c r="E688">
        <f>COUNTIF(Analise!U:U,Notas_sem_indexar!C688)</f>
        <v>1</v>
      </c>
      <c r="G688" t="str">
        <f>IF(F688&lt;&gt;"",VLOOKUP(F688,'Obras e Acervos'!$C:$D,2,0),"OK")</f>
        <v>OK</v>
      </c>
    </row>
    <row r="689" spans="1:7" hidden="1" x14ac:dyDescent="0.25">
      <c r="A689" t="s">
        <v>5633</v>
      </c>
      <c r="B689" s="1">
        <v>46077</v>
      </c>
      <c r="C689" t="s">
        <v>5490</v>
      </c>
      <c r="D689" s="36" t="str">
        <f t="shared" si="10"/>
        <v>64307905_20260224_nf_24.pdf</v>
      </c>
      <c r="E689">
        <f>COUNTIF(Analise!U:U,Notas_sem_indexar!C689)</f>
        <v>1</v>
      </c>
      <c r="G689" t="str">
        <f>IF(F689&lt;&gt;"",VLOOKUP(F689,'Obras e Acervos'!$C:$D,2,0),"OK")</f>
        <v>OK</v>
      </c>
    </row>
    <row r="690" spans="1:7" hidden="1" x14ac:dyDescent="0.25">
      <c r="A690" t="s">
        <v>5633</v>
      </c>
      <c r="B690" s="1">
        <v>46077</v>
      </c>
      <c r="C690" t="s">
        <v>5499</v>
      </c>
      <c r="D690" s="36" t="str">
        <f t="shared" si="10"/>
        <v>64307905_20260224_nf_25.pdf</v>
      </c>
      <c r="E690">
        <f>COUNTIF(Analise!U:U,Notas_sem_indexar!C690)</f>
        <v>2</v>
      </c>
      <c r="G690" t="str">
        <f>IF(F690&lt;&gt;"",VLOOKUP(F690,'Obras e Acervos'!$C:$D,2,0),"OK")</f>
        <v>OK</v>
      </c>
    </row>
    <row r="691" spans="1:7" hidden="1" x14ac:dyDescent="0.25">
      <c r="A691" t="s">
        <v>5633</v>
      </c>
      <c r="B691" s="1">
        <v>46077</v>
      </c>
      <c r="C691" t="s">
        <v>5489</v>
      </c>
      <c r="D691" s="36" t="str">
        <f t="shared" si="10"/>
        <v>64307905_20260224_nf_26.pdf</v>
      </c>
      <c r="E691">
        <f>COUNTIF(Analise!U:U,Notas_sem_indexar!C691)</f>
        <v>2</v>
      </c>
      <c r="G691" t="str">
        <f>IF(F691&lt;&gt;"",VLOOKUP(F691,'Obras e Acervos'!$C:$D,2,0),"OK")</f>
        <v>OK</v>
      </c>
    </row>
    <row r="692" spans="1:7" hidden="1" x14ac:dyDescent="0.25">
      <c r="A692" t="s">
        <v>5633</v>
      </c>
      <c r="B692" s="1">
        <v>46077</v>
      </c>
      <c r="C692" t="s">
        <v>5493</v>
      </c>
      <c r="D692" s="36" t="str">
        <f t="shared" si="10"/>
        <v>64307905_20260224_nf_27.pdf</v>
      </c>
      <c r="E692">
        <f>COUNTIF(Analise!U:U,Notas_sem_indexar!C692)</f>
        <v>1</v>
      </c>
      <c r="G692" t="str">
        <f>IF(F692&lt;&gt;"",VLOOKUP(F692,'Obras e Acervos'!$C:$D,2,0),"OK")</f>
        <v>OK</v>
      </c>
    </row>
    <row r="693" spans="1:7" hidden="1" x14ac:dyDescent="0.25">
      <c r="A693" t="s">
        <v>5633</v>
      </c>
      <c r="B693" s="1">
        <v>46077</v>
      </c>
      <c r="C693" t="s">
        <v>5492</v>
      </c>
      <c r="D693" s="36" t="str">
        <f t="shared" si="10"/>
        <v>64307905_20260224_nf_28.pdf</v>
      </c>
      <c r="E693">
        <f>COUNTIF(Analise!U:U,Notas_sem_indexar!C693)</f>
        <v>1</v>
      </c>
      <c r="G693" t="str">
        <f>IF(F693&lt;&gt;"",VLOOKUP(F693,'Obras e Acervos'!$C:$D,2,0),"OK")</f>
        <v>OK</v>
      </c>
    </row>
    <row r="694" spans="1:7" hidden="1" x14ac:dyDescent="0.25">
      <c r="A694" t="s">
        <v>5633</v>
      </c>
      <c r="B694" s="1">
        <v>46077</v>
      </c>
      <c r="C694" t="s">
        <v>5494</v>
      </c>
      <c r="D694" s="36" t="str">
        <f t="shared" si="10"/>
        <v>64307905_20260224_nf_29.pdf</v>
      </c>
      <c r="E694">
        <f>COUNTIF(Analise!U:U,Notas_sem_indexar!C694)</f>
        <v>1</v>
      </c>
      <c r="G694" t="str">
        <f>IF(F694&lt;&gt;"",VLOOKUP(F694,'Obras e Acervos'!$C:$D,2,0),"OK")</f>
        <v>OK</v>
      </c>
    </row>
    <row r="695" spans="1:7" hidden="1" x14ac:dyDescent="0.25">
      <c r="A695" t="s">
        <v>5633</v>
      </c>
      <c r="B695" s="1">
        <v>46077</v>
      </c>
      <c r="C695" t="s">
        <v>5495</v>
      </c>
      <c r="D695" s="36" t="str">
        <f t="shared" si="10"/>
        <v>64307905_20260224_nf_30.pdf</v>
      </c>
      <c r="E695">
        <f>COUNTIF(Analise!U:U,Notas_sem_indexar!C695)</f>
        <v>1</v>
      </c>
      <c r="G695" t="str">
        <f>IF(F695&lt;&gt;"",VLOOKUP(F695,'Obras e Acervos'!$C:$D,2,0),"OK")</f>
        <v>OK</v>
      </c>
    </row>
    <row r="696" spans="1:7" hidden="1" x14ac:dyDescent="0.25">
      <c r="A696" t="s">
        <v>5633</v>
      </c>
      <c r="B696" s="1">
        <v>46077</v>
      </c>
      <c r="C696" t="s">
        <v>5485</v>
      </c>
      <c r="D696" s="36" t="str">
        <f t="shared" si="10"/>
        <v>64307905_20260224_nf_31.pdf</v>
      </c>
      <c r="E696">
        <f>COUNTIF(Analise!U:U,Notas_sem_indexar!C696)</f>
        <v>1</v>
      </c>
      <c r="G696" t="str">
        <f>IF(F696&lt;&gt;"",VLOOKUP(F696,'Obras e Acervos'!$C:$D,2,0),"OK")</f>
        <v>OK</v>
      </c>
    </row>
    <row r="697" spans="1:7" hidden="1" x14ac:dyDescent="0.25">
      <c r="A697" t="s">
        <v>5633</v>
      </c>
      <c r="B697" s="1">
        <v>46077</v>
      </c>
      <c r="C697" t="s">
        <v>5502</v>
      </c>
      <c r="D697" s="36" t="str">
        <f t="shared" si="10"/>
        <v>64307905_20260224_nf_32.pdf</v>
      </c>
      <c r="E697">
        <f>COUNTIF(Analise!U:U,Notas_sem_indexar!C697)</f>
        <v>1</v>
      </c>
      <c r="G697" t="str">
        <f>IF(F697&lt;&gt;"",VLOOKUP(F697,'Obras e Acervos'!$C:$D,2,0),"OK")</f>
        <v>OK</v>
      </c>
    </row>
    <row r="698" spans="1:7" hidden="1" x14ac:dyDescent="0.25">
      <c r="A698" t="s">
        <v>5633</v>
      </c>
      <c r="B698" s="1">
        <v>46077</v>
      </c>
      <c r="C698" t="s">
        <v>5486</v>
      </c>
      <c r="D698" s="36" t="str">
        <f t="shared" si="10"/>
        <v>64307905_20260224_nf_33.pdf</v>
      </c>
      <c r="E698">
        <f>COUNTIF(Analise!U:U,Notas_sem_indexar!C698)</f>
        <v>2</v>
      </c>
      <c r="G698" t="str">
        <f>IF(F698&lt;&gt;"",VLOOKUP(F698,'Obras e Acervos'!$C:$D,2,0),"OK")</f>
        <v>OK</v>
      </c>
    </row>
    <row r="699" spans="1:7" hidden="1" x14ac:dyDescent="0.25">
      <c r="A699" t="s">
        <v>5633</v>
      </c>
      <c r="B699" s="1">
        <v>46077</v>
      </c>
      <c r="C699" t="s">
        <v>5491</v>
      </c>
      <c r="D699" s="36" t="str">
        <f t="shared" si="10"/>
        <v>64307905_20260224_nf_34.pdf</v>
      </c>
      <c r="E699">
        <f>COUNTIF(Analise!U:U,Notas_sem_indexar!C699)</f>
        <v>1</v>
      </c>
      <c r="G699" t="str">
        <f>IF(F699&lt;&gt;"",VLOOKUP(F699,'Obras e Acervos'!$C:$D,2,0),"OK")</f>
        <v>OK</v>
      </c>
    </row>
    <row r="700" spans="1:7" hidden="1" x14ac:dyDescent="0.25">
      <c r="A700" t="s">
        <v>5633</v>
      </c>
      <c r="B700" s="1">
        <v>46077</v>
      </c>
      <c r="C700" t="s">
        <v>5488</v>
      </c>
      <c r="D700" s="36" t="str">
        <f t="shared" si="10"/>
        <v>64307905_20260224_nf_35.pdf</v>
      </c>
      <c r="E700">
        <f>COUNTIF(Analise!U:U,Notas_sem_indexar!C700)</f>
        <v>1</v>
      </c>
      <c r="G700" t="str">
        <f>IF(F700&lt;&gt;"",VLOOKUP(F700,'Obras e Acervos'!$C:$D,2,0),"OK")</f>
        <v>OK</v>
      </c>
    </row>
    <row r="701" spans="1:7" hidden="1" x14ac:dyDescent="0.25">
      <c r="A701" t="s">
        <v>5633</v>
      </c>
      <c r="B701" s="1">
        <v>46077</v>
      </c>
      <c r="C701" t="s">
        <v>5497</v>
      </c>
      <c r="D701" s="36" t="str">
        <f t="shared" si="10"/>
        <v>64307905_20260224_nf_36.pdf</v>
      </c>
      <c r="E701">
        <f>COUNTIF(Analise!U:U,Notas_sem_indexar!C701)</f>
        <v>1</v>
      </c>
      <c r="G701" t="str">
        <f>IF(F701&lt;&gt;"",VLOOKUP(F701,'Obras e Acervos'!$C:$D,2,0),"OK")</f>
        <v>OK</v>
      </c>
    </row>
    <row r="702" spans="1:7" hidden="1" x14ac:dyDescent="0.25">
      <c r="A702" t="s">
        <v>5633</v>
      </c>
      <c r="B702" s="1">
        <v>46077</v>
      </c>
      <c r="C702" t="s">
        <v>5501</v>
      </c>
      <c r="D702" s="36" t="str">
        <f t="shared" si="10"/>
        <v>64307905_20260224_nf_37.pdf</v>
      </c>
      <c r="E702">
        <f>COUNTIF(Analise!U:U,Notas_sem_indexar!C702)</f>
        <v>1</v>
      </c>
      <c r="G702" t="str">
        <f>IF(F702&lt;&gt;"",VLOOKUP(F702,'Obras e Acervos'!$C:$D,2,0),"OK")</f>
        <v>OK</v>
      </c>
    </row>
    <row r="703" spans="1:7" x14ac:dyDescent="0.25">
      <c r="A703" t="s">
        <v>5633</v>
      </c>
      <c r="B703" s="1">
        <v>46077</v>
      </c>
      <c r="C703" t="s">
        <v>5637</v>
      </c>
      <c r="D703" s="36" t="str">
        <f t="shared" si="10"/>
        <v>VERIFICAR</v>
      </c>
      <c r="E703">
        <f>COUNTIF(Analise!U:U,Notas_sem_indexar!C703)</f>
        <v>0</v>
      </c>
      <c r="F703" s="35" t="s">
        <v>1630</v>
      </c>
      <c r="G703" t="str">
        <f>IF(F703&lt;&gt;"",VLOOKUP(F703,'Obras e Acervos'!$C:$D,2,0),"OK")</f>
        <v>EDITORA RECORD LTDA-EDITORA RECORD</v>
      </c>
    </row>
    <row r="704" spans="1:7" hidden="1" x14ac:dyDescent="0.25">
      <c r="A704" t="s">
        <v>5633</v>
      </c>
      <c r="B704" s="1">
        <v>46077</v>
      </c>
      <c r="C704" t="s">
        <v>5498</v>
      </c>
      <c r="D704" s="36" t="str">
        <f t="shared" si="10"/>
        <v>64307905_20260224_nf_39.pdf</v>
      </c>
      <c r="E704">
        <f>COUNTIF(Analise!U:U,Notas_sem_indexar!C704)</f>
        <v>1</v>
      </c>
      <c r="G704" t="str">
        <f>IF(F704&lt;&gt;"",VLOOKUP(F704,'Obras e Acervos'!$C:$D,2,0),"OK")</f>
        <v>OK</v>
      </c>
    </row>
    <row r="705" spans="1:7" x14ac:dyDescent="0.25">
      <c r="A705" t="s">
        <v>5633</v>
      </c>
      <c r="B705" s="1">
        <v>46077</v>
      </c>
      <c r="C705" t="s">
        <v>5638</v>
      </c>
      <c r="D705" s="36" t="str">
        <f t="shared" si="10"/>
        <v>VERIFICAR</v>
      </c>
      <c r="E705">
        <f>COUNTIF(Analise!U:U,Notas_sem_indexar!C705)</f>
        <v>0</v>
      </c>
      <c r="F705" s="35" t="s">
        <v>2023</v>
      </c>
      <c r="G705" t="str">
        <f>IF(F705&lt;&gt;"",VLOOKUP(F705,'Obras e Acervos'!$C:$D,2,0),"OK")</f>
        <v>VERUS EDITORA LTDA-EDITORA VERUS</v>
      </c>
    </row>
    <row r="706" spans="1:7" hidden="1" x14ac:dyDescent="0.25">
      <c r="A706" t="s">
        <v>5633</v>
      </c>
      <c r="B706" s="1">
        <v>46077</v>
      </c>
      <c r="C706" t="s">
        <v>5500</v>
      </c>
      <c r="D706" s="36" t="str">
        <f t="shared" si="10"/>
        <v>64307905_20260224_nf_41.pdf</v>
      </c>
      <c r="E706">
        <f>COUNTIF(Analise!U:U,Notas_sem_indexar!C706)</f>
        <v>1</v>
      </c>
      <c r="G706" t="str">
        <f>IF(F706&lt;&gt;"",VLOOKUP(F706,'Obras e Acervos'!$C:$D,2,0),"OK")</f>
        <v>OK</v>
      </c>
    </row>
    <row r="707" spans="1:7" hidden="1" x14ac:dyDescent="0.25">
      <c r="A707" t="s">
        <v>5633</v>
      </c>
      <c r="B707" s="1">
        <v>46077</v>
      </c>
      <c r="C707" t="s">
        <v>5496</v>
      </c>
      <c r="D707" s="36" t="str">
        <f t="shared" ref="D707:D770" si="11">IF(E707=0,HYPERLINK(CONCATENATE("saida/",C707),"VERIFICAR"),HYPERLINK(CONCATENATE("saida/",C707),C707))</f>
        <v>64307905_20260224_nf_42.pdf</v>
      </c>
      <c r="E707">
        <f>COUNTIF(Analise!U:U,Notas_sem_indexar!C707)</f>
        <v>1</v>
      </c>
      <c r="G707" t="str">
        <f>IF(F707&lt;&gt;"",VLOOKUP(F707,'Obras e Acervos'!$C:$D,2,0),"OK")</f>
        <v>OK</v>
      </c>
    </row>
    <row r="708" spans="1:7" x14ac:dyDescent="0.25">
      <c r="A708" t="s">
        <v>5633</v>
      </c>
      <c r="B708" s="1">
        <v>46077</v>
      </c>
      <c r="C708" t="s">
        <v>5472</v>
      </c>
      <c r="D708" s="36" t="str">
        <f t="shared" si="11"/>
        <v>VERIFICAR</v>
      </c>
      <c r="E708">
        <f>COUNTIF(Analise!U:U,Notas_sem_indexar!C708)</f>
        <v>0</v>
      </c>
      <c r="F708" s="35" t="s">
        <v>4091</v>
      </c>
      <c r="G708" t="str">
        <f>IF(F708&lt;&gt;"",VLOOKUP(F708,'Obras e Acervos'!$C:$D,2,0),"OK")</f>
        <v>FALARE EDITORA TECNOLOGIA DA COMUNICAÇÃO COMÉRCIO DE SERVIÇOS E PRODUTOS LTDA.-FALARE EDITORA E TECNOLOGIA DA COMUNICAÇÃO</v>
      </c>
    </row>
    <row r="709" spans="1:7" hidden="1" x14ac:dyDescent="0.25">
      <c r="A709" t="s">
        <v>5633</v>
      </c>
      <c r="B709" s="1">
        <v>46078</v>
      </c>
      <c r="C709" t="s">
        <v>5512</v>
      </c>
      <c r="D709" s="36" t="str">
        <f t="shared" si="11"/>
        <v>64307905_20260225_nf_01.pdf</v>
      </c>
      <c r="E709">
        <f>COUNTIF(Analise!U:U,Notas_sem_indexar!C709)</f>
        <v>1</v>
      </c>
      <c r="G709" t="str">
        <f>IF(F709&lt;&gt;"",VLOOKUP(F709,'Obras e Acervos'!$C:$D,2,0),"OK")</f>
        <v>OK</v>
      </c>
    </row>
    <row r="710" spans="1:7" x14ac:dyDescent="0.25">
      <c r="A710" t="s">
        <v>5633</v>
      </c>
      <c r="B710" s="1">
        <v>46078</v>
      </c>
      <c r="C710" t="s">
        <v>5639</v>
      </c>
      <c r="D710" s="36" t="str">
        <f t="shared" si="11"/>
        <v>VERIFICAR</v>
      </c>
      <c r="E710">
        <f>COUNTIF(Analise!U:U,Notas_sem_indexar!C710)</f>
        <v>0</v>
      </c>
      <c r="F710" s="35" t="s">
        <v>1898</v>
      </c>
      <c r="G710" t="str">
        <f>IF(F710&lt;&gt;"",VLOOKUP(F710,'Obras e Acervos'!$C:$D,2,0),"OK")</f>
        <v>CAMERON EDITORA E GRÁFICA LTDA -EDITORA CAMERON</v>
      </c>
    </row>
    <row r="711" spans="1:7" hidden="1" x14ac:dyDescent="0.25">
      <c r="A711" t="s">
        <v>5633</v>
      </c>
      <c r="B711" s="1">
        <v>46078</v>
      </c>
      <c r="C711" t="s">
        <v>5513</v>
      </c>
      <c r="D711" s="36" t="str">
        <f t="shared" si="11"/>
        <v>64307905_20260225_nf_03.pdf</v>
      </c>
      <c r="E711">
        <f>COUNTIF(Analise!U:U,Notas_sem_indexar!C711)</f>
        <v>1</v>
      </c>
      <c r="G711" t="str">
        <f>IF(F711&lt;&gt;"",VLOOKUP(F711,'Obras e Acervos'!$C:$D,2,0),"OK")</f>
        <v>OK</v>
      </c>
    </row>
    <row r="712" spans="1:7" hidden="1" x14ac:dyDescent="0.25">
      <c r="A712" t="s">
        <v>5633</v>
      </c>
      <c r="B712" s="1">
        <v>46078</v>
      </c>
      <c r="C712" t="s">
        <v>5507</v>
      </c>
      <c r="D712" s="36" t="str">
        <f t="shared" si="11"/>
        <v>64307905_20260225_nf_04.pdf</v>
      </c>
      <c r="E712">
        <f>COUNTIF(Analise!U:U,Notas_sem_indexar!C712)</f>
        <v>1</v>
      </c>
      <c r="G712" t="str">
        <f>IF(F712&lt;&gt;"",VLOOKUP(F712,'Obras e Acervos'!$C:$D,2,0),"OK")</f>
        <v>OK</v>
      </c>
    </row>
    <row r="713" spans="1:7" hidden="1" x14ac:dyDescent="0.25">
      <c r="A713" t="s">
        <v>5633</v>
      </c>
      <c r="B713" s="1">
        <v>46078</v>
      </c>
      <c r="C713" t="s">
        <v>5505</v>
      </c>
      <c r="D713" s="36" t="str">
        <f t="shared" si="11"/>
        <v>64307905_20260225_nf_05.pdf</v>
      </c>
      <c r="E713">
        <f>COUNTIF(Analise!U:U,Notas_sem_indexar!C713)</f>
        <v>1</v>
      </c>
      <c r="G713" t="str">
        <f>IF(F713&lt;&gt;"",VLOOKUP(F713,'Obras e Acervos'!$C:$D,2,0),"OK")</f>
        <v>OK</v>
      </c>
    </row>
    <row r="714" spans="1:7" hidden="1" x14ac:dyDescent="0.25">
      <c r="A714" t="s">
        <v>5633</v>
      </c>
      <c r="B714" s="1">
        <v>46078</v>
      </c>
      <c r="C714" t="s">
        <v>5503</v>
      </c>
      <c r="D714" s="36" t="str">
        <f t="shared" si="11"/>
        <v>64307905_20260225_nf_06.pdf</v>
      </c>
      <c r="E714">
        <f>COUNTIF(Analise!U:U,Notas_sem_indexar!C714)</f>
        <v>1</v>
      </c>
      <c r="G714" t="str">
        <f>IF(F714&lt;&gt;"",VLOOKUP(F714,'Obras e Acervos'!$C:$D,2,0),"OK")</f>
        <v>OK</v>
      </c>
    </row>
    <row r="715" spans="1:7" x14ac:dyDescent="0.25">
      <c r="A715" t="s">
        <v>5633</v>
      </c>
      <c r="B715" s="1">
        <v>46078</v>
      </c>
      <c r="C715" t="s">
        <v>5640</v>
      </c>
      <c r="D715" s="36" t="str">
        <f t="shared" si="11"/>
        <v>VERIFICAR</v>
      </c>
      <c r="E715">
        <f>COUNTIF(Analise!U:U,Notas_sem_indexar!C715)</f>
        <v>0</v>
      </c>
      <c r="G715" t="s">
        <v>5796</v>
      </c>
    </row>
    <row r="716" spans="1:7" hidden="1" x14ac:dyDescent="0.25">
      <c r="A716" t="s">
        <v>5633</v>
      </c>
      <c r="B716" s="1">
        <v>46078</v>
      </c>
      <c r="C716" t="s">
        <v>5508</v>
      </c>
      <c r="D716" s="36" t="str">
        <f t="shared" si="11"/>
        <v>64307905_20260225_nf_08.pdf</v>
      </c>
      <c r="E716">
        <f>COUNTIF(Analise!U:U,Notas_sem_indexar!C716)</f>
        <v>1</v>
      </c>
      <c r="G716" t="str">
        <f>IF(F716&lt;&gt;"",VLOOKUP(F716,'Obras e Acervos'!$C:$D,2,0),"OK")</f>
        <v>OK</v>
      </c>
    </row>
    <row r="717" spans="1:7" x14ac:dyDescent="0.25">
      <c r="A717" t="s">
        <v>5633</v>
      </c>
      <c r="B717" s="1">
        <v>46078</v>
      </c>
      <c r="C717" t="s">
        <v>5641</v>
      </c>
      <c r="D717" s="36" t="str">
        <f t="shared" si="11"/>
        <v>VERIFICAR</v>
      </c>
      <c r="E717">
        <f>COUNTIF(Analise!U:U,Notas_sem_indexar!C717)</f>
        <v>0</v>
      </c>
      <c r="F717" s="35" t="s">
        <v>2860</v>
      </c>
      <c r="G717" t="str">
        <f>IF(F717&lt;&gt;"",VLOOKUP(F717,'Obras e Acervos'!$C:$D,2,0),"OK")</f>
        <v>DISTRIBUIDORA RECORD DE SERVIÇOS DE IMPRENSA S/A-DISTRIBUIDORA RECORD</v>
      </c>
    </row>
    <row r="718" spans="1:7" hidden="1" x14ac:dyDescent="0.25">
      <c r="A718" t="s">
        <v>5633</v>
      </c>
      <c r="B718" s="1">
        <v>46078</v>
      </c>
      <c r="C718" t="s">
        <v>5528</v>
      </c>
      <c r="D718" s="36" t="str">
        <f t="shared" si="11"/>
        <v>64307905_20260225_nf_10.pdf</v>
      </c>
      <c r="E718">
        <f>COUNTIF(Analise!U:U,Notas_sem_indexar!C718)</f>
        <v>1</v>
      </c>
      <c r="G718" t="str">
        <f>IF(F718&lt;&gt;"",VLOOKUP(F718,'Obras e Acervos'!$C:$D,2,0),"OK")</f>
        <v>OK</v>
      </c>
    </row>
    <row r="719" spans="1:7" x14ac:dyDescent="0.25">
      <c r="A719" t="s">
        <v>5633</v>
      </c>
      <c r="B719" s="1">
        <v>46078</v>
      </c>
      <c r="C719" t="s">
        <v>5642</v>
      </c>
      <c r="D719" s="36" t="str">
        <f t="shared" si="11"/>
        <v>VERIFICAR</v>
      </c>
      <c r="E719">
        <f>COUNTIF(Analise!U:U,Notas_sem_indexar!C719)</f>
        <v>0</v>
      </c>
      <c r="F719" s="35" t="s">
        <v>2534</v>
      </c>
      <c r="G719" t="str">
        <f>IF(F719&lt;&gt;"",VLOOKUP(F719,'Obras e Acervos'!$C:$D,2,0),"OK")</f>
        <v>BARCELOS COMERCIO DE LIVROS E SERVIÇOS LTDA-MAGIA DOS LIVROS</v>
      </c>
    </row>
    <row r="720" spans="1:7" hidden="1" x14ac:dyDescent="0.25">
      <c r="A720" t="s">
        <v>5633</v>
      </c>
      <c r="B720" s="1">
        <v>46078</v>
      </c>
      <c r="C720" t="s">
        <v>5519</v>
      </c>
      <c r="D720" s="36" t="str">
        <f t="shared" si="11"/>
        <v>64307905_20260225_nf_12.pdf</v>
      </c>
      <c r="E720">
        <f>COUNTIF(Analise!U:U,Notas_sem_indexar!C720)</f>
        <v>1</v>
      </c>
      <c r="G720" t="str">
        <f>IF(F720&lt;&gt;"",VLOOKUP(F720,'Obras e Acervos'!$C:$D,2,0),"OK")</f>
        <v>OK</v>
      </c>
    </row>
    <row r="721" spans="1:7" x14ac:dyDescent="0.25">
      <c r="A721" t="s">
        <v>5633</v>
      </c>
      <c r="B721" s="1">
        <v>46078</v>
      </c>
      <c r="C721" t="s">
        <v>5643</v>
      </c>
      <c r="D721" s="36" t="str">
        <f t="shared" si="11"/>
        <v>VERIFICAR</v>
      </c>
      <c r="E721">
        <f>COUNTIF(Analise!U:U,Notas_sem_indexar!C721)</f>
        <v>0</v>
      </c>
      <c r="G721" t="s">
        <v>5796</v>
      </c>
    </row>
    <row r="722" spans="1:7" hidden="1" x14ac:dyDescent="0.25">
      <c r="A722" t="s">
        <v>5633</v>
      </c>
      <c r="B722" s="1">
        <v>46078</v>
      </c>
      <c r="C722" t="s">
        <v>5506</v>
      </c>
      <c r="D722" s="36" t="str">
        <f t="shared" si="11"/>
        <v>64307905_20260225_nf_14.pdf</v>
      </c>
      <c r="E722">
        <f>COUNTIF(Analise!U:U,Notas_sem_indexar!C722)</f>
        <v>1</v>
      </c>
      <c r="G722" t="str">
        <f>IF(F722&lt;&gt;"",VLOOKUP(F722,'Obras e Acervos'!$C:$D,2,0),"OK")</f>
        <v>OK</v>
      </c>
    </row>
    <row r="723" spans="1:7" hidden="1" x14ac:dyDescent="0.25">
      <c r="A723" t="s">
        <v>5633</v>
      </c>
      <c r="B723" s="1">
        <v>46078</v>
      </c>
      <c r="C723" t="s">
        <v>5524</v>
      </c>
      <c r="D723" s="36" t="str">
        <f t="shared" si="11"/>
        <v>64307905_20260225_nf_15.pdf</v>
      </c>
      <c r="E723">
        <f>COUNTIF(Analise!U:U,Notas_sem_indexar!C723)</f>
        <v>1</v>
      </c>
      <c r="G723" t="str">
        <f>IF(F723&lt;&gt;"",VLOOKUP(F723,'Obras e Acervos'!$C:$D,2,0),"OK")</f>
        <v>OK</v>
      </c>
    </row>
    <row r="724" spans="1:7" x14ac:dyDescent="0.25">
      <c r="A724" t="s">
        <v>5633</v>
      </c>
      <c r="B724" s="1">
        <v>46078</v>
      </c>
      <c r="C724" t="s">
        <v>5644</v>
      </c>
      <c r="D724" s="36" t="str">
        <f t="shared" si="11"/>
        <v>VERIFICAR</v>
      </c>
      <c r="E724">
        <f>COUNTIF(Analise!U:U,Notas_sem_indexar!C724)</f>
        <v>0</v>
      </c>
      <c r="F724" s="35" t="s">
        <v>1972</v>
      </c>
      <c r="G724" t="str">
        <f>IF(F724&lt;&gt;"",VLOOKUP(F724,'Obras e Acervos'!$C:$D,2,0),"OK")</f>
        <v>ISABELLA FELIX DE ARAUJO -ARTE DAS LETRAS</v>
      </c>
    </row>
    <row r="725" spans="1:7" hidden="1" x14ac:dyDescent="0.25">
      <c r="A725" t="s">
        <v>5633</v>
      </c>
      <c r="B725" s="1">
        <v>46078</v>
      </c>
      <c r="C725" t="s">
        <v>5526</v>
      </c>
      <c r="D725" s="36" t="str">
        <f t="shared" si="11"/>
        <v>64307905_20260225_nf_17.pdf</v>
      </c>
      <c r="E725">
        <f>COUNTIF(Analise!U:U,Notas_sem_indexar!C725)</f>
        <v>1</v>
      </c>
      <c r="G725" t="str">
        <f>IF(F725&lt;&gt;"",VLOOKUP(F725,'Obras e Acervos'!$C:$D,2,0),"OK")</f>
        <v>OK</v>
      </c>
    </row>
    <row r="726" spans="1:7" hidden="1" x14ac:dyDescent="0.25">
      <c r="A726" t="s">
        <v>5633</v>
      </c>
      <c r="B726" s="1">
        <v>46078</v>
      </c>
      <c r="C726" t="s">
        <v>5584</v>
      </c>
      <c r="D726" s="36" t="str">
        <f t="shared" si="11"/>
        <v>64307905_20260225_nf_18.pdf</v>
      </c>
      <c r="E726">
        <f>COUNTIF(Analise!U:U,Notas_sem_indexar!C726)</f>
        <v>1</v>
      </c>
      <c r="G726" t="str">
        <f>IF(F726&lt;&gt;"",VLOOKUP(F726,'Obras e Acervos'!$C:$D,2,0),"OK")</f>
        <v>OK</v>
      </c>
    </row>
    <row r="727" spans="1:7" x14ac:dyDescent="0.25">
      <c r="A727" t="s">
        <v>5633</v>
      </c>
      <c r="B727" s="1">
        <v>46078</v>
      </c>
      <c r="C727" t="s">
        <v>5645</v>
      </c>
      <c r="D727" s="36" t="str">
        <f t="shared" si="11"/>
        <v>VERIFICAR</v>
      </c>
      <c r="E727">
        <f>COUNTIF(Analise!U:U,Notas_sem_indexar!C727)</f>
        <v>0</v>
      </c>
      <c r="F727" s="35" t="s">
        <v>1914</v>
      </c>
      <c r="G727" t="str">
        <f>IF(F727&lt;&gt;"",VLOOKUP(F727,'Obras e Acervos'!$C:$D,2,0),"OK")</f>
        <v>EDITORA BERTRAND BRASIL LTDA-EDITORA BERTRAND BRASIL</v>
      </c>
    </row>
    <row r="728" spans="1:7" hidden="1" x14ac:dyDescent="0.25">
      <c r="A728" t="s">
        <v>5633</v>
      </c>
      <c r="B728" s="1">
        <v>46078</v>
      </c>
      <c r="C728" t="s">
        <v>5515</v>
      </c>
      <c r="D728" s="36" t="str">
        <f t="shared" si="11"/>
        <v>64307905_20260225_nf_20.pdf</v>
      </c>
      <c r="E728">
        <f>COUNTIF(Analise!U:U,Notas_sem_indexar!C728)</f>
        <v>1</v>
      </c>
      <c r="G728" t="str">
        <f>IF(F728&lt;&gt;"",VLOOKUP(F728,'Obras e Acervos'!$C:$D,2,0),"OK")</f>
        <v>OK</v>
      </c>
    </row>
    <row r="729" spans="1:7" hidden="1" x14ac:dyDescent="0.25">
      <c r="A729" t="s">
        <v>5633</v>
      </c>
      <c r="B729" s="1">
        <v>46078</v>
      </c>
      <c r="C729" t="s">
        <v>5509</v>
      </c>
      <c r="D729" s="36" t="str">
        <f t="shared" si="11"/>
        <v>64307905_20260225_nf_21.pdf</v>
      </c>
      <c r="E729">
        <f>COUNTIF(Analise!U:U,Notas_sem_indexar!C729)</f>
        <v>1</v>
      </c>
      <c r="G729" t="str">
        <f>IF(F729&lt;&gt;"",VLOOKUP(F729,'Obras e Acervos'!$C:$D,2,0),"OK")</f>
        <v>OK</v>
      </c>
    </row>
    <row r="730" spans="1:7" hidden="1" x14ac:dyDescent="0.25">
      <c r="A730" t="s">
        <v>5633</v>
      </c>
      <c r="B730" s="1">
        <v>46078</v>
      </c>
      <c r="C730" t="s">
        <v>5510</v>
      </c>
      <c r="D730" s="36" t="str">
        <f t="shared" si="11"/>
        <v>64307905_20260225_nf_22.pdf</v>
      </c>
      <c r="E730">
        <f>COUNTIF(Analise!U:U,Notas_sem_indexar!C730)</f>
        <v>1</v>
      </c>
      <c r="G730" t="str">
        <f>IF(F730&lt;&gt;"",VLOOKUP(F730,'Obras e Acervos'!$C:$D,2,0),"OK")</f>
        <v>OK</v>
      </c>
    </row>
    <row r="731" spans="1:7" hidden="1" x14ac:dyDescent="0.25">
      <c r="A731" t="s">
        <v>5633</v>
      </c>
      <c r="B731" s="1">
        <v>46078</v>
      </c>
      <c r="C731" t="s">
        <v>5517</v>
      </c>
      <c r="D731" s="36" t="str">
        <f t="shared" si="11"/>
        <v>64307905_20260225_nf_23.pdf</v>
      </c>
      <c r="E731">
        <f>COUNTIF(Analise!U:U,Notas_sem_indexar!C731)</f>
        <v>1</v>
      </c>
      <c r="G731" t="str">
        <f>IF(F731&lt;&gt;"",VLOOKUP(F731,'Obras e Acervos'!$C:$D,2,0),"OK")</f>
        <v>OK</v>
      </c>
    </row>
    <row r="732" spans="1:7" hidden="1" x14ac:dyDescent="0.25">
      <c r="A732" t="s">
        <v>5633</v>
      </c>
      <c r="B732" s="1">
        <v>46078</v>
      </c>
      <c r="C732" t="s">
        <v>5514</v>
      </c>
      <c r="D732" s="36" t="str">
        <f t="shared" si="11"/>
        <v>64307905_20260225_nf_24.pdf</v>
      </c>
      <c r="E732">
        <f>COUNTIF(Analise!U:U,Notas_sem_indexar!C732)</f>
        <v>1</v>
      </c>
      <c r="G732" t="str">
        <f>IF(F732&lt;&gt;"",VLOOKUP(F732,'Obras e Acervos'!$C:$D,2,0),"OK")</f>
        <v>OK</v>
      </c>
    </row>
    <row r="733" spans="1:7" x14ac:dyDescent="0.25">
      <c r="A733" t="s">
        <v>5633</v>
      </c>
      <c r="B733" s="1">
        <v>46078</v>
      </c>
      <c r="C733" t="s">
        <v>5646</v>
      </c>
      <c r="D733" s="36" t="str">
        <f t="shared" si="11"/>
        <v>VERIFICAR</v>
      </c>
      <c r="E733">
        <f>COUNTIF(Analise!U:U,Notas_sem_indexar!C733)</f>
        <v>0</v>
      </c>
      <c r="F733" s="35" t="s">
        <v>2050</v>
      </c>
      <c r="G733" t="str">
        <f>IF(F733&lt;&gt;"",VLOOKUP(F733,'Obras e Acervos'!$C:$D,2,0),"OK")</f>
        <v>CAPITAL DAS LETRAS DISTRIBUIDORA DE LIVROS LTDA-CAPITAL DAS LETRAS</v>
      </c>
    </row>
    <row r="734" spans="1:7" hidden="1" x14ac:dyDescent="0.25">
      <c r="A734" t="s">
        <v>5633</v>
      </c>
      <c r="B734" s="1">
        <v>46078</v>
      </c>
      <c r="C734" t="s">
        <v>5529</v>
      </c>
      <c r="D734" s="36" t="str">
        <f t="shared" si="11"/>
        <v>64307905_20260225_nf_26.pdf</v>
      </c>
      <c r="E734">
        <f>COUNTIF(Analise!U:U,Notas_sem_indexar!C734)</f>
        <v>1</v>
      </c>
      <c r="G734" t="str">
        <f>IF(F734&lt;&gt;"",VLOOKUP(F734,'Obras e Acervos'!$C:$D,2,0),"OK")</f>
        <v>OK</v>
      </c>
    </row>
    <row r="735" spans="1:7" hidden="1" x14ac:dyDescent="0.25">
      <c r="A735" t="s">
        <v>5633</v>
      </c>
      <c r="B735" s="1">
        <v>46078</v>
      </c>
      <c r="C735" t="s">
        <v>5527</v>
      </c>
      <c r="D735" s="36" t="str">
        <f t="shared" si="11"/>
        <v>64307905_20260225_nf_27.pdf</v>
      </c>
      <c r="E735">
        <f>COUNTIF(Analise!U:U,Notas_sem_indexar!C735)</f>
        <v>1</v>
      </c>
      <c r="G735" t="str">
        <f>IF(F735&lt;&gt;"",VLOOKUP(F735,'Obras e Acervos'!$C:$D,2,0),"OK")</f>
        <v>OK</v>
      </c>
    </row>
    <row r="736" spans="1:7" hidden="1" x14ac:dyDescent="0.25">
      <c r="A736" t="s">
        <v>5633</v>
      </c>
      <c r="B736" s="1">
        <v>46078</v>
      </c>
      <c r="C736" t="s">
        <v>5522</v>
      </c>
      <c r="D736" s="36" t="str">
        <f t="shared" si="11"/>
        <v>64307905_20260225_nf_28.pdf</v>
      </c>
      <c r="E736">
        <f>COUNTIF(Analise!U:U,Notas_sem_indexar!C736)</f>
        <v>1</v>
      </c>
      <c r="G736" t="str">
        <f>IF(F736&lt;&gt;"",VLOOKUP(F736,'Obras e Acervos'!$C:$D,2,0),"OK")</f>
        <v>OK</v>
      </c>
    </row>
    <row r="737" spans="1:7" x14ac:dyDescent="0.25">
      <c r="A737" t="s">
        <v>5633</v>
      </c>
      <c r="B737" s="1">
        <v>46078</v>
      </c>
      <c r="C737" t="s">
        <v>5647</v>
      </c>
      <c r="D737" s="36" t="str">
        <f t="shared" si="11"/>
        <v>VERIFICAR</v>
      </c>
      <c r="E737">
        <f>COUNTIF(Analise!U:U,Notas_sem_indexar!C737)</f>
        <v>0</v>
      </c>
      <c r="G737" t="s">
        <v>5794</v>
      </c>
    </row>
    <row r="738" spans="1:7" hidden="1" x14ac:dyDescent="0.25">
      <c r="A738" t="s">
        <v>5633</v>
      </c>
      <c r="B738" s="1">
        <v>46078</v>
      </c>
      <c r="C738" t="s">
        <v>5521</v>
      </c>
      <c r="D738" s="36" t="str">
        <f t="shared" si="11"/>
        <v>64307905_20260225_nf_30.pdf</v>
      </c>
      <c r="E738">
        <f>COUNTIF(Analise!U:U,Notas_sem_indexar!C738)</f>
        <v>1</v>
      </c>
      <c r="G738" t="str">
        <f>IF(F738&lt;&gt;"",VLOOKUP(F738,'Obras e Acervos'!$C:$D,2,0),"OK")</f>
        <v>OK</v>
      </c>
    </row>
    <row r="739" spans="1:7" hidden="1" x14ac:dyDescent="0.25">
      <c r="A739" t="s">
        <v>5633</v>
      </c>
      <c r="B739" s="1">
        <v>46078</v>
      </c>
      <c r="C739" t="s">
        <v>5523</v>
      </c>
      <c r="D739" s="36" t="str">
        <f t="shared" si="11"/>
        <v>64307905_20260225_nf_31.pdf</v>
      </c>
      <c r="E739">
        <f>COUNTIF(Analise!U:U,Notas_sem_indexar!C739)</f>
        <v>1</v>
      </c>
      <c r="G739" t="str">
        <f>IF(F739&lt;&gt;"",VLOOKUP(F739,'Obras e Acervos'!$C:$D,2,0),"OK")</f>
        <v>OK</v>
      </c>
    </row>
    <row r="740" spans="1:7" hidden="1" x14ac:dyDescent="0.25">
      <c r="A740" t="s">
        <v>5633</v>
      </c>
      <c r="B740" s="1">
        <v>46078</v>
      </c>
      <c r="C740" t="s">
        <v>5518</v>
      </c>
      <c r="D740" s="36" t="str">
        <f t="shared" si="11"/>
        <v>64307905_20260225_nf_32.pdf</v>
      </c>
      <c r="E740">
        <f>COUNTIF(Analise!U:U,Notas_sem_indexar!C740)</f>
        <v>1</v>
      </c>
      <c r="G740" t="str">
        <f>IF(F740&lt;&gt;"",VLOOKUP(F740,'Obras e Acervos'!$C:$D,2,0),"OK")</f>
        <v>OK</v>
      </c>
    </row>
    <row r="741" spans="1:7" hidden="1" x14ac:dyDescent="0.25">
      <c r="A741" t="s">
        <v>5633</v>
      </c>
      <c r="B741" s="1">
        <v>46078</v>
      </c>
      <c r="C741" t="s">
        <v>5516</v>
      </c>
      <c r="D741" s="36" t="str">
        <f t="shared" si="11"/>
        <v>64307905_20260225_nf_33.pdf</v>
      </c>
      <c r="E741">
        <f>COUNTIF(Analise!U:U,Notas_sem_indexar!C741)</f>
        <v>1</v>
      </c>
      <c r="G741" t="str">
        <f>IF(F741&lt;&gt;"",VLOOKUP(F741,'Obras e Acervos'!$C:$D,2,0),"OK")</f>
        <v>OK</v>
      </c>
    </row>
    <row r="742" spans="1:7" x14ac:dyDescent="0.25">
      <c r="A742" t="s">
        <v>5633</v>
      </c>
      <c r="B742" s="1">
        <v>46078</v>
      </c>
      <c r="C742" t="s">
        <v>5648</v>
      </c>
      <c r="D742" s="36" t="str">
        <f t="shared" si="11"/>
        <v>VERIFICAR</v>
      </c>
      <c r="E742">
        <f>COUNTIF(Analise!U:U,Notas_sem_indexar!C742)</f>
        <v>0</v>
      </c>
      <c r="F742" s="35" t="s">
        <v>2721</v>
      </c>
      <c r="G742" t="str">
        <f>IF(F742&lt;&gt;"",VLOOKUP(F742,'Obras e Acervos'!$C:$D,2,0),"OK")</f>
        <v>EDITORA JOSÉ OLYMPIO LTDA-EDITORA JOSÉ OLYMPIO</v>
      </c>
    </row>
    <row r="743" spans="1:7" hidden="1" x14ac:dyDescent="0.25">
      <c r="A743" t="s">
        <v>5633</v>
      </c>
      <c r="B743" s="1">
        <v>46078</v>
      </c>
      <c r="C743" t="s">
        <v>5525</v>
      </c>
      <c r="D743" s="36" t="str">
        <f t="shared" si="11"/>
        <v>64307905_20260225_nf_35.pdf</v>
      </c>
      <c r="E743">
        <f>COUNTIF(Analise!U:U,Notas_sem_indexar!C743)</f>
        <v>1</v>
      </c>
      <c r="G743" t="str">
        <f>IF(F743&lt;&gt;"",VLOOKUP(F743,'Obras e Acervos'!$C:$D,2,0),"OK")</f>
        <v>OK</v>
      </c>
    </row>
    <row r="744" spans="1:7" x14ac:dyDescent="0.25">
      <c r="A744" t="s">
        <v>5633</v>
      </c>
      <c r="B744" s="1">
        <v>46078</v>
      </c>
      <c r="C744" t="s">
        <v>5649</v>
      </c>
      <c r="D744" s="36" t="str">
        <f t="shared" si="11"/>
        <v>VERIFICAR</v>
      </c>
      <c r="E744">
        <f>COUNTIF(Analise!U:U,Notas_sem_indexar!C744)</f>
        <v>0</v>
      </c>
      <c r="F744" s="35" t="s">
        <v>1646</v>
      </c>
      <c r="G744" t="str">
        <f>IF(F744&lt;&gt;"",VLOOKUP(F744,'Obras e Acervos'!$C:$D,2,0),"OK")</f>
        <v>ESTÚDIO MADALENA PRODUÇÕES FOTOGRÁFICAS EIRELI-MADALENA</v>
      </c>
    </row>
    <row r="745" spans="1:7" hidden="1" x14ac:dyDescent="0.25">
      <c r="A745" t="s">
        <v>5633</v>
      </c>
      <c r="B745" s="1">
        <v>46078</v>
      </c>
      <c r="C745" t="s">
        <v>5585</v>
      </c>
      <c r="D745" s="36" t="str">
        <f t="shared" si="11"/>
        <v>64307905_20260225_nf_37.pdf</v>
      </c>
      <c r="E745">
        <f>COUNTIF(Analise!U:U,Notas_sem_indexar!C745)</f>
        <v>1</v>
      </c>
      <c r="G745" t="str">
        <f>IF(F745&lt;&gt;"",VLOOKUP(F745,'Obras e Acervos'!$C:$D,2,0),"OK")</f>
        <v>OK</v>
      </c>
    </row>
    <row r="746" spans="1:7" hidden="1" x14ac:dyDescent="0.25">
      <c r="A746" t="s">
        <v>5633</v>
      </c>
      <c r="B746" s="1">
        <v>46078</v>
      </c>
      <c r="C746" t="s">
        <v>5511</v>
      </c>
      <c r="D746" s="36" t="str">
        <f t="shared" si="11"/>
        <v>64307905_20260225_nf_38.pdf</v>
      </c>
      <c r="E746">
        <f>COUNTIF(Analise!U:U,Notas_sem_indexar!C746)</f>
        <v>1</v>
      </c>
      <c r="G746" t="str">
        <f>IF(F746&lt;&gt;"",VLOOKUP(F746,'Obras e Acervos'!$C:$D,2,0),"OK")</f>
        <v>OK</v>
      </c>
    </row>
    <row r="747" spans="1:7" hidden="1" x14ac:dyDescent="0.25">
      <c r="A747" t="s">
        <v>5633</v>
      </c>
      <c r="B747" s="1">
        <v>46078</v>
      </c>
      <c r="C747" t="s">
        <v>5520</v>
      </c>
      <c r="D747" s="36" t="str">
        <f t="shared" si="11"/>
        <v>64307905_20260225_nf_39.pdf</v>
      </c>
      <c r="E747">
        <f>COUNTIF(Analise!U:U,Notas_sem_indexar!C747)</f>
        <v>1</v>
      </c>
      <c r="G747" t="str">
        <f>IF(F747&lt;&gt;"",VLOOKUP(F747,'Obras e Acervos'!$C:$D,2,0),"OK")</f>
        <v>OK</v>
      </c>
    </row>
    <row r="748" spans="1:7" hidden="1" x14ac:dyDescent="0.25">
      <c r="A748" t="s">
        <v>5633</v>
      </c>
      <c r="B748" s="1">
        <v>46078</v>
      </c>
      <c r="C748" t="s">
        <v>5504</v>
      </c>
      <c r="D748" s="36" t="str">
        <f t="shared" si="11"/>
        <v>64307905_20260225_nf_40.pdf</v>
      </c>
      <c r="E748">
        <f>COUNTIF(Analise!U:U,Notas_sem_indexar!C748)</f>
        <v>1</v>
      </c>
      <c r="G748" t="str">
        <f>IF(F748&lt;&gt;"",VLOOKUP(F748,'Obras e Acervos'!$C:$D,2,0),"OK")</f>
        <v>OK</v>
      </c>
    </row>
    <row r="749" spans="1:7" hidden="1" x14ac:dyDescent="0.25">
      <c r="A749" t="s">
        <v>5730</v>
      </c>
      <c r="B749" s="1">
        <v>46094</v>
      </c>
      <c r="C749" t="s">
        <v>5531</v>
      </c>
      <c r="D749" s="36" t="str">
        <f t="shared" si="11"/>
        <v>64374799_20260313_nf_01.pdf</v>
      </c>
      <c r="E749">
        <f>COUNTIF(Analise!U:U,Notas_sem_indexar!C749)</f>
        <v>1</v>
      </c>
      <c r="G749" t="str">
        <f>IF(F749&lt;&gt;"",VLOOKUP(F749,'Obras e Acervos'!$C:$D,2,0),"OK")</f>
        <v>OK</v>
      </c>
    </row>
    <row r="750" spans="1:7" hidden="1" x14ac:dyDescent="0.25">
      <c r="A750" t="s">
        <v>5730</v>
      </c>
      <c r="B750" s="1">
        <v>46094</v>
      </c>
      <c r="C750" t="s">
        <v>5535</v>
      </c>
      <c r="D750" s="36" t="str">
        <f t="shared" si="11"/>
        <v>64374799_20260313_nf_02.pdf</v>
      </c>
      <c r="E750">
        <f>COUNTIF(Analise!U:U,Notas_sem_indexar!C750)</f>
        <v>1</v>
      </c>
      <c r="G750" t="str">
        <f>IF(F750&lt;&gt;"",VLOOKUP(F750,'Obras e Acervos'!$C:$D,2,0),"OK")</f>
        <v>OK</v>
      </c>
    </row>
    <row r="751" spans="1:7" hidden="1" x14ac:dyDescent="0.25">
      <c r="A751" t="s">
        <v>5730</v>
      </c>
      <c r="B751" s="1">
        <v>46094</v>
      </c>
      <c r="C751" t="s">
        <v>5532</v>
      </c>
      <c r="D751" s="36" t="str">
        <f t="shared" si="11"/>
        <v>64374799_20260313_nf_03.pdf</v>
      </c>
      <c r="E751">
        <f>COUNTIF(Analise!U:U,Notas_sem_indexar!C751)</f>
        <v>1</v>
      </c>
      <c r="G751" t="str">
        <f>IF(F751&lt;&gt;"",VLOOKUP(F751,'Obras e Acervos'!$C:$D,2,0),"OK")</f>
        <v>OK</v>
      </c>
    </row>
    <row r="752" spans="1:7" hidden="1" x14ac:dyDescent="0.25">
      <c r="A752" t="s">
        <v>5730</v>
      </c>
      <c r="B752" s="1">
        <v>46094</v>
      </c>
      <c r="C752" t="s">
        <v>5530</v>
      </c>
      <c r="D752" s="36" t="str">
        <f t="shared" si="11"/>
        <v>64374799_20260313_nf_04.pdf</v>
      </c>
      <c r="E752">
        <f>COUNTIF(Analise!U:U,Notas_sem_indexar!C752)</f>
        <v>1</v>
      </c>
      <c r="G752" t="str">
        <f>IF(F752&lt;&gt;"",VLOOKUP(F752,'Obras e Acervos'!$C:$D,2,0),"OK")</f>
        <v>OK</v>
      </c>
    </row>
    <row r="753" spans="1:7" hidden="1" x14ac:dyDescent="0.25">
      <c r="A753" t="s">
        <v>5730</v>
      </c>
      <c r="B753" s="1">
        <v>46094</v>
      </c>
      <c r="C753" t="s">
        <v>5537</v>
      </c>
      <c r="D753" s="36" t="str">
        <f t="shared" si="11"/>
        <v>64374799_20260313_nf_05.pdf</v>
      </c>
      <c r="E753">
        <f>COUNTIF(Analise!U:U,Notas_sem_indexar!C753)</f>
        <v>1</v>
      </c>
      <c r="G753" t="str">
        <f>IF(F753&lt;&gt;"",VLOOKUP(F753,'Obras e Acervos'!$C:$D,2,0),"OK")</f>
        <v>OK</v>
      </c>
    </row>
    <row r="754" spans="1:7" hidden="1" x14ac:dyDescent="0.25">
      <c r="A754" t="s">
        <v>5730</v>
      </c>
      <c r="B754" s="1">
        <v>46094</v>
      </c>
      <c r="C754" t="s">
        <v>5533</v>
      </c>
      <c r="D754" s="36" t="str">
        <f t="shared" si="11"/>
        <v>64374799_20260313_nf_06.pdf</v>
      </c>
      <c r="E754">
        <f>COUNTIF(Analise!U:U,Notas_sem_indexar!C754)</f>
        <v>1</v>
      </c>
      <c r="G754" t="str">
        <f>IF(F754&lt;&gt;"",VLOOKUP(F754,'Obras e Acervos'!$C:$D,2,0),"OK")</f>
        <v>OK</v>
      </c>
    </row>
    <row r="755" spans="1:7" hidden="1" x14ac:dyDescent="0.25">
      <c r="A755" t="s">
        <v>5730</v>
      </c>
      <c r="B755" s="1">
        <v>46094</v>
      </c>
      <c r="C755" t="s">
        <v>5538</v>
      </c>
      <c r="D755" s="36" t="str">
        <f t="shared" si="11"/>
        <v>64374799_20260313_nf_07.pdf</v>
      </c>
      <c r="E755">
        <f>COUNTIF(Analise!U:U,Notas_sem_indexar!C755)</f>
        <v>1</v>
      </c>
      <c r="G755" t="str">
        <f>IF(F755&lt;&gt;"",VLOOKUP(F755,'Obras e Acervos'!$C:$D,2,0),"OK")</f>
        <v>OK</v>
      </c>
    </row>
    <row r="756" spans="1:7" hidden="1" x14ac:dyDescent="0.25">
      <c r="A756" t="s">
        <v>5730</v>
      </c>
      <c r="B756" s="1">
        <v>46094</v>
      </c>
      <c r="C756" t="s">
        <v>5539</v>
      </c>
      <c r="D756" s="36" t="str">
        <f t="shared" si="11"/>
        <v>64374799_20260313_nf_08.pdf</v>
      </c>
      <c r="E756">
        <f>COUNTIF(Analise!U:U,Notas_sem_indexar!C756)</f>
        <v>1</v>
      </c>
      <c r="G756" t="str">
        <f>IF(F756&lt;&gt;"",VLOOKUP(F756,'Obras e Acervos'!$C:$D,2,0),"OK")</f>
        <v>OK</v>
      </c>
    </row>
    <row r="757" spans="1:7" hidden="1" x14ac:dyDescent="0.25">
      <c r="A757" t="s">
        <v>5730</v>
      </c>
      <c r="B757" s="1">
        <v>46094</v>
      </c>
      <c r="C757" t="s">
        <v>5547</v>
      </c>
      <c r="D757" s="36" t="str">
        <f t="shared" si="11"/>
        <v>64374799_20260313_nf_09.pdf</v>
      </c>
      <c r="E757">
        <f>COUNTIF(Analise!U:U,Notas_sem_indexar!C757)</f>
        <v>1</v>
      </c>
      <c r="G757" t="str">
        <f>IF(F757&lt;&gt;"",VLOOKUP(F757,'Obras e Acervos'!$C:$D,2,0),"OK")</f>
        <v>OK</v>
      </c>
    </row>
    <row r="758" spans="1:7" hidden="1" x14ac:dyDescent="0.25">
      <c r="A758" t="s">
        <v>5730</v>
      </c>
      <c r="B758" s="1">
        <v>46094</v>
      </c>
      <c r="C758" t="s">
        <v>5544</v>
      </c>
      <c r="D758" s="36" t="str">
        <f t="shared" si="11"/>
        <v>64374799_20260313_nf_10.pdf</v>
      </c>
      <c r="E758">
        <f>COUNTIF(Analise!U:U,Notas_sem_indexar!C758)</f>
        <v>1</v>
      </c>
      <c r="G758" t="str">
        <f>IF(F758&lt;&gt;"",VLOOKUP(F758,'Obras e Acervos'!$C:$D,2,0),"OK")</f>
        <v>OK</v>
      </c>
    </row>
    <row r="759" spans="1:7" hidden="1" x14ac:dyDescent="0.25">
      <c r="A759" t="s">
        <v>5730</v>
      </c>
      <c r="B759" s="1">
        <v>46094</v>
      </c>
      <c r="C759" t="s">
        <v>5541</v>
      </c>
      <c r="D759" s="36" t="str">
        <f t="shared" si="11"/>
        <v>64374799_20260313_nf_11.pdf</v>
      </c>
      <c r="E759">
        <f>COUNTIF(Analise!U:U,Notas_sem_indexar!C759)</f>
        <v>1</v>
      </c>
      <c r="G759" t="str">
        <f>IF(F759&lt;&gt;"",VLOOKUP(F759,'Obras e Acervos'!$C:$D,2,0),"OK")</f>
        <v>OK</v>
      </c>
    </row>
    <row r="760" spans="1:7" hidden="1" x14ac:dyDescent="0.25">
      <c r="A760" t="s">
        <v>5730</v>
      </c>
      <c r="B760" s="1">
        <v>46094</v>
      </c>
      <c r="C760" t="s">
        <v>5534</v>
      </c>
      <c r="D760" s="36" t="str">
        <f t="shared" si="11"/>
        <v>64374799_20260313_nf_12.pdf</v>
      </c>
      <c r="E760">
        <f>COUNTIF(Analise!U:U,Notas_sem_indexar!C760)</f>
        <v>1</v>
      </c>
      <c r="G760" t="str">
        <f>IF(F760&lt;&gt;"",VLOOKUP(F760,'Obras e Acervos'!$C:$D,2,0),"OK")</f>
        <v>OK</v>
      </c>
    </row>
    <row r="761" spans="1:7" hidden="1" x14ac:dyDescent="0.25">
      <c r="A761" t="s">
        <v>5730</v>
      </c>
      <c r="B761" s="1">
        <v>46094</v>
      </c>
      <c r="C761" t="s">
        <v>5549</v>
      </c>
      <c r="D761" s="36" t="str">
        <f t="shared" si="11"/>
        <v>64374799_20260313_nf_13.pdf</v>
      </c>
      <c r="E761">
        <f>COUNTIF(Analise!U:U,Notas_sem_indexar!C761)</f>
        <v>1</v>
      </c>
      <c r="G761" t="str">
        <f>IF(F761&lt;&gt;"",VLOOKUP(F761,'Obras e Acervos'!$C:$D,2,0),"OK")</f>
        <v>OK</v>
      </c>
    </row>
    <row r="762" spans="1:7" hidden="1" x14ac:dyDescent="0.25">
      <c r="A762" t="s">
        <v>5730</v>
      </c>
      <c r="B762" s="1">
        <v>46094</v>
      </c>
      <c r="C762" t="s">
        <v>5551</v>
      </c>
      <c r="D762" s="36" t="str">
        <f t="shared" si="11"/>
        <v>64374799_20260313_nf_14.pdf</v>
      </c>
      <c r="E762">
        <f>COUNTIF(Analise!U:U,Notas_sem_indexar!C762)</f>
        <v>1</v>
      </c>
      <c r="G762" t="str">
        <f>IF(F762&lt;&gt;"",VLOOKUP(F762,'Obras e Acervos'!$C:$D,2,0),"OK")</f>
        <v>OK</v>
      </c>
    </row>
    <row r="763" spans="1:7" hidden="1" x14ac:dyDescent="0.25">
      <c r="A763" t="s">
        <v>5730</v>
      </c>
      <c r="B763" s="1">
        <v>46094</v>
      </c>
      <c r="C763" t="s">
        <v>5536</v>
      </c>
      <c r="D763" s="36" t="str">
        <f t="shared" si="11"/>
        <v>64374799_20260313_nf_15.pdf</v>
      </c>
      <c r="E763">
        <f>COUNTIF(Analise!U:U,Notas_sem_indexar!C763)</f>
        <v>1</v>
      </c>
      <c r="G763" t="str">
        <f>IF(F763&lt;&gt;"",VLOOKUP(F763,'Obras e Acervos'!$C:$D,2,0),"OK")</f>
        <v>OK</v>
      </c>
    </row>
    <row r="764" spans="1:7" x14ac:dyDescent="0.25">
      <c r="A764" t="s">
        <v>5730</v>
      </c>
      <c r="B764" s="1">
        <v>46094</v>
      </c>
      <c r="C764" t="s">
        <v>5731</v>
      </c>
      <c r="D764" s="36" t="str">
        <f t="shared" si="11"/>
        <v>VERIFICAR</v>
      </c>
      <c r="E764">
        <f>COUNTIF(Analise!U:U,Notas_sem_indexar!C764)</f>
        <v>0</v>
      </c>
      <c r="F764" s="35" t="s">
        <v>2371</v>
      </c>
      <c r="G764" t="str">
        <f>IF(F764&lt;&gt;"",VLOOKUP(F764,'Obras e Acervos'!$C:$D,2,0),"OK")</f>
        <v>CARRION CARRACEDO LTDA - EPP-ENTRELINHAS EDITORA</v>
      </c>
    </row>
    <row r="765" spans="1:7" hidden="1" x14ac:dyDescent="0.25">
      <c r="A765" t="s">
        <v>5730</v>
      </c>
      <c r="B765" s="1">
        <v>46094</v>
      </c>
      <c r="C765" t="s">
        <v>5546</v>
      </c>
      <c r="D765" s="36" t="str">
        <f t="shared" si="11"/>
        <v>64374799_20260313_nf_17.pdf</v>
      </c>
      <c r="E765">
        <f>COUNTIF(Analise!U:U,Notas_sem_indexar!C765)</f>
        <v>1</v>
      </c>
      <c r="G765" t="str">
        <f>IF(F765&lt;&gt;"",VLOOKUP(F765,'Obras e Acervos'!$C:$D,2,0),"OK")</f>
        <v>OK</v>
      </c>
    </row>
    <row r="766" spans="1:7" x14ac:dyDescent="0.25">
      <c r="A766" t="s">
        <v>5730</v>
      </c>
      <c r="B766" s="1">
        <v>46094</v>
      </c>
      <c r="C766" t="s">
        <v>5732</v>
      </c>
      <c r="D766" s="36" t="str">
        <f t="shared" si="11"/>
        <v>VERIFICAR</v>
      </c>
      <c r="E766">
        <f>COUNTIF(Analise!U:U,Notas_sem_indexar!C766)</f>
        <v>0</v>
      </c>
      <c r="F766" s="35" t="s">
        <v>2924</v>
      </c>
      <c r="G766" t="str">
        <f>IF(F766&lt;&gt;"",VLOOKUP(F766,'Obras e Acervos'!$C:$D,2,0),"OK")</f>
        <v>EDITORA ZIG-ZAG LTDA-ZIG-ZAG</v>
      </c>
    </row>
    <row r="767" spans="1:7" hidden="1" x14ac:dyDescent="0.25">
      <c r="A767" t="s">
        <v>5730</v>
      </c>
      <c r="B767" s="1">
        <v>46094</v>
      </c>
      <c r="C767" t="s">
        <v>5545</v>
      </c>
      <c r="D767" s="36" t="str">
        <f t="shared" si="11"/>
        <v>64374799_20260313_nf_19.pdf</v>
      </c>
      <c r="E767">
        <f>COUNTIF(Analise!U:U,Notas_sem_indexar!C767)</f>
        <v>1</v>
      </c>
      <c r="G767" t="str">
        <f>IF(F767&lt;&gt;"",VLOOKUP(F767,'Obras e Acervos'!$C:$D,2,0),"OK")</f>
        <v>OK</v>
      </c>
    </row>
    <row r="768" spans="1:7" hidden="1" x14ac:dyDescent="0.25">
      <c r="A768" t="s">
        <v>5730</v>
      </c>
      <c r="B768" s="1">
        <v>46094</v>
      </c>
      <c r="C768" t="s">
        <v>5540</v>
      </c>
      <c r="D768" s="36" t="str">
        <f t="shared" si="11"/>
        <v>64374799_20260313_nf_20.pdf</v>
      </c>
      <c r="E768">
        <f>COUNTIF(Analise!U:U,Notas_sem_indexar!C768)</f>
        <v>1</v>
      </c>
      <c r="G768" t="str">
        <f>IF(F768&lt;&gt;"",VLOOKUP(F768,'Obras e Acervos'!$C:$D,2,0),"OK")</f>
        <v>OK</v>
      </c>
    </row>
    <row r="769" spans="1:7" hidden="1" x14ac:dyDescent="0.25">
      <c r="A769" t="s">
        <v>5730</v>
      </c>
      <c r="B769" s="1">
        <v>46094</v>
      </c>
      <c r="C769" t="s">
        <v>5543</v>
      </c>
      <c r="D769" s="36" t="str">
        <f t="shared" si="11"/>
        <v>64374799_20260313_nf_21.pdf</v>
      </c>
      <c r="E769">
        <f>COUNTIF(Analise!U:U,Notas_sem_indexar!C769)</f>
        <v>1</v>
      </c>
      <c r="G769" t="str">
        <f>IF(F769&lt;&gt;"",VLOOKUP(F769,'Obras e Acervos'!$C:$D,2,0),"OK")</f>
        <v>OK</v>
      </c>
    </row>
    <row r="770" spans="1:7" hidden="1" x14ac:dyDescent="0.25">
      <c r="A770" t="s">
        <v>5730</v>
      </c>
      <c r="B770" s="1">
        <v>46094</v>
      </c>
      <c r="C770" t="s">
        <v>5548</v>
      </c>
      <c r="D770" s="36" t="str">
        <f t="shared" si="11"/>
        <v>64374799_20260313_nf_22.pdf</v>
      </c>
      <c r="E770">
        <f>COUNTIF(Analise!U:U,Notas_sem_indexar!C770)</f>
        <v>1</v>
      </c>
      <c r="G770" t="str">
        <f>IF(F770&lt;&gt;"",VLOOKUP(F770,'Obras e Acervos'!$C:$D,2,0),"OK")</f>
        <v>OK</v>
      </c>
    </row>
    <row r="771" spans="1:7" hidden="1" x14ac:dyDescent="0.25">
      <c r="A771" t="s">
        <v>5730</v>
      </c>
      <c r="B771" s="1">
        <v>46094</v>
      </c>
      <c r="C771" t="s">
        <v>5542</v>
      </c>
      <c r="D771" s="36" t="str">
        <f t="shared" ref="D771:D814" si="12">IF(E771=0,HYPERLINK(CONCATENATE("saida/",C771),"VERIFICAR"),HYPERLINK(CONCATENATE("saida/",C771),C771))</f>
        <v>64374799_20260313_nf_23.pdf</v>
      </c>
      <c r="E771">
        <f>COUNTIF(Analise!U:U,Notas_sem_indexar!C771)</f>
        <v>1</v>
      </c>
      <c r="G771" t="str">
        <f>IF(F771&lt;&gt;"",VLOOKUP(F771,'Obras e Acervos'!$C:$D,2,0),"OK")</f>
        <v>OK</v>
      </c>
    </row>
    <row r="772" spans="1:7" x14ac:dyDescent="0.25">
      <c r="A772" t="s">
        <v>5730</v>
      </c>
      <c r="B772" s="1">
        <v>46094</v>
      </c>
      <c r="C772" t="s">
        <v>5733</v>
      </c>
      <c r="D772" s="36" t="str">
        <f t="shared" si="12"/>
        <v>VERIFICAR</v>
      </c>
      <c r="E772">
        <f>COUNTIF(Analise!U:U,Notas_sem_indexar!C772)</f>
        <v>0</v>
      </c>
      <c r="F772" s="35" t="s">
        <v>3908</v>
      </c>
      <c r="G772" t="str">
        <f>IF(F772&lt;&gt;"",VLOOKUP(F772,'Obras e Acervos'!$C:$D,2,0),"OK")</f>
        <v>PUBLICAÇÕES MERCURYO NOVO TEMPO LTDA-MERCURYO JOVEM</v>
      </c>
    </row>
    <row r="773" spans="1:7" hidden="1" x14ac:dyDescent="0.25">
      <c r="A773" t="s">
        <v>5730</v>
      </c>
      <c r="B773" s="1">
        <v>46094</v>
      </c>
      <c r="C773" t="s">
        <v>5550</v>
      </c>
      <c r="D773" s="36" t="str">
        <f t="shared" si="12"/>
        <v>64374799_20260313_nf_25.pdf</v>
      </c>
      <c r="E773">
        <f>COUNTIF(Analise!U:U,Notas_sem_indexar!C773)</f>
        <v>1</v>
      </c>
      <c r="G773" t="str">
        <f>IF(F773&lt;&gt;"",VLOOKUP(F773,'Obras e Acervos'!$C:$D,2,0),"OK")</f>
        <v>OK</v>
      </c>
    </row>
    <row r="774" spans="1:7" x14ac:dyDescent="0.25">
      <c r="A774" t="s">
        <v>5730</v>
      </c>
      <c r="B774" s="1">
        <v>46094</v>
      </c>
      <c r="C774" t="s">
        <v>5734</v>
      </c>
      <c r="D774" s="36" t="str">
        <f t="shared" si="12"/>
        <v>VERIFICAR</v>
      </c>
      <c r="E774">
        <f>COUNTIF(Analise!U:U,Notas_sem_indexar!C774)</f>
        <v>0</v>
      </c>
      <c r="F774" s="35" t="s">
        <v>2430</v>
      </c>
      <c r="G774" t="str">
        <f>IF(F774&lt;&gt;"",VLOOKUP(F774,'Obras e Acervos'!$C:$D,2,0),"OK")</f>
        <v>EDITORA SORRISO LTDA-EDITORA SORRISO</v>
      </c>
    </row>
    <row r="775" spans="1:7" hidden="1" x14ac:dyDescent="0.25">
      <c r="A775" t="s">
        <v>5730</v>
      </c>
      <c r="B775" s="1">
        <v>46097</v>
      </c>
      <c r="C775" t="s">
        <v>5555</v>
      </c>
      <c r="D775" s="36" t="str">
        <f t="shared" si="12"/>
        <v>64374799_20260316_nf_01.pdf</v>
      </c>
      <c r="E775">
        <f>COUNTIF(Analise!U:U,Notas_sem_indexar!C775)</f>
        <v>1</v>
      </c>
      <c r="G775" t="str">
        <f>IF(F775&lt;&gt;"",VLOOKUP(F775,'Obras e Acervos'!$C:$D,2,0),"OK")</f>
        <v>OK</v>
      </c>
    </row>
    <row r="776" spans="1:7" hidden="1" x14ac:dyDescent="0.25">
      <c r="A776" t="s">
        <v>5730</v>
      </c>
      <c r="B776" s="1">
        <v>46097</v>
      </c>
      <c r="C776" t="s">
        <v>5583</v>
      </c>
      <c r="D776" s="36" t="str">
        <f t="shared" si="12"/>
        <v>64374799_20260316_nf_02.pdf</v>
      </c>
      <c r="E776">
        <f>COUNTIF(Analise!U:U,Notas_sem_indexar!C776)</f>
        <v>1</v>
      </c>
      <c r="G776" t="str">
        <f>IF(F776&lt;&gt;"",VLOOKUP(F776,'Obras e Acervos'!$C:$D,2,0),"OK")</f>
        <v>OK</v>
      </c>
    </row>
    <row r="777" spans="1:7" hidden="1" x14ac:dyDescent="0.25">
      <c r="A777" t="s">
        <v>5730</v>
      </c>
      <c r="B777" s="1">
        <v>46097</v>
      </c>
      <c r="C777" t="s">
        <v>5560</v>
      </c>
      <c r="D777" s="36" t="str">
        <f t="shared" si="12"/>
        <v>64374799_20260316_nf_03.pdf</v>
      </c>
      <c r="E777">
        <f>COUNTIF(Analise!U:U,Notas_sem_indexar!C777)</f>
        <v>1</v>
      </c>
      <c r="G777" t="str">
        <f>IF(F777&lt;&gt;"",VLOOKUP(F777,'Obras e Acervos'!$C:$D,2,0),"OK")</f>
        <v>OK</v>
      </c>
    </row>
    <row r="778" spans="1:7" hidden="1" x14ac:dyDescent="0.25">
      <c r="A778" t="s">
        <v>5730</v>
      </c>
      <c r="B778" s="1">
        <v>46097</v>
      </c>
      <c r="C778" t="s">
        <v>5556</v>
      </c>
      <c r="D778" s="36" t="str">
        <f t="shared" si="12"/>
        <v>64374799_20260316_nf_04.pdf</v>
      </c>
      <c r="E778">
        <f>COUNTIF(Analise!U:U,Notas_sem_indexar!C778)</f>
        <v>1</v>
      </c>
      <c r="G778" t="str">
        <f>IF(F778&lt;&gt;"",VLOOKUP(F778,'Obras e Acervos'!$C:$D,2,0),"OK")</f>
        <v>OK</v>
      </c>
    </row>
    <row r="779" spans="1:7" hidden="1" x14ac:dyDescent="0.25">
      <c r="A779" t="s">
        <v>5730</v>
      </c>
      <c r="B779" s="1">
        <v>46097</v>
      </c>
      <c r="C779" t="s">
        <v>5552</v>
      </c>
      <c r="D779" s="36" t="str">
        <f t="shared" si="12"/>
        <v>64374799_20260316_nf_05.pdf</v>
      </c>
      <c r="E779">
        <f>COUNTIF(Analise!U:U,Notas_sem_indexar!C779)</f>
        <v>1</v>
      </c>
      <c r="G779" t="str">
        <f>IF(F779&lt;&gt;"",VLOOKUP(F779,'Obras e Acervos'!$C:$D,2,0),"OK")</f>
        <v>OK</v>
      </c>
    </row>
    <row r="780" spans="1:7" hidden="1" x14ac:dyDescent="0.25">
      <c r="A780" t="s">
        <v>5730</v>
      </c>
      <c r="B780" s="1">
        <v>46097</v>
      </c>
      <c r="C780" t="s">
        <v>5553</v>
      </c>
      <c r="D780" s="36" t="str">
        <f t="shared" si="12"/>
        <v>64374799_20260316_nf_06.pdf</v>
      </c>
      <c r="E780">
        <f>COUNTIF(Analise!U:U,Notas_sem_indexar!C780)</f>
        <v>1</v>
      </c>
      <c r="G780" t="str">
        <f>IF(F780&lt;&gt;"",VLOOKUP(F780,'Obras e Acervos'!$C:$D,2,0),"OK")</f>
        <v>OK</v>
      </c>
    </row>
    <row r="781" spans="1:7" x14ac:dyDescent="0.25">
      <c r="A781" t="s">
        <v>5730</v>
      </c>
      <c r="B781" s="1">
        <v>46097</v>
      </c>
      <c r="C781" t="s">
        <v>5735</v>
      </c>
      <c r="D781" s="36" t="str">
        <f t="shared" si="12"/>
        <v>VERIFICAR</v>
      </c>
      <c r="E781">
        <f>COUNTIF(Analise!U:U,Notas_sem_indexar!C781)</f>
        <v>0</v>
      </c>
      <c r="F781" s="35" t="s">
        <v>1766</v>
      </c>
      <c r="G781" t="str">
        <f>IF(F781&lt;&gt;"",VLOOKUP(F781,'Obras e Acervos'!$C:$D,2,0),"OK")</f>
        <v>EDITORA BAOBA LTDA-EDITORA BAOBÁ</v>
      </c>
    </row>
    <row r="782" spans="1:7" hidden="1" x14ac:dyDescent="0.25">
      <c r="A782" t="s">
        <v>5730</v>
      </c>
      <c r="B782" s="1">
        <v>46097</v>
      </c>
      <c r="C782" t="s">
        <v>5557</v>
      </c>
      <c r="D782" s="36" t="str">
        <f t="shared" si="12"/>
        <v>64374799_20260316_nf_08.pdf</v>
      </c>
      <c r="E782">
        <f>COUNTIF(Analise!U:U,Notas_sem_indexar!C782)</f>
        <v>1</v>
      </c>
      <c r="G782" t="str">
        <f>IF(F782&lt;&gt;"",VLOOKUP(F782,'Obras e Acervos'!$C:$D,2,0),"OK")</f>
        <v>OK</v>
      </c>
    </row>
    <row r="783" spans="1:7" hidden="1" x14ac:dyDescent="0.25">
      <c r="A783" t="s">
        <v>5730</v>
      </c>
      <c r="B783" s="1">
        <v>46097</v>
      </c>
      <c r="C783" t="s">
        <v>5565</v>
      </c>
      <c r="D783" s="36" t="str">
        <f t="shared" si="12"/>
        <v>64374799_20260316_nf_09.pdf</v>
      </c>
      <c r="E783">
        <f>COUNTIF(Analise!U:U,Notas_sem_indexar!C783)</f>
        <v>1</v>
      </c>
      <c r="G783" t="str">
        <f>IF(F783&lt;&gt;"",VLOOKUP(F783,'Obras e Acervos'!$C:$D,2,0),"OK")</f>
        <v>OK</v>
      </c>
    </row>
    <row r="784" spans="1:7" hidden="1" x14ac:dyDescent="0.25">
      <c r="A784" t="s">
        <v>5730</v>
      </c>
      <c r="B784" s="1">
        <v>46097</v>
      </c>
      <c r="C784" t="s">
        <v>5574</v>
      </c>
      <c r="D784" s="36" t="str">
        <f t="shared" si="12"/>
        <v>64374799_20260316_nf_10.pdf</v>
      </c>
      <c r="E784">
        <f>COUNTIF(Analise!U:U,Notas_sem_indexar!C784)</f>
        <v>1</v>
      </c>
      <c r="G784" t="str">
        <f>IF(F784&lt;&gt;"",VLOOKUP(F784,'Obras e Acervos'!$C:$D,2,0),"OK")</f>
        <v>OK</v>
      </c>
    </row>
    <row r="785" spans="1:7" hidden="1" x14ac:dyDescent="0.25">
      <c r="A785" t="s">
        <v>5730</v>
      </c>
      <c r="B785" s="1">
        <v>46097</v>
      </c>
      <c r="C785" t="s">
        <v>5558</v>
      </c>
      <c r="D785" s="36" t="str">
        <f t="shared" si="12"/>
        <v>64374799_20260316_nf_11.pdf</v>
      </c>
      <c r="E785">
        <f>COUNTIF(Analise!U:U,Notas_sem_indexar!C785)</f>
        <v>1</v>
      </c>
      <c r="G785" t="str">
        <f>IF(F785&lt;&gt;"",VLOOKUP(F785,'Obras e Acervos'!$C:$D,2,0),"OK")</f>
        <v>OK</v>
      </c>
    </row>
    <row r="786" spans="1:7" hidden="1" x14ac:dyDescent="0.25">
      <c r="A786" t="s">
        <v>5730</v>
      </c>
      <c r="B786" s="1">
        <v>46097</v>
      </c>
      <c r="C786" t="s">
        <v>5575</v>
      </c>
      <c r="D786" s="36" t="str">
        <f t="shared" si="12"/>
        <v>64374799_20260316_nf_12.pdf</v>
      </c>
      <c r="E786">
        <f>COUNTIF(Analise!U:U,Notas_sem_indexar!C786)</f>
        <v>1</v>
      </c>
      <c r="G786" t="str">
        <f>IF(F786&lt;&gt;"",VLOOKUP(F786,'Obras e Acervos'!$C:$D,2,0),"OK")</f>
        <v>OK</v>
      </c>
    </row>
    <row r="787" spans="1:7" hidden="1" x14ac:dyDescent="0.25">
      <c r="A787" t="s">
        <v>5730</v>
      </c>
      <c r="B787" s="1">
        <v>46097</v>
      </c>
      <c r="C787" t="s">
        <v>5567</v>
      </c>
      <c r="D787" s="36" t="str">
        <f t="shared" si="12"/>
        <v>64374799_20260316_nf_13.pdf</v>
      </c>
      <c r="E787">
        <f>COUNTIF(Analise!U:U,Notas_sem_indexar!C787)</f>
        <v>1</v>
      </c>
      <c r="G787" t="str">
        <f>IF(F787&lt;&gt;"",VLOOKUP(F787,'Obras e Acervos'!$C:$D,2,0),"OK")</f>
        <v>OK</v>
      </c>
    </row>
    <row r="788" spans="1:7" x14ac:dyDescent="0.25">
      <c r="A788" t="s">
        <v>5730</v>
      </c>
      <c r="B788" s="1">
        <v>46097</v>
      </c>
      <c r="C788" t="s">
        <v>5736</v>
      </c>
      <c r="D788" s="36" t="str">
        <f t="shared" si="12"/>
        <v>VERIFICAR</v>
      </c>
      <c r="E788">
        <f>COUNTIF(Analise!U:U,Notas_sem_indexar!C788)</f>
        <v>0</v>
      </c>
      <c r="F788" s="35" t="s">
        <v>2198</v>
      </c>
      <c r="G788" t="str">
        <f>IF(F788&lt;&gt;"",VLOOKUP(F788,'Obras e Acervos'!$C:$D,2,0),"OK")</f>
        <v>ABACATTE EDITORIAL LTDA - EPP-ABACATTE EDITORIAL</v>
      </c>
    </row>
    <row r="789" spans="1:7" hidden="1" x14ac:dyDescent="0.25">
      <c r="A789" t="s">
        <v>5730</v>
      </c>
      <c r="B789" s="1">
        <v>46097</v>
      </c>
      <c r="C789" t="s">
        <v>5571</v>
      </c>
      <c r="D789" s="36" t="str">
        <f t="shared" si="12"/>
        <v>64374799_20260316_nf_15.pdf</v>
      </c>
      <c r="E789">
        <f>COUNTIF(Analise!U:U,Notas_sem_indexar!C789)</f>
        <v>1</v>
      </c>
      <c r="G789" t="str">
        <f>IF(F789&lt;&gt;"",VLOOKUP(F789,'Obras e Acervos'!$C:$D,2,0),"OK")</f>
        <v>OK</v>
      </c>
    </row>
    <row r="790" spans="1:7" x14ac:dyDescent="0.25">
      <c r="A790" t="s">
        <v>5730</v>
      </c>
      <c r="B790" s="1">
        <v>46097</v>
      </c>
      <c r="C790" t="s">
        <v>5737</v>
      </c>
      <c r="D790" s="36" t="str">
        <f t="shared" si="12"/>
        <v>VERIFICAR</v>
      </c>
      <c r="E790">
        <f>COUNTIF(Analise!U:U,Notas_sem_indexar!C790)</f>
        <v>0</v>
      </c>
      <c r="F790" s="35" t="s">
        <v>1638</v>
      </c>
      <c r="G790" t="str">
        <f>IF(F790&lt;&gt;"",VLOOKUP(F790,'Obras e Acervos'!$C:$D,2,0),"OK")</f>
        <v>EDITORA UVINHA BEBÊ LTDA-UVINHA BEBÊ</v>
      </c>
    </row>
    <row r="791" spans="1:7" hidden="1" x14ac:dyDescent="0.25">
      <c r="A791" t="s">
        <v>5730</v>
      </c>
      <c r="B791" s="1">
        <v>46097</v>
      </c>
      <c r="C791" t="s">
        <v>5562</v>
      </c>
      <c r="D791" s="36" t="str">
        <f t="shared" si="12"/>
        <v>64374799_20260316_nf_17.pdf</v>
      </c>
      <c r="E791">
        <f>COUNTIF(Analise!U:U,Notas_sem_indexar!C791)</f>
        <v>1</v>
      </c>
      <c r="G791" t="str">
        <f>IF(F791&lt;&gt;"",VLOOKUP(F791,'Obras e Acervos'!$C:$D,2,0),"OK")</f>
        <v>OK</v>
      </c>
    </row>
    <row r="792" spans="1:7" hidden="1" x14ac:dyDescent="0.25">
      <c r="A792" t="s">
        <v>5730</v>
      </c>
      <c r="B792" s="1">
        <v>46097</v>
      </c>
      <c r="C792" t="s">
        <v>5582</v>
      </c>
      <c r="D792" s="36" t="str">
        <f t="shared" si="12"/>
        <v>64374799_20260316_nf_18.pdf</v>
      </c>
      <c r="E792">
        <f>COUNTIF(Analise!U:U,Notas_sem_indexar!C792)</f>
        <v>1</v>
      </c>
      <c r="G792" t="str">
        <f>IF(F792&lt;&gt;"",VLOOKUP(F792,'Obras e Acervos'!$C:$D,2,0),"OK")</f>
        <v>OK</v>
      </c>
    </row>
    <row r="793" spans="1:7" hidden="1" x14ac:dyDescent="0.25">
      <c r="A793" t="s">
        <v>5730</v>
      </c>
      <c r="B793" s="1">
        <v>46097</v>
      </c>
      <c r="C793" t="s">
        <v>5564</v>
      </c>
      <c r="D793" s="36" t="str">
        <f t="shared" si="12"/>
        <v>64374799_20260316_nf_19.pdf</v>
      </c>
      <c r="E793">
        <f>COUNTIF(Analise!U:U,Notas_sem_indexar!C793)</f>
        <v>1</v>
      </c>
      <c r="G793" t="str">
        <f>IF(F793&lt;&gt;"",VLOOKUP(F793,'Obras e Acervos'!$C:$D,2,0),"OK")</f>
        <v>OK</v>
      </c>
    </row>
    <row r="794" spans="1:7" hidden="1" x14ac:dyDescent="0.25">
      <c r="A794" t="s">
        <v>5730</v>
      </c>
      <c r="B794" s="1">
        <v>46097</v>
      </c>
      <c r="C794" t="s">
        <v>5559</v>
      </c>
      <c r="D794" s="36" t="str">
        <f t="shared" si="12"/>
        <v>64374799_20260316_nf_20.pdf</v>
      </c>
      <c r="E794">
        <f>COUNTIF(Analise!U:U,Notas_sem_indexar!C794)</f>
        <v>1</v>
      </c>
      <c r="G794" t="str">
        <f>IF(F794&lt;&gt;"",VLOOKUP(F794,'Obras e Acervos'!$C:$D,2,0),"OK")</f>
        <v>OK</v>
      </c>
    </row>
    <row r="795" spans="1:7" hidden="1" x14ac:dyDescent="0.25">
      <c r="A795" t="s">
        <v>5730</v>
      </c>
      <c r="B795" s="1">
        <v>46097</v>
      </c>
      <c r="C795" t="s">
        <v>5576</v>
      </c>
      <c r="D795" s="36" t="str">
        <f t="shared" si="12"/>
        <v>64374799_20260316_nf_21.pdf</v>
      </c>
      <c r="E795">
        <f>COUNTIF(Analise!U:U,Notas_sem_indexar!C795)</f>
        <v>1</v>
      </c>
      <c r="G795" t="str">
        <f>IF(F795&lt;&gt;"",VLOOKUP(F795,'Obras e Acervos'!$C:$D,2,0),"OK")</f>
        <v>OK</v>
      </c>
    </row>
    <row r="796" spans="1:7" hidden="1" x14ac:dyDescent="0.25">
      <c r="A796" t="s">
        <v>5730</v>
      </c>
      <c r="B796" s="1">
        <v>46097</v>
      </c>
      <c r="C796" t="s">
        <v>5568</v>
      </c>
      <c r="D796" s="36" t="str">
        <f t="shared" si="12"/>
        <v>64374799_20260316_nf_22.pdf</v>
      </c>
      <c r="E796">
        <f>COUNTIF(Analise!U:U,Notas_sem_indexar!C796)</f>
        <v>1</v>
      </c>
      <c r="G796" t="str">
        <f>IF(F796&lt;&gt;"",VLOOKUP(F796,'Obras e Acervos'!$C:$D,2,0),"OK")</f>
        <v>OK</v>
      </c>
    </row>
    <row r="797" spans="1:7" hidden="1" x14ac:dyDescent="0.25">
      <c r="A797" t="s">
        <v>5730</v>
      </c>
      <c r="B797" s="1">
        <v>46097</v>
      </c>
      <c r="C797" t="s">
        <v>5569</v>
      </c>
      <c r="D797" s="36" t="str">
        <f t="shared" si="12"/>
        <v>64374799_20260316_nf_23.pdf</v>
      </c>
      <c r="E797">
        <f>COUNTIF(Analise!U:U,Notas_sem_indexar!C797)</f>
        <v>1</v>
      </c>
      <c r="G797" t="str">
        <f>IF(F797&lt;&gt;"",VLOOKUP(F797,'Obras e Acervos'!$C:$D,2,0),"OK")</f>
        <v>OK</v>
      </c>
    </row>
    <row r="798" spans="1:7" hidden="1" x14ac:dyDescent="0.25">
      <c r="A798" t="s">
        <v>5730</v>
      </c>
      <c r="B798" s="1">
        <v>46097</v>
      </c>
      <c r="C798" t="s">
        <v>5561</v>
      </c>
      <c r="D798" s="36" t="str">
        <f t="shared" si="12"/>
        <v>64374799_20260316_nf_24.pdf</v>
      </c>
      <c r="E798">
        <f>COUNTIF(Analise!U:U,Notas_sem_indexar!C798)</f>
        <v>1</v>
      </c>
      <c r="G798" t="str">
        <f>IF(F798&lt;&gt;"",VLOOKUP(F798,'Obras e Acervos'!$C:$D,2,0),"OK")</f>
        <v>OK</v>
      </c>
    </row>
    <row r="799" spans="1:7" x14ac:dyDescent="0.25">
      <c r="A799" t="s">
        <v>5730</v>
      </c>
      <c r="B799" s="1">
        <v>46097</v>
      </c>
      <c r="C799" t="s">
        <v>5738</v>
      </c>
      <c r="D799" s="36" t="str">
        <f t="shared" si="12"/>
        <v>VERIFICAR</v>
      </c>
      <c r="E799">
        <f>COUNTIF(Analise!U:U,Notas_sem_indexar!C799)</f>
        <v>0</v>
      </c>
      <c r="F799" s="35" t="s">
        <v>1742</v>
      </c>
      <c r="G799" t="str">
        <f>IF(F799&lt;&gt;"",VLOOKUP(F799,'Obras e Acervos'!$C:$D,2,0),"OK")</f>
        <v>CALLIS EDITORA LTDA.-CALLIS</v>
      </c>
    </row>
    <row r="800" spans="1:7" hidden="1" x14ac:dyDescent="0.25">
      <c r="A800" t="s">
        <v>5730</v>
      </c>
      <c r="B800" s="1">
        <v>46097</v>
      </c>
      <c r="C800" t="s">
        <v>5572</v>
      </c>
      <c r="D800" s="36" t="str">
        <f t="shared" si="12"/>
        <v>64374799_20260316_nf_26.pdf</v>
      </c>
      <c r="E800">
        <f>COUNTIF(Analise!U:U,Notas_sem_indexar!C800)</f>
        <v>1</v>
      </c>
      <c r="G800" t="str">
        <f>IF(F800&lt;&gt;"",VLOOKUP(F800,'Obras e Acervos'!$C:$D,2,0),"OK")</f>
        <v>OK</v>
      </c>
    </row>
    <row r="801" spans="1:7" x14ac:dyDescent="0.25">
      <c r="A801" t="s">
        <v>5730</v>
      </c>
      <c r="B801" s="1">
        <v>46097</v>
      </c>
      <c r="C801" t="s">
        <v>5739</v>
      </c>
      <c r="D801" s="36" t="str">
        <f t="shared" si="12"/>
        <v>VERIFICAR</v>
      </c>
      <c r="E801">
        <f>COUNTIF(Analise!U:U,Notas_sem_indexar!C801)</f>
        <v>0</v>
      </c>
      <c r="F801" s="35" t="s">
        <v>3016</v>
      </c>
      <c r="G801" t="str">
        <f>IF(F801&lt;&gt;"",VLOOKUP(F801,'Obras e Acervos'!$C:$D,2,0),"OK")</f>
        <v>BELLABOOKS GRAFICA E EDITORA LTDA-BELLABOOKS EDICOES</v>
      </c>
    </row>
    <row r="802" spans="1:7" hidden="1" x14ac:dyDescent="0.25">
      <c r="A802" t="s">
        <v>5730</v>
      </c>
      <c r="B802" s="1">
        <v>46097</v>
      </c>
      <c r="C802" t="s">
        <v>5570</v>
      </c>
      <c r="D802" s="36" t="str">
        <f t="shared" si="12"/>
        <v>64374799_20260316_nf_28.pdf</v>
      </c>
      <c r="E802">
        <f>COUNTIF(Analise!U:U,Notas_sem_indexar!C802)</f>
        <v>1</v>
      </c>
      <c r="G802" t="str">
        <f>IF(F802&lt;&gt;"",VLOOKUP(F802,'Obras e Acervos'!$C:$D,2,0),"OK")</f>
        <v>OK</v>
      </c>
    </row>
    <row r="803" spans="1:7" hidden="1" x14ac:dyDescent="0.25">
      <c r="A803" t="s">
        <v>5730</v>
      </c>
      <c r="B803" s="1">
        <v>46097</v>
      </c>
      <c r="C803" t="s">
        <v>5573</v>
      </c>
      <c r="D803" s="36" t="str">
        <f t="shared" si="12"/>
        <v>64374799_20260316_nf_29.pdf</v>
      </c>
      <c r="E803">
        <f>COUNTIF(Analise!U:U,Notas_sem_indexar!C803)</f>
        <v>1</v>
      </c>
      <c r="G803" t="str">
        <f>IF(F803&lt;&gt;"",VLOOKUP(F803,'Obras e Acervos'!$C:$D,2,0),"OK")</f>
        <v>OK</v>
      </c>
    </row>
    <row r="804" spans="1:7" hidden="1" x14ac:dyDescent="0.25">
      <c r="A804" t="s">
        <v>5730</v>
      </c>
      <c r="B804" s="1">
        <v>46097</v>
      </c>
      <c r="C804" t="s">
        <v>5581</v>
      </c>
      <c r="D804" s="36" t="str">
        <f t="shared" si="12"/>
        <v>64374799_20260316_nf_30.pdf</v>
      </c>
      <c r="E804">
        <f>COUNTIF(Analise!U:U,Notas_sem_indexar!C804)</f>
        <v>1</v>
      </c>
      <c r="G804" t="str">
        <f>IF(F804&lt;&gt;"",VLOOKUP(F804,'Obras e Acervos'!$C:$D,2,0),"OK")</f>
        <v>OK</v>
      </c>
    </row>
    <row r="805" spans="1:7" x14ac:dyDescent="0.25">
      <c r="A805" t="s">
        <v>5730</v>
      </c>
      <c r="B805" s="1">
        <v>46097</v>
      </c>
      <c r="C805" t="s">
        <v>5740</v>
      </c>
      <c r="D805" s="36" t="str">
        <f t="shared" si="12"/>
        <v>VERIFICAR</v>
      </c>
      <c r="E805">
        <f>COUNTIF(Analise!U:U,Notas_sem_indexar!C805)</f>
        <v>0</v>
      </c>
      <c r="F805" s="35" t="s">
        <v>3411</v>
      </c>
      <c r="G805" t="str">
        <f>IF(F805&lt;&gt;"",VLOOKUP(F805,'Obras e Acervos'!$C:$D,2,0),"OK")</f>
        <v>EDITORA JULIETA LTDA-JULIETA</v>
      </c>
    </row>
    <row r="806" spans="1:7" hidden="1" x14ac:dyDescent="0.25">
      <c r="A806" t="s">
        <v>5730</v>
      </c>
      <c r="B806" s="1">
        <v>46097</v>
      </c>
      <c r="C806" t="s">
        <v>5578</v>
      </c>
      <c r="D806" s="36" t="str">
        <f t="shared" si="12"/>
        <v>64374799_20260316_nf_32.pdf</v>
      </c>
      <c r="E806">
        <f>COUNTIF(Analise!U:U,Notas_sem_indexar!C806)</f>
        <v>1</v>
      </c>
      <c r="G806" t="str">
        <f>IF(F806&lt;&gt;"",VLOOKUP(F806,'Obras e Acervos'!$C:$D,2,0),"OK")</f>
        <v>OK</v>
      </c>
    </row>
    <row r="807" spans="1:7" x14ac:dyDescent="0.25">
      <c r="A807" t="s">
        <v>5730</v>
      </c>
      <c r="B807" s="1">
        <v>46097</v>
      </c>
      <c r="C807" t="s">
        <v>5741</v>
      </c>
      <c r="D807" s="36" t="str">
        <f t="shared" si="12"/>
        <v>VERIFICAR</v>
      </c>
      <c r="E807">
        <f>COUNTIF(Analise!U:U,Notas_sem_indexar!C807)</f>
        <v>0</v>
      </c>
      <c r="F807" s="35" t="s">
        <v>2175</v>
      </c>
      <c r="G807" t="str">
        <f>IF(F807&lt;&gt;"",VLOOKUP(F807,'Obras e Acervos'!$C:$D,2,0),"OK")</f>
        <v>RHJ LIVROS LTDA-EDITORA RHJ</v>
      </c>
    </row>
    <row r="808" spans="1:7" hidden="1" x14ac:dyDescent="0.25">
      <c r="A808" t="s">
        <v>5730</v>
      </c>
      <c r="B808" s="1">
        <v>46097</v>
      </c>
      <c r="C808" t="s">
        <v>5579</v>
      </c>
      <c r="D808" s="36" t="str">
        <f t="shared" si="12"/>
        <v>64374799_20260316_nf_34.pdf</v>
      </c>
      <c r="E808">
        <f>COUNTIF(Analise!U:U,Notas_sem_indexar!C808)</f>
        <v>1</v>
      </c>
      <c r="G808" t="str">
        <f>IF(F808&lt;&gt;"",VLOOKUP(F808,'Obras e Acervos'!$C:$D,2,0),"OK")</f>
        <v>OK</v>
      </c>
    </row>
    <row r="809" spans="1:7" hidden="1" x14ac:dyDescent="0.25">
      <c r="A809" t="s">
        <v>5730</v>
      </c>
      <c r="B809" s="1">
        <v>46097</v>
      </c>
      <c r="C809" t="s">
        <v>5563</v>
      </c>
      <c r="D809" s="36" t="str">
        <f t="shared" si="12"/>
        <v>64374799_20260316_nf_35.pdf</v>
      </c>
      <c r="E809">
        <f>COUNTIF(Analise!U:U,Notas_sem_indexar!C809)</f>
        <v>1</v>
      </c>
      <c r="G809" t="str">
        <f>IF(F809&lt;&gt;"",VLOOKUP(F809,'Obras e Acervos'!$C:$D,2,0),"OK")</f>
        <v>OK</v>
      </c>
    </row>
    <row r="810" spans="1:7" hidden="1" x14ac:dyDescent="0.25">
      <c r="A810" t="s">
        <v>5730</v>
      </c>
      <c r="B810" s="1">
        <v>46097</v>
      </c>
      <c r="C810" t="s">
        <v>5580</v>
      </c>
      <c r="D810" s="36" t="str">
        <f t="shared" si="12"/>
        <v>64374799_20260316_nf_36.pdf</v>
      </c>
      <c r="E810">
        <f>COUNTIF(Analise!U:U,Notas_sem_indexar!C810)</f>
        <v>1</v>
      </c>
      <c r="G810" t="str">
        <f>IF(F810&lt;&gt;"",VLOOKUP(F810,'Obras e Acervos'!$C:$D,2,0),"OK")</f>
        <v>OK</v>
      </c>
    </row>
    <row r="811" spans="1:7" hidden="1" x14ac:dyDescent="0.25">
      <c r="A811" t="s">
        <v>5730</v>
      </c>
      <c r="B811" s="1">
        <v>46098</v>
      </c>
      <c r="C811" t="s">
        <v>5577</v>
      </c>
      <c r="D811" s="36" t="str">
        <f t="shared" si="12"/>
        <v>64374799_20260317_nf_01.pdf</v>
      </c>
      <c r="E811">
        <f>COUNTIF(Analise!U:U,Notas_sem_indexar!C811)</f>
        <v>1</v>
      </c>
      <c r="G811" t="str">
        <f>IF(F811&lt;&gt;"",VLOOKUP(F811,'Obras e Acervos'!$C:$D,2,0),"OK")</f>
        <v>OK</v>
      </c>
    </row>
    <row r="812" spans="1:7" hidden="1" x14ac:dyDescent="0.25">
      <c r="A812" t="s">
        <v>5730</v>
      </c>
      <c r="B812" s="1">
        <v>46098</v>
      </c>
      <c r="C812" t="s">
        <v>5566</v>
      </c>
      <c r="D812" s="36" t="str">
        <f t="shared" si="12"/>
        <v>64374799_20260317_nf_02.pdf</v>
      </c>
      <c r="E812">
        <f>COUNTIF(Analise!U:U,Notas_sem_indexar!C812)</f>
        <v>1</v>
      </c>
      <c r="G812" t="str">
        <f>IF(F812&lt;&gt;"",VLOOKUP(F812,'Obras e Acervos'!$C:$D,2,0),"OK")</f>
        <v>OK</v>
      </c>
    </row>
    <row r="813" spans="1:7" x14ac:dyDescent="0.25">
      <c r="A813" t="s">
        <v>5730</v>
      </c>
      <c r="B813" s="1">
        <v>46098</v>
      </c>
      <c r="C813" t="s">
        <v>5742</v>
      </c>
      <c r="D813" s="36" t="str">
        <f t="shared" si="12"/>
        <v>VERIFICAR</v>
      </c>
      <c r="E813">
        <f>COUNTIF(Analise!U:U,Notas_sem_indexar!C813)</f>
        <v>0</v>
      </c>
      <c r="F813" s="35" t="s">
        <v>2198</v>
      </c>
      <c r="G813" t="str">
        <f>IF(F813&lt;&gt;"",VLOOKUP(F813,'Obras e Acervos'!$C:$D,2,0),"OK")</f>
        <v>ABACATTE EDITORIAL LTDA - EPP-ABACATTE EDITORIAL</v>
      </c>
    </row>
    <row r="814" spans="1:7" hidden="1" x14ac:dyDescent="0.25">
      <c r="A814" t="s">
        <v>5730</v>
      </c>
      <c r="B814" s="1">
        <v>46098</v>
      </c>
      <c r="C814" t="s">
        <v>5554</v>
      </c>
      <c r="D814" s="36" t="str">
        <f t="shared" si="12"/>
        <v>64374799_20260317_nf_04.pdf</v>
      </c>
      <c r="E814">
        <f>COUNTIF(Analise!U:U,Notas_sem_indexar!C814)</f>
        <v>1</v>
      </c>
      <c r="G814" t="str">
        <f>IF(F814&lt;&gt;"",VLOOKUP(F814,'Obras e Acervos'!$C:$D,2,0),"OK")</f>
        <v>OK</v>
      </c>
    </row>
  </sheetData>
  <autoFilter ref="A1:G814">
    <filterColumn colId="3">
      <filters>
        <filter val="VERIFICAR"/>
      </filters>
    </filterColumn>
  </autoFilter>
  <sortState ref="A2:E814">
    <sortCondition ref="C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Agendamento</vt:lpstr>
      <vt:lpstr>Obras e Acervos</vt:lpstr>
      <vt:lpstr>Analise</vt:lpstr>
      <vt:lpstr>Notas_sem_indexar</vt:lpstr>
    </vt:vector>
  </TitlesOfParts>
  <Company>Correios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Rodrigues Miyasaka</dc:creator>
  <cp:lastModifiedBy>Paulo Rodrigues Miyasaka</cp:lastModifiedBy>
  <dcterms:created xsi:type="dcterms:W3CDTF">2026-07-23T16:49:25Z</dcterms:created>
  <dcterms:modified xsi:type="dcterms:W3CDTF">2026-10-06T15:59:17Z</dcterms:modified>
</cp:coreProperties>
</file>